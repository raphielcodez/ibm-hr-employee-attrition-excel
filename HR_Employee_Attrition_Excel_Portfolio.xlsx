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raphi\Downloads\ibm-hr-employee-attrition-excel\"/>
    </mc:Choice>
  </mc:AlternateContent>
  <xr:revisionPtr revIDLastSave="0" documentId="13_ncr:1_{F00088F1-4C43-468F-B21E-96F51B387DF0}" xr6:coauthVersionLast="47" xr6:coauthVersionMax="47" xr10:uidLastSave="{00000000-0000-0000-0000-000000000000}"/>
  <bookViews>
    <workbookView xWindow="-120" yWindow="-120" windowWidth="20730" windowHeight="11040" firstSheet="3" activeTab="7" xr2:uid="{5A2FF8B9-577E-4C4C-A532-4BF325815063}"/>
  </bookViews>
  <sheets>
    <sheet name="Read_Me" sheetId="12" r:id="rId1"/>
    <sheet name="Dashboard" sheetId="11" r:id="rId2"/>
    <sheet name="Raw_Data" sheetId="2" r:id="rId3"/>
    <sheet name="Cleaned_Data" sheetId="1" r:id="rId4"/>
    <sheet name="Data_Dictionary" sheetId="13" r:id="rId5"/>
    <sheet name="Data_Quality" sheetId="6" r:id="rId6"/>
    <sheet name="KPI_Summary" sheetId="7" r:id="rId7"/>
    <sheet name="PivotTables" sheetId="9" r:id="rId8"/>
    <sheet name="Analysis_Plan" sheetId="14" r:id="rId9"/>
  </sheets>
  <definedNames>
    <definedName name="ExternalData_1" localSheetId="2" hidden="1">Raw_Data!$A$1:$AI$1471</definedName>
    <definedName name="ExternalData_2" localSheetId="3" hidden="1">Cleaned_Data!$A$1:$AI$1471</definedName>
    <definedName name="Slicer_Department">#N/A</definedName>
    <definedName name="Slicer_Education_Label">#N/A</definedName>
    <definedName name="Slicer_OverTim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81" i="7" l="1"/>
  <c r="C81" i="7"/>
  <c r="C80" i="7"/>
  <c r="B80" i="7"/>
  <c r="C79" i="7"/>
  <c r="B79" i="7"/>
  <c r="C78" i="7"/>
  <c r="B78" i="7"/>
  <c r="C28" i="7"/>
  <c r="C27" i="7"/>
  <c r="B28" i="7"/>
  <c r="B27" i="7"/>
  <c r="H19" i="7"/>
  <c r="H20" i="7"/>
  <c r="H21" i="7"/>
  <c r="H22" i="7"/>
  <c r="H23" i="7"/>
  <c r="H24" i="7"/>
  <c r="H25" i="7"/>
  <c r="H26" i="7"/>
  <c r="G19" i="7"/>
  <c r="G20" i="7"/>
  <c r="G21" i="7"/>
  <c r="G22" i="7"/>
  <c r="G23" i="7"/>
  <c r="G24" i="7"/>
  <c r="G25" i="7"/>
  <c r="G26" i="7"/>
  <c r="H18" i="7"/>
  <c r="G18" i="7"/>
  <c r="C19" i="7"/>
  <c r="C20" i="7"/>
  <c r="C18" i="7"/>
  <c r="B19" i="7"/>
  <c r="B20" i="7"/>
  <c r="B18" i="7"/>
  <c r="B13" i="7"/>
  <c r="B12" i="7"/>
  <c r="B11" i="7"/>
  <c r="B10" i="7"/>
  <c r="B9" i="7"/>
  <c r="B8" i="7"/>
  <c r="F6" i="11" s="1"/>
  <c r="B6" i="7"/>
  <c r="B5" i="7"/>
  <c r="D6" i="11" s="1"/>
  <c r="B4" i="7"/>
  <c r="C6" i="11" s="1"/>
  <c r="B9" i="6"/>
  <c r="D9" i="6" s="1"/>
  <c r="B8" i="6"/>
  <c r="D8" i="6" s="1"/>
  <c r="B7" i="6"/>
  <c r="D7" i="6" s="1"/>
  <c r="B6" i="6" a="1"/>
  <c r="D6" i="6" s="1"/>
  <c r="B5" i="6"/>
  <c r="D5" i="6" s="1"/>
  <c r="D28" i="7" l="1"/>
  <c r="D27" i="7"/>
  <c r="I26" i="7"/>
  <c r="I24" i="7"/>
  <c r="I25" i="7"/>
  <c r="I23" i="7"/>
  <c r="I22" i="7"/>
  <c r="I21" i="7"/>
  <c r="I20" i="7"/>
  <c r="I19" i="7"/>
  <c r="I18" i="7"/>
  <c r="D20" i="7"/>
  <c r="D19" i="7"/>
  <c r="D18" i="7"/>
  <c r="B7" i="7"/>
  <c r="E6" i="11" s="1"/>
  <c r="B4" i="6"/>
  <c r="D4" i="6" s="1"/>
  <c r="AS2" i="1" a="1"/>
  <c r="AS3" i="1" a="1"/>
  <c r="AS4" i="1" a="1"/>
  <c r="AS5" i="1" a="1"/>
  <c r="AS6" i="1" a="1"/>
  <c r="AS7" i="1" a="1"/>
  <c r="AS8" i="1" a="1"/>
  <c r="AS9" i="1" a="1"/>
  <c r="AS10" i="1" a="1"/>
  <c r="AS11" i="1" a="1"/>
  <c r="AS12" i="1" a="1"/>
  <c r="AS13" i="1" a="1"/>
  <c r="AS14" i="1" a="1"/>
  <c r="AS15" i="1" a="1"/>
  <c r="AS16" i="1" a="1"/>
  <c r="AS17" i="1" a="1"/>
  <c r="AS18" i="1" a="1"/>
  <c r="AS19" i="1" a="1"/>
  <c r="AS20" i="1" a="1"/>
  <c r="AS21" i="1" a="1"/>
  <c r="AS22" i="1" a="1"/>
  <c r="AS23" i="1" a="1"/>
  <c r="AS24" i="1" a="1"/>
  <c r="AS25" i="1" a="1"/>
  <c r="AS26" i="1" a="1"/>
  <c r="AS27" i="1" a="1"/>
  <c r="AS28" i="1" a="1"/>
  <c r="AS29" i="1" a="1"/>
  <c r="AS30" i="1" a="1"/>
  <c r="AS31" i="1" a="1"/>
  <c r="AS32" i="1" a="1"/>
  <c r="AS33" i="1" a="1"/>
  <c r="AS34" i="1" a="1"/>
  <c r="AS35" i="1" a="1"/>
  <c r="AS36" i="1" a="1"/>
  <c r="AS37" i="1" a="1"/>
  <c r="AS38" i="1" a="1"/>
  <c r="AS39" i="1" a="1"/>
  <c r="AS40" i="1" a="1"/>
  <c r="AS41" i="1" a="1"/>
  <c r="AS42" i="1" a="1"/>
  <c r="AS43" i="1" a="1"/>
  <c r="AS44" i="1" a="1"/>
  <c r="AS45" i="1" a="1"/>
  <c r="AS46" i="1" a="1"/>
  <c r="AS47" i="1" a="1"/>
  <c r="AS48" i="1" a="1"/>
  <c r="AS49" i="1" a="1"/>
  <c r="AS50" i="1" a="1"/>
  <c r="AS51" i="1" a="1"/>
  <c r="AS52" i="1" a="1"/>
  <c r="AS53" i="1" a="1"/>
  <c r="AS54" i="1" a="1"/>
  <c r="AS55" i="1" a="1"/>
  <c r="AS56" i="1" a="1"/>
  <c r="AS57" i="1" a="1"/>
  <c r="AS58" i="1" a="1"/>
  <c r="AS59" i="1" a="1"/>
  <c r="AS60" i="1" a="1"/>
  <c r="AS61" i="1" a="1"/>
  <c r="AS62" i="1" a="1"/>
  <c r="AS63" i="1" a="1"/>
  <c r="AS64" i="1" a="1"/>
  <c r="AS65" i="1" a="1"/>
  <c r="AS66" i="1" a="1"/>
  <c r="AS67" i="1" a="1"/>
  <c r="AS68" i="1" a="1"/>
  <c r="AS69" i="1" a="1"/>
  <c r="AS70" i="1" a="1"/>
  <c r="AS71" i="1" a="1"/>
  <c r="AS72" i="1" a="1"/>
  <c r="AS73" i="1" a="1"/>
  <c r="AS74" i="1" a="1"/>
  <c r="AS75" i="1" a="1"/>
  <c r="AS76" i="1" a="1"/>
  <c r="AS77" i="1" a="1"/>
  <c r="AS78" i="1" a="1"/>
  <c r="AS79" i="1" a="1"/>
  <c r="AS80" i="1" a="1"/>
  <c r="AS81" i="1" a="1"/>
  <c r="AS82" i="1" a="1"/>
  <c r="AS83" i="1" a="1"/>
  <c r="AS84" i="1" a="1"/>
  <c r="AS85" i="1" a="1"/>
  <c r="AS86" i="1" a="1"/>
  <c r="AS87" i="1" a="1"/>
  <c r="AS88" i="1" a="1"/>
  <c r="AS89" i="1" a="1"/>
  <c r="AS90" i="1" a="1"/>
  <c r="AS91" i="1" a="1"/>
  <c r="AS92" i="1" a="1"/>
  <c r="AS93" i="1" a="1"/>
  <c r="AS94" i="1" a="1"/>
  <c r="AS95" i="1" a="1"/>
  <c r="AS96" i="1" a="1"/>
  <c r="AS97" i="1" a="1"/>
  <c r="AS98" i="1" a="1"/>
  <c r="AS99" i="1" a="1"/>
  <c r="AS100" i="1" a="1"/>
  <c r="AS101" i="1" a="1"/>
  <c r="AS102" i="1" a="1"/>
  <c r="AS103" i="1" a="1"/>
  <c r="AS104" i="1" a="1"/>
  <c r="AS105" i="1" a="1"/>
  <c r="AS106" i="1" a="1"/>
  <c r="AS107" i="1" a="1"/>
  <c r="AS108" i="1" a="1"/>
  <c r="AS109" i="1" a="1"/>
  <c r="AS110" i="1" a="1"/>
  <c r="AS111" i="1" a="1"/>
  <c r="AS112" i="1" a="1"/>
  <c r="AS113" i="1" a="1"/>
  <c r="AS114" i="1" a="1"/>
  <c r="AS115" i="1" a="1"/>
  <c r="AS116" i="1" a="1"/>
  <c r="AS117" i="1" a="1"/>
  <c r="AS118" i="1" a="1"/>
  <c r="AS119" i="1" a="1"/>
  <c r="AS120" i="1" a="1"/>
  <c r="AS121" i="1" a="1"/>
  <c r="AS122" i="1" a="1"/>
  <c r="AS123" i="1" a="1"/>
  <c r="AS124" i="1" a="1"/>
  <c r="AS125" i="1" a="1"/>
  <c r="AS126" i="1" a="1"/>
  <c r="AS127" i="1" a="1"/>
  <c r="AS128" i="1" a="1"/>
  <c r="AS129" i="1" a="1"/>
  <c r="AS130" i="1" a="1"/>
  <c r="AS131" i="1" a="1"/>
  <c r="AS132" i="1" a="1"/>
  <c r="AS133" i="1" a="1"/>
  <c r="AS134" i="1" a="1"/>
  <c r="AS135" i="1" a="1"/>
  <c r="AS136" i="1" a="1"/>
  <c r="AS137" i="1" a="1"/>
  <c r="AS138" i="1" a="1"/>
  <c r="AS139" i="1" a="1"/>
  <c r="AS140" i="1" a="1"/>
  <c r="AS141" i="1" a="1"/>
  <c r="AS142" i="1" a="1"/>
  <c r="AS143" i="1" a="1"/>
  <c r="AS144" i="1" a="1"/>
  <c r="AS145" i="1" a="1"/>
  <c r="AS146" i="1" a="1"/>
  <c r="AS147" i="1" a="1"/>
  <c r="AS148" i="1" a="1"/>
  <c r="AS149" i="1" a="1"/>
  <c r="AS150" i="1" a="1"/>
  <c r="AS151" i="1" a="1"/>
  <c r="AS152" i="1" a="1"/>
  <c r="AS153" i="1" a="1"/>
  <c r="AS154" i="1" a="1"/>
  <c r="AS155" i="1" a="1"/>
  <c r="AS156" i="1" a="1"/>
  <c r="AS157" i="1" a="1"/>
  <c r="AS158" i="1" a="1"/>
  <c r="AS159" i="1" a="1"/>
  <c r="AS160" i="1" a="1"/>
  <c r="AS161" i="1" a="1"/>
  <c r="AS162" i="1" a="1"/>
  <c r="AS163" i="1" a="1"/>
  <c r="AS164" i="1" a="1"/>
  <c r="AS165" i="1" a="1"/>
  <c r="AS166" i="1" a="1"/>
  <c r="AS167" i="1" a="1"/>
  <c r="AS168" i="1" a="1"/>
  <c r="AS169" i="1" a="1"/>
  <c r="AS170" i="1" a="1"/>
  <c r="AS171" i="1" a="1"/>
  <c r="AS172" i="1" a="1"/>
  <c r="AS173" i="1" a="1"/>
  <c r="AS174" i="1" a="1"/>
  <c r="AS175" i="1" a="1"/>
  <c r="AS176" i="1" a="1"/>
  <c r="AS177" i="1" a="1"/>
  <c r="AS178" i="1" a="1"/>
  <c r="AS179" i="1" a="1"/>
  <c r="AS180" i="1" a="1"/>
  <c r="AS181" i="1" a="1"/>
  <c r="AS182" i="1" a="1"/>
  <c r="AS183" i="1" a="1"/>
  <c r="AS184" i="1" a="1"/>
  <c r="AS185" i="1" a="1"/>
  <c r="AS186" i="1" a="1"/>
  <c r="AS187" i="1" a="1"/>
  <c r="AS188" i="1" a="1"/>
  <c r="AS189" i="1" a="1"/>
  <c r="AS190" i="1" a="1"/>
  <c r="AS191" i="1" a="1"/>
  <c r="AS192" i="1" a="1"/>
  <c r="AS193" i="1" a="1"/>
  <c r="AS194" i="1" a="1"/>
  <c r="AS195" i="1" a="1"/>
  <c r="AS196" i="1" a="1"/>
  <c r="AS197" i="1" a="1"/>
  <c r="AS198" i="1" a="1"/>
  <c r="AS199" i="1" a="1"/>
  <c r="AS200" i="1" a="1"/>
  <c r="AS201" i="1" a="1"/>
  <c r="AS202" i="1" a="1"/>
  <c r="AS203" i="1" a="1"/>
  <c r="AS204" i="1" a="1"/>
  <c r="AS205" i="1" a="1"/>
  <c r="AS206" i="1" a="1"/>
  <c r="AS207" i="1" a="1"/>
  <c r="AS208" i="1" a="1"/>
  <c r="AS209" i="1" a="1"/>
  <c r="AS210" i="1" a="1"/>
  <c r="AS211" i="1" a="1"/>
  <c r="AS212" i="1" a="1"/>
  <c r="AS213" i="1" a="1"/>
  <c r="AS214" i="1" a="1"/>
  <c r="AS215" i="1" a="1"/>
  <c r="AS216" i="1" a="1"/>
  <c r="AS217" i="1" a="1"/>
  <c r="AS218" i="1" a="1"/>
  <c r="AS219" i="1" a="1"/>
  <c r="AS220" i="1" a="1"/>
  <c r="AS221" i="1" a="1"/>
  <c r="AS222" i="1" a="1"/>
  <c r="AS223" i="1" a="1"/>
  <c r="AS224" i="1" a="1"/>
  <c r="AS225" i="1" a="1"/>
  <c r="AS226" i="1" a="1"/>
  <c r="AS227" i="1" a="1"/>
  <c r="AS228" i="1" a="1"/>
  <c r="AS229" i="1" a="1"/>
  <c r="AS230" i="1" a="1"/>
  <c r="AS231" i="1" a="1"/>
  <c r="AS232" i="1" a="1"/>
  <c r="AS233" i="1" a="1"/>
  <c r="AS234" i="1" a="1"/>
  <c r="AS235" i="1" a="1"/>
  <c r="AS236" i="1" a="1"/>
  <c r="AS237" i="1" a="1"/>
  <c r="AS238" i="1" a="1"/>
  <c r="AS239" i="1" a="1"/>
  <c r="AS240" i="1" a="1"/>
  <c r="AS241" i="1" a="1"/>
  <c r="AS242" i="1" a="1"/>
  <c r="AS243" i="1" a="1"/>
  <c r="AS244" i="1" a="1"/>
  <c r="AS245" i="1" a="1"/>
  <c r="AS246" i="1" a="1"/>
  <c r="AS247" i="1" a="1"/>
  <c r="AS248" i="1" a="1"/>
  <c r="AS249" i="1" a="1"/>
  <c r="AS250" i="1" a="1"/>
  <c r="AS251" i="1" a="1"/>
  <c r="AS252" i="1" a="1"/>
  <c r="AS253" i="1" a="1"/>
  <c r="AS254" i="1" a="1"/>
  <c r="AS255" i="1" a="1"/>
  <c r="AS256" i="1" a="1"/>
  <c r="AS257" i="1" a="1"/>
  <c r="AS258" i="1" a="1"/>
  <c r="AS259" i="1" a="1"/>
  <c r="AS260" i="1" a="1"/>
  <c r="AS261" i="1" a="1"/>
  <c r="AS262" i="1" a="1"/>
  <c r="AS263" i="1" a="1"/>
  <c r="AS264" i="1" a="1"/>
  <c r="AS265" i="1" a="1"/>
  <c r="AS266" i="1" a="1"/>
  <c r="AS267" i="1" a="1"/>
  <c r="AS268" i="1" a="1"/>
  <c r="AS269" i="1" a="1"/>
  <c r="AS270" i="1" a="1"/>
  <c r="AS271" i="1" a="1"/>
  <c r="AS272" i="1" a="1"/>
  <c r="AS273" i="1" a="1"/>
  <c r="AS274" i="1" a="1"/>
  <c r="AS275" i="1" a="1"/>
  <c r="AS276" i="1" a="1"/>
  <c r="AS277" i="1" a="1"/>
  <c r="AS278" i="1" a="1"/>
  <c r="AS279" i="1" a="1"/>
  <c r="AS280" i="1" a="1"/>
  <c r="AS281" i="1" a="1"/>
  <c r="AS282" i="1" a="1"/>
  <c r="AS283" i="1" a="1"/>
  <c r="AS284" i="1" a="1"/>
  <c r="AS285" i="1" a="1"/>
  <c r="AS286" i="1" a="1"/>
  <c r="AS287" i="1" a="1"/>
  <c r="AS288" i="1" a="1"/>
  <c r="AS289" i="1" a="1"/>
  <c r="AS290" i="1" a="1"/>
  <c r="AS291" i="1" a="1"/>
  <c r="AS292" i="1" a="1"/>
  <c r="AS293" i="1" a="1"/>
  <c r="AS294" i="1" a="1"/>
  <c r="AS295" i="1" a="1"/>
  <c r="AS296" i="1" a="1"/>
  <c r="AS297" i="1" a="1"/>
  <c r="AS298" i="1" a="1"/>
  <c r="AS299" i="1" a="1"/>
  <c r="AS300" i="1" a="1"/>
  <c r="AS301" i="1" a="1"/>
  <c r="AS302" i="1" a="1"/>
  <c r="AS303" i="1" a="1"/>
  <c r="AS304" i="1" a="1"/>
  <c r="AS305" i="1" a="1"/>
  <c r="AS306" i="1" a="1"/>
  <c r="AS307" i="1" a="1"/>
  <c r="AS308" i="1" a="1"/>
  <c r="AS309" i="1" a="1"/>
  <c r="AS310" i="1" a="1"/>
  <c r="AS311" i="1" a="1"/>
  <c r="AS312" i="1" a="1"/>
  <c r="AS313" i="1" a="1"/>
  <c r="AS314" i="1" a="1"/>
  <c r="AS315" i="1" a="1"/>
  <c r="AS316" i="1" a="1"/>
  <c r="AS317" i="1" a="1"/>
  <c r="AS318" i="1" a="1"/>
  <c r="AS319" i="1" a="1"/>
  <c r="AS320" i="1" a="1"/>
  <c r="AS321" i="1" a="1"/>
  <c r="AS322" i="1" a="1"/>
  <c r="AS323" i="1" a="1"/>
  <c r="AS324" i="1" a="1"/>
  <c r="AS325" i="1" a="1"/>
  <c r="AS326" i="1" a="1"/>
  <c r="AS327" i="1" a="1"/>
  <c r="AS328" i="1" a="1"/>
  <c r="AS329" i="1" a="1"/>
  <c r="AS330" i="1" a="1"/>
  <c r="AS331" i="1" a="1"/>
  <c r="AS332" i="1" a="1"/>
  <c r="AS333" i="1" a="1"/>
  <c r="AS334" i="1" a="1"/>
  <c r="AS335" i="1" a="1"/>
  <c r="AS336" i="1" a="1"/>
  <c r="AS337" i="1" a="1"/>
  <c r="AS338" i="1" a="1"/>
  <c r="AS339" i="1" a="1"/>
  <c r="AS340" i="1" a="1"/>
  <c r="AS341" i="1" a="1"/>
  <c r="AS342" i="1" a="1"/>
  <c r="AS343" i="1" a="1"/>
  <c r="AS344" i="1" a="1"/>
  <c r="AS345" i="1" a="1"/>
  <c r="AS346" i="1" a="1"/>
  <c r="AS347" i="1" a="1"/>
  <c r="AS348" i="1" a="1"/>
  <c r="AS349" i="1" a="1"/>
  <c r="AS350" i="1" a="1"/>
  <c r="AS351" i="1" a="1"/>
  <c r="AS352" i="1" a="1"/>
  <c r="AS353" i="1" a="1"/>
  <c r="AS354" i="1" a="1"/>
  <c r="AS355" i="1" a="1"/>
  <c r="AS356" i="1" a="1"/>
  <c r="AS357" i="1" a="1"/>
  <c r="AS358" i="1" a="1"/>
  <c r="AS359" i="1" a="1"/>
  <c r="AS360" i="1" a="1"/>
  <c r="AS361" i="1" a="1"/>
  <c r="AS362" i="1" a="1"/>
  <c r="AS363" i="1" a="1"/>
  <c r="AS364" i="1" a="1"/>
  <c r="AS365" i="1" a="1"/>
  <c r="AS366" i="1" a="1"/>
  <c r="AS367" i="1" a="1"/>
  <c r="AS368" i="1" a="1"/>
  <c r="AS369" i="1" a="1"/>
  <c r="AS370" i="1" a="1"/>
  <c r="AS371" i="1" a="1"/>
  <c r="AS372" i="1" a="1"/>
  <c r="AS373" i="1" a="1"/>
  <c r="AS374" i="1" a="1"/>
  <c r="AS375" i="1" a="1"/>
  <c r="AS376" i="1" a="1"/>
  <c r="AS377" i="1" a="1"/>
  <c r="AS378" i="1" a="1"/>
  <c r="AS379" i="1" a="1"/>
  <c r="AS380" i="1" a="1"/>
  <c r="AS381" i="1" a="1"/>
  <c r="AS382" i="1" a="1"/>
  <c r="AS383" i="1" a="1"/>
  <c r="AS384" i="1" a="1"/>
  <c r="AS385" i="1" a="1"/>
  <c r="AS386" i="1" a="1"/>
  <c r="AS387" i="1" a="1"/>
  <c r="AS388" i="1" a="1"/>
  <c r="AS389" i="1" a="1"/>
  <c r="AS390" i="1" a="1"/>
  <c r="AS391" i="1" a="1"/>
  <c r="AS392" i="1" a="1"/>
  <c r="AS393" i="1" a="1"/>
  <c r="AS394" i="1" a="1"/>
  <c r="AS395" i="1" a="1"/>
  <c r="AS396" i="1" a="1"/>
  <c r="AS397" i="1" a="1"/>
  <c r="AS398" i="1" a="1"/>
  <c r="AS399" i="1" a="1"/>
  <c r="AS400" i="1" a="1"/>
  <c r="AS401" i="1" a="1"/>
  <c r="AS402" i="1" a="1"/>
  <c r="AS403" i="1" a="1"/>
  <c r="AS404" i="1" a="1"/>
  <c r="AS405" i="1" a="1"/>
  <c r="AS406" i="1" a="1"/>
  <c r="AS407" i="1" a="1"/>
  <c r="AS408" i="1" a="1"/>
  <c r="AS409" i="1" a="1"/>
  <c r="AS410" i="1" a="1"/>
  <c r="AS411" i="1" a="1"/>
  <c r="AS412" i="1" a="1"/>
  <c r="AS413" i="1" a="1"/>
  <c r="AS414" i="1" a="1"/>
  <c r="AS415" i="1" a="1"/>
  <c r="AS416" i="1" a="1"/>
  <c r="AS417" i="1" a="1"/>
  <c r="AS418" i="1" a="1"/>
  <c r="AS419" i="1" a="1"/>
  <c r="AS420" i="1" a="1"/>
  <c r="AS421" i="1" a="1"/>
  <c r="AS422" i="1" a="1"/>
  <c r="AS423" i="1" a="1"/>
  <c r="AS424" i="1" a="1"/>
  <c r="AS425" i="1" a="1"/>
  <c r="AS426" i="1" a="1"/>
  <c r="AS427" i="1" a="1"/>
  <c r="AS428" i="1" a="1"/>
  <c r="AS429" i="1" a="1"/>
  <c r="AS430" i="1" a="1"/>
  <c r="AS431" i="1" a="1"/>
  <c r="AS432" i="1" a="1"/>
  <c r="AS433" i="1" a="1"/>
  <c r="AS434" i="1" a="1"/>
  <c r="AS435" i="1" a="1"/>
  <c r="AS436" i="1" a="1"/>
  <c r="AS437" i="1" a="1"/>
  <c r="AS438" i="1" a="1"/>
  <c r="AS439" i="1" a="1"/>
  <c r="AS440" i="1" a="1"/>
  <c r="AS441" i="1" a="1"/>
  <c r="AS442" i="1" a="1"/>
  <c r="AS443" i="1" a="1"/>
  <c r="AS444" i="1" a="1"/>
  <c r="AS445" i="1" a="1"/>
  <c r="AS446" i="1" a="1"/>
  <c r="AS447" i="1" a="1"/>
  <c r="AS448" i="1" a="1"/>
  <c r="AS449" i="1" a="1"/>
  <c r="AS450" i="1" a="1"/>
  <c r="AS451" i="1" a="1"/>
  <c r="AS452" i="1" a="1"/>
  <c r="AS453" i="1" a="1"/>
  <c r="AS454" i="1" a="1"/>
  <c r="AS455" i="1" a="1"/>
  <c r="AS456" i="1" a="1"/>
  <c r="AS457" i="1" a="1"/>
  <c r="AS458" i="1" a="1"/>
  <c r="AS459" i="1" a="1"/>
  <c r="AS460" i="1" a="1"/>
  <c r="AS461" i="1" a="1"/>
  <c r="AS462" i="1" a="1"/>
  <c r="AS463" i="1" a="1"/>
  <c r="AS464" i="1" a="1"/>
  <c r="AS465" i="1" a="1"/>
  <c r="AS466" i="1" a="1"/>
  <c r="AS467" i="1" a="1"/>
  <c r="AS468" i="1" a="1"/>
  <c r="AS469" i="1" a="1"/>
  <c r="AS470" i="1" a="1"/>
  <c r="AS471" i="1" a="1"/>
  <c r="AS472" i="1" a="1"/>
  <c r="AS473" i="1" a="1"/>
  <c r="AS474" i="1" a="1"/>
  <c r="AS475" i="1" a="1"/>
  <c r="AS476" i="1" a="1"/>
  <c r="AS477" i="1" a="1"/>
  <c r="AS478" i="1" a="1"/>
  <c r="AS479" i="1" a="1"/>
  <c r="AS480" i="1" a="1"/>
  <c r="AS481" i="1" a="1"/>
  <c r="AS482" i="1" a="1"/>
  <c r="AS483" i="1" a="1"/>
  <c r="AS484" i="1" a="1"/>
  <c r="AS485" i="1" a="1"/>
  <c r="AS486" i="1" a="1"/>
  <c r="AS487" i="1" a="1"/>
  <c r="AS488" i="1" a="1"/>
  <c r="AS489" i="1" a="1"/>
  <c r="AS490" i="1" a="1"/>
  <c r="AS491" i="1" a="1"/>
  <c r="AS492" i="1" a="1"/>
  <c r="AS493" i="1" a="1"/>
  <c r="AS494" i="1" a="1"/>
  <c r="AS495" i="1" a="1"/>
  <c r="AS496" i="1" a="1"/>
  <c r="AS497" i="1" a="1"/>
  <c r="AS498" i="1" a="1"/>
  <c r="AS499" i="1" a="1"/>
  <c r="AS500" i="1" a="1"/>
  <c r="AS501" i="1" a="1"/>
  <c r="AS502" i="1" a="1"/>
  <c r="AS503" i="1" a="1"/>
  <c r="AS504" i="1" a="1"/>
  <c r="AS505" i="1" a="1"/>
  <c r="AS506" i="1" a="1"/>
  <c r="AS507" i="1" a="1"/>
  <c r="AS508" i="1" a="1"/>
  <c r="AS509" i="1" a="1"/>
  <c r="AS510" i="1" a="1"/>
  <c r="AS511" i="1" a="1"/>
  <c r="AS512" i="1" a="1"/>
  <c r="AS513" i="1" a="1"/>
  <c r="AS514" i="1" a="1"/>
  <c r="AS515" i="1" a="1"/>
  <c r="AS516" i="1" a="1"/>
  <c r="AS517" i="1" a="1"/>
  <c r="AS518" i="1" a="1"/>
  <c r="AS519" i="1" a="1"/>
  <c r="AS520" i="1" a="1"/>
  <c r="AS521" i="1" a="1"/>
  <c r="AS522" i="1" a="1"/>
  <c r="AS523" i="1" a="1"/>
  <c r="AS524" i="1" a="1"/>
  <c r="AS525" i="1" a="1"/>
  <c r="AS526" i="1" a="1"/>
  <c r="AS527" i="1" a="1"/>
  <c r="AS528" i="1" a="1"/>
  <c r="AS529" i="1" a="1"/>
  <c r="AS530" i="1" a="1"/>
  <c r="AS531" i="1" a="1"/>
  <c r="AS532" i="1" a="1"/>
  <c r="AS533" i="1" a="1"/>
  <c r="AS534" i="1" a="1"/>
  <c r="AS535" i="1" a="1"/>
  <c r="AS536" i="1" a="1"/>
  <c r="AS537" i="1" a="1"/>
  <c r="AS538" i="1" a="1"/>
  <c r="AS539" i="1" a="1"/>
  <c r="AS540" i="1" a="1"/>
  <c r="AS541" i="1" a="1"/>
  <c r="AS542" i="1" a="1"/>
  <c r="AS543" i="1" a="1"/>
  <c r="AS544" i="1" a="1"/>
  <c r="AS545" i="1" a="1"/>
  <c r="AS546" i="1" a="1"/>
  <c r="AS547" i="1" a="1"/>
  <c r="AS548" i="1" a="1"/>
  <c r="AS549" i="1" a="1"/>
  <c r="AS550" i="1" a="1"/>
  <c r="AS551" i="1" a="1"/>
  <c r="AS552" i="1" a="1"/>
  <c r="AS553" i="1" a="1"/>
  <c r="AS554" i="1" a="1"/>
  <c r="AS555" i="1" a="1"/>
  <c r="AS556" i="1" a="1"/>
  <c r="AS557" i="1" a="1"/>
  <c r="AS558" i="1" a="1"/>
  <c r="AS559" i="1" a="1"/>
  <c r="AS560" i="1" a="1"/>
  <c r="AS561" i="1" a="1"/>
  <c r="AS562" i="1" a="1"/>
  <c r="AS563" i="1" a="1"/>
  <c r="AS564" i="1" a="1"/>
  <c r="AS565" i="1" a="1"/>
  <c r="AS566" i="1" a="1"/>
  <c r="AS567" i="1" a="1"/>
  <c r="AS568" i="1" a="1"/>
  <c r="AS569" i="1" a="1"/>
  <c r="AS570" i="1" a="1"/>
  <c r="AS571" i="1" a="1"/>
  <c r="AS572" i="1" a="1"/>
  <c r="AS573" i="1" a="1"/>
  <c r="AS574" i="1" a="1"/>
  <c r="AS575" i="1" a="1"/>
  <c r="AS576" i="1" a="1"/>
  <c r="AS577" i="1" a="1"/>
  <c r="AS578" i="1" a="1"/>
  <c r="AS579" i="1" a="1"/>
  <c r="AS580" i="1" a="1"/>
  <c r="AS581" i="1" a="1"/>
  <c r="AS582" i="1" a="1"/>
  <c r="AS583" i="1" a="1"/>
  <c r="AS584" i="1" a="1"/>
  <c r="AS585" i="1" a="1"/>
  <c r="AS586" i="1" a="1"/>
  <c r="AS587" i="1" a="1"/>
  <c r="AS588" i="1" a="1"/>
  <c r="AS589" i="1" a="1"/>
  <c r="AS590" i="1" a="1"/>
  <c r="AS591" i="1" a="1"/>
  <c r="AS592" i="1" a="1"/>
  <c r="AS593" i="1" a="1"/>
  <c r="AS594" i="1" a="1"/>
  <c r="AS595" i="1" a="1"/>
  <c r="AS596" i="1" a="1"/>
  <c r="AS597" i="1" a="1"/>
  <c r="AS598" i="1" a="1"/>
  <c r="AS599" i="1" a="1"/>
  <c r="AS600" i="1" a="1"/>
  <c r="AS601" i="1" a="1"/>
  <c r="AS602" i="1" a="1"/>
  <c r="AS603" i="1" a="1"/>
  <c r="AS604" i="1" a="1"/>
  <c r="AS605" i="1" a="1"/>
  <c r="AS606" i="1" a="1"/>
  <c r="AS607" i="1" a="1"/>
  <c r="AS608" i="1" a="1"/>
  <c r="AS609" i="1" a="1"/>
  <c r="AS610" i="1" a="1"/>
  <c r="AS611" i="1" a="1"/>
  <c r="AS612" i="1" a="1"/>
  <c r="AS613" i="1" a="1"/>
  <c r="AS614" i="1" a="1"/>
  <c r="AS615" i="1" a="1"/>
  <c r="AS616" i="1" a="1"/>
  <c r="AS617" i="1" a="1"/>
  <c r="AS618" i="1" a="1"/>
  <c r="AS619" i="1" a="1"/>
  <c r="AS620" i="1" a="1"/>
  <c r="AS621" i="1" a="1"/>
  <c r="AS622" i="1" a="1"/>
  <c r="AS623" i="1" a="1"/>
  <c r="AS624" i="1" a="1"/>
  <c r="AS625" i="1" a="1"/>
  <c r="AS626" i="1" a="1"/>
  <c r="AS627" i="1" a="1"/>
  <c r="AS628" i="1" a="1"/>
  <c r="AS629" i="1" a="1"/>
  <c r="AS630" i="1" a="1"/>
  <c r="AS631" i="1" a="1"/>
  <c r="AS632" i="1" a="1"/>
  <c r="AS633" i="1" a="1"/>
  <c r="AS634" i="1" a="1"/>
  <c r="AS635" i="1" a="1"/>
  <c r="AS636" i="1" a="1"/>
  <c r="AS637" i="1" a="1"/>
  <c r="AS638" i="1" a="1"/>
  <c r="AS639" i="1" a="1"/>
  <c r="AS640" i="1" a="1"/>
  <c r="AS641" i="1" a="1"/>
  <c r="AS642" i="1" a="1"/>
  <c r="AS643" i="1" a="1"/>
  <c r="AS644" i="1" a="1"/>
  <c r="AS645" i="1" a="1"/>
  <c r="AS646" i="1" a="1"/>
  <c r="AS647" i="1" a="1"/>
  <c r="AS648" i="1" a="1"/>
  <c r="AS649" i="1" a="1"/>
  <c r="AS650" i="1" a="1"/>
  <c r="AS651" i="1" a="1"/>
  <c r="AS652" i="1" a="1"/>
  <c r="AS653" i="1" a="1"/>
  <c r="AS654" i="1" a="1"/>
  <c r="AS655" i="1" a="1"/>
  <c r="AS656" i="1" a="1"/>
  <c r="AS657" i="1" a="1"/>
  <c r="AS658" i="1" a="1"/>
  <c r="AS659" i="1" a="1"/>
  <c r="AS660" i="1" a="1"/>
  <c r="AS661" i="1" a="1"/>
  <c r="AS662" i="1" a="1"/>
  <c r="AS663" i="1" a="1"/>
  <c r="AS664" i="1" a="1"/>
  <c r="AS665" i="1" a="1"/>
  <c r="AS666" i="1" a="1"/>
  <c r="AS667" i="1" a="1"/>
  <c r="AS668" i="1" a="1"/>
  <c r="AS669" i="1" a="1"/>
  <c r="AS670" i="1" a="1"/>
  <c r="AS671" i="1" a="1"/>
  <c r="AS672" i="1" a="1"/>
  <c r="AS673" i="1" a="1"/>
  <c r="AS674" i="1" a="1"/>
  <c r="AS675" i="1" a="1"/>
  <c r="AS676" i="1" a="1"/>
  <c r="AS677" i="1" a="1"/>
  <c r="AS678" i="1" a="1"/>
  <c r="AS679" i="1" a="1"/>
  <c r="AS680" i="1" a="1"/>
  <c r="AS681" i="1" a="1"/>
  <c r="AS682" i="1" a="1"/>
  <c r="AS683" i="1" a="1"/>
  <c r="AS684" i="1" a="1"/>
  <c r="AS685" i="1" a="1"/>
  <c r="AS686" i="1" a="1"/>
  <c r="AS687" i="1" a="1"/>
  <c r="AS688" i="1" a="1"/>
  <c r="AS689" i="1" a="1"/>
  <c r="AS690" i="1" a="1"/>
  <c r="AS691" i="1" a="1"/>
  <c r="AS692" i="1" a="1"/>
  <c r="AS693" i="1" a="1"/>
  <c r="AS694" i="1" a="1"/>
  <c r="AS695" i="1" a="1"/>
  <c r="AS696" i="1" a="1"/>
  <c r="AS697" i="1" a="1"/>
  <c r="AS698" i="1" a="1"/>
  <c r="AS699" i="1" a="1"/>
  <c r="AS700" i="1" a="1"/>
  <c r="AS701" i="1" a="1"/>
  <c r="AS702" i="1" a="1"/>
  <c r="AS703" i="1" a="1"/>
  <c r="AS704" i="1" a="1"/>
  <c r="AS705" i="1" a="1"/>
  <c r="AS706" i="1" a="1"/>
  <c r="AS707" i="1" a="1"/>
  <c r="AS708" i="1" a="1"/>
  <c r="AS709" i="1" a="1"/>
  <c r="AS710" i="1" a="1"/>
  <c r="AS711" i="1" a="1"/>
  <c r="AS712" i="1" a="1"/>
  <c r="AS713" i="1" a="1"/>
  <c r="AS714" i="1" a="1"/>
  <c r="AS715" i="1" a="1"/>
  <c r="AS716" i="1" a="1"/>
  <c r="AS717" i="1" a="1"/>
  <c r="AS718" i="1" a="1"/>
  <c r="AS719" i="1" a="1"/>
  <c r="AS720" i="1" a="1"/>
  <c r="AS721" i="1" a="1"/>
  <c r="AS722" i="1" a="1"/>
  <c r="AS723" i="1" a="1"/>
  <c r="AS724" i="1" a="1"/>
  <c r="AS725" i="1" a="1"/>
  <c r="AS726" i="1" a="1"/>
  <c r="AS727" i="1" a="1"/>
  <c r="AS728" i="1" a="1"/>
  <c r="AS729" i="1" a="1"/>
  <c r="AS730" i="1" a="1"/>
  <c r="AS731" i="1" a="1"/>
  <c r="AS732" i="1" a="1"/>
  <c r="AS733" i="1" a="1"/>
  <c r="AS734" i="1" a="1"/>
  <c r="AS735" i="1" a="1"/>
  <c r="AS736" i="1" a="1"/>
  <c r="AS737" i="1" a="1"/>
  <c r="AS738" i="1" a="1"/>
  <c r="AS739" i="1" a="1"/>
  <c r="AS740" i="1" a="1"/>
  <c r="AS741" i="1" a="1"/>
  <c r="AS742" i="1" a="1"/>
  <c r="AS743" i="1" a="1"/>
  <c r="AS744" i="1" a="1"/>
  <c r="AS745" i="1" a="1"/>
  <c r="AS746" i="1" a="1"/>
  <c r="AS747" i="1" a="1"/>
  <c r="AS748" i="1" a="1"/>
  <c r="AS749" i="1" a="1"/>
  <c r="AS750" i="1" a="1"/>
  <c r="AS751" i="1" a="1"/>
  <c r="AS752" i="1" a="1"/>
  <c r="AS753" i="1" a="1"/>
  <c r="AS754" i="1" a="1"/>
  <c r="AS755" i="1" a="1"/>
  <c r="AS756" i="1" a="1"/>
  <c r="AS757" i="1" a="1"/>
  <c r="AS758" i="1" a="1"/>
  <c r="AS759" i="1" a="1"/>
  <c r="AS760" i="1" a="1"/>
  <c r="AS761" i="1" a="1"/>
  <c r="AS762" i="1" a="1"/>
  <c r="AS763" i="1" a="1"/>
  <c r="AS764" i="1" a="1"/>
  <c r="AS765" i="1" a="1"/>
  <c r="AS766" i="1" a="1"/>
  <c r="AS767" i="1" a="1"/>
  <c r="AS768" i="1" a="1"/>
  <c r="AS769" i="1" a="1"/>
  <c r="AS770" i="1" a="1"/>
  <c r="AS771" i="1" a="1"/>
  <c r="AS772" i="1" a="1"/>
  <c r="AS773" i="1" a="1"/>
  <c r="AS774" i="1" a="1"/>
  <c r="AS775" i="1" a="1"/>
  <c r="AS776" i="1" a="1"/>
  <c r="AS777" i="1" a="1"/>
  <c r="AS778" i="1" a="1"/>
  <c r="AS779" i="1" a="1"/>
  <c r="AS780" i="1" a="1"/>
  <c r="AS781" i="1" a="1"/>
  <c r="AS782" i="1" a="1"/>
  <c r="AS783" i="1" a="1"/>
  <c r="AS784" i="1" a="1"/>
  <c r="AS785" i="1" a="1"/>
  <c r="AS786" i="1" a="1"/>
  <c r="AS787" i="1" a="1"/>
  <c r="AS788" i="1" a="1"/>
  <c r="AS789" i="1" a="1"/>
  <c r="AS790" i="1" a="1"/>
  <c r="AS791" i="1" a="1"/>
  <c r="AS792" i="1" a="1"/>
  <c r="AS793" i="1" a="1"/>
  <c r="AS794" i="1" a="1"/>
  <c r="AS795" i="1" a="1"/>
  <c r="AS796" i="1" a="1"/>
  <c r="AS797" i="1" a="1"/>
  <c r="AS798" i="1" a="1"/>
  <c r="AS799" i="1" a="1"/>
  <c r="AS800" i="1" a="1"/>
  <c r="AS801" i="1" a="1"/>
  <c r="AS802" i="1" a="1"/>
  <c r="AS803" i="1" a="1"/>
  <c r="AS804" i="1" a="1"/>
  <c r="AS805" i="1" a="1"/>
  <c r="AS806" i="1" a="1"/>
  <c r="AS807" i="1" a="1"/>
  <c r="AS808" i="1" a="1"/>
  <c r="AS809" i="1" a="1"/>
  <c r="AS810" i="1" a="1"/>
  <c r="AS811" i="1" a="1"/>
  <c r="AS812" i="1" a="1"/>
  <c r="AS813" i="1" a="1"/>
  <c r="AS814" i="1" a="1"/>
  <c r="AS815" i="1" a="1"/>
  <c r="AS816" i="1" a="1"/>
  <c r="AS817" i="1" a="1"/>
  <c r="AS818" i="1" a="1"/>
  <c r="AS819" i="1" a="1"/>
  <c r="AS820" i="1" a="1"/>
  <c r="AS821" i="1" a="1"/>
  <c r="AS822" i="1" a="1"/>
  <c r="AS823" i="1" a="1"/>
  <c r="AS824" i="1" a="1"/>
  <c r="AS825" i="1" a="1"/>
  <c r="AS826" i="1" a="1"/>
  <c r="AS827" i="1" a="1"/>
  <c r="AS828" i="1" a="1"/>
  <c r="AS829" i="1" a="1"/>
  <c r="AS830" i="1" a="1"/>
  <c r="AS831" i="1" a="1"/>
  <c r="AS832" i="1" a="1"/>
  <c r="AS833" i="1" a="1"/>
  <c r="AS834" i="1" a="1"/>
  <c r="AS835" i="1" a="1"/>
  <c r="AS836" i="1" a="1"/>
  <c r="AS837" i="1" a="1"/>
  <c r="AS838" i="1" a="1"/>
  <c r="AS839" i="1" a="1"/>
  <c r="AS840" i="1" a="1"/>
  <c r="AS841" i="1" a="1"/>
  <c r="AS842" i="1" a="1"/>
  <c r="AS843" i="1" a="1"/>
  <c r="AS844" i="1" a="1"/>
  <c r="AS845" i="1" a="1"/>
  <c r="AS846" i="1" a="1"/>
  <c r="AS847" i="1" a="1"/>
  <c r="AS848" i="1" a="1"/>
  <c r="AS849" i="1" a="1"/>
  <c r="AS850" i="1" a="1"/>
  <c r="AS851" i="1" a="1"/>
  <c r="AS852" i="1" a="1"/>
  <c r="AS853" i="1" a="1"/>
  <c r="AS854" i="1" a="1"/>
  <c r="AS855" i="1" a="1"/>
  <c r="AS856" i="1" a="1"/>
  <c r="AS857" i="1" a="1"/>
  <c r="AS858" i="1" a="1"/>
  <c r="AS859" i="1" a="1"/>
  <c r="AS860" i="1" a="1"/>
  <c r="AS861" i="1" a="1"/>
  <c r="AS862" i="1" a="1"/>
  <c r="AS863" i="1" a="1"/>
  <c r="AS864" i="1" a="1"/>
  <c r="AS865" i="1" a="1"/>
  <c r="AS866" i="1" a="1"/>
  <c r="AS867" i="1" a="1"/>
  <c r="AS868" i="1" a="1"/>
  <c r="AS869" i="1" a="1"/>
  <c r="AS870" i="1" a="1"/>
  <c r="AS871" i="1" a="1"/>
  <c r="AS872" i="1" a="1"/>
  <c r="AS873" i="1" a="1"/>
  <c r="AS874" i="1" a="1"/>
  <c r="AS875" i="1" a="1"/>
  <c r="AS876" i="1" a="1"/>
  <c r="AS877" i="1" a="1"/>
  <c r="AS878" i="1" a="1"/>
  <c r="AS879" i="1" a="1"/>
  <c r="AS880" i="1" a="1"/>
  <c r="AS881" i="1" a="1"/>
  <c r="AS882" i="1" a="1"/>
  <c r="AS883" i="1" a="1"/>
  <c r="AS884" i="1" a="1"/>
  <c r="AS885" i="1" a="1"/>
  <c r="AS886" i="1" a="1"/>
  <c r="AS887" i="1" a="1"/>
  <c r="AS888" i="1" a="1"/>
  <c r="AS889" i="1" a="1"/>
  <c r="AS890" i="1" a="1"/>
  <c r="AS891" i="1" a="1"/>
  <c r="AS892" i="1" a="1"/>
  <c r="AS893" i="1" a="1"/>
  <c r="AS894" i="1" a="1"/>
  <c r="AS895" i="1" a="1"/>
  <c r="AS896" i="1" a="1"/>
  <c r="AS897" i="1" a="1"/>
  <c r="AS898" i="1" a="1"/>
  <c r="AS899" i="1" a="1"/>
  <c r="AS900" i="1" a="1"/>
  <c r="AS901" i="1" a="1"/>
  <c r="AS902" i="1" a="1"/>
  <c r="AS903" i="1" a="1"/>
  <c r="AS904" i="1" a="1"/>
  <c r="AS905" i="1" a="1"/>
  <c r="AS906" i="1" a="1"/>
  <c r="AS907" i="1" a="1"/>
  <c r="AS908" i="1" a="1"/>
  <c r="AS909" i="1" a="1"/>
  <c r="AS910" i="1" a="1"/>
  <c r="AS911" i="1" a="1"/>
  <c r="AS912" i="1" a="1"/>
  <c r="AS913" i="1" a="1"/>
  <c r="AS914" i="1" a="1"/>
  <c r="AS915" i="1" a="1"/>
  <c r="AS916" i="1" a="1"/>
  <c r="AS917" i="1" a="1"/>
  <c r="AS918" i="1" a="1"/>
  <c r="AS919" i="1" a="1"/>
  <c r="AS920" i="1" a="1"/>
  <c r="AS921" i="1" a="1"/>
  <c r="AS922" i="1" a="1"/>
  <c r="AS923" i="1" a="1"/>
  <c r="AS924" i="1" a="1"/>
  <c r="AS925" i="1" a="1"/>
  <c r="AS926" i="1" a="1"/>
  <c r="AS927" i="1" a="1"/>
  <c r="AS928" i="1" a="1"/>
  <c r="AS929" i="1" a="1"/>
  <c r="AS930" i="1" a="1"/>
  <c r="AS931" i="1" a="1"/>
  <c r="AS932" i="1" a="1"/>
  <c r="AS933" i="1" a="1"/>
  <c r="AS934" i="1" a="1"/>
  <c r="AS935" i="1" a="1"/>
  <c r="AS936" i="1" a="1"/>
  <c r="AS937" i="1" a="1"/>
  <c r="AS938" i="1" a="1"/>
  <c r="AS939" i="1" a="1"/>
  <c r="AS940" i="1" a="1"/>
  <c r="AS941" i="1" a="1"/>
  <c r="AS942" i="1" a="1"/>
  <c r="AS943" i="1" a="1"/>
  <c r="AS944" i="1" a="1"/>
  <c r="AS945" i="1" a="1"/>
  <c r="AS946" i="1" a="1"/>
  <c r="AS947" i="1" a="1"/>
  <c r="AS948" i="1" a="1"/>
  <c r="AS949" i="1" a="1"/>
  <c r="AS950" i="1" a="1"/>
  <c r="AS951" i="1" a="1"/>
  <c r="AS952" i="1" a="1"/>
  <c r="AS953" i="1" a="1"/>
  <c r="AS954" i="1" a="1"/>
  <c r="AS955" i="1" a="1"/>
  <c r="AS956" i="1" a="1"/>
  <c r="AS957" i="1" a="1"/>
  <c r="AS958" i="1" a="1"/>
  <c r="AS959" i="1" a="1"/>
  <c r="AS960" i="1" a="1"/>
  <c r="AS961" i="1" a="1"/>
  <c r="AS962" i="1" a="1"/>
  <c r="AS963" i="1" a="1"/>
  <c r="AS964" i="1" a="1"/>
  <c r="AS965" i="1" a="1"/>
  <c r="AS966" i="1" a="1"/>
  <c r="AS967" i="1" a="1"/>
  <c r="AS968" i="1" a="1"/>
  <c r="AS969" i="1" a="1"/>
  <c r="AS970" i="1" a="1"/>
  <c r="AS971" i="1" a="1"/>
  <c r="AS972" i="1" a="1"/>
  <c r="AS973" i="1" a="1"/>
  <c r="AS974" i="1" a="1"/>
  <c r="AS975" i="1" a="1"/>
  <c r="AS976" i="1" a="1"/>
  <c r="AS977" i="1" a="1"/>
  <c r="AS978" i="1" a="1"/>
  <c r="AS979" i="1" a="1"/>
  <c r="AS980" i="1" a="1"/>
  <c r="AS981" i="1" a="1"/>
  <c r="AS982" i="1" a="1"/>
  <c r="AS983" i="1" a="1"/>
  <c r="AS984" i="1" a="1"/>
  <c r="AS985" i="1" a="1"/>
  <c r="AS986" i="1" a="1"/>
  <c r="AS987" i="1" a="1"/>
  <c r="AS988" i="1" a="1"/>
  <c r="AS989" i="1" a="1"/>
  <c r="AS990" i="1" a="1"/>
  <c r="AS991" i="1" a="1"/>
  <c r="AS992" i="1" a="1"/>
  <c r="AS993" i="1" a="1"/>
  <c r="AS994" i="1" a="1"/>
  <c r="AS995" i="1" a="1"/>
  <c r="AS996" i="1" a="1"/>
  <c r="AS997" i="1" a="1"/>
  <c r="AS998" i="1" a="1"/>
  <c r="AS999" i="1" a="1"/>
  <c r="AS1000" i="1" a="1"/>
  <c r="AS1001" i="1" a="1"/>
  <c r="AS1002" i="1" a="1"/>
  <c r="AS1003" i="1" a="1"/>
  <c r="AS1004" i="1" a="1"/>
  <c r="AS1005" i="1" a="1"/>
  <c r="AS1006" i="1" a="1"/>
  <c r="AS1007" i="1" a="1"/>
  <c r="AS1008" i="1" a="1"/>
  <c r="AS1009" i="1" a="1"/>
  <c r="AS1010" i="1" a="1"/>
  <c r="AS1011" i="1" a="1"/>
  <c r="AS1012" i="1" a="1"/>
  <c r="AS1013" i="1" a="1"/>
  <c r="AS1014" i="1" a="1"/>
  <c r="AS1015" i="1" a="1"/>
  <c r="AS1016" i="1" a="1"/>
  <c r="AS1017" i="1" a="1"/>
  <c r="AS1018" i="1" a="1"/>
  <c r="AS1019" i="1" a="1"/>
  <c r="AS1020" i="1" a="1"/>
  <c r="AS1021" i="1" a="1"/>
  <c r="AS1022" i="1" a="1"/>
  <c r="AS1023" i="1" a="1"/>
  <c r="AS1024" i="1" a="1"/>
  <c r="AS1025" i="1" a="1"/>
  <c r="AS1026" i="1" a="1"/>
  <c r="AS1027" i="1" a="1"/>
  <c r="AS1028" i="1" a="1"/>
  <c r="AS1029" i="1" a="1"/>
  <c r="AS1030" i="1" a="1"/>
  <c r="AS1031" i="1" a="1"/>
  <c r="AS1032" i="1" a="1"/>
  <c r="AS1033" i="1" a="1"/>
  <c r="AS1034" i="1" a="1"/>
  <c r="AS1035" i="1" a="1"/>
  <c r="AS1036" i="1" a="1"/>
  <c r="AS1037" i="1" a="1"/>
  <c r="AS1038" i="1" a="1"/>
  <c r="AS1039" i="1" a="1"/>
  <c r="AS1040" i="1" a="1"/>
  <c r="AS1041" i="1" a="1"/>
  <c r="AS1042" i="1" a="1"/>
  <c r="AS1043" i="1" a="1"/>
  <c r="AS1044" i="1" a="1"/>
  <c r="AS1045" i="1" a="1"/>
  <c r="AS1046" i="1" a="1"/>
  <c r="AS1047" i="1" a="1"/>
  <c r="AS1048" i="1" a="1"/>
  <c r="AS1049" i="1" a="1"/>
  <c r="AS1050" i="1" a="1"/>
  <c r="AS1051" i="1" a="1"/>
  <c r="AS1052" i="1" a="1"/>
  <c r="AS1053" i="1" a="1"/>
  <c r="AS1054" i="1" a="1"/>
  <c r="AS1055" i="1" a="1"/>
  <c r="AS1056" i="1" a="1"/>
  <c r="AS1057" i="1" a="1"/>
  <c r="AS1058" i="1" a="1"/>
  <c r="AS1059" i="1" a="1"/>
  <c r="AS1060" i="1" a="1"/>
  <c r="AS1061" i="1" a="1"/>
  <c r="AS1062" i="1" a="1"/>
  <c r="AS1063" i="1" a="1"/>
  <c r="AS1064" i="1" a="1"/>
  <c r="AS1065" i="1" a="1"/>
  <c r="AS1066" i="1" a="1"/>
  <c r="AS1067" i="1" a="1"/>
  <c r="AS1068" i="1" a="1"/>
  <c r="AS1069" i="1" a="1"/>
  <c r="AS1070" i="1" a="1"/>
  <c r="AS1071" i="1" a="1"/>
  <c r="AS1072" i="1" a="1"/>
  <c r="AS1073" i="1" a="1"/>
  <c r="AS1074" i="1" a="1"/>
  <c r="AS1075" i="1" a="1"/>
  <c r="AS1076" i="1" a="1"/>
  <c r="AS1077" i="1" a="1"/>
  <c r="AS1078" i="1" a="1"/>
  <c r="AS1079" i="1" a="1"/>
  <c r="AS1080" i="1" a="1"/>
  <c r="AS1081" i="1" a="1"/>
  <c r="AS1082" i="1" a="1"/>
  <c r="AS1083" i="1" a="1"/>
  <c r="AS1084" i="1" a="1"/>
  <c r="AS1085" i="1" a="1"/>
  <c r="AS1086" i="1" a="1"/>
  <c r="AS1087" i="1" a="1"/>
  <c r="AS1088" i="1" a="1"/>
  <c r="AS1089" i="1" a="1"/>
  <c r="AS1090" i="1" a="1"/>
  <c r="AS1091" i="1" a="1"/>
  <c r="AS1092" i="1" a="1"/>
  <c r="AS1093" i="1" a="1"/>
  <c r="AS1094" i="1" a="1"/>
  <c r="AS1095" i="1" a="1"/>
  <c r="AS1096" i="1" a="1"/>
  <c r="AS1097" i="1" a="1"/>
  <c r="AS1098" i="1" a="1"/>
  <c r="AS1099" i="1" a="1"/>
  <c r="AS1100" i="1" a="1"/>
  <c r="AS1101" i="1" a="1"/>
  <c r="AS1102" i="1" a="1"/>
  <c r="AS1103" i="1" a="1"/>
  <c r="AS1104" i="1" a="1"/>
  <c r="AS1105" i="1" a="1"/>
  <c r="AS1106" i="1" a="1"/>
  <c r="AS1107" i="1" a="1"/>
  <c r="AS1108" i="1" a="1"/>
  <c r="AS1109" i="1" a="1"/>
  <c r="AS1110" i="1" a="1"/>
  <c r="AS1111" i="1" a="1"/>
  <c r="AS1112" i="1" a="1"/>
  <c r="AS1113" i="1" a="1"/>
  <c r="AS1114" i="1" a="1"/>
  <c r="AS1115" i="1" a="1"/>
  <c r="AS1116" i="1" a="1"/>
  <c r="AS1117" i="1" a="1"/>
  <c r="AS1118" i="1" a="1"/>
  <c r="AS1119" i="1" a="1"/>
  <c r="AS1120" i="1" a="1"/>
  <c r="AS1121" i="1" a="1"/>
  <c r="AS1122" i="1" a="1"/>
  <c r="AS1123" i="1" a="1"/>
  <c r="AS1124" i="1" a="1"/>
  <c r="AS1125" i="1" a="1"/>
  <c r="AS1126" i="1" a="1"/>
  <c r="AS1127" i="1" a="1"/>
  <c r="AS1128" i="1" a="1"/>
  <c r="AS1129" i="1" a="1"/>
  <c r="AS1130" i="1" a="1"/>
  <c r="AS1131" i="1" a="1"/>
  <c r="AS1132" i="1" a="1"/>
  <c r="AS1133" i="1" a="1"/>
  <c r="AS1134" i="1" a="1"/>
  <c r="AS1135" i="1" a="1"/>
  <c r="AS1136" i="1" a="1"/>
  <c r="AS1137" i="1" a="1"/>
  <c r="AS1138" i="1" a="1"/>
  <c r="AS1139" i="1" a="1"/>
  <c r="AS1140" i="1" a="1"/>
  <c r="AS1141" i="1" a="1"/>
  <c r="AS1142" i="1" a="1"/>
  <c r="AS1143" i="1" a="1"/>
  <c r="AS1144" i="1" a="1"/>
  <c r="AS1145" i="1" a="1"/>
  <c r="AS1146" i="1" a="1"/>
  <c r="AS1147" i="1" a="1"/>
  <c r="AS1148" i="1" a="1"/>
  <c r="AS1149" i="1" a="1"/>
  <c r="AS1150" i="1" a="1"/>
  <c r="AS1151" i="1" a="1"/>
  <c r="AS1152" i="1" a="1"/>
  <c r="AS1153" i="1" a="1"/>
  <c r="AS1154" i="1" a="1"/>
  <c r="AS1155" i="1" a="1"/>
  <c r="AS1156" i="1" a="1"/>
  <c r="AS1157" i="1" a="1"/>
  <c r="AS1158" i="1" a="1"/>
  <c r="AS1159" i="1" a="1"/>
  <c r="AS1160" i="1" a="1"/>
  <c r="AS1161" i="1" a="1"/>
  <c r="AS1162" i="1" a="1"/>
  <c r="AS1163" i="1" a="1"/>
  <c r="AS1164" i="1" a="1"/>
  <c r="AS1165" i="1" a="1"/>
  <c r="AS1166" i="1" a="1"/>
  <c r="AS1167" i="1" a="1"/>
  <c r="AS1168" i="1" a="1"/>
  <c r="AS1169" i="1" a="1"/>
  <c r="AS1170" i="1" a="1"/>
  <c r="AS1171" i="1" a="1"/>
  <c r="AS1172" i="1" a="1"/>
  <c r="AS1173" i="1" a="1"/>
  <c r="AS1174" i="1" a="1"/>
  <c r="AS1175" i="1" a="1"/>
  <c r="AS1176" i="1" a="1"/>
  <c r="AS1177" i="1" a="1"/>
  <c r="AS1178" i="1" a="1"/>
  <c r="AS1179" i="1" a="1"/>
  <c r="AS1180" i="1" a="1"/>
  <c r="AS1181" i="1" a="1"/>
  <c r="AS1182" i="1" a="1"/>
  <c r="AS1183" i="1" a="1"/>
  <c r="AS1184" i="1" a="1"/>
  <c r="AS1185" i="1" a="1"/>
  <c r="AS1186" i="1" a="1"/>
  <c r="AS1187" i="1" a="1"/>
  <c r="AS1188" i="1" a="1"/>
  <c r="AS1189" i="1" a="1"/>
  <c r="AS1190" i="1" a="1"/>
  <c r="AS1191" i="1" a="1"/>
  <c r="AS1192" i="1" a="1"/>
  <c r="AS1193" i="1" a="1"/>
  <c r="AS1194" i="1" a="1"/>
  <c r="AS1195" i="1" a="1"/>
  <c r="AS1196" i="1" a="1"/>
  <c r="AS1197" i="1" a="1"/>
  <c r="AS1198" i="1" a="1"/>
  <c r="AS1199" i="1" a="1"/>
  <c r="AS1200" i="1" a="1"/>
  <c r="AS1201" i="1" a="1"/>
  <c r="AS1202" i="1" a="1"/>
  <c r="AS1203" i="1" a="1"/>
  <c r="AS1204" i="1" a="1"/>
  <c r="AS1205" i="1" a="1"/>
  <c r="AS1206" i="1" a="1"/>
  <c r="AS1207" i="1" a="1"/>
  <c r="AS1208" i="1" a="1"/>
  <c r="AS1209" i="1" a="1"/>
  <c r="AS1210" i="1" a="1"/>
  <c r="AS1211" i="1" a="1"/>
  <c r="AS1212" i="1" a="1"/>
  <c r="AS1213" i="1" a="1"/>
  <c r="AS1214" i="1" a="1"/>
  <c r="AS1215" i="1" a="1"/>
  <c r="AS1216" i="1" a="1"/>
  <c r="AS1217" i="1" a="1"/>
  <c r="AS1218" i="1" a="1"/>
  <c r="AS1219" i="1" a="1"/>
  <c r="AS1220" i="1" a="1"/>
  <c r="AS1221" i="1" a="1"/>
  <c r="AS1222" i="1" a="1"/>
  <c r="AS1223" i="1" a="1"/>
  <c r="AS1224" i="1" a="1"/>
  <c r="AS1225" i="1" a="1"/>
  <c r="AS1226" i="1" a="1"/>
  <c r="AS1227" i="1" a="1"/>
  <c r="AS1228" i="1" a="1"/>
  <c r="AS1229" i="1" a="1"/>
  <c r="AS1230" i="1" a="1"/>
  <c r="AS1231" i="1" a="1"/>
  <c r="AS1232" i="1" a="1"/>
  <c r="AS1233" i="1" a="1"/>
  <c r="AS1234" i="1" a="1"/>
  <c r="AS1235" i="1" a="1"/>
  <c r="AS1236" i="1" a="1"/>
  <c r="AS1237" i="1" a="1"/>
  <c r="AS1238" i="1" a="1"/>
  <c r="AS1239" i="1" a="1"/>
  <c r="AS1240" i="1" a="1"/>
  <c r="AS1241" i="1" a="1"/>
  <c r="AS1242" i="1" a="1"/>
  <c r="AS1243" i="1" a="1"/>
  <c r="AS1244" i="1" a="1"/>
  <c r="AS1245" i="1" a="1"/>
  <c r="AS1246" i="1" a="1"/>
  <c r="AS1247" i="1" a="1"/>
  <c r="AS1248" i="1" a="1"/>
  <c r="AS1249" i="1" a="1"/>
  <c r="AS1250" i="1" a="1"/>
  <c r="AS1251" i="1" a="1"/>
  <c r="AS1252" i="1" a="1"/>
  <c r="AS1253" i="1" a="1"/>
  <c r="AS1254" i="1" a="1"/>
  <c r="AS1255" i="1" a="1"/>
  <c r="AS1256" i="1" a="1"/>
  <c r="AS1257" i="1" a="1"/>
  <c r="AS1258" i="1" a="1"/>
  <c r="AS1259" i="1" a="1"/>
  <c r="AS1260" i="1" a="1"/>
  <c r="AS1261" i="1" a="1"/>
  <c r="AS1262" i="1" a="1"/>
  <c r="AS1263" i="1" a="1"/>
  <c r="AS1264" i="1" a="1"/>
  <c r="AS1265" i="1" a="1"/>
  <c r="AS1266" i="1" a="1"/>
  <c r="AS1267" i="1" a="1"/>
  <c r="AS1268" i="1" a="1"/>
  <c r="AS1269" i="1" a="1"/>
  <c r="AS1270" i="1" a="1"/>
  <c r="AS1271" i="1" a="1"/>
  <c r="AS1272" i="1" a="1"/>
  <c r="AS1273" i="1" a="1"/>
  <c r="AS1274" i="1" a="1"/>
  <c r="AS1275" i="1" a="1"/>
  <c r="AS1276" i="1" a="1"/>
  <c r="AS1277" i="1" a="1"/>
  <c r="AS1278" i="1" a="1"/>
  <c r="AS1279" i="1" a="1"/>
  <c r="AS1280" i="1" a="1"/>
  <c r="AS1281" i="1" a="1"/>
  <c r="AS1282" i="1" a="1"/>
  <c r="AS1283" i="1" a="1"/>
  <c r="AS1284" i="1" a="1"/>
  <c r="AS1285" i="1" a="1"/>
  <c r="AS1286" i="1" a="1"/>
  <c r="AS1287" i="1" a="1"/>
  <c r="AS1288" i="1" a="1"/>
  <c r="AS1289" i="1" a="1"/>
  <c r="AS1290" i="1" a="1"/>
  <c r="AS1291" i="1" a="1"/>
  <c r="AS1292" i="1" a="1"/>
  <c r="AS1293" i="1" a="1"/>
  <c r="AS1294" i="1" a="1"/>
  <c r="AS1295" i="1" a="1"/>
  <c r="AS1296" i="1" a="1"/>
  <c r="AS1297" i="1" a="1"/>
  <c r="AS1298" i="1" a="1"/>
  <c r="AS1299" i="1" a="1"/>
  <c r="AS1300" i="1" a="1"/>
  <c r="AS1301" i="1" a="1"/>
  <c r="AS1302" i="1" a="1"/>
  <c r="AS1303" i="1" a="1"/>
  <c r="AS1304" i="1" a="1"/>
  <c r="AS1305" i="1" a="1"/>
  <c r="AS1306" i="1" a="1"/>
  <c r="AS1307" i="1" a="1"/>
  <c r="AS1308" i="1" a="1"/>
  <c r="AS1309" i="1" a="1"/>
  <c r="AS1310" i="1" a="1"/>
  <c r="AS1311" i="1" a="1"/>
  <c r="AS1312" i="1" a="1"/>
  <c r="AS1313" i="1" a="1"/>
  <c r="AS1314" i="1" a="1"/>
  <c r="AS1315" i="1" a="1"/>
  <c r="AS1316" i="1" a="1"/>
  <c r="AS1317" i="1" a="1"/>
  <c r="AS1318" i="1" a="1"/>
  <c r="AS1319" i="1" a="1"/>
  <c r="AS1320" i="1" a="1"/>
  <c r="AS1321" i="1" a="1"/>
  <c r="AS1322" i="1" a="1"/>
  <c r="AS1323" i="1" a="1"/>
  <c r="AS1324" i="1" a="1"/>
  <c r="AS1325" i="1" a="1"/>
  <c r="AS1326" i="1" a="1"/>
  <c r="AS1327" i="1" a="1"/>
  <c r="AS1328" i="1" a="1"/>
  <c r="AS1329" i="1" a="1"/>
  <c r="AS1330" i="1" a="1"/>
  <c r="AS1331" i="1" a="1"/>
  <c r="AS1332" i="1" a="1"/>
  <c r="AS1333" i="1" a="1"/>
  <c r="AS1334" i="1" a="1"/>
  <c r="AS1335" i="1" a="1"/>
  <c r="AS1336" i="1" a="1"/>
  <c r="AS1337" i="1" a="1"/>
  <c r="AS1338" i="1" a="1"/>
  <c r="AS1339" i="1" a="1"/>
  <c r="AS1340" i="1" a="1"/>
  <c r="AS1341" i="1" a="1"/>
  <c r="AS1342" i="1" a="1"/>
  <c r="AS1343" i="1" a="1"/>
  <c r="AS1344" i="1" a="1"/>
  <c r="AS1345" i="1" a="1"/>
  <c r="AS1346" i="1" a="1"/>
  <c r="AS1347" i="1" a="1"/>
  <c r="AS1348" i="1" a="1"/>
  <c r="AS1349" i="1" a="1"/>
  <c r="AS1350" i="1" a="1"/>
  <c r="AS1351" i="1" a="1"/>
  <c r="AS1352" i="1" a="1"/>
  <c r="AS1353" i="1" a="1"/>
  <c r="AS1354" i="1" a="1"/>
  <c r="AS1355" i="1" a="1"/>
  <c r="AS1356" i="1" a="1"/>
  <c r="AS1357" i="1" a="1"/>
  <c r="AS1358" i="1" a="1"/>
  <c r="AS1359" i="1" a="1"/>
  <c r="AS1360" i="1" a="1"/>
  <c r="AS1361" i="1" a="1"/>
  <c r="AS1362" i="1" a="1"/>
  <c r="AS1363" i="1" a="1"/>
  <c r="AS1364" i="1" a="1"/>
  <c r="AS1365" i="1" a="1"/>
  <c r="AS1366" i="1" a="1"/>
  <c r="AS1367" i="1" a="1"/>
  <c r="AS1368" i="1" a="1"/>
  <c r="AS1369" i="1" a="1"/>
  <c r="AS1370" i="1" a="1"/>
  <c r="AS1371" i="1" a="1"/>
  <c r="AS1372" i="1" a="1"/>
  <c r="AS1373" i="1" a="1"/>
  <c r="AS1374" i="1" a="1"/>
  <c r="AS1375" i="1" a="1"/>
  <c r="AS1376" i="1" a="1"/>
  <c r="AS1377" i="1" a="1"/>
  <c r="AS1378" i="1" a="1"/>
  <c r="AS1379" i="1" a="1"/>
  <c r="AS1380" i="1" a="1"/>
  <c r="AS1381" i="1" a="1"/>
  <c r="AS1382" i="1" a="1"/>
  <c r="AS1383" i="1" a="1"/>
  <c r="AS1384" i="1" a="1"/>
  <c r="AS1385" i="1" a="1"/>
  <c r="AS1386" i="1" a="1"/>
  <c r="AS1387" i="1" a="1"/>
  <c r="AS1388" i="1" a="1"/>
  <c r="AS1389" i="1" a="1"/>
  <c r="AS1390" i="1" a="1"/>
  <c r="AS1391" i="1" a="1"/>
  <c r="AS1392" i="1" a="1"/>
  <c r="AS1393" i="1" a="1"/>
  <c r="AS1394" i="1" a="1"/>
  <c r="AS1395" i="1" a="1"/>
  <c r="AS1396" i="1" a="1"/>
  <c r="AS1397" i="1" a="1"/>
  <c r="AS1398" i="1" a="1"/>
  <c r="AS1399" i="1" a="1"/>
  <c r="AS1400" i="1" a="1"/>
  <c r="AS1401" i="1" a="1"/>
  <c r="AS1402" i="1" a="1"/>
  <c r="AS1403" i="1" a="1"/>
  <c r="AS1404" i="1" a="1"/>
  <c r="AS1405" i="1" a="1"/>
  <c r="AS1406" i="1" a="1"/>
  <c r="AS1407" i="1" a="1"/>
  <c r="AS1408" i="1" a="1"/>
  <c r="AS1409" i="1" a="1"/>
  <c r="AS1410" i="1" a="1"/>
  <c r="AS1411" i="1" a="1"/>
  <c r="AS1412" i="1" a="1"/>
  <c r="AS1413" i="1" a="1"/>
  <c r="AS1414" i="1" a="1"/>
  <c r="AS1415" i="1" a="1"/>
  <c r="AS1416" i="1" a="1"/>
  <c r="AS1417" i="1" a="1"/>
  <c r="AS1418" i="1" a="1"/>
  <c r="AS1419" i="1" a="1"/>
  <c r="AS1420" i="1" a="1"/>
  <c r="AS1421" i="1" a="1"/>
  <c r="AS1422" i="1" a="1"/>
  <c r="AS1423" i="1" a="1"/>
  <c r="AS1424" i="1" a="1"/>
  <c r="AS1425" i="1" a="1"/>
  <c r="AS1426" i="1" a="1"/>
  <c r="AS1427" i="1" a="1"/>
  <c r="AS1428" i="1" a="1"/>
  <c r="AS1429" i="1" a="1"/>
  <c r="AS1430" i="1" a="1"/>
  <c r="AS1431" i="1" a="1"/>
  <c r="AS1432" i="1" a="1"/>
  <c r="AS1433" i="1" a="1"/>
  <c r="AS1434" i="1" a="1"/>
  <c r="AS1435" i="1" a="1"/>
  <c r="AS1436" i="1" a="1"/>
  <c r="AS1437" i="1" a="1"/>
  <c r="AS1438" i="1" a="1"/>
  <c r="AS1439" i="1" a="1"/>
  <c r="AS1440" i="1" a="1"/>
  <c r="AS1441" i="1" a="1"/>
  <c r="AS1442" i="1" a="1"/>
  <c r="AS1443" i="1" a="1"/>
  <c r="AS1444" i="1" a="1"/>
  <c r="AS1445" i="1" a="1"/>
  <c r="AS1446" i="1" a="1"/>
  <c r="AS1447" i="1" a="1"/>
  <c r="AS1448" i="1" a="1"/>
  <c r="AS1449" i="1" a="1"/>
  <c r="AS1450" i="1" a="1"/>
  <c r="AS1451" i="1" a="1"/>
  <c r="AS1452" i="1" a="1"/>
  <c r="AS1453" i="1" a="1"/>
  <c r="AS1454" i="1" a="1"/>
  <c r="AS1455" i="1" a="1"/>
  <c r="AS1456" i="1" a="1"/>
  <c r="AS1457" i="1" a="1"/>
  <c r="AS1458" i="1" a="1"/>
  <c r="AS1459" i="1" a="1"/>
  <c r="AS1460" i="1" a="1"/>
  <c r="AS1461" i="1" a="1"/>
  <c r="AS1462" i="1" a="1"/>
  <c r="AS1463" i="1" a="1"/>
  <c r="AS1464" i="1" a="1"/>
  <c r="AS1465" i="1" a="1"/>
  <c r="AS1466" i="1" a="1"/>
  <c r="AS1467" i="1" a="1"/>
  <c r="AS1468" i="1" a="1"/>
  <c r="AS1469" i="1" a="1"/>
  <c r="AS1470" i="1" a="1"/>
  <c r="AS1471" i="1" a="1"/>
  <c r="AR2" i="1" a="1"/>
  <c r="AR3" i="1" a="1"/>
  <c r="AR4" i="1" a="1"/>
  <c r="AR5" i="1" a="1"/>
  <c r="AR6" i="1" a="1"/>
  <c r="AR7" i="1" a="1"/>
  <c r="AR8" i="1" a="1"/>
  <c r="AR9" i="1" a="1"/>
  <c r="AR10" i="1" a="1"/>
  <c r="AR11" i="1" a="1"/>
  <c r="AR12" i="1" a="1"/>
  <c r="AR13" i="1" a="1"/>
  <c r="AR14" i="1" a="1"/>
  <c r="AR15" i="1" a="1"/>
  <c r="AR16" i="1" a="1"/>
  <c r="AR17" i="1" a="1"/>
  <c r="AR18" i="1" a="1"/>
  <c r="AR19" i="1" a="1"/>
  <c r="AR20" i="1" a="1"/>
  <c r="AR21" i="1" a="1"/>
  <c r="AR22" i="1" a="1"/>
  <c r="AR23" i="1" a="1"/>
  <c r="AR24" i="1" a="1"/>
  <c r="AR25" i="1" a="1"/>
  <c r="AR26" i="1" a="1"/>
  <c r="AR27" i="1" a="1"/>
  <c r="AR28" i="1" a="1"/>
  <c r="AR29" i="1" a="1"/>
  <c r="AR30" i="1" a="1"/>
  <c r="AR31" i="1" a="1"/>
  <c r="AR32" i="1" a="1"/>
  <c r="AR33" i="1" a="1"/>
  <c r="AR34" i="1" a="1"/>
  <c r="AR35" i="1" a="1"/>
  <c r="AR36" i="1" a="1"/>
  <c r="AR37" i="1" a="1"/>
  <c r="AR38" i="1" a="1"/>
  <c r="AR39" i="1" a="1"/>
  <c r="AR40" i="1" a="1"/>
  <c r="AR41" i="1" a="1"/>
  <c r="AR42" i="1" a="1"/>
  <c r="AR43" i="1" a="1"/>
  <c r="AR44" i="1" a="1"/>
  <c r="AR45" i="1" a="1"/>
  <c r="AR46" i="1" a="1"/>
  <c r="AR47" i="1" a="1"/>
  <c r="AR48" i="1" a="1"/>
  <c r="AR49" i="1" a="1"/>
  <c r="AR50" i="1" a="1"/>
  <c r="AR51" i="1" a="1"/>
  <c r="AR52" i="1" a="1"/>
  <c r="AR53" i="1" a="1"/>
  <c r="AR54" i="1" a="1"/>
  <c r="AR55" i="1" a="1"/>
  <c r="AR56" i="1" a="1"/>
  <c r="AR57" i="1" a="1"/>
  <c r="AR58" i="1" a="1"/>
  <c r="AR59" i="1" a="1"/>
  <c r="AR60" i="1" a="1"/>
  <c r="AR61" i="1" a="1"/>
  <c r="AR62" i="1" a="1"/>
  <c r="AR63" i="1" a="1"/>
  <c r="AR64" i="1" a="1"/>
  <c r="AR65" i="1" a="1"/>
  <c r="AR66" i="1" a="1"/>
  <c r="AR67" i="1" a="1"/>
  <c r="AR68" i="1" a="1"/>
  <c r="AR69" i="1" a="1"/>
  <c r="AR70" i="1" a="1"/>
  <c r="AR71" i="1" a="1"/>
  <c r="AR72" i="1" a="1"/>
  <c r="AR73" i="1" a="1"/>
  <c r="AR74" i="1" a="1"/>
  <c r="AR75" i="1" a="1"/>
  <c r="AR76" i="1" a="1"/>
  <c r="AR77" i="1" a="1"/>
  <c r="AR78" i="1" a="1"/>
  <c r="AR79" i="1" a="1"/>
  <c r="AR80" i="1" a="1"/>
  <c r="AR81" i="1" a="1"/>
  <c r="AR82" i="1" a="1"/>
  <c r="AR83" i="1" a="1"/>
  <c r="AR84" i="1" a="1"/>
  <c r="AR85" i="1" a="1"/>
  <c r="AR86" i="1" a="1"/>
  <c r="AR87" i="1" a="1"/>
  <c r="AR88" i="1" a="1"/>
  <c r="AR89" i="1" a="1"/>
  <c r="AR90" i="1" a="1"/>
  <c r="AR91" i="1" a="1"/>
  <c r="AR92" i="1" a="1"/>
  <c r="AR93" i="1" a="1"/>
  <c r="AR94" i="1" a="1"/>
  <c r="AR95" i="1" a="1"/>
  <c r="AR96" i="1" a="1"/>
  <c r="AR97" i="1" a="1"/>
  <c r="AR98" i="1" a="1"/>
  <c r="AR99" i="1" a="1"/>
  <c r="AR100" i="1" a="1"/>
  <c r="AR101" i="1" a="1"/>
  <c r="AR102" i="1" a="1"/>
  <c r="AR103" i="1" a="1"/>
  <c r="AR104" i="1" a="1"/>
  <c r="AR105" i="1" a="1"/>
  <c r="AR106" i="1" a="1"/>
  <c r="AR107" i="1" a="1"/>
  <c r="AR108" i="1" a="1"/>
  <c r="AR109" i="1" a="1"/>
  <c r="AR110" i="1" a="1"/>
  <c r="AR111" i="1" a="1"/>
  <c r="AR112" i="1" a="1"/>
  <c r="AR113" i="1" a="1"/>
  <c r="AR114" i="1" a="1"/>
  <c r="AR115" i="1" a="1"/>
  <c r="AR116" i="1" a="1"/>
  <c r="AR117" i="1" a="1"/>
  <c r="AR118" i="1" a="1"/>
  <c r="AR119" i="1" a="1"/>
  <c r="AR120" i="1" a="1"/>
  <c r="AR121" i="1" a="1"/>
  <c r="AR122" i="1" a="1"/>
  <c r="AR123" i="1" a="1"/>
  <c r="AR124" i="1" a="1"/>
  <c r="AR125" i="1" a="1"/>
  <c r="AR126" i="1" a="1"/>
  <c r="AR127" i="1" a="1"/>
  <c r="AR128" i="1" a="1"/>
  <c r="AR129" i="1" a="1"/>
  <c r="AR130" i="1" a="1"/>
  <c r="AR131" i="1" a="1"/>
  <c r="AR132" i="1" a="1"/>
  <c r="AR133" i="1" a="1"/>
  <c r="AR134" i="1" a="1"/>
  <c r="AR135" i="1" a="1"/>
  <c r="AR136" i="1" a="1"/>
  <c r="AR137" i="1" a="1"/>
  <c r="AR138" i="1" a="1"/>
  <c r="AR139" i="1" a="1"/>
  <c r="AR140" i="1" a="1"/>
  <c r="AR141" i="1" a="1"/>
  <c r="AR142" i="1" a="1"/>
  <c r="AR143" i="1" a="1"/>
  <c r="AR144" i="1" a="1"/>
  <c r="AR145" i="1" a="1"/>
  <c r="AR146" i="1" a="1"/>
  <c r="AR147" i="1" a="1"/>
  <c r="AR148" i="1" a="1"/>
  <c r="AR149" i="1" a="1"/>
  <c r="AR150" i="1" a="1"/>
  <c r="AR151" i="1" a="1"/>
  <c r="AR152" i="1" a="1"/>
  <c r="AR153" i="1" a="1"/>
  <c r="AR154" i="1" a="1"/>
  <c r="AR155" i="1" a="1"/>
  <c r="AR156" i="1" a="1"/>
  <c r="AR157" i="1" a="1"/>
  <c r="AR158" i="1" a="1"/>
  <c r="AR159" i="1" a="1"/>
  <c r="AR160" i="1" a="1"/>
  <c r="AR161" i="1" a="1"/>
  <c r="AR162" i="1" a="1"/>
  <c r="AR163" i="1" a="1"/>
  <c r="AR164" i="1" a="1"/>
  <c r="AR165" i="1" a="1"/>
  <c r="AR166" i="1" a="1"/>
  <c r="AR167" i="1" a="1"/>
  <c r="AR168" i="1" a="1"/>
  <c r="AR169" i="1" a="1"/>
  <c r="AR170" i="1" a="1"/>
  <c r="AR171" i="1" a="1"/>
  <c r="AR172" i="1" a="1"/>
  <c r="AR173" i="1" a="1"/>
  <c r="AR174" i="1" a="1"/>
  <c r="AR175" i="1" a="1"/>
  <c r="AR176" i="1" a="1"/>
  <c r="AR177" i="1" a="1"/>
  <c r="AR178" i="1" a="1"/>
  <c r="AR179" i="1" a="1"/>
  <c r="AR180" i="1" a="1"/>
  <c r="AR181" i="1" a="1"/>
  <c r="AR182" i="1" a="1"/>
  <c r="AR183" i="1" a="1"/>
  <c r="AR184" i="1" a="1"/>
  <c r="AR185" i="1" a="1"/>
  <c r="AR186" i="1" a="1"/>
  <c r="AR187" i="1" a="1"/>
  <c r="AR188" i="1" a="1"/>
  <c r="AR189" i="1" a="1"/>
  <c r="AR190" i="1" a="1"/>
  <c r="AR191" i="1" a="1"/>
  <c r="AR192" i="1" a="1"/>
  <c r="AR193" i="1" a="1"/>
  <c r="AR194" i="1" a="1"/>
  <c r="AR195" i="1" a="1"/>
  <c r="AR196" i="1" a="1"/>
  <c r="AR197" i="1" a="1"/>
  <c r="AR198" i="1" a="1"/>
  <c r="AR199" i="1" a="1"/>
  <c r="AR200" i="1" a="1"/>
  <c r="AR201" i="1" a="1"/>
  <c r="AR202" i="1" a="1"/>
  <c r="AR203" i="1" a="1"/>
  <c r="AR204" i="1" a="1"/>
  <c r="AR205" i="1" a="1"/>
  <c r="AR206" i="1" a="1"/>
  <c r="AR207" i="1" a="1"/>
  <c r="AR208" i="1" a="1"/>
  <c r="AR209" i="1" a="1"/>
  <c r="AR210" i="1" a="1"/>
  <c r="AR211" i="1" a="1"/>
  <c r="AR212" i="1" a="1"/>
  <c r="AR213" i="1" a="1"/>
  <c r="AR214" i="1" a="1"/>
  <c r="AR215" i="1" a="1"/>
  <c r="AR216" i="1" a="1"/>
  <c r="AR217" i="1" a="1"/>
  <c r="AR218" i="1" a="1"/>
  <c r="AR219" i="1" a="1"/>
  <c r="AR220" i="1" a="1"/>
  <c r="AR221" i="1" a="1"/>
  <c r="AR222" i="1" a="1"/>
  <c r="AR223" i="1" a="1"/>
  <c r="AR224" i="1" a="1"/>
  <c r="AR225" i="1" a="1"/>
  <c r="AR226" i="1" a="1"/>
  <c r="AR227" i="1" a="1"/>
  <c r="AR228" i="1" a="1"/>
  <c r="AR229" i="1" a="1"/>
  <c r="AR230" i="1" a="1"/>
  <c r="AR231" i="1" a="1"/>
  <c r="AR232" i="1" a="1"/>
  <c r="AR233" i="1" a="1"/>
  <c r="AR234" i="1" a="1"/>
  <c r="AR235" i="1" a="1"/>
  <c r="AR236" i="1" a="1"/>
  <c r="AR237" i="1" a="1"/>
  <c r="AR238" i="1" a="1"/>
  <c r="AR239" i="1" a="1"/>
  <c r="AR240" i="1" a="1"/>
  <c r="AR241" i="1" a="1"/>
  <c r="AR242" i="1" a="1"/>
  <c r="AR243" i="1" a="1"/>
  <c r="AR244" i="1" a="1"/>
  <c r="AR245" i="1" a="1"/>
  <c r="AR246" i="1" a="1"/>
  <c r="AR247" i="1" a="1"/>
  <c r="AR248" i="1" a="1"/>
  <c r="AR249" i="1" a="1"/>
  <c r="AR250" i="1" a="1"/>
  <c r="AR251" i="1" a="1"/>
  <c r="AR252" i="1" a="1"/>
  <c r="AR253" i="1" a="1"/>
  <c r="AR254" i="1" a="1"/>
  <c r="AR255" i="1" a="1"/>
  <c r="AR256" i="1" a="1"/>
  <c r="AR257" i="1" a="1"/>
  <c r="AR258" i="1" a="1"/>
  <c r="AR259" i="1" a="1"/>
  <c r="AR260" i="1" a="1"/>
  <c r="AR261" i="1" a="1"/>
  <c r="AR262" i="1" a="1"/>
  <c r="AR263" i="1" a="1"/>
  <c r="AR264" i="1" a="1"/>
  <c r="AR265" i="1" a="1"/>
  <c r="AR266" i="1" a="1"/>
  <c r="AR267" i="1" a="1"/>
  <c r="AR268" i="1" a="1"/>
  <c r="AR269" i="1" a="1"/>
  <c r="AR270" i="1" a="1"/>
  <c r="AR271" i="1" a="1"/>
  <c r="AR272" i="1" a="1"/>
  <c r="AR273" i="1" a="1"/>
  <c r="AR274" i="1" a="1"/>
  <c r="AR275" i="1" a="1"/>
  <c r="AR276" i="1" a="1"/>
  <c r="AR277" i="1" a="1"/>
  <c r="AR278" i="1" a="1"/>
  <c r="AR279" i="1" a="1"/>
  <c r="AR280" i="1" a="1"/>
  <c r="AR281" i="1" a="1"/>
  <c r="AR282" i="1" a="1"/>
  <c r="AR283" i="1" a="1"/>
  <c r="AR284" i="1" a="1"/>
  <c r="AR285" i="1" a="1"/>
  <c r="AR286" i="1" a="1"/>
  <c r="AR287" i="1" a="1"/>
  <c r="AR288" i="1" a="1"/>
  <c r="AR289" i="1" a="1"/>
  <c r="AR290" i="1" a="1"/>
  <c r="AR291" i="1" a="1"/>
  <c r="AR292" i="1" a="1"/>
  <c r="AR293" i="1" a="1"/>
  <c r="AR294" i="1" a="1"/>
  <c r="AR295" i="1" a="1"/>
  <c r="AR296" i="1" a="1"/>
  <c r="AR297" i="1" a="1"/>
  <c r="AR298" i="1" a="1"/>
  <c r="AR299" i="1" a="1"/>
  <c r="AR300" i="1" a="1"/>
  <c r="AR301" i="1" a="1"/>
  <c r="AR302" i="1" a="1"/>
  <c r="AR303" i="1" a="1"/>
  <c r="AR304" i="1" a="1"/>
  <c r="AR305" i="1" a="1"/>
  <c r="AR306" i="1" a="1"/>
  <c r="AR307" i="1" a="1"/>
  <c r="AR308" i="1" a="1"/>
  <c r="AR309" i="1" a="1"/>
  <c r="AR310" i="1" a="1"/>
  <c r="AR311" i="1" a="1"/>
  <c r="AR312" i="1" a="1"/>
  <c r="AR313" i="1" a="1"/>
  <c r="AR314" i="1" a="1"/>
  <c r="AR315" i="1" a="1"/>
  <c r="AR316" i="1" a="1"/>
  <c r="AR317" i="1" a="1"/>
  <c r="AR318" i="1" a="1"/>
  <c r="AR319" i="1" a="1"/>
  <c r="AR320" i="1" a="1"/>
  <c r="AR321" i="1" a="1"/>
  <c r="AR322" i="1" a="1"/>
  <c r="AR323" i="1" a="1"/>
  <c r="AR324" i="1" a="1"/>
  <c r="AR325" i="1" a="1"/>
  <c r="AR326" i="1" a="1"/>
  <c r="AR327" i="1" a="1"/>
  <c r="AR328" i="1" a="1"/>
  <c r="AR329" i="1" a="1"/>
  <c r="AR330" i="1" a="1"/>
  <c r="AR331" i="1" a="1"/>
  <c r="AR332" i="1" a="1"/>
  <c r="AR333" i="1" a="1"/>
  <c r="AR334" i="1" a="1"/>
  <c r="AR335" i="1" a="1"/>
  <c r="AR336" i="1" a="1"/>
  <c r="AR337" i="1" a="1"/>
  <c r="AR338" i="1" a="1"/>
  <c r="AR339" i="1" a="1"/>
  <c r="AR340" i="1" a="1"/>
  <c r="AR341" i="1" a="1"/>
  <c r="AR342" i="1" a="1"/>
  <c r="AR343" i="1" a="1"/>
  <c r="AR344" i="1" a="1"/>
  <c r="AR345" i="1" a="1"/>
  <c r="AR346" i="1" a="1"/>
  <c r="AR347" i="1" a="1"/>
  <c r="AR348" i="1" a="1"/>
  <c r="AR349" i="1" a="1"/>
  <c r="AR350" i="1" a="1"/>
  <c r="AR351" i="1" a="1"/>
  <c r="AR352" i="1" a="1"/>
  <c r="AR353" i="1" a="1"/>
  <c r="AR354" i="1" a="1"/>
  <c r="AR355" i="1" a="1"/>
  <c r="AR356" i="1" a="1"/>
  <c r="AR357" i="1" a="1"/>
  <c r="AR358" i="1" a="1"/>
  <c r="AR359" i="1" a="1"/>
  <c r="AR360" i="1" a="1"/>
  <c r="AR361" i="1" a="1"/>
  <c r="AR362" i="1" a="1"/>
  <c r="AR363" i="1" a="1"/>
  <c r="AR364" i="1" a="1"/>
  <c r="AR365" i="1" a="1"/>
  <c r="AR366" i="1" a="1"/>
  <c r="AR367" i="1" a="1"/>
  <c r="AR368" i="1" a="1"/>
  <c r="AR369" i="1" a="1"/>
  <c r="AR370" i="1" a="1"/>
  <c r="AR371" i="1" a="1"/>
  <c r="AR372" i="1" a="1"/>
  <c r="AR373" i="1" a="1"/>
  <c r="AR374" i="1" a="1"/>
  <c r="AR375" i="1" a="1"/>
  <c r="AR376" i="1" a="1"/>
  <c r="AR377" i="1" a="1"/>
  <c r="AR378" i="1" a="1"/>
  <c r="AR379" i="1" a="1"/>
  <c r="AR380" i="1" a="1"/>
  <c r="AR381" i="1" a="1"/>
  <c r="AR382" i="1" a="1"/>
  <c r="AR383" i="1" a="1"/>
  <c r="AR384" i="1" a="1"/>
  <c r="AR385" i="1" a="1"/>
  <c r="AR386" i="1" a="1"/>
  <c r="AR387" i="1" a="1"/>
  <c r="AR388" i="1" a="1"/>
  <c r="AR389" i="1" a="1"/>
  <c r="AR390" i="1" a="1"/>
  <c r="AR391" i="1" a="1"/>
  <c r="AR392" i="1" a="1"/>
  <c r="AR393" i="1" a="1"/>
  <c r="AR394" i="1" a="1"/>
  <c r="AR395" i="1" a="1"/>
  <c r="AR396" i="1" a="1"/>
  <c r="AR397" i="1" a="1"/>
  <c r="AR398" i="1" a="1"/>
  <c r="AR399" i="1" a="1"/>
  <c r="AR400" i="1" a="1"/>
  <c r="AR401" i="1" a="1"/>
  <c r="AR402" i="1" a="1"/>
  <c r="AR403" i="1" a="1"/>
  <c r="AR404" i="1" a="1"/>
  <c r="AR405" i="1" a="1"/>
  <c r="AR406" i="1" a="1"/>
  <c r="AR407" i="1" a="1"/>
  <c r="AR408" i="1" a="1"/>
  <c r="AR409" i="1" a="1"/>
  <c r="AR410" i="1" a="1"/>
  <c r="AR411" i="1" a="1"/>
  <c r="AR412" i="1" a="1"/>
  <c r="AR413" i="1" a="1"/>
  <c r="AR414" i="1" a="1"/>
  <c r="AR415" i="1" a="1"/>
  <c r="AR416" i="1" a="1"/>
  <c r="AR417" i="1" a="1"/>
  <c r="AR418" i="1" a="1"/>
  <c r="AR419" i="1" a="1"/>
  <c r="AR420" i="1" a="1"/>
  <c r="AR421" i="1" a="1"/>
  <c r="AR422" i="1" a="1"/>
  <c r="AR423" i="1" a="1"/>
  <c r="AR424" i="1" a="1"/>
  <c r="AR425" i="1" a="1"/>
  <c r="AR426" i="1" a="1"/>
  <c r="AR427" i="1" a="1"/>
  <c r="AR428" i="1" a="1"/>
  <c r="AR429" i="1" a="1"/>
  <c r="AR430" i="1" a="1"/>
  <c r="AR431" i="1" a="1"/>
  <c r="AR432" i="1" a="1"/>
  <c r="AR433" i="1" a="1"/>
  <c r="AR434" i="1" a="1"/>
  <c r="AR435" i="1" a="1"/>
  <c r="AR436" i="1" a="1"/>
  <c r="AR437" i="1" a="1"/>
  <c r="AR438" i="1" a="1"/>
  <c r="AR439" i="1" a="1"/>
  <c r="AR440" i="1" a="1"/>
  <c r="AR441" i="1" a="1"/>
  <c r="AR442" i="1" a="1"/>
  <c r="AR443" i="1" a="1"/>
  <c r="AR444" i="1" a="1"/>
  <c r="AR445" i="1" a="1"/>
  <c r="AR446" i="1" a="1"/>
  <c r="AR447" i="1" a="1"/>
  <c r="AR448" i="1" a="1"/>
  <c r="AR449" i="1" a="1"/>
  <c r="AR450" i="1" a="1"/>
  <c r="AR451" i="1" a="1"/>
  <c r="AR452" i="1" a="1"/>
  <c r="AR453" i="1" a="1"/>
  <c r="AR454" i="1" a="1"/>
  <c r="AR455" i="1" a="1"/>
  <c r="AR456" i="1" a="1"/>
  <c r="AR457" i="1" a="1"/>
  <c r="AR458" i="1" a="1"/>
  <c r="AR459" i="1" a="1"/>
  <c r="AR460" i="1" a="1"/>
  <c r="AR461" i="1" a="1"/>
  <c r="AR462" i="1" a="1"/>
  <c r="AR463" i="1" a="1"/>
  <c r="AR464" i="1" a="1"/>
  <c r="AR465" i="1" a="1"/>
  <c r="AR466" i="1" a="1"/>
  <c r="AR467" i="1" a="1"/>
  <c r="AR468" i="1" a="1"/>
  <c r="AR469" i="1" a="1"/>
  <c r="AR470" i="1" a="1"/>
  <c r="AR471" i="1" a="1"/>
  <c r="AR472" i="1" a="1"/>
  <c r="AR473" i="1" a="1"/>
  <c r="AR474" i="1" a="1"/>
  <c r="AR475" i="1" a="1"/>
  <c r="AR476" i="1" a="1"/>
  <c r="AR477" i="1" a="1"/>
  <c r="AR478" i="1" a="1"/>
  <c r="AR479" i="1" a="1"/>
  <c r="AR480" i="1" a="1"/>
  <c r="AR481" i="1" a="1"/>
  <c r="AR482" i="1" a="1"/>
  <c r="AR483" i="1" a="1"/>
  <c r="AR484" i="1" a="1"/>
  <c r="AR485" i="1" a="1"/>
  <c r="AR486" i="1" a="1"/>
  <c r="AR487" i="1" a="1"/>
  <c r="AR488" i="1" a="1"/>
  <c r="AR489" i="1" a="1"/>
  <c r="AR490" i="1" a="1"/>
  <c r="AR491" i="1" a="1"/>
  <c r="AR492" i="1" a="1"/>
  <c r="AR493" i="1" a="1"/>
  <c r="AR494" i="1" a="1"/>
  <c r="AR495" i="1" a="1"/>
  <c r="AR496" i="1" a="1"/>
  <c r="AR497" i="1" a="1"/>
  <c r="AR498" i="1" a="1"/>
  <c r="AR499" i="1" a="1"/>
  <c r="AR500" i="1" a="1"/>
  <c r="AR501" i="1" a="1"/>
  <c r="AR502" i="1" a="1"/>
  <c r="AR503" i="1" a="1"/>
  <c r="AR504" i="1" a="1"/>
  <c r="AR505" i="1" a="1"/>
  <c r="AR506" i="1" a="1"/>
  <c r="AR507" i="1" a="1"/>
  <c r="AR508" i="1" a="1"/>
  <c r="AR509" i="1" a="1"/>
  <c r="AR510" i="1" a="1"/>
  <c r="AR511" i="1" a="1"/>
  <c r="AR512" i="1" a="1"/>
  <c r="AR513" i="1" a="1"/>
  <c r="AR514" i="1" a="1"/>
  <c r="AR515" i="1" a="1"/>
  <c r="AR516" i="1" a="1"/>
  <c r="AR517" i="1" a="1"/>
  <c r="AR518" i="1" a="1"/>
  <c r="AR519" i="1" a="1"/>
  <c r="AR520" i="1" a="1"/>
  <c r="AR521" i="1" a="1"/>
  <c r="AR522" i="1" a="1"/>
  <c r="AR523" i="1" a="1"/>
  <c r="AR524" i="1" a="1"/>
  <c r="AR525" i="1" a="1"/>
  <c r="AR526" i="1" a="1"/>
  <c r="AR527" i="1" a="1"/>
  <c r="AR528" i="1" a="1"/>
  <c r="AR529" i="1" a="1"/>
  <c r="AR530" i="1" a="1"/>
  <c r="AR531" i="1" a="1"/>
  <c r="AR532" i="1" a="1"/>
  <c r="AR533" i="1" a="1"/>
  <c r="AR534" i="1" a="1"/>
  <c r="AR535" i="1" a="1"/>
  <c r="AR536" i="1" a="1"/>
  <c r="AR537" i="1" a="1"/>
  <c r="AR538" i="1" a="1"/>
  <c r="AR539" i="1" a="1"/>
  <c r="AR540" i="1" a="1"/>
  <c r="AR541" i="1" a="1"/>
  <c r="AR542" i="1" a="1"/>
  <c r="AR543" i="1" a="1"/>
  <c r="AR544" i="1" a="1"/>
  <c r="AR545" i="1" a="1"/>
  <c r="AR546" i="1" a="1"/>
  <c r="AR547" i="1" a="1"/>
  <c r="AR548" i="1" a="1"/>
  <c r="AR549" i="1" a="1"/>
  <c r="AR550" i="1" a="1"/>
  <c r="AR551" i="1" a="1"/>
  <c r="AR552" i="1" a="1"/>
  <c r="AR553" i="1" a="1"/>
  <c r="AR554" i="1" a="1"/>
  <c r="AR555" i="1" a="1"/>
  <c r="AR556" i="1" a="1"/>
  <c r="AR557" i="1" a="1"/>
  <c r="AR558" i="1" a="1"/>
  <c r="AR559" i="1" a="1"/>
  <c r="AR560" i="1" a="1"/>
  <c r="AR561" i="1" a="1"/>
  <c r="AR562" i="1" a="1"/>
  <c r="AR563" i="1" a="1"/>
  <c r="AR564" i="1" a="1"/>
  <c r="AR565" i="1" a="1"/>
  <c r="AR566" i="1" a="1"/>
  <c r="AR567" i="1" a="1"/>
  <c r="AR568" i="1" a="1"/>
  <c r="AR569" i="1" a="1"/>
  <c r="AR570" i="1" a="1"/>
  <c r="AR571" i="1" a="1"/>
  <c r="AR572" i="1" a="1"/>
  <c r="AR573" i="1" a="1"/>
  <c r="AR574" i="1" a="1"/>
  <c r="AR575" i="1" a="1"/>
  <c r="AR576" i="1" a="1"/>
  <c r="AR577" i="1" a="1"/>
  <c r="AR578" i="1" a="1"/>
  <c r="AR579" i="1" a="1"/>
  <c r="AR580" i="1" a="1"/>
  <c r="AR581" i="1" a="1"/>
  <c r="AR582" i="1" a="1"/>
  <c r="AR583" i="1" a="1"/>
  <c r="AR584" i="1" a="1"/>
  <c r="AR585" i="1" a="1"/>
  <c r="AR586" i="1" a="1"/>
  <c r="AR587" i="1" a="1"/>
  <c r="AR588" i="1" a="1"/>
  <c r="AR589" i="1" a="1"/>
  <c r="AR590" i="1" a="1"/>
  <c r="AR591" i="1" a="1"/>
  <c r="AR592" i="1" a="1"/>
  <c r="AR593" i="1" a="1"/>
  <c r="AR594" i="1" a="1"/>
  <c r="AR595" i="1" a="1"/>
  <c r="AR596" i="1" a="1"/>
  <c r="AR597" i="1" a="1"/>
  <c r="AR598" i="1" a="1"/>
  <c r="AR599" i="1" a="1"/>
  <c r="AR600" i="1" a="1"/>
  <c r="AR601" i="1" a="1"/>
  <c r="AR602" i="1" a="1"/>
  <c r="AR603" i="1" a="1"/>
  <c r="AR604" i="1" a="1"/>
  <c r="AR605" i="1" a="1"/>
  <c r="AR606" i="1" a="1"/>
  <c r="AR607" i="1" a="1"/>
  <c r="AR608" i="1" a="1"/>
  <c r="AR609" i="1" a="1"/>
  <c r="AR610" i="1" a="1"/>
  <c r="AR611" i="1" a="1"/>
  <c r="AR612" i="1" a="1"/>
  <c r="AR613" i="1" a="1"/>
  <c r="AR614" i="1" a="1"/>
  <c r="AR615" i="1" a="1"/>
  <c r="AR616" i="1" a="1"/>
  <c r="AR617" i="1" a="1"/>
  <c r="AR618" i="1" a="1"/>
  <c r="AR619" i="1" a="1"/>
  <c r="AR620" i="1" a="1"/>
  <c r="AR621" i="1" a="1"/>
  <c r="AR622" i="1" a="1"/>
  <c r="AR623" i="1" a="1"/>
  <c r="AR624" i="1" a="1"/>
  <c r="AR625" i="1" a="1"/>
  <c r="AR626" i="1" a="1"/>
  <c r="AR627" i="1" a="1"/>
  <c r="AR628" i="1" a="1"/>
  <c r="AR629" i="1" a="1"/>
  <c r="AR630" i="1" a="1"/>
  <c r="AR631" i="1" a="1"/>
  <c r="AR632" i="1" a="1"/>
  <c r="AR633" i="1" a="1"/>
  <c r="AR634" i="1" a="1"/>
  <c r="AR635" i="1" a="1"/>
  <c r="AR636" i="1" a="1"/>
  <c r="AR637" i="1" a="1"/>
  <c r="AR638" i="1" a="1"/>
  <c r="AR639" i="1" a="1"/>
  <c r="AR640" i="1" a="1"/>
  <c r="AR641" i="1" a="1"/>
  <c r="AR642" i="1" a="1"/>
  <c r="AR643" i="1" a="1"/>
  <c r="AR644" i="1" a="1"/>
  <c r="AR645" i="1" a="1"/>
  <c r="AR646" i="1" a="1"/>
  <c r="AR647" i="1" a="1"/>
  <c r="AR648" i="1" a="1"/>
  <c r="AR649" i="1" a="1"/>
  <c r="AR650" i="1" a="1"/>
  <c r="AR651" i="1" a="1"/>
  <c r="AR652" i="1" a="1"/>
  <c r="AR653" i="1" a="1"/>
  <c r="AR654" i="1" a="1"/>
  <c r="AR655" i="1" a="1"/>
  <c r="AR656" i="1" a="1"/>
  <c r="AR657" i="1" a="1"/>
  <c r="AR658" i="1" a="1"/>
  <c r="AR659" i="1" a="1"/>
  <c r="AR660" i="1" a="1"/>
  <c r="AR661" i="1" a="1"/>
  <c r="AR662" i="1" a="1"/>
  <c r="AR663" i="1" a="1"/>
  <c r="AR664" i="1" a="1"/>
  <c r="AR665" i="1" a="1"/>
  <c r="AR666" i="1" a="1"/>
  <c r="AR667" i="1" a="1"/>
  <c r="AR668" i="1" a="1"/>
  <c r="AR669" i="1" a="1"/>
  <c r="AR670" i="1" a="1"/>
  <c r="AR671" i="1" a="1"/>
  <c r="AR672" i="1" a="1"/>
  <c r="AR673" i="1" a="1"/>
  <c r="AR674" i="1" a="1"/>
  <c r="AR675" i="1" a="1"/>
  <c r="AR676" i="1" a="1"/>
  <c r="AR677" i="1" a="1"/>
  <c r="AR678" i="1" a="1"/>
  <c r="AR679" i="1" a="1"/>
  <c r="AR680" i="1" a="1"/>
  <c r="AR681" i="1" a="1"/>
  <c r="AR682" i="1" a="1"/>
  <c r="AR683" i="1" a="1"/>
  <c r="AR684" i="1" a="1"/>
  <c r="AR685" i="1" a="1"/>
  <c r="AR686" i="1" a="1"/>
  <c r="AR687" i="1" a="1"/>
  <c r="AR688" i="1" a="1"/>
  <c r="AR689" i="1" a="1"/>
  <c r="AR690" i="1" a="1"/>
  <c r="AR691" i="1" a="1"/>
  <c r="AR692" i="1" a="1"/>
  <c r="AR693" i="1" a="1"/>
  <c r="AR694" i="1" a="1"/>
  <c r="AR695" i="1" a="1"/>
  <c r="AR696" i="1" a="1"/>
  <c r="AR697" i="1" a="1"/>
  <c r="AR698" i="1" a="1"/>
  <c r="AR699" i="1" a="1"/>
  <c r="AR700" i="1" a="1"/>
  <c r="AR701" i="1" a="1"/>
  <c r="AR702" i="1" a="1"/>
  <c r="AR703" i="1" a="1"/>
  <c r="AR704" i="1" a="1"/>
  <c r="AR705" i="1" a="1"/>
  <c r="AR706" i="1" a="1"/>
  <c r="AR707" i="1" a="1"/>
  <c r="AR708" i="1" a="1"/>
  <c r="AR709" i="1" a="1"/>
  <c r="AR710" i="1" a="1"/>
  <c r="AR711" i="1" a="1"/>
  <c r="AR712" i="1" a="1"/>
  <c r="AR713" i="1" a="1"/>
  <c r="AR714" i="1" a="1"/>
  <c r="AR715" i="1" a="1"/>
  <c r="AR716" i="1" a="1"/>
  <c r="AR717" i="1" a="1"/>
  <c r="AR718" i="1" a="1"/>
  <c r="AR719" i="1" a="1"/>
  <c r="AR720" i="1" a="1"/>
  <c r="AR721" i="1" a="1"/>
  <c r="AR722" i="1" a="1"/>
  <c r="AR723" i="1" a="1"/>
  <c r="AR724" i="1" a="1"/>
  <c r="AR725" i="1" a="1"/>
  <c r="AR726" i="1" a="1"/>
  <c r="AR727" i="1" a="1"/>
  <c r="AR728" i="1" a="1"/>
  <c r="AR729" i="1" a="1"/>
  <c r="AR730" i="1" a="1"/>
  <c r="AR731" i="1" a="1"/>
  <c r="AR732" i="1" a="1"/>
  <c r="AR733" i="1" a="1"/>
  <c r="AR734" i="1" a="1"/>
  <c r="AR735" i="1" a="1"/>
  <c r="AR736" i="1" a="1"/>
  <c r="AR737" i="1" a="1"/>
  <c r="AR738" i="1" a="1"/>
  <c r="AR739" i="1" a="1"/>
  <c r="AR740" i="1" a="1"/>
  <c r="AR741" i="1" a="1"/>
  <c r="AR742" i="1" a="1"/>
  <c r="AR743" i="1" a="1"/>
  <c r="AR744" i="1" a="1"/>
  <c r="AR745" i="1" a="1"/>
  <c r="AR746" i="1" a="1"/>
  <c r="AR747" i="1" a="1"/>
  <c r="AR748" i="1" a="1"/>
  <c r="AR749" i="1" a="1"/>
  <c r="AR750" i="1" a="1"/>
  <c r="AR751" i="1" a="1"/>
  <c r="AR752" i="1" a="1"/>
  <c r="AR753" i="1" a="1"/>
  <c r="AR754" i="1" a="1"/>
  <c r="AR755" i="1" a="1"/>
  <c r="AR756" i="1" a="1"/>
  <c r="AR757" i="1" a="1"/>
  <c r="AR758" i="1" a="1"/>
  <c r="AR759" i="1" a="1"/>
  <c r="AR760" i="1" a="1"/>
  <c r="AR761" i="1" a="1"/>
  <c r="AR762" i="1" a="1"/>
  <c r="AR763" i="1" a="1"/>
  <c r="AR764" i="1" a="1"/>
  <c r="AR765" i="1" a="1"/>
  <c r="AR766" i="1" a="1"/>
  <c r="AR767" i="1" a="1"/>
  <c r="AR768" i="1" a="1"/>
  <c r="AR769" i="1" a="1"/>
  <c r="AR770" i="1" a="1"/>
  <c r="AR771" i="1" a="1"/>
  <c r="AR772" i="1" a="1"/>
  <c r="AR773" i="1" a="1"/>
  <c r="AR774" i="1" a="1"/>
  <c r="AR775" i="1" a="1"/>
  <c r="AR776" i="1" a="1"/>
  <c r="AR777" i="1" a="1"/>
  <c r="AR778" i="1" a="1"/>
  <c r="AR779" i="1" a="1"/>
  <c r="AR780" i="1" a="1"/>
  <c r="AR781" i="1" a="1"/>
  <c r="AR782" i="1" a="1"/>
  <c r="AR783" i="1" a="1"/>
  <c r="AR784" i="1" a="1"/>
  <c r="AR785" i="1" a="1"/>
  <c r="AR786" i="1" a="1"/>
  <c r="AR787" i="1" a="1"/>
  <c r="AR788" i="1" a="1"/>
  <c r="AR789" i="1" a="1"/>
  <c r="AR790" i="1" a="1"/>
  <c r="AR791" i="1" a="1"/>
  <c r="AR792" i="1" a="1"/>
  <c r="AR793" i="1" a="1"/>
  <c r="AR794" i="1" a="1"/>
  <c r="AR795" i="1" a="1"/>
  <c r="AR796" i="1" a="1"/>
  <c r="AR797" i="1" a="1"/>
  <c r="AR798" i="1" a="1"/>
  <c r="AR799" i="1" a="1"/>
  <c r="AR800" i="1" a="1"/>
  <c r="AR801" i="1" a="1"/>
  <c r="AR802" i="1" a="1"/>
  <c r="AR803" i="1" a="1"/>
  <c r="AR804" i="1" a="1"/>
  <c r="AR805" i="1" a="1"/>
  <c r="AR806" i="1" a="1"/>
  <c r="AR807" i="1" a="1"/>
  <c r="AR808" i="1" a="1"/>
  <c r="AR809" i="1" a="1"/>
  <c r="AR810" i="1" a="1"/>
  <c r="AR811" i="1" a="1"/>
  <c r="AR812" i="1" a="1"/>
  <c r="AR813" i="1" a="1"/>
  <c r="AR814" i="1" a="1"/>
  <c r="AR815" i="1" a="1"/>
  <c r="AR816" i="1" a="1"/>
  <c r="AR817" i="1" a="1"/>
  <c r="AR818" i="1" a="1"/>
  <c r="AR819" i="1" a="1"/>
  <c r="AR820" i="1" a="1"/>
  <c r="AR821" i="1" a="1"/>
  <c r="AR822" i="1" a="1"/>
  <c r="AR823" i="1" a="1"/>
  <c r="AR824" i="1" a="1"/>
  <c r="AR825" i="1" a="1"/>
  <c r="AR826" i="1" a="1"/>
  <c r="AR827" i="1" a="1"/>
  <c r="AR828" i="1" a="1"/>
  <c r="AR829" i="1" a="1"/>
  <c r="AR830" i="1" a="1"/>
  <c r="AR831" i="1" a="1"/>
  <c r="AR832" i="1" a="1"/>
  <c r="AR833" i="1" a="1"/>
  <c r="AR834" i="1" a="1"/>
  <c r="AR835" i="1" a="1"/>
  <c r="AR836" i="1" a="1"/>
  <c r="AR837" i="1" a="1"/>
  <c r="AR838" i="1" a="1"/>
  <c r="AR839" i="1" a="1"/>
  <c r="AR840" i="1" a="1"/>
  <c r="AR841" i="1" a="1"/>
  <c r="AR842" i="1" a="1"/>
  <c r="AR843" i="1" a="1"/>
  <c r="AR844" i="1" a="1"/>
  <c r="AR845" i="1" a="1"/>
  <c r="AR846" i="1" a="1"/>
  <c r="AR847" i="1" a="1"/>
  <c r="AR848" i="1" a="1"/>
  <c r="AR849" i="1" a="1"/>
  <c r="AR850" i="1" a="1"/>
  <c r="AR851" i="1" a="1"/>
  <c r="AR852" i="1" a="1"/>
  <c r="AR853" i="1" a="1"/>
  <c r="AR854" i="1" a="1"/>
  <c r="AR855" i="1" a="1"/>
  <c r="AR856" i="1" a="1"/>
  <c r="AR857" i="1" a="1"/>
  <c r="AR858" i="1" a="1"/>
  <c r="AR859" i="1" a="1"/>
  <c r="AR860" i="1" a="1"/>
  <c r="AR861" i="1" a="1"/>
  <c r="AR862" i="1" a="1"/>
  <c r="AR863" i="1" a="1"/>
  <c r="AR864" i="1" a="1"/>
  <c r="AR865" i="1" a="1"/>
  <c r="AR866" i="1" a="1"/>
  <c r="AR867" i="1" a="1"/>
  <c r="AR868" i="1" a="1"/>
  <c r="AR869" i="1" a="1"/>
  <c r="AR870" i="1" a="1"/>
  <c r="AR871" i="1" a="1"/>
  <c r="AR872" i="1" a="1"/>
  <c r="AR873" i="1" a="1"/>
  <c r="AR874" i="1" a="1"/>
  <c r="AR875" i="1" a="1"/>
  <c r="AR876" i="1" a="1"/>
  <c r="AR877" i="1" a="1"/>
  <c r="AR878" i="1" a="1"/>
  <c r="AR879" i="1" a="1"/>
  <c r="AR880" i="1" a="1"/>
  <c r="AR881" i="1" a="1"/>
  <c r="AR882" i="1" a="1"/>
  <c r="AR883" i="1" a="1"/>
  <c r="AR884" i="1" a="1"/>
  <c r="AR885" i="1" a="1"/>
  <c r="AR886" i="1" a="1"/>
  <c r="AR887" i="1" a="1"/>
  <c r="AR888" i="1" a="1"/>
  <c r="AR889" i="1" a="1"/>
  <c r="AR890" i="1" a="1"/>
  <c r="AR891" i="1" a="1"/>
  <c r="AR892" i="1" a="1"/>
  <c r="AR893" i="1" a="1"/>
  <c r="AR894" i="1" a="1"/>
  <c r="AR895" i="1" a="1"/>
  <c r="AR896" i="1" a="1"/>
  <c r="AR897" i="1" a="1"/>
  <c r="AR898" i="1" a="1"/>
  <c r="AR899" i="1" a="1"/>
  <c r="AR900" i="1" a="1"/>
  <c r="AR901" i="1" a="1"/>
  <c r="AR902" i="1" a="1"/>
  <c r="AR903" i="1" a="1"/>
  <c r="AR904" i="1" a="1"/>
  <c r="AR905" i="1" a="1"/>
  <c r="AR906" i="1" a="1"/>
  <c r="AR907" i="1" a="1"/>
  <c r="AR908" i="1" a="1"/>
  <c r="AR909" i="1" a="1"/>
  <c r="AR910" i="1" a="1"/>
  <c r="AR911" i="1" a="1"/>
  <c r="AR912" i="1" a="1"/>
  <c r="AR913" i="1" a="1"/>
  <c r="AR914" i="1" a="1"/>
  <c r="AR915" i="1" a="1"/>
  <c r="AR916" i="1" a="1"/>
  <c r="AR917" i="1" a="1"/>
  <c r="AR918" i="1" a="1"/>
  <c r="AR919" i="1" a="1"/>
  <c r="AR920" i="1" a="1"/>
  <c r="AR921" i="1" a="1"/>
  <c r="AR922" i="1" a="1"/>
  <c r="AR923" i="1" a="1"/>
  <c r="AR924" i="1" a="1"/>
  <c r="AR925" i="1" a="1"/>
  <c r="AR926" i="1" a="1"/>
  <c r="AR927" i="1" a="1"/>
  <c r="AR928" i="1" a="1"/>
  <c r="AR929" i="1" a="1"/>
  <c r="AR930" i="1" a="1"/>
  <c r="AR931" i="1" a="1"/>
  <c r="AR932" i="1" a="1"/>
  <c r="AR933" i="1" a="1"/>
  <c r="AR934" i="1" a="1"/>
  <c r="AR935" i="1" a="1"/>
  <c r="AR936" i="1" a="1"/>
  <c r="AR937" i="1" a="1"/>
  <c r="AR938" i="1" a="1"/>
  <c r="AR939" i="1" a="1"/>
  <c r="AR940" i="1" a="1"/>
  <c r="AR941" i="1" a="1"/>
  <c r="AR942" i="1" a="1"/>
  <c r="AR943" i="1" a="1"/>
  <c r="AR944" i="1" a="1"/>
  <c r="AR945" i="1" a="1"/>
  <c r="AR946" i="1" a="1"/>
  <c r="AR947" i="1" a="1"/>
  <c r="AR948" i="1" a="1"/>
  <c r="AR949" i="1" a="1"/>
  <c r="AR950" i="1" a="1"/>
  <c r="AR951" i="1" a="1"/>
  <c r="AR952" i="1" a="1"/>
  <c r="AR953" i="1" a="1"/>
  <c r="AR954" i="1" a="1"/>
  <c r="AR955" i="1" a="1"/>
  <c r="AR956" i="1" a="1"/>
  <c r="AR957" i="1" a="1"/>
  <c r="AR958" i="1" a="1"/>
  <c r="AR959" i="1" a="1"/>
  <c r="AR960" i="1" a="1"/>
  <c r="AR961" i="1" a="1"/>
  <c r="AR962" i="1" a="1"/>
  <c r="AR963" i="1" a="1"/>
  <c r="AR964" i="1" a="1"/>
  <c r="AR965" i="1" a="1"/>
  <c r="AR966" i="1" a="1"/>
  <c r="AR967" i="1" a="1"/>
  <c r="AR968" i="1" a="1"/>
  <c r="AR969" i="1" a="1"/>
  <c r="AR970" i="1" a="1"/>
  <c r="AR971" i="1" a="1"/>
  <c r="AR972" i="1" a="1"/>
  <c r="AR973" i="1" a="1"/>
  <c r="AR974" i="1" a="1"/>
  <c r="AR975" i="1" a="1"/>
  <c r="AR976" i="1" a="1"/>
  <c r="AR977" i="1" a="1"/>
  <c r="AR978" i="1" a="1"/>
  <c r="AR979" i="1" a="1"/>
  <c r="AR980" i="1" a="1"/>
  <c r="AR981" i="1" a="1"/>
  <c r="AR982" i="1" a="1"/>
  <c r="AR983" i="1" a="1"/>
  <c r="AR984" i="1" a="1"/>
  <c r="AR985" i="1" a="1"/>
  <c r="AR986" i="1" a="1"/>
  <c r="AR987" i="1" a="1"/>
  <c r="AR988" i="1" a="1"/>
  <c r="AR989" i="1" a="1"/>
  <c r="AR990" i="1" a="1"/>
  <c r="AR991" i="1" a="1"/>
  <c r="AR992" i="1" a="1"/>
  <c r="AR993" i="1" a="1"/>
  <c r="AR994" i="1" a="1"/>
  <c r="AR995" i="1" a="1"/>
  <c r="AR996" i="1" a="1"/>
  <c r="AR997" i="1" a="1"/>
  <c r="AR998" i="1" a="1"/>
  <c r="AR999" i="1" a="1"/>
  <c r="AR1000" i="1" a="1"/>
  <c r="AR1001" i="1" a="1"/>
  <c r="AR1002" i="1" a="1"/>
  <c r="AR1003" i="1" a="1"/>
  <c r="AR1004" i="1" a="1"/>
  <c r="AR1005" i="1" a="1"/>
  <c r="AR1006" i="1" a="1"/>
  <c r="AR1007" i="1" a="1"/>
  <c r="AR1008" i="1" a="1"/>
  <c r="AR1009" i="1" a="1"/>
  <c r="AR1010" i="1" a="1"/>
  <c r="AR1011" i="1" a="1"/>
  <c r="AR1012" i="1" a="1"/>
  <c r="AR1013" i="1" a="1"/>
  <c r="AR1014" i="1" a="1"/>
  <c r="AR1015" i="1" a="1"/>
  <c r="AR1016" i="1" a="1"/>
  <c r="AR1017" i="1" a="1"/>
  <c r="AR1018" i="1" a="1"/>
  <c r="AR1019" i="1" a="1"/>
  <c r="AR1020" i="1" a="1"/>
  <c r="AR1021" i="1" a="1"/>
  <c r="AR1022" i="1" a="1"/>
  <c r="AR1023" i="1" a="1"/>
  <c r="AR1024" i="1" a="1"/>
  <c r="AR1025" i="1" a="1"/>
  <c r="AR1026" i="1" a="1"/>
  <c r="AR1027" i="1" a="1"/>
  <c r="AR1028" i="1" a="1"/>
  <c r="AR1029" i="1" a="1"/>
  <c r="AR1030" i="1" a="1"/>
  <c r="AR1031" i="1" a="1"/>
  <c r="AR1032" i="1" a="1"/>
  <c r="AR1033" i="1" a="1"/>
  <c r="AR1034" i="1" a="1"/>
  <c r="AR1035" i="1" a="1"/>
  <c r="AR1036" i="1" a="1"/>
  <c r="AR1037" i="1" a="1"/>
  <c r="AR1038" i="1" a="1"/>
  <c r="AR1039" i="1" a="1"/>
  <c r="AR1040" i="1" a="1"/>
  <c r="AR1041" i="1" a="1"/>
  <c r="AR1042" i="1" a="1"/>
  <c r="AR1043" i="1" a="1"/>
  <c r="AR1044" i="1" a="1"/>
  <c r="AR1045" i="1" a="1"/>
  <c r="AR1046" i="1" a="1"/>
  <c r="AR1047" i="1" a="1"/>
  <c r="AR1048" i="1" a="1"/>
  <c r="AR1049" i="1" a="1"/>
  <c r="AR1050" i="1" a="1"/>
  <c r="AR1051" i="1" a="1"/>
  <c r="AR1052" i="1" a="1"/>
  <c r="AR1053" i="1" a="1"/>
  <c r="AR1054" i="1" a="1"/>
  <c r="AR1055" i="1" a="1"/>
  <c r="AR1056" i="1" a="1"/>
  <c r="AR1057" i="1" a="1"/>
  <c r="AR1058" i="1" a="1"/>
  <c r="AR1059" i="1" a="1"/>
  <c r="AR1060" i="1" a="1"/>
  <c r="AR1061" i="1" a="1"/>
  <c r="AR1062" i="1" a="1"/>
  <c r="AR1063" i="1" a="1"/>
  <c r="AR1064" i="1" a="1"/>
  <c r="AR1065" i="1" a="1"/>
  <c r="AR1066" i="1" a="1"/>
  <c r="AR1067" i="1" a="1"/>
  <c r="AR1068" i="1" a="1"/>
  <c r="AR1069" i="1" a="1"/>
  <c r="AR1070" i="1" a="1"/>
  <c r="AR1071" i="1" a="1"/>
  <c r="AR1072" i="1" a="1"/>
  <c r="AR1073" i="1" a="1"/>
  <c r="AR1074" i="1" a="1"/>
  <c r="AR1075" i="1" a="1"/>
  <c r="AR1076" i="1" a="1"/>
  <c r="AR1077" i="1" a="1"/>
  <c r="AR1078" i="1" a="1"/>
  <c r="AR1079" i="1" a="1"/>
  <c r="AR1080" i="1" a="1"/>
  <c r="AR1081" i="1" a="1"/>
  <c r="AR1082" i="1" a="1"/>
  <c r="AR1083" i="1" a="1"/>
  <c r="AR1084" i="1" a="1"/>
  <c r="AR1085" i="1" a="1"/>
  <c r="AR1086" i="1" a="1"/>
  <c r="AR1087" i="1" a="1"/>
  <c r="AR1088" i="1" a="1"/>
  <c r="AR1089" i="1" a="1"/>
  <c r="AR1090" i="1" a="1"/>
  <c r="AR1091" i="1" a="1"/>
  <c r="AR1092" i="1" a="1"/>
  <c r="AR1093" i="1" a="1"/>
  <c r="AR1094" i="1" a="1"/>
  <c r="AR1095" i="1" a="1"/>
  <c r="AR1096" i="1" a="1"/>
  <c r="AR1097" i="1" a="1"/>
  <c r="AR1098" i="1" a="1"/>
  <c r="AR1099" i="1" a="1"/>
  <c r="AR1100" i="1" a="1"/>
  <c r="AR1101" i="1" a="1"/>
  <c r="AR1102" i="1" a="1"/>
  <c r="AR1103" i="1" a="1"/>
  <c r="AR1104" i="1" a="1"/>
  <c r="AR1105" i="1" a="1"/>
  <c r="AR1106" i="1" a="1"/>
  <c r="AR1107" i="1" a="1"/>
  <c r="AR1108" i="1" a="1"/>
  <c r="AR1109" i="1" a="1"/>
  <c r="AR1110" i="1" a="1"/>
  <c r="AR1111" i="1" a="1"/>
  <c r="AR1112" i="1" a="1"/>
  <c r="AR1113" i="1" a="1"/>
  <c r="AR1114" i="1" a="1"/>
  <c r="AR1115" i="1" a="1"/>
  <c r="AR1116" i="1" a="1"/>
  <c r="AR1117" i="1" a="1"/>
  <c r="AR1118" i="1" a="1"/>
  <c r="AR1119" i="1" a="1"/>
  <c r="AR1120" i="1" a="1"/>
  <c r="AR1121" i="1" a="1"/>
  <c r="AR1122" i="1" a="1"/>
  <c r="AR1123" i="1" a="1"/>
  <c r="AR1124" i="1" a="1"/>
  <c r="AR1125" i="1" a="1"/>
  <c r="AR1126" i="1" a="1"/>
  <c r="AR1127" i="1" a="1"/>
  <c r="AR1128" i="1" a="1"/>
  <c r="AR1129" i="1" a="1"/>
  <c r="AR1130" i="1" a="1"/>
  <c r="AR1131" i="1" a="1"/>
  <c r="AR1132" i="1" a="1"/>
  <c r="AR1133" i="1" a="1"/>
  <c r="AR1134" i="1" a="1"/>
  <c r="AR1135" i="1" a="1"/>
  <c r="AR1136" i="1" a="1"/>
  <c r="AR1137" i="1" a="1"/>
  <c r="AR1138" i="1" a="1"/>
  <c r="AR1139" i="1" a="1"/>
  <c r="AR1140" i="1" a="1"/>
  <c r="AR1141" i="1" a="1"/>
  <c r="AR1142" i="1" a="1"/>
  <c r="AR1143" i="1" a="1"/>
  <c r="AR1144" i="1" a="1"/>
  <c r="AR1145" i="1" a="1"/>
  <c r="AR1146" i="1" a="1"/>
  <c r="AR1147" i="1" a="1"/>
  <c r="AR1148" i="1" a="1"/>
  <c r="AR1149" i="1" a="1"/>
  <c r="AR1150" i="1" a="1"/>
  <c r="AR1151" i="1" a="1"/>
  <c r="AR1152" i="1" a="1"/>
  <c r="AR1153" i="1" a="1"/>
  <c r="AR1154" i="1" a="1"/>
  <c r="AR1155" i="1" a="1"/>
  <c r="AR1156" i="1" a="1"/>
  <c r="AR1157" i="1" a="1"/>
  <c r="AR1158" i="1" a="1"/>
  <c r="AR1159" i="1" a="1"/>
  <c r="AR1160" i="1" a="1"/>
  <c r="AR1161" i="1" a="1"/>
  <c r="AR1162" i="1" a="1"/>
  <c r="AR1163" i="1" a="1"/>
  <c r="AR1164" i="1" a="1"/>
  <c r="AR1165" i="1" a="1"/>
  <c r="AR1166" i="1" a="1"/>
  <c r="AR1167" i="1" a="1"/>
  <c r="AR1168" i="1" a="1"/>
  <c r="AR1169" i="1" a="1"/>
  <c r="AR1170" i="1" a="1"/>
  <c r="AR1171" i="1" a="1"/>
  <c r="AR1172" i="1" a="1"/>
  <c r="AR1173" i="1" a="1"/>
  <c r="AR1174" i="1" a="1"/>
  <c r="AR1175" i="1" a="1"/>
  <c r="AR1176" i="1" a="1"/>
  <c r="AR1177" i="1" a="1"/>
  <c r="AR1178" i="1" a="1"/>
  <c r="AR1179" i="1" a="1"/>
  <c r="AR1180" i="1" a="1"/>
  <c r="AR1181" i="1" a="1"/>
  <c r="AR1182" i="1" a="1"/>
  <c r="AR1183" i="1" a="1"/>
  <c r="AR1184" i="1" a="1"/>
  <c r="AR1185" i="1" a="1"/>
  <c r="AR1186" i="1" a="1"/>
  <c r="AR1187" i="1" a="1"/>
  <c r="AR1188" i="1" a="1"/>
  <c r="AR1189" i="1" a="1"/>
  <c r="AR1190" i="1" a="1"/>
  <c r="AR1191" i="1" a="1"/>
  <c r="AR1192" i="1" a="1"/>
  <c r="AR1193" i="1" a="1"/>
  <c r="AR1194" i="1" a="1"/>
  <c r="AR1195" i="1" a="1"/>
  <c r="AR1196" i="1" a="1"/>
  <c r="AR1197" i="1" a="1"/>
  <c r="AR1198" i="1" a="1"/>
  <c r="AR1199" i="1" a="1"/>
  <c r="AR1200" i="1" a="1"/>
  <c r="AR1201" i="1" a="1"/>
  <c r="AR1202" i="1" a="1"/>
  <c r="AR1203" i="1" a="1"/>
  <c r="AR1204" i="1" a="1"/>
  <c r="AR1205" i="1" a="1"/>
  <c r="AR1206" i="1" a="1"/>
  <c r="AR1207" i="1" a="1"/>
  <c r="AR1208" i="1" a="1"/>
  <c r="AR1209" i="1" a="1"/>
  <c r="AR1210" i="1" a="1"/>
  <c r="AR1211" i="1" a="1"/>
  <c r="AR1212" i="1" a="1"/>
  <c r="AR1213" i="1" a="1"/>
  <c r="AR1214" i="1" a="1"/>
  <c r="AR1215" i="1" a="1"/>
  <c r="AR1216" i="1" a="1"/>
  <c r="AR1217" i="1" a="1"/>
  <c r="AR1218" i="1" a="1"/>
  <c r="AR1219" i="1" a="1"/>
  <c r="AR1220" i="1" a="1"/>
  <c r="AR1221" i="1" a="1"/>
  <c r="AR1222" i="1" a="1"/>
  <c r="AR1223" i="1" a="1"/>
  <c r="AR1224" i="1" a="1"/>
  <c r="AR1225" i="1" a="1"/>
  <c r="AR1226" i="1" a="1"/>
  <c r="AR1227" i="1" a="1"/>
  <c r="AR1228" i="1" a="1"/>
  <c r="AR1229" i="1" a="1"/>
  <c r="AR1230" i="1" a="1"/>
  <c r="AR1231" i="1" a="1"/>
  <c r="AR1232" i="1" a="1"/>
  <c r="AR1233" i="1" a="1"/>
  <c r="AR1234" i="1" a="1"/>
  <c r="AR1235" i="1" a="1"/>
  <c r="AR1236" i="1" a="1"/>
  <c r="AR1237" i="1" a="1"/>
  <c r="AR1238" i="1" a="1"/>
  <c r="AR1239" i="1" a="1"/>
  <c r="AR1240" i="1" a="1"/>
  <c r="AR1241" i="1" a="1"/>
  <c r="AR1242" i="1" a="1"/>
  <c r="AR1243" i="1" a="1"/>
  <c r="AR1244" i="1" a="1"/>
  <c r="AR1245" i="1" a="1"/>
  <c r="AR1246" i="1" a="1"/>
  <c r="AR1247" i="1" a="1"/>
  <c r="AR1248" i="1" a="1"/>
  <c r="AR1249" i="1" a="1"/>
  <c r="AR1250" i="1" a="1"/>
  <c r="AR1251" i="1" a="1"/>
  <c r="AR1252" i="1" a="1"/>
  <c r="AR1253" i="1" a="1"/>
  <c r="AR1254" i="1" a="1"/>
  <c r="AR1255" i="1" a="1"/>
  <c r="AR1256" i="1" a="1"/>
  <c r="AR1257" i="1" a="1"/>
  <c r="AR1258" i="1" a="1"/>
  <c r="AR1259" i="1" a="1"/>
  <c r="AR1260" i="1" a="1"/>
  <c r="AR1261" i="1" a="1"/>
  <c r="AR1262" i="1" a="1"/>
  <c r="AR1263" i="1" a="1"/>
  <c r="AR1264" i="1" a="1"/>
  <c r="AR1265" i="1" a="1"/>
  <c r="AR1266" i="1" a="1"/>
  <c r="AR1267" i="1" a="1"/>
  <c r="AR1268" i="1" a="1"/>
  <c r="AR1269" i="1" a="1"/>
  <c r="AR1270" i="1" a="1"/>
  <c r="AR1271" i="1" a="1"/>
  <c r="AR1272" i="1" a="1"/>
  <c r="AR1273" i="1" a="1"/>
  <c r="AR1274" i="1" a="1"/>
  <c r="AR1275" i="1" a="1"/>
  <c r="AR1276" i="1" a="1"/>
  <c r="AR1277" i="1" a="1"/>
  <c r="AR1278" i="1" a="1"/>
  <c r="AR1279" i="1" a="1"/>
  <c r="AR1280" i="1" a="1"/>
  <c r="AR1281" i="1" a="1"/>
  <c r="AR1282" i="1" a="1"/>
  <c r="AR1283" i="1" a="1"/>
  <c r="AR1284" i="1" a="1"/>
  <c r="AR1285" i="1" a="1"/>
  <c r="AR1286" i="1" a="1"/>
  <c r="AR1287" i="1" a="1"/>
  <c r="AR1288" i="1" a="1"/>
  <c r="AR1289" i="1" a="1"/>
  <c r="AR1290" i="1" a="1"/>
  <c r="AR1291" i="1" a="1"/>
  <c r="AR1292" i="1" a="1"/>
  <c r="AR1293" i="1" a="1"/>
  <c r="AR1294" i="1" a="1"/>
  <c r="AR1295" i="1" a="1"/>
  <c r="AR1296" i="1" a="1"/>
  <c r="AR1297" i="1" a="1"/>
  <c r="AR1298" i="1" a="1"/>
  <c r="AR1299" i="1" a="1"/>
  <c r="AR1300" i="1" a="1"/>
  <c r="AR1301" i="1" a="1"/>
  <c r="AR1302" i="1" a="1"/>
  <c r="AR1303" i="1" a="1"/>
  <c r="AR1304" i="1" a="1"/>
  <c r="AR1305" i="1" a="1"/>
  <c r="AR1306" i="1" a="1"/>
  <c r="AR1307" i="1" a="1"/>
  <c r="AR1308" i="1" a="1"/>
  <c r="AR1309" i="1" a="1"/>
  <c r="AR1310" i="1" a="1"/>
  <c r="AR1311" i="1" a="1"/>
  <c r="AR1312" i="1" a="1"/>
  <c r="AR1313" i="1" a="1"/>
  <c r="AR1314" i="1" a="1"/>
  <c r="AR1315" i="1" a="1"/>
  <c r="AR1316" i="1" a="1"/>
  <c r="AR1317" i="1" a="1"/>
  <c r="AR1318" i="1" a="1"/>
  <c r="AR1319" i="1" a="1"/>
  <c r="AR1320" i="1" a="1"/>
  <c r="AR1321" i="1" a="1"/>
  <c r="AR1322" i="1" a="1"/>
  <c r="AR1323" i="1" a="1"/>
  <c r="AR1324" i="1" a="1"/>
  <c r="AR1325" i="1" a="1"/>
  <c r="AR1326" i="1" a="1"/>
  <c r="AR1327" i="1" a="1"/>
  <c r="AR1328" i="1" a="1"/>
  <c r="AR1329" i="1" a="1"/>
  <c r="AR1330" i="1" a="1"/>
  <c r="AR1331" i="1" a="1"/>
  <c r="AR1332" i="1" a="1"/>
  <c r="AR1333" i="1" a="1"/>
  <c r="AR1334" i="1" a="1"/>
  <c r="AR1335" i="1" a="1"/>
  <c r="AR1336" i="1" a="1"/>
  <c r="AR1337" i="1" a="1"/>
  <c r="AR1338" i="1" a="1"/>
  <c r="AR1339" i="1" a="1"/>
  <c r="AR1340" i="1" a="1"/>
  <c r="AR1341" i="1" a="1"/>
  <c r="AR1342" i="1" a="1"/>
  <c r="AR1343" i="1" a="1"/>
  <c r="AR1344" i="1" a="1"/>
  <c r="AR1345" i="1" a="1"/>
  <c r="AR1346" i="1" a="1"/>
  <c r="AR1347" i="1" a="1"/>
  <c r="AR1348" i="1" a="1"/>
  <c r="AR1349" i="1" a="1"/>
  <c r="AR1350" i="1" a="1"/>
  <c r="AR1351" i="1" a="1"/>
  <c r="AR1352" i="1" a="1"/>
  <c r="AR1353" i="1" a="1"/>
  <c r="AR1354" i="1" a="1"/>
  <c r="AR1355" i="1" a="1"/>
  <c r="AR1356" i="1" a="1"/>
  <c r="AR1357" i="1" a="1"/>
  <c r="AR1358" i="1" a="1"/>
  <c r="AR1359" i="1" a="1"/>
  <c r="AR1360" i="1" a="1"/>
  <c r="AR1361" i="1" a="1"/>
  <c r="AR1362" i="1" a="1"/>
  <c r="AR1363" i="1" a="1"/>
  <c r="AR1364" i="1" a="1"/>
  <c r="AR1365" i="1" a="1"/>
  <c r="AR1366" i="1" a="1"/>
  <c r="AR1367" i="1" a="1"/>
  <c r="AR1368" i="1" a="1"/>
  <c r="AR1369" i="1" a="1"/>
  <c r="AR1370" i="1" a="1"/>
  <c r="AR1371" i="1" a="1"/>
  <c r="AR1372" i="1" a="1"/>
  <c r="AR1373" i="1" a="1"/>
  <c r="AR1374" i="1" a="1"/>
  <c r="AR1375" i="1" a="1"/>
  <c r="AR1376" i="1" a="1"/>
  <c r="AR1377" i="1" a="1"/>
  <c r="AR1378" i="1" a="1"/>
  <c r="AR1379" i="1" a="1"/>
  <c r="AR1380" i="1" a="1"/>
  <c r="AR1381" i="1" a="1"/>
  <c r="AR1382" i="1" a="1"/>
  <c r="AR1383" i="1" a="1"/>
  <c r="AR1384" i="1" a="1"/>
  <c r="AR1385" i="1" a="1"/>
  <c r="AR1386" i="1" a="1"/>
  <c r="AR1387" i="1" a="1"/>
  <c r="AR1388" i="1" a="1"/>
  <c r="AR1389" i="1" a="1"/>
  <c r="AR1390" i="1" a="1"/>
  <c r="AR1391" i="1" a="1"/>
  <c r="AR1392" i="1" a="1"/>
  <c r="AR1393" i="1" a="1"/>
  <c r="AR1394" i="1" a="1"/>
  <c r="AR1395" i="1" a="1"/>
  <c r="AR1396" i="1" a="1"/>
  <c r="AR1397" i="1" a="1"/>
  <c r="AR1398" i="1" a="1"/>
  <c r="AR1399" i="1" a="1"/>
  <c r="AR1400" i="1" a="1"/>
  <c r="AR1401" i="1" a="1"/>
  <c r="AR1402" i="1" a="1"/>
  <c r="AR1403" i="1" a="1"/>
  <c r="AR1404" i="1" a="1"/>
  <c r="AR1405" i="1" a="1"/>
  <c r="AR1406" i="1" a="1"/>
  <c r="AR1407" i="1" a="1"/>
  <c r="AR1408" i="1" a="1"/>
  <c r="AR1409" i="1" a="1"/>
  <c r="AR1410" i="1" a="1"/>
  <c r="AR1411" i="1" a="1"/>
  <c r="AR1412" i="1" a="1"/>
  <c r="AR1413" i="1" a="1"/>
  <c r="AR1414" i="1" a="1"/>
  <c r="AR1415" i="1" a="1"/>
  <c r="AR1416" i="1" a="1"/>
  <c r="AR1417" i="1" a="1"/>
  <c r="AR1418" i="1" a="1"/>
  <c r="AR1419" i="1" a="1"/>
  <c r="AR1420" i="1" a="1"/>
  <c r="AR1421" i="1" a="1"/>
  <c r="AR1422" i="1" a="1"/>
  <c r="AR1423" i="1" a="1"/>
  <c r="AR1424" i="1" a="1"/>
  <c r="AR1425" i="1" a="1"/>
  <c r="AR1426" i="1" a="1"/>
  <c r="AR1427" i="1" a="1"/>
  <c r="AR1428" i="1" a="1"/>
  <c r="AR1429" i="1" a="1"/>
  <c r="AR1430" i="1" a="1"/>
  <c r="AR1431" i="1" a="1"/>
  <c r="AR1432" i="1" a="1"/>
  <c r="AR1433" i="1" a="1"/>
  <c r="AR1434" i="1" a="1"/>
  <c r="AR1435" i="1" a="1"/>
  <c r="AR1436" i="1" a="1"/>
  <c r="AR1437" i="1" a="1"/>
  <c r="AR1438" i="1" a="1"/>
  <c r="AR1439" i="1" a="1"/>
  <c r="AR1440" i="1" a="1"/>
  <c r="AR1441" i="1" a="1"/>
  <c r="AR1442" i="1" a="1"/>
  <c r="AR1443" i="1" a="1"/>
  <c r="AR1444" i="1" a="1"/>
  <c r="AR1445" i="1" a="1"/>
  <c r="AR1446" i="1" a="1"/>
  <c r="AR1447" i="1" a="1"/>
  <c r="AR1448" i="1" a="1"/>
  <c r="AR1449" i="1" a="1"/>
  <c r="AR1450" i="1" a="1"/>
  <c r="AR1451" i="1" a="1"/>
  <c r="AR1452" i="1" a="1"/>
  <c r="AR1453" i="1" a="1"/>
  <c r="AR1454" i="1" a="1"/>
  <c r="AR1455" i="1" a="1"/>
  <c r="AR1456" i="1" a="1"/>
  <c r="AR1457" i="1" a="1"/>
  <c r="AR1458" i="1" a="1"/>
  <c r="AR1459" i="1" a="1"/>
  <c r="AR1460" i="1" a="1"/>
  <c r="AR1461" i="1" a="1"/>
  <c r="AR1462" i="1" a="1"/>
  <c r="AR1463" i="1" a="1"/>
  <c r="AR1464" i="1" a="1"/>
  <c r="AR1465" i="1" a="1"/>
  <c r="AR1466" i="1" a="1"/>
  <c r="AR1467" i="1" a="1"/>
  <c r="AR1468" i="1" a="1"/>
  <c r="AR1469" i="1" a="1"/>
  <c r="AR1470" i="1" a="1"/>
  <c r="AR1471" i="1" a="1"/>
  <c r="AQ2" i="1" a="1"/>
  <c r="AQ3" i="1" a="1"/>
  <c r="AQ4" i="1" a="1"/>
  <c r="AQ5" i="1" a="1"/>
  <c r="AQ6" i="1" a="1"/>
  <c r="AQ7" i="1" a="1"/>
  <c r="AQ8" i="1" a="1"/>
  <c r="AQ9" i="1" a="1"/>
  <c r="AQ10" i="1" a="1"/>
  <c r="AQ11" i="1" a="1"/>
  <c r="AQ12" i="1" a="1"/>
  <c r="AQ13" i="1" a="1"/>
  <c r="AQ14" i="1" a="1"/>
  <c r="AQ15" i="1" a="1"/>
  <c r="AQ16" i="1" a="1"/>
  <c r="AQ17" i="1" a="1"/>
  <c r="AQ18" i="1" a="1"/>
  <c r="AQ19" i="1" a="1"/>
  <c r="AQ20" i="1" a="1"/>
  <c r="AQ21" i="1" a="1"/>
  <c r="AQ22" i="1" a="1"/>
  <c r="AQ23" i="1" a="1"/>
  <c r="AQ24" i="1" a="1"/>
  <c r="AQ25" i="1" a="1"/>
  <c r="AQ26" i="1" a="1"/>
  <c r="AQ27" i="1" a="1"/>
  <c r="AQ28" i="1" a="1"/>
  <c r="AQ29" i="1" a="1"/>
  <c r="AQ30" i="1" a="1"/>
  <c r="AQ31" i="1" a="1"/>
  <c r="AQ32" i="1" a="1"/>
  <c r="AQ33" i="1" a="1"/>
  <c r="AQ34" i="1" a="1"/>
  <c r="AQ35" i="1" a="1"/>
  <c r="AQ36" i="1" a="1"/>
  <c r="AQ37" i="1" a="1"/>
  <c r="AQ38" i="1" a="1"/>
  <c r="AQ39" i="1" a="1"/>
  <c r="AQ40" i="1" a="1"/>
  <c r="AQ41" i="1" a="1"/>
  <c r="AQ42" i="1" a="1"/>
  <c r="AQ43" i="1" a="1"/>
  <c r="AQ44" i="1" a="1"/>
  <c r="AQ45" i="1" a="1"/>
  <c r="AQ46" i="1" a="1"/>
  <c r="AQ47" i="1" a="1"/>
  <c r="AQ48" i="1" a="1"/>
  <c r="AQ49" i="1" a="1"/>
  <c r="AQ50" i="1" a="1"/>
  <c r="AQ51" i="1" a="1"/>
  <c r="AQ52" i="1" a="1"/>
  <c r="AQ53" i="1" a="1"/>
  <c r="AQ54" i="1" a="1"/>
  <c r="AQ55" i="1" a="1"/>
  <c r="AQ56" i="1" a="1"/>
  <c r="AQ57" i="1" a="1"/>
  <c r="AQ58" i="1" a="1"/>
  <c r="AQ59" i="1" a="1"/>
  <c r="AQ60" i="1" a="1"/>
  <c r="AQ61" i="1" a="1"/>
  <c r="AQ62" i="1" a="1"/>
  <c r="AQ63" i="1" a="1"/>
  <c r="AQ64" i="1" a="1"/>
  <c r="AQ65" i="1" a="1"/>
  <c r="AQ66" i="1" a="1"/>
  <c r="AQ67" i="1" a="1"/>
  <c r="AQ68" i="1" a="1"/>
  <c r="AQ69" i="1" a="1"/>
  <c r="AQ70" i="1" a="1"/>
  <c r="AQ71" i="1" a="1"/>
  <c r="AQ72" i="1" a="1"/>
  <c r="AQ73" i="1" a="1"/>
  <c r="AQ74" i="1" a="1"/>
  <c r="AQ75" i="1" a="1"/>
  <c r="AQ76" i="1" a="1"/>
  <c r="AQ77" i="1" a="1"/>
  <c r="AQ78" i="1" a="1"/>
  <c r="AQ79" i="1" a="1"/>
  <c r="AQ80" i="1" a="1"/>
  <c r="AQ81" i="1" a="1"/>
  <c r="AQ82" i="1" a="1"/>
  <c r="AQ83" i="1" a="1"/>
  <c r="AQ84" i="1" a="1"/>
  <c r="AQ85" i="1" a="1"/>
  <c r="AQ86" i="1" a="1"/>
  <c r="AQ87" i="1" a="1"/>
  <c r="AQ88" i="1" a="1"/>
  <c r="AQ89" i="1" a="1"/>
  <c r="AQ90" i="1" a="1"/>
  <c r="AQ91" i="1" a="1"/>
  <c r="AQ92" i="1" a="1"/>
  <c r="AQ93" i="1" a="1"/>
  <c r="AQ94" i="1" a="1"/>
  <c r="AQ95" i="1" a="1"/>
  <c r="AQ96" i="1" a="1"/>
  <c r="AQ97" i="1" a="1"/>
  <c r="AQ98" i="1" a="1"/>
  <c r="AQ99" i="1" a="1"/>
  <c r="AQ100" i="1" a="1"/>
  <c r="AQ101" i="1" a="1"/>
  <c r="AQ102" i="1" a="1"/>
  <c r="AQ103" i="1" a="1"/>
  <c r="AQ104" i="1" a="1"/>
  <c r="AQ105" i="1" a="1"/>
  <c r="AQ106" i="1" a="1"/>
  <c r="AQ107" i="1" a="1"/>
  <c r="AQ108" i="1" a="1"/>
  <c r="AQ109" i="1" a="1"/>
  <c r="AQ110" i="1" a="1"/>
  <c r="AQ111" i="1" a="1"/>
  <c r="AQ112" i="1" a="1"/>
  <c r="AQ113" i="1" a="1"/>
  <c r="AQ114" i="1" a="1"/>
  <c r="AQ115" i="1" a="1"/>
  <c r="AQ116" i="1" a="1"/>
  <c r="AQ117" i="1" a="1"/>
  <c r="AQ118" i="1" a="1"/>
  <c r="AQ119" i="1" a="1"/>
  <c r="AQ120" i="1" a="1"/>
  <c r="AQ121" i="1" a="1"/>
  <c r="AQ122" i="1" a="1"/>
  <c r="AQ123" i="1" a="1"/>
  <c r="AQ124" i="1" a="1"/>
  <c r="AQ125" i="1" a="1"/>
  <c r="AQ126" i="1" a="1"/>
  <c r="AQ127" i="1" a="1"/>
  <c r="AQ128" i="1" a="1"/>
  <c r="AQ129" i="1" a="1"/>
  <c r="AQ130" i="1" a="1"/>
  <c r="AQ131" i="1" a="1"/>
  <c r="AQ132" i="1" a="1"/>
  <c r="AQ133" i="1" a="1"/>
  <c r="AQ134" i="1" a="1"/>
  <c r="AQ135" i="1" a="1"/>
  <c r="AQ136" i="1" a="1"/>
  <c r="AQ137" i="1" a="1"/>
  <c r="AQ138" i="1" a="1"/>
  <c r="AQ139" i="1" a="1"/>
  <c r="AQ140" i="1" a="1"/>
  <c r="AQ141" i="1" a="1"/>
  <c r="AQ142" i="1" a="1"/>
  <c r="AQ143" i="1" a="1"/>
  <c r="AQ144" i="1" a="1"/>
  <c r="AQ145" i="1" a="1"/>
  <c r="AQ146" i="1" a="1"/>
  <c r="AQ147" i="1" a="1"/>
  <c r="AQ148" i="1" a="1"/>
  <c r="AQ149" i="1" a="1"/>
  <c r="AQ150" i="1" a="1"/>
  <c r="AQ151" i="1" a="1"/>
  <c r="AQ152" i="1" a="1"/>
  <c r="AQ153" i="1" a="1"/>
  <c r="AQ154" i="1" a="1"/>
  <c r="AQ155" i="1" a="1"/>
  <c r="AQ156" i="1" a="1"/>
  <c r="AQ157" i="1" a="1"/>
  <c r="AQ158" i="1" a="1"/>
  <c r="AQ159" i="1" a="1"/>
  <c r="AQ160" i="1" a="1"/>
  <c r="AQ161" i="1" a="1"/>
  <c r="AQ162" i="1" a="1"/>
  <c r="AQ163" i="1" a="1"/>
  <c r="AQ164" i="1" a="1"/>
  <c r="AQ165" i="1" a="1"/>
  <c r="AQ166" i="1" a="1"/>
  <c r="AQ167" i="1" a="1"/>
  <c r="AQ168" i="1" a="1"/>
  <c r="AQ169" i="1" a="1"/>
  <c r="AQ170" i="1" a="1"/>
  <c r="AQ171" i="1" a="1"/>
  <c r="AQ172" i="1" a="1"/>
  <c r="AQ173" i="1" a="1"/>
  <c r="AQ174" i="1" a="1"/>
  <c r="AQ175" i="1" a="1"/>
  <c r="AQ176" i="1" a="1"/>
  <c r="AQ177" i="1" a="1"/>
  <c r="AQ178" i="1" a="1"/>
  <c r="AQ179" i="1" a="1"/>
  <c r="AQ180" i="1" a="1"/>
  <c r="AQ181" i="1" a="1"/>
  <c r="AQ182" i="1" a="1"/>
  <c r="AQ183" i="1" a="1"/>
  <c r="AQ184" i="1" a="1"/>
  <c r="AQ185" i="1" a="1"/>
  <c r="AQ186" i="1" a="1"/>
  <c r="AQ187" i="1" a="1"/>
  <c r="AQ188" i="1" a="1"/>
  <c r="AQ189" i="1" a="1"/>
  <c r="AQ190" i="1" a="1"/>
  <c r="AQ191" i="1" a="1"/>
  <c r="AQ192" i="1" a="1"/>
  <c r="AQ193" i="1" a="1"/>
  <c r="AQ194" i="1" a="1"/>
  <c r="AQ195" i="1" a="1"/>
  <c r="AQ196" i="1" a="1"/>
  <c r="AQ197" i="1" a="1"/>
  <c r="AQ198" i="1" a="1"/>
  <c r="AQ199" i="1" a="1"/>
  <c r="AQ200" i="1" a="1"/>
  <c r="AQ201" i="1" a="1"/>
  <c r="AQ202" i="1" a="1"/>
  <c r="AQ203" i="1" a="1"/>
  <c r="AQ204" i="1" a="1"/>
  <c r="AQ205" i="1" a="1"/>
  <c r="AQ206" i="1" a="1"/>
  <c r="AQ207" i="1" a="1"/>
  <c r="AQ208" i="1" a="1"/>
  <c r="AQ209" i="1" a="1"/>
  <c r="AQ210" i="1" a="1"/>
  <c r="AQ211" i="1" a="1"/>
  <c r="AQ212" i="1" a="1"/>
  <c r="AQ213" i="1" a="1"/>
  <c r="AQ214" i="1" a="1"/>
  <c r="AQ215" i="1" a="1"/>
  <c r="AQ216" i="1" a="1"/>
  <c r="AQ217" i="1" a="1"/>
  <c r="AQ218" i="1" a="1"/>
  <c r="AQ219" i="1" a="1"/>
  <c r="AQ220" i="1" a="1"/>
  <c r="AQ221" i="1" a="1"/>
  <c r="AQ222" i="1" a="1"/>
  <c r="AQ223" i="1" a="1"/>
  <c r="AQ224" i="1" a="1"/>
  <c r="AQ225" i="1" a="1"/>
  <c r="AQ226" i="1" a="1"/>
  <c r="AQ227" i="1" a="1"/>
  <c r="AQ228" i="1" a="1"/>
  <c r="AQ229" i="1" a="1"/>
  <c r="AQ230" i="1" a="1"/>
  <c r="AQ231" i="1" a="1"/>
  <c r="AQ232" i="1" a="1"/>
  <c r="AQ233" i="1" a="1"/>
  <c r="AQ234" i="1" a="1"/>
  <c r="AQ235" i="1" a="1"/>
  <c r="AQ236" i="1" a="1"/>
  <c r="AQ237" i="1" a="1"/>
  <c r="AQ238" i="1" a="1"/>
  <c r="AQ239" i="1" a="1"/>
  <c r="AQ240" i="1" a="1"/>
  <c r="AQ241" i="1" a="1"/>
  <c r="AQ242" i="1" a="1"/>
  <c r="AQ243" i="1" a="1"/>
  <c r="AQ244" i="1" a="1"/>
  <c r="AQ245" i="1" a="1"/>
  <c r="AQ246" i="1" a="1"/>
  <c r="AQ247" i="1" a="1"/>
  <c r="AQ248" i="1" a="1"/>
  <c r="AQ249" i="1" a="1"/>
  <c r="AQ250" i="1" a="1"/>
  <c r="AQ251" i="1" a="1"/>
  <c r="AQ252" i="1" a="1"/>
  <c r="AQ253" i="1" a="1"/>
  <c r="AQ254" i="1" a="1"/>
  <c r="AQ255" i="1" a="1"/>
  <c r="AQ256" i="1" a="1"/>
  <c r="AQ257" i="1" a="1"/>
  <c r="AQ258" i="1" a="1"/>
  <c r="AQ259" i="1" a="1"/>
  <c r="AQ260" i="1" a="1"/>
  <c r="AQ261" i="1" a="1"/>
  <c r="AQ262" i="1" a="1"/>
  <c r="AQ263" i="1" a="1"/>
  <c r="AQ264" i="1" a="1"/>
  <c r="AQ265" i="1" a="1"/>
  <c r="AQ266" i="1" a="1"/>
  <c r="AQ267" i="1" a="1"/>
  <c r="AQ268" i="1" a="1"/>
  <c r="AQ269" i="1" a="1"/>
  <c r="AQ270" i="1" a="1"/>
  <c r="AQ271" i="1" a="1"/>
  <c r="AQ272" i="1" a="1"/>
  <c r="AQ273" i="1" a="1"/>
  <c r="AQ274" i="1" a="1"/>
  <c r="AQ275" i="1" a="1"/>
  <c r="AQ276" i="1" a="1"/>
  <c r="AQ277" i="1" a="1"/>
  <c r="AQ278" i="1" a="1"/>
  <c r="AQ279" i="1" a="1"/>
  <c r="AQ280" i="1" a="1"/>
  <c r="AQ281" i="1" a="1"/>
  <c r="AQ282" i="1" a="1"/>
  <c r="AQ283" i="1" a="1"/>
  <c r="AQ284" i="1" a="1"/>
  <c r="AQ285" i="1" a="1"/>
  <c r="AQ286" i="1" a="1"/>
  <c r="AQ287" i="1" a="1"/>
  <c r="AQ288" i="1" a="1"/>
  <c r="AQ289" i="1" a="1"/>
  <c r="AQ290" i="1" a="1"/>
  <c r="AQ291" i="1" a="1"/>
  <c r="AQ292" i="1" a="1"/>
  <c r="AQ293" i="1" a="1"/>
  <c r="AQ294" i="1" a="1"/>
  <c r="AQ295" i="1" a="1"/>
  <c r="AQ296" i="1" a="1"/>
  <c r="AQ297" i="1" a="1"/>
  <c r="AQ298" i="1" a="1"/>
  <c r="AQ299" i="1" a="1"/>
  <c r="AQ300" i="1" a="1"/>
  <c r="AQ301" i="1" a="1"/>
  <c r="AQ302" i="1" a="1"/>
  <c r="AQ303" i="1" a="1"/>
  <c r="AQ304" i="1" a="1"/>
  <c r="AQ305" i="1" a="1"/>
  <c r="AQ306" i="1" a="1"/>
  <c r="AQ307" i="1" a="1"/>
  <c r="AQ308" i="1" a="1"/>
  <c r="AQ309" i="1" a="1"/>
  <c r="AQ310" i="1" a="1"/>
  <c r="AQ311" i="1" a="1"/>
  <c r="AQ312" i="1" a="1"/>
  <c r="AQ313" i="1" a="1"/>
  <c r="AQ314" i="1" a="1"/>
  <c r="AQ315" i="1" a="1"/>
  <c r="AQ316" i="1" a="1"/>
  <c r="AQ317" i="1" a="1"/>
  <c r="AQ318" i="1" a="1"/>
  <c r="AQ319" i="1" a="1"/>
  <c r="AQ320" i="1" a="1"/>
  <c r="AQ321" i="1" a="1"/>
  <c r="AQ322" i="1" a="1"/>
  <c r="AQ323" i="1" a="1"/>
  <c r="AQ324" i="1" a="1"/>
  <c r="AQ325" i="1" a="1"/>
  <c r="AQ326" i="1" a="1"/>
  <c r="AQ327" i="1" a="1"/>
  <c r="AQ328" i="1" a="1"/>
  <c r="AQ329" i="1" a="1"/>
  <c r="AQ330" i="1" a="1"/>
  <c r="AQ331" i="1" a="1"/>
  <c r="AQ332" i="1" a="1"/>
  <c r="AQ333" i="1" a="1"/>
  <c r="AQ334" i="1" a="1"/>
  <c r="AQ335" i="1" a="1"/>
  <c r="AQ336" i="1" a="1"/>
  <c r="AQ337" i="1" a="1"/>
  <c r="AQ338" i="1" a="1"/>
  <c r="AQ339" i="1" a="1"/>
  <c r="AQ340" i="1" a="1"/>
  <c r="AQ341" i="1" a="1"/>
  <c r="AQ342" i="1" a="1"/>
  <c r="AQ343" i="1" a="1"/>
  <c r="AQ344" i="1" a="1"/>
  <c r="AQ345" i="1" a="1"/>
  <c r="AQ346" i="1" a="1"/>
  <c r="AQ347" i="1" a="1"/>
  <c r="AQ348" i="1" a="1"/>
  <c r="AQ349" i="1" a="1"/>
  <c r="AQ350" i="1" a="1"/>
  <c r="AQ351" i="1" a="1"/>
  <c r="AQ352" i="1" a="1"/>
  <c r="AQ353" i="1" a="1"/>
  <c r="AQ354" i="1" a="1"/>
  <c r="AQ355" i="1" a="1"/>
  <c r="AQ356" i="1" a="1"/>
  <c r="AQ357" i="1" a="1"/>
  <c r="AQ358" i="1" a="1"/>
  <c r="AQ359" i="1" a="1"/>
  <c r="AQ360" i="1" a="1"/>
  <c r="AQ361" i="1" a="1"/>
  <c r="AQ362" i="1" a="1"/>
  <c r="AQ363" i="1" a="1"/>
  <c r="AQ364" i="1" a="1"/>
  <c r="AQ365" i="1" a="1"/>
  <c r="AQ366" i="1" a="1"/>
  <c r="AQ367" i="1" a="1"/>
  <c r="AQ368" i="1" a="1"/>
  <c r="AQ369" i="1" a="1"/>
  <c r="AQ370" i="1" a="1"/>
  <c r="AQ371" i="1" a="1"/>
  <c r="AQ372" i="1" a="1"/>
  <c r="AQ373" i="1" a="1"/>
  <c r="AQ374" i="1" a="1"/>
  <c r="AQ375" i="1" a="1"/>
  <c r="AQ376" i="1" a="1"/>
  <c r="AQ377" i="1" a="1"/>
  <c r="AQ378" i="1" a="1"/>
  <c r="AQ379" i="1" a="1"/>
  <c r="AQ380" i="1" a="1"/>
  <c r="AQ381" i="1" a="1"/>
  <c r="AQ382" i="1" a="1"/>
  <c r="AQ383" i="1" a="1"/>
  <c r="AQ384" i="1" a="1"/>
  <c r="AQ385" i="1" a="1"/>
  <c r="AQ386" i="1" a="1"/>
  <c r="AQ387" i="1" a="1"/>
  <c r="AQ388" i="1" a="1"/>
  <c r="AQ389" i="1" a="1"/>
  <c r="AQ390" i="1" a="1"/>
  <c r="AQ391" i="1" a="1"/>
  <c r="AQ392" i="1" a="1"/>
  <c r="AQ393" i="1" a="1"/>
  <c r="AQ394" i="1" a="1"/>
  <c r="AQ395" i="1" a="1"/>
  <c r="AQ396" i="1" a="1"/>
  <c r="AQ397" i="1" a="1"/>
  <c r="AQ398" i="1" a="1"/>
  <c r="AQ399" i="1" a="1"/>
  <c r="AQ400" i="1" a="1"/>
  <c r="AQ401" i="1" a="1"/>
  <c r="AQ402" i="1" a="1"/>
  <c r="AQ403" i="1" a="1"/>
  <c r="AQ404" i="1" a="1"/>
  <c r="AQ405" i="1" a="1"/>
  <c r="AQ406" i="1" a="1"/>
  <c r="AQ407" i="1" a="1"/>
  <c r="AQ408" i="1" a="1"/>
  <c r="AQ409" i="1" a="1"/>
  <c r="AQ410" i="1" a="1"/>
  <c r="AQ411" i="1" a="1"/>
  <c r="AQ412" i="1" a="1"/>
  <c r="AQ413" i="1" a="1"/>
  <c r="AQ414" i="1" a="1"/>
  <c r="AQ415" i="1" a="1"/>
  <c r="AQ416" i="1" a="1"/>
  <c r="AQ417" i="1" a="1"/>
  <c r="AQ418" i="1" a="1"/>
  <c r="AQ419" i="1" a="1"/>
  <c r="AQ420" i="1" a="1"/>
  <c r="AQ421" i="1" a="1"/>
  <c r="AQ422" i="1" a="1"/>
  <c r="AQ423" i="1" a="1"/>
  <c r="AQ424" i="1" a="1"/>
  <c r="AQ425" i="1" a="1"/>
  <c r="AQ426" i="1" a="1"/>
  <c r="AQ427" i="1" a="1"/>
  <c r="AQ428" i="1" a="1"/>
  <c r="AQ429" i="1" a="1"/>
  <c r="AQ430" i="1" a="1"/>
  <c r="AQ431" i="1" a="1"/>
  <c r="AQ432" i="1" a="1"/>
  <c r="AQ433" i="1" a="1"/>
  <c r="AQ434" i="1" a="1"/>
  <c r="AQ435" i="1" a="1"/>
  <c r="AQ436" i="1" a="1"/>
  <c r="AQ437" i="1" a="1"/>
  <c r="AQ438" i="1" a="1"/>
  <c r="AQ439" i="1" a="1"/>
  <c r="AQ440" i="1" a="1"/>
  <c r="AQ441" i="1" a="1"/>
  <c r="AQ442" i="1" a="1"/>
  <c r="AQ443" i="1" a="1"/>
  <c r="AQ444" i="1" a="1"/>
  <c r="AQ445" i="1" a="1"/>
  <c r="AQ446" i="1" a="1"/>
  <c r="AQ447" i="1" a="1"/>
  <c r="AQ448" i="1" a="1"/>
  <c r="AQ449" i="1" a="1"/>
  <c r="AQ450" i="1" a="1"/>
  <c r="AQ451" i="1" a="1"/>
  <c r="AQ452" i="1" a="1"/>
  <c r="AQ453" i="1" a="1"/>
  <c r="AQ454" i="1" a="1"/>
  <c r="AQ455" i="1" a="1"/>
  <c r="AQ456" i="1" a="1"/>
  <c r="AQ457" i="1" a="1"/>
  <c r="AQ458" i="1" a="1"/>
  <c r="AQ459" i="1" a="1"/>
  <c r="AQ460" i="1" a="1"/>
  <c r="AQ461" i="1" a="1"/>
  <c r="AQ462" i="1" a="1"/>
  <c r="AQ463" i="1" a="1"/>
  <c r="AQ464" i="1" a="1"/>
  <c r="AQ465" i="1" a="1"/>
  <c r="AQ466" i="1" a="1"/>
  <c r="AQ467" i="1" a="1"/>
  <c r="AQ468" i="1" a="1"/>
  <c r="AQ469" i="1" a="1"/>
  <c r="AQ470" i="1" a="1"/>
  <c r="AQ471" i="1" a="1"/>
  <c r="AQ472" i="1" a="1"/>
  <c r="AQ473" i="1" a="1"/>
  <c r="AQ474" i="1" a="1"/>
  <c r="AQ475" i="1" a="1"/>
  <c r="AQ476" i="1" a="1"/>
  <c r="AQ477" i="1" a="1"/>
  <c r="AQ478" i="1" a="1"/>
  <c r="AQ479" i="1" a="1"/>
  <c r="AQ480" i="1" a="1"/>
  <c r="AQ481" i="1" a="1"/>
  <c r="AQ482" i="1" a="1"/>
  <c r="AQ483" i="1" a="1"/>
  <c r="AQ484" i="1" a="1"/>
  <c r="AQ485" i="1" a="1"/>
  <c r="AQ486" i="1" a="1"/>
  <c r="AQ487" i="1" a="1"/>
  <c r="AQ488" i="1" a="1"/>
  <c r="AQ489" i="1" a="1"/>
  <c r="AQ490" i="1" a="1"/>
  <c r="AQ491" i="1" a="1"/>
  <c r="AQ492" i="1" a="1"/>
  <c r="AQ493" i="1" a="1"/>
  <c r="AQ494" i="1" a="1"/>
  <c r="AQ495" i="1" a="1"/>
  <c r="AQ496" i="1" a="1"/>
  <c r="AQ497" i="1" a="1"/>
  <c r="AQ498" i="1" a="1"/>
  <c r="AQ499" i="1" a="1"/>
  <c r="AQ500" i="1" a="1"/>
  <c r="AQ501" i="1" a="1"/>
  <c r="AQ502" i="1" a="1"/>
  <c r="AQ503" i="1" a="1"/>
  <c r="AQ504" i="1" a="1"/>
  <c r="AQ505" i="1" a="1"/>
  <c r="AQ506" i="1" a="1"/>
  <c r="AQ507" i="1" a="1"/>
  <c r="AQ508" i="1" a="1"/>
  <c r="AQ509" i="1" a="1"/>
  <c r="AQ510" i="1" a="1"/>
  <c r="AQ511" i="1" a="1"/>
  <c r="AQ512" i="1" a="1"/>
  <c r="AQ513" i="1" a="1"/>
  <c r="AQ514" i="1" a="1"/>
  <c r="AQ515" i="1" a="1"/>
  <c r="AQ516" i="1" a="1"/>
  <c r="AQ517" i="1" a="1"/>
  <c r="AQ518" i="1" a="1"/>
  <c r="AQ519" i="1" a="1"/>
  <c r="AQ520" i="1" a="1"/>
  <c r="AQ521" i="1" a="1"/>
  <c r="AQ522" i="1" a="1"/>
  <c r="AQ523" i="1" a="1"/>
  <c r="AQ524" i="1" a="1"/>
  <c r="AQ525" i="1" a="1"/>
  <c r="AQ526" i="1" a="1"/>
  <c r="AQ527" i="1" a="1"/>
  <c r="AQ528" i="1" a="1"/>
  <c r="AQ529" i="1" a="1"/>
  <c r="AQ530" i="1" a="1"/>
  <c r="AQ531" i="1" a="1"/>
  <c r="AQ532" i="1" a="1"/>
  <c r="AQ533" i="1" a="1"/>
  <c r="AQ534" i="1" a="1"/>
  <c r="AQ535" i="1" a="1"/>
  <c r="AQ536" i="1" a="1"/>
  <c r="AQ537" i="1" a="1"/>
  <c r="AQ538" i="1" a="1"/>
  <c r="AQ539" i="1" a="1"/>
  <c r="AQ540" i="1" a="1"/>
  <c r="AQ541" i="1" a="1"/>
  <c r="AQ542" i="1" a="1"/>
  <c r="AQ543" i="1" a="1"/>
  <c r="AQ544" i="1" a="1"/>
  <c r="AQ545" i="1" a="1"/>
  <c r="AQ546" i="1" a="1"/>
  <c r="AQ547" i="1" a="1"/>
  <c r="AQ548" i="1" a="1"/>
  <c r="AQ549" i="1" a="1"/>
  <c r="AQ550" i="1" a="1"/>
  <c r="AQ551" i="1" a="1"/>
  <c r="AQ552" i="1" a="1"/>
  <c r="AQ553" i="1" a="1"/>
  <c r="AQ554" i="1" a="1"/>
  <c r="AQ555" i="1" a="1"/>
  <c r="AQ556" i="1" a="1"/>
  <c r="AQ557" i="1" a="1"/>
  <c r="AQ558" i="1" a="1"/>
  <c r="AQ559" i="1" a="1"/>
  <c r="AQ560" i="1" a="1"/>
  <c r="AQ561" i="1" a="1"/>
  <c r="AQ562" i="1" a="1"/>
  <c r="AQ563" i="1" a="1"/>
  <c r="AQ564" i="1" a="1"/>
  <c r="AQ565" i="1" a="1"/>
  <c r="AQ566" i="1" a="1"/>
  <c r="AQ567" i="1" a="1"/>
  <c r="AQ568" i="1" a="1"/>
  <c r="AQ569" i="1" a="1"/>
  <c r="AQ570" i="1" a="1"/>
  <c r="AQ571" i="1" a="1"/>
  <c r="AQ572" i="1" a="1"/>
  <c r="AQ573" i="1" a="1"/>
  <c r="AQ574" i="1" a="1"/>
  <c r="AQ575" i="1" a="1"/>
  <c r="AQ576" i="1" a="1"/>
  <c r="AQ577" i="1" a="1"/>
  <c r="AQ578" i="1" a="1"/>
  <c r="AQ579" i="1" a="1"/>
  <c r="AQ580" i="1" a="1"/>
  <c r="AQ581" i="1" a="1"/>
  <c r="AQ582" i="1" a="1"/>
  <c r="AQ583" i="1" a="1"/>
  <c r="AQ584" i="1" a="1"/>
  <c r="AQ585" i="1" a="1"/>
  <c r="AQ586" i="1" a="1"/>
  <c r="AQ587" i="1" a="1"/>
  <c r="AQ588" i="1" a="1"/>
  <c r="AQ589" i="1" a="1"/>
  <c r="AQ590" i="1" a="1"/>
  <c r="AQ591" i="1" a="1"/>
  <c r="AQ592" i="1" a="1"/>
  <c r="AQ593" i="1" a="1"/>
  <c r="AQ594" i="1" a="1"/>
  <c r="AQ595" i="1" a="1"/>
  <c r="AQ596" i="1" a="1"/>
  <c r="AQ597" i="1" a="1"/>
  <c r="AQ598" i="1" a="1"/>
  <c r="AQ599" i="1" a="1"/>
  <c r="AQ600" i="1" a="1"/>
  <c r="AQ601" i="1" a="1"/>
  <c r="AQ602" i="1" a="1"/>
  <c r="AQ603" i="1" a="1"/>
  <c r="AQ604" i="1" a="1"/>
  <c r="AQ605" i="1" a="1"/>
  <c r="AQ606" i="1" a="1"/>
  <c r="AQ607" i="1" a="1"/>
  <c r="AQ608" i="1" a="1"/>
  <c r="AQ609" i="1" a="1"/>
  <c r="AQ610" i="1" a="1"/>
  <c r="AQ611" i="1" a="1"/>
  <c r="AQ612" i="1" a="1"/>
  <c r="AQ613" i="1" a="1"/>
  <c r="AQ614" i="1" a="1"/>
  <c r="AQ615" i="1" a="1"/>
  <c r="AQ616" i="1" a="1"/>
  <c r="AQ617" i="1" a="1"/>
  <c r="AQ618" i="1" a="1"/>
  <c r="AQ619" i="1" a="1"/>
  <c r="AQ620" i="1" a="1"/>
  <c r="AQ621" i="1" a="1"/>
  <c r="AQ622" i="1" a="1"/>
  <c r="AQ623" i="1" a="1"/>
  <c r="AQ624" i="1" a="1"/>
  <c r="AQ625" i="1" a="1"/>
  <c r="AQ626" i="1" a="1"/>
  <c r="AQ627" i="1" a="1"/>
  <c r="AQ628" i="1" a="1"/>
  <c r="AQ629" i="1" a="1"/>
  <c r="AQ630" i="1" a="1"/>
  <c r="AQ631" i="1" a="1"/>
  <c r="AQ632" i="1" a="1"/>
  <c r="AQ633" i="1" a="1"/>
  <c r="AQ634" i="1" a="1"/>
  <c r="AQ635" i="1" a="1"/>
  <c r="AQ636" i="1" a="1"/>
  <c r="AQ637" i="1" a="1"/>
  <c r="AQ638" i="1" a="1"/>
  <c r="AQ639" i="1" a="1"/>
  <c r="AQ640" i="1" a="1"/>
  <c r="AQ641" i="1" a="1"/>
  <c r="AQ642" i="1" a="1"/>
  <c r="AQ643" i="1" a="1"/>
  <c r="AQ644" i="1" a="1"/>
  <c r="AQ645" i="1" a="1"/>
  <c r="AQ646" i="1" a="1"/>
  <c r="AQ647" i="1" a="1"/>
  <c r="AQ648" i="1" a="1"/>
  <c r="AQ649" i="1" a="1"/>
  <c r="AQ650" i="1" a="1"/>
  <c r="AQ651" i="1" a="1"/>
  <c r="AQ652" i="1" a="1"/>
  <c r="AQ653" i="1" a="1"/>
  <c r="AQ654" i="1" a="1"/>
  <c r="AQ655" i="1" a="1"/>
  <c r="AQ656" i="1" a="1"/>
  <c r="AQ657" i="1" a="1"/>
  <c r="AQ658" i="1" a="1"/>
  <c r="AQ659" i="1" a="1"/>
  <c r="AQ660" i="1" a="1"/>
  <c r="AQ661" i="1" a="1"/>
  <c r="AQ662" i="1" a="1"/>
  <c r="AQ663" i="1" a="1"/>
  <c r="AQ664" i="1" a="1"/>
  <c r="AQ665" i="1" a="1"/>
  <c r="AQ666" i="1" a="1"/>
  <c r="AQ667" i="1" a="1"/>
  <c r="AQ668" i="1" a="1"/>
  <c r="AQ669" i="1" a="1"/>
  <c r="AQ670" i="1" a="1"/>
  <c r="AQ671" i="1" a="1"/>
  <c r="AQ672" i="1" a="1"/>
  <c r="AQ673" i="1" a="1"/>
  <c r="AQ674" i="1" a="1"/>
  <c r="AQ675" i="1" a="1"/>
  <c r="AQ676" i="1" a="1"/>
  <c r="AQ677" i="1" a="1"/>
  <c r="AQ678" i="1" a="1"/>
  <c r="AQ679" i="1" a="1"/>
  <c r="AQ680" i="1" a="1"/>
  <c r="AQ681" i="1" a="1"/>
  <c r="AQ682" i="1" a="1"/>
  <c r="AQ683" i="1" a="1"/>
  <c r="AQ684" i="1" a="1"/>
  <c r="AQ685" i="1" a="1"/>
  <c r="AQ686" i="1" a="1"/>
  <c r="AQ687" i="1" a="1"/>
  <c r="AQ688" i="1" a="1"/>
  <c r="AQ689" i="1" a="1"/>
  <c r="AQ690" i="1" a="1"/>
  <c r="AQ691" i="1" a="1"/>
  <c r="AQ692" i="1" a="1"/>
  <c r="AQ693" i="1" a="1"/>
  <c r="AQ694" i="1" a="1"/>
  <c r="AQ695" i="1" a="1"/>
  <c r="AQ696" i="1" a="1"/>
  <c r="AQ697" i="1" a="1"/>
  <c r="AQ698" i="1" a="1"/>
  <c r="AQ699" i="1" a="1"/>
  <c r="AQ700" i="1" a="1"/>
  <c r="AQ701" i="1" a="1"/>
  <c r="AQ702" i="1" a="1"/>
  <c r="AQ703" i="1" a="1"/>
  <c r="AQ704" i="1" a="1"/>
  <c r="AQ705" i="1" a="1"/>
  <c r="AQ706" i="1" a="1"/>
  <c r="AQ707" i="1" a="1"/>
  <c r="AQ708" i="1" a="1"/>
  <c r="AQ709" i="1" a="1"/>
  <c r="AQ710" i="1" a="1"/>
  <c r="AQ711" i="1" a="1"/>
  <c r="AQ712" i="1" a="1"/>
  <c r="AQ713" i="1" a="1"/>
  <c r="AQ714" i="1" a="1"/>
  <c r="AQ715" i="1" a="1"/>
  <c r="AQ716" i="1" a="1"/>
  <c r="AQ717" i="1" a="1"/>
  <c r="AQ718" i="1" a="1"/>
  <c r="AQ719" i="1" a="1"/>
  <c r="AQ720" i="1" a="1"/>
  <c r="AQ721" i="1" a="1"/>
  <c r="AQ722" i="1" a="1"/>
  <c r="AQ723" i="1" a="1"/>
  <c r="AQ724" i="1" a="1"/>
  <c r="AQ725" i="1" a="1"/>
  <c r="AQ726" i="1" a="1"/>
  <c r="AQ727" i="1" a="1"/>
  <c r="AQ728" i="1" a="1"/>
  <c r="AQ729" i="1" a="1"/>
  <c r="AQ730" i="1" a="1"/>
  <c r="AQ731" i="1" a="1"/>
  <c r="AQ732" i="1" a="1"/>
  <c r="AQ733" i="1" a="1"/>
  <c r="AQ734" i="1" a="1"/>
  <c r="AQ735" i="1" a="1"/>
  <c r="AQ736" i="1" a="1"/>
  <c r="AQ737" i="1" a="1"/>
  <c r="AQ738" i="1" a="1"/>
  <c r="AQ739" i="1" a="1"/>
  <c r="AQ740" i="1" a="1"/>
  <c r="AQ741" i="1" a="1"/>
  <c r="AQ742" i="1" a="1"/>
  <c r="AQ743" i="1" a="1"/>
  <c r="AQ744" i="1" a="1"/>
  <c r="AQ745" i="1" a="1"/>
  <c r="AQ746" i="1" a="1"/>
  <c r="AQ747" i="1" a="1"/>
  <c r="AQ748" i="1" a="1"/>
  <c r="AQ749" i="1" a="1"/>
  <c r="AQ750" i="1" a="1"/>
  <c r="AQ751" i="1" a="1"/>
  <c r="AQ752" i="1" a="1"/>
  <c r="AQ753" i="1" a="1"/>
  <c r="AQ754" i="1" a="1"/>
  <c r="AQ755" i="1" a="1"/>
  <c r="AQ756" i="1" a="1"/>
  <c r="AQ757" i="1" a="1"/>
  <c r="AQ758" i="1" a="1"/>
  <c r="AQ759" i="1" a="1"/>
  <c r="AQ760" i="1" a="1"/>
  <c r="AQ761" i="1" a="1"/>
  <c r="AQ762" i="1" a="1"/>
  <c r="AQ763" i="1" a="1"/>
  <c r="AQ764" i="1" a="1"/>
  <c r="AQ765" i="1" a="1"/>
  <c r="AQ766" i="1" a="1"/>
  <c r="AQ767" i="1" a="1"/>
  <c r="AQ768" i="1" a="1"/>
  <c r="AQ769" i="1" a="1"/>
  <c r="AQ770" i="1" a="1"/>
  <c r="AQ771" i="1" a="1"/>
  <c r="AQ772" i="1" a="1"/>
  <c r="AQ773" i="1" a="1"/>
  <c r="AQ774" i="1" a="1"/>
  <c r="AQ775" i="1" a="1"/>
  <c r="AQ776" i="1" a="1"/>
  <c r="AQ777" i="1" a="1"/>
  <c r="AQ778" i="1" a="1"/>
  <c r="AQ779" i="1" a="1"/>
  <c r="AQ780" i="1" a="1"/>
  <c r="AQ781" i="1" a="1"/>
  <c r="AQ782" i="1" a="1"/>
  <c r="AQ783" i="1" a="1"/>
  <c r="AQ784" i="1" a="1"/>
  <c r="AQ785" i="1" a="1"/>
  <c r="AQ786" i="1" a="1"/>
  <c r="AQ787" i="1" a="1"/>
  <c r="AQ788" i="1" a="1"/>
  <c r="AQ789" i="1" a="1"/>
  <c r="AQ790" i="1" a="1"/>
  <c r="AQ791" i="1" a="1"/>
  <c r="AQ792" i="1" a="1"/>
  <c r="AQ793" i="1" a="1"/>
  <c r="AQ794" i="1" a="1"/>
  <c r="AQ795" i="1" a="1"/>
  <c r="AQ796" i="1" a="1"/>
  <c r="AQ797" i="1" a="1"/>
  <c r="AQ798" i="1" a="1"/>
  <c r="AQ799" i="1" a="1"/>
  <c r="AQ800" i="1" a="1"/>
  <c r="AQ801" i="1" a="1"/>
  <c r="AQ802" i="1" a="1"/>
  <c r="AQ803" i="1" a="1"/>
  <c r="AQ804" i="1" a="1"/>
  <c r="AQ805" i="1" a="1"/>
  <c r="AQ806" i="1" a="1"/>
  <c r="AQ807" i="1" a="1"/>
  <c r="AQ808" i="1" a="1"/>
  <c r="AQ809" i="1" a="1"/>
  <c r="AQ810" i="1" a="1"/>
  <c r="AQ811" i="1" a="1"/>
  <c r="AQ812" i="1" a="1"/>
  <c r="AQ813" i="1" a="1"/>
  <c r="AQ814" i="1" a="1"/>
  <c r="AQ815" i="1" a="1"/>
  <c r="AQ816" i="1" a="1"/>
  <c r="AQ817" i="1" a="1"/>
  <c r="AQ818" i="1" a="1"/>
  <c r="AQ819" i="1" a="1"/>
  <c r="AQ820" i="1" a="1"/>
  <c r="AQ821" i="1" a="1"/>
  <c r="AQ822" i="1" a="1"/>
  <c r="AQ823" i="1" a="1"/>
  <c r="AQ824" i="1" a="1"/>
  <c r="AQ825" i="1" a="1"/>
  <c r="AQ826" i="1" a="1"/>
  <c r="AQ827" i="1" a="1"/>
  <c r="AQ828" i="1" a="1"/>
  <c r="AQ829" i="1" a="1"/>
  <c r="AQ830" i="1" a="1"/>
  <c r="AQ831" i="1" a="1"/>
  <c r="AQ832" i="1" a="1"/>
  <c r="AQ833" i="1" a="1"/>
  <c r="AQ834" i="1" a="1"/>
  <c r="AQ835" i="1" a="1"/>
  <c r="AQ836" i="1" a="1"/>
  <c r="AQ837" i="1" a="1"/>
  <c r="AQ838" i="1" a="1"/>
  <c r="AQ839" i="1" a="1"/>
  <c r="AQ840" i="1" a="1"/>
  <c r="AQ841" i="1" a="1"/>
  <c r="AQ842" i="1" a="1"/>
  <c r="AQ843" i="1" a="1"/>
  <c r="AQ844" i="1" a="1"/>
  <c r="AQ845" i="1" a="1"/>
  <c r="AQ846" i="1" a="1"/>
  <c r="AQ847" i="1" a="1"/>
  <c r="AQ848" i="1" a="1"/>
  <c r="AQ849" i="1" a="1"/>
  <c r="AQ850" i="1" a="1"/>
  <c r="AQ851" i="1" a="1"/>
  <c r="AQ852" i="1" a="1"/>
  <c r="AQ853" i="1" a="1"/>
  <c r="AQ854" i="1" a="1"/>
  <c r="AQ855" i="1" a="1"/>
  <c r="AQ856" i="1" a="1"/>
  <c r="AQ857" i="1" a="1"/>
  <c r="AQ858" i="1" a="1"/>
  <c r="AQ859" i="1" a="1"/>
  <c r="AQ860" i="1" a="1"/>
  <c r="AQ861" i="1" a="1"/>
  <c r="AQ862" i="1" a="1"/>
  <c r="AQ863" i="1" a="1"/>
  <c r="AQ864" i="1" a="1"/>
  <c r="AQ865" i="1" a="1"/>
  <c r="AQ866" i="1" a="1"/>
  <c r="AQ867" i="1" a="1"/>
  <c r="AQ868" i="1" a="1"/>
  <c r="AQ869" i="1" a="1"/>
  <c r="AQ870" i="1" a="1"/>
  <c r="AQ871" i="1" a="1"/>
  <c r="AQ872" i="1" a="1"/>
  <c r="AQ873" i="1" a="1"/>
  <c r="AQ874" i="1" a="1"/>
  <c r="AQ875" i="1" a="1"/>
  <c r="AQ876" i="1" a="1"/>
  <c r="AQ877" i="1" a="1"/>
  <c r="AQ878" i="1" a="1"/>
  <c r="AQ879" i="1" a="1"/>
  <c r="AQ880" i="1" a="1"/>
  <c r="AQ881" i="1" a="1"/>
  <c r="AQ882" i="1" a="1"/>
  <c r="AQ883" i="1" a="1"/>
  <c r="AQ884" i="1" a="1"/>
  <c r="AQ885" i="1" a="1"/>
  <c r="AQ886" i="1" a="1"/>
  <c r="AQ887" i="1" a="1"/>
  <c r="AQ888" i="1" a="1"/>
  <c r="AQ889" i="1" a="1"/>
  <c r="AQ890" i="1" a="1"/>
  <c r="AQ891" i="1" a="1"/>
  <c r="AQ892" i="1" a="1"/>
  <c r="AQ893" i="1" a="1"/>
  <c r="AQ894" i="1" a="1"/>
  <c r="AQ895" i="1" a="1"/>
  <c r="AQ896" i="1" a="1"/>
  <c r="AQ897" i="1" a="1"/>
  <c r="AQ898" i="1" a="1"/>
  <c r="AQ899" i="1" a="1"/>
  <c r="AQ900" i="1" a="1"/>
  <c r="AQ901" i="1" a="1"/>
  <c r="AQ902" i="1" a="1"/>
  <c r="AQ903" i="1" a="1"/>
  <c r="AQ904" i="1" a="1"/>
  <c r="AQ905" i="1" a="1"/>
  <c r="AQ906" i="1" a="1"/>
  <c r="AQ907" i="1" a="1"/>
  <c r="AQ908" i="1" a="1"/>
  <c r="AQ909" i="1" a="1"/>
  <c r="AQ910" i="1" a="1"/>
  <c r="AQ911" i="1" a="1"/>
  <c r="AQ912" i="1" a="1"/>
  <c r="AQ913" i="1" a="1"/>
  <c r="AQ914" i="1" a="1"/>
  <c r="AQ915" i="1" a="1"/>
  <c r="AQ916" i="1" a="1"/>
  <c r="AQ917" i="1" a="1"/>
  <c r="AQ918" i="1" a="1"/>
  <c r="AQ919" i="1" a="1"/>
  <c r="AQ920" i="1" a="1"/>
  <c r="AQ921" i="1" a="1"/>
  <c r="AQ922" i="1" a="1"/>
  <c r="AQ923" i="1" a="1"/>
  <c r="AQ924" i="1" a="1"/>
  <c r="AQ925" i="1" a="1"/>
  <c r="AQ926" i="1" a="1"/>
  <c r="AQ927" i="1" a="1"/>
  <c r="AQ928" i="1" a="1"/>
  <c r="AQ929" i="1" a="1"/>
  <c r="AQ930" i="1" a="1"/>
  <c r="AQ931" i="1" a="1"/>
  <c r="AQ932" i="1" a="1"/>
  <c r="AQ933" i="1" a="1"/>
  <c r="AQ934" i="1" a="1"/>
  <c r="AQ935" i="1" a="1"/>
  <c r="AQ936" i="1" a="1"/>
  <c r="AQ937" i="1" a="1"/>
  <c r="AQ938" i="1" a="1"/>
  <c r="AQ939" i="1" a="1"/>
  <c r="AQ940" i="1" a="1"/>
  <c r="AQ941" i="1" a="1"/>
  <c r="AQ942" i="1" a="1"/>
  <c r="AQ943" i="1" a="1"/>
  <c r="AQ944" i="1" a="1"/>
  <c r="AQ945" i="1" a="1"/>
  <c r="AQ946" i="1" a="1"/>
  <c r="AQ947" i="1" a="1"/>
  <c r="AQ948" i="1" a="1"/>
  <c r="AQ949" i="1" a="1"/>
  <c r="AQ950" i="1" a="1"/>
  <c r="AQ951" i="1" a="1"/>
  <c r="AQ952" i="1" a="1"/>
  <c r="AQ953" i="1" a="1"/>
  <c r="AQ954" i="1" a="1"/>
  <c r="AQ955" i="1" a="1"/>
  <c r="AQ956" i="1" a="1"/>
  <c r="AQ957" i="1" a="1"/>
  <c r="AQ958" i="1" a="1"/>
  <c r="AQ959" i="1" a="1"/>
  <c r="AQ960" i="1" a="1"/>
  <c r="AQ961" i="1" a="1"/>
  <c r="AQ962" i="1" a="1"/>
  <c r="AQ963" i="1" a="1"/>
  <c r="AQ964" i="1" a="1"/>
  <c r="AQ965" i="1" a="1"/>
  <c r="AQ966" i="1" a="1"/>
  <c r="AQ967" i="1" a="1"/>
  <c r="AQ968" i="1" a="1"/>
  <c r="AQ969" i="1" a="1"/>
  <c r="AQ970" i="1" a="1"/>
  <c r="AQ971" i="1" a="1"/>
  <c r="AQ972" i="1" a="1"/>
  <c r="AQ973" i="1" a="1"/>
  <c r="AQ974" i="1" a="1"/>
  <c r="AQ975" i="1" a="1"/>
  <c r="AQ976" i="1" a="1"/>
  <c r="AQ977" i="1" a="1"/>
  <c r="AQ978" i="1" a="1"/>
  <c r="AQ979" i="1" a="1"/>
  <c r="AQ980" i="1" a="1"/>
  <c r="AQ981" i="1" a="1"/>
  <c r="AQ982" i="1" a="1"/>
  <c r="AQ983" i="1" a="1"/>
  <c r="AQ984" i="1" a="1"/>
  <c r="AQ985" i="1" a="1"/>
  <c r="AQ986" i="1" a="1"/>
  <c r="AQ987" i="1" a="1"/>
  <c r="AQ988" i="1" a="1"/>
  <c r="AQ989" i="1" a="1"/>
  <c r="AQ990" i="1" a="1"/>
  <c r="AQ991" i="1" a="1"/>
  <c r="AQ992" i="1" a="1"/>
  <c r="AQ993" i="1" a="1"/>
  <c r="AQ994" i="1" a="1"/>
  <c r="AQ995" i="1" a="1"/>
  <c r="AQ996" i="1" a="1"/>
  <c r="AQ997" i="1" a="1"/>
  <c r="AQ998" i="1" a="1"/>
  <c r="AQ999" i="1" a="1"/>
  <c r="AQ1000" i="1" a="1"/>
  <c r="AQ1001" i="1" a="1"/>
  <c r="AQ1002" i="1" a="1"/>
  <c r="AQ1003" i="1" a="1"/>
  <c r="AQ1004" i="1" a="1"/>
  <c r="AQ1005" i="1" a="1"/>
  <c r="AQ1006" i="1" a="1"/>
  <c r="AQ1007" i="1" a="1"/>
  <c r="AQ1008" i="1" a="1"/>
  <c r="AQ1009" i="1" a="1"/>
  <c r="AQ1010" i="1" a="1"/>
  <c r="AQ1011" i="1" a="1"/>
  <c r="AQ1012" i="1" a="1"/>
  <c r="AQ1013" i="1" a="1"/>
  <c r="AQ1014" i="1" a="1"/>
  <c r="AQ1015" i="1" a="1"/>
  <c r="AQ1016" i="1" a="1"/>
  <c r="AQ1017" i="1" a="1"/>
  <c r="AQ1018" i="1" a="1"/>
  <c r="AQ1019" i="1" a="1"/>
  <c r="AQ1020" i="1" a="1"/>
  <c r="AQ1021" i="1" a="1"/>
  <c r="AQ1022" i="1" a="1"/>
  <c r="AQ1023" i="1" a="1"/>
  <c r="AQ1024" i="1" a="1"/>
  <c r="AQ1025" i="1" a="1"/>
  <c r="AQ1026" i="1" a="1"/>
  <c r="AQ1027" i="1" a="1"/>
  <c r="AQ1028" i="1" a="1"/>
  <c r="AQ1029" i="1" a="1"/>
  <c r="AQ1030" i="1" a="1"/>
  <c r="AQ1031" i="1" a="1"/>
  <c r="AQ1032" i="1" a="1"/>
  <c r="AQ1033" i="1" a="1"/>
  <c r="AQ1034" i="1" a="1"/>
  <c r="AQ1035" i="1" a="1"/>
  <c r="AQ1036" i="1" a="1"/>
  <c r="AQ1037" i="1" a="1"/>
  <c r="AQ1038" i="1" a="1"/>
  <c r="AQ1039" i="1" a="1"/>
  <c r="AQ1040" i="1" a="1"/>
  <c r="AQ1041" i="1" a="1"/>
  <c r="AQ1042" i="1" a="1"/>
  <c r="AQ1043" i="1" a="1"/>
  <c r="AQ1044" i="1" a="1"/>
  <c r="AQ1045" i="1" a="1"/>
  <c r="AQ1046" i="1" a="1"/>
  <c r="AQ1047" i="1" a="1"/>
  <c r="AQ1048" i="1" a="1"/>
  <c r="AQ1049" i="1" a="1"/>
  <c r="AQ1050" i="1" a="1"/>
  <c r="AQ1051" i="1" a="1"/>
  <c r="AQ1052" i="1" a="1"/>
  <c r="AQ1053" i="1" a="1"/>
  <c r="AQ1054" i="1" a="1"/>
  <c r="AQ1055" i="1" a="1"/>
  <c r="AQ1056" i="1" a="1"/>
  <c r="AQ1057" i="1" a="1"/>
  <c r="AQ1058" i="1" a="1"/>
  <c r="AQ1059" i="1" a="1"/>
  <c r="AQ1060" i="1" a="1"/>
  <c r="AQ1061" i="1" a="1"/>
  <c r="AQ1062" i="1" a="1"/>
  <c r="AQ1063" i="1" a="1"/>
  <c r="AQ1064" i="1" a="1"/>
  <c r="AQ1065" i="1" a="1"/>
  <c r="AQ1066" i="1" a="1"/>
  <c r="AQ1067" i="1" a="1"/>
  <c r="AQ1068" i="1" a="1"/>
  <c r="AQ1069" i="1" a="1"/>
  <c r="AQ1070" i="1" a="1"/>
  <c r="AQ1071" i="1" a="1"/>
  <c r="AQ1072" i="1" a="1"/>
  <c r="AQ1073" i="1" a="1"/>
  <c r="AQ1074" i="1" a="1"/>
  <c r="AQ1075" i="1" a="1"/>
  <c r="AQ1076" i="1" a="1"/>
  <c r="AQ1077" i="1" a="1"/>
  <c r="AQ1078" i="1" a="1"/>
  <c r="AQ1079" i="1" a="1"/>
  <c r="AQ1080" i="1" a="1"/>
  <c r="AQ1081" i="1" a="1"/>
  <c r="AQ1082" i="1" a="1"/>
  <c r="AQ1083" i="1" a="1"/>
  <c r="AQ1084" i="1" a="1"/>
  <c r="AQ1085" i="1" a="1"/>
  <c r="AQ1086" i="1" a="1"/>
  <c r="AQ1087" i="1" a="1"/>
  <c r="AQ1088" i="1" a="1"/>
  <c r="AQ1089" i="1" a="1"/>
  <c r="AQ1090" i="1" a="1"/>
  <c r="AQ1091" i="1" a="1"/>
  <c r="AQ1092" i="1" a="1"/>
  <c r="AQ1093" i="1" a="1"/>
  <c r="AQ1094" i="1" a="1"/>
  <c r="AQ1095" i="1" a="1"/>
  <c r="AQ1096" i="1" a="1"/>
  <c r="AQ1097" i="1" a="1"/>
  <c r="AQ1098" i="1" a="1"/>
  <c r="AQ1099" i="1" a="1"/>
  <c r="AQ1100" i="1" a="1"/>
  <c r="AQ1101" i="1" a="1"/>
  <c r="AQ1102" i="1" a="1"/>
  <c r="AQ1103" i="1" a="1"/>
  <c r="AQ1104" i="1" a="1"/>
  <c r="AQ1105" i="1" a="1"/>
  <c r="AQ1106" i="1" a="1"/>
  <c r="AQ1107" i="1" a="1"/>
  <c r="AQ1108" i="1" a="1"/>
  <c r="AQ1109" i="1" a="1"/>
  <c r="AQ1110" i="1" a="1"/>
  <c r="AQ1111" i="1" a="1"/>
  <c r="AQ1112" i="1" a="1"/>
  <c r="AQ1113" i="1" a="1"/>
  <c r="AQ1114" i="1" a="1"/>
  <c r="AQ1115" i="1" a="1"/>
  <c r="AQ1116" i="1" a="1"/>
  <c r="AQ1117" i="1" a="1"/>
  <c r="AQ1118" i="1" a="1"/>
  <c r="AQ1119" i="1" a="1"/>
  <c r="AQ1120" i="1" a="1"/>
  <c r="AQ1121" i="1" a="1"/>
  <c r="AQ1122" i="1" a="1"/>
  <c r="AQ1123" i="1" a="1"/>
  <c r="AQ1124" i="1" a="1"/>
  <c r="AQ1125" i="1" a="1"/>
  <c r="AQ1126" i="1" a="1"/>
  <c r="AQ1127" i="1" a="1"/>
  <c r="AQ1128" i="1" a="1"/>
  <c r="AQ1129" i="1" a="1"/>
  <c r="AQ1130" i="1" a="1"/>
  <c r="AQ1131" i="1" a="1"/>
  <c r="AQ1132" i="1" a="1"/>
  <c r="AQ1133" i="1" a="1"/>
  <c r="AQ1134" i="1" a="1"/>
  <c r="AQ1135" i="1" a="1"/>
  <c r="AQ1136" i="1" a="1"/>
  <c r="AQ1137" i="1" a="1"/>
  <c r="AQ1138" i="1" a="1"/>
  <c r="AQ1139" i="1" a="1"/>
  <c r="AQ1140" i="1" a="1"/>
  <c r="AQ1141" i="1" a="1"/>
  <c r="AQ1142" i="1" a="1"/>
  <c r="AQ1143" i="1" a="1"/>
  <c r="AQ1144" i="1" a="1"/>
  <c r="AQ1145" i="1" a="1"/>
  <c r="AQ1146" i="1" a="1"/>
  <c r="AQ1147" i="1" a="1"/>
  <c r="AQ1148" i="1" a="1"/>
  <c r="AQ1149" i="1" a="1"/>
  <c r="AQ1150" i="1" a="1"/>
  <c r="AQ1151" i="1" a="1"/>
  <c r="AQ1152" i="1" a="1"/>
  <c r="AQ1153" i="1" a="1"/>
  <c r="AQ1154" i="1" a="1"/>
  <c r="AQ1155" i="1" a="1"/>
  <c r="AQ1156" i="1" a="1"/>
  <c r="AQ1157" i="1" a="1"/>
  <c r="AQ1158" i="1" a="1"/>
  <c r="AQ1159" i="1" a="1"/>
  <c r="AQ1160" i="1" a="1"/>
  <c r="AQ1161" i="1" a="1"/>
  <c r="AQ1162" i="1" a="1"/>
  <c r="AQ1163" i="1" a="1"/>
  <c r="AQ1164" i="1" a="1"/>
  <c r="AQ1165" i="1" a="1"/>
  <c r="AQ1166" i="1" a="1"/>
  <c r="AQ1167" i="1" a="1"/>
  <c r="AQ1168" i="1" a="1"/>
  <c r="AQ1169" i="1" a="1"/>
  <c r="AQ1170" i="1" a="1"/>
  <c r="AQ1171" i="1" a="1"/>
  <c r="AQ1172" i="1" a="1"/>
  <c r="AQ1173" i="1" a="1"/>
  <c r="AQ1174" i="1" a="1"/>
  <c r="AQ1175" i="1" a="1"/>
  <c r="AQ1176" i="1" a="1"/>
  <c r="AQ1177" i="1" a="1"/>
  <c r="AQ1178" i="1" a="1"/>
  <c r="AQ1179" i="1" a="1"/>
  <c r="AQ1180" i="1" a="1"/>
  <c r="AQ1181" i="1" a="1"/>
  <c r="AQ1182" i="1" a="1"/>
  <c r="AQ1183" i="1" a="1"/>
  <c r="AQ1184" i="1" a="1"/>
  <c r="AQ1185" i="1" a="1"/>
  <c r="AQ1186" i="1" a="1"/>
  <c r="AQ1187" i="1" a="1"/>
  <c r="AQ1188" i="1" a="1"/>
  <c r="AQ1189" i="1" a="1"/>
  <c r="AQ1190" i="1" a="1"/>
  <c r="AQ1191" i="1" a="1"/>
  <c r="AQ1192" i="1" a="1"/>
  <c r="AQ1193" i="1" a="1"/>
  <c r="AQ1194" i="1" a="1"/>
  <c r="AQ1195" i="1" a="1"/>
  <c r="AQ1196" i="1" a="1"/>
  <c r="AQ1197" i="1" a="1"/>
  <c r="AQ1198" i="1" a="1"/>
  <c r="AQ1199" i="1" a="1"/>
  <c r="AQ1200" i="1" a="1"/>
  <c r="AQ1201" i="1" a="1"/>
  <c r="AQ1202" i="1" a="1"/>
  <c r="AQ1203" i="1" a="1"/>
  <c r="AQ1204" i="1" a="1"/>
  <c r="AQ1205" i="1" a="1"/>
  <c r="AQ1206" i="1" a="1"/>
  <c r="AQ1207" i="1" a="1"/>
  <c r="AQ1208" i="1" a="1"/>
  <c r="AQ1209" i="1" a="1"/>
  <c r="AQ1210" i="1" a="1"/>
  <c r="AQ1211" i="1" a="1"/>
  <c r="AQ1212" i="1" a="1"/>
  <c r="AQ1213" i="1" a="1"/>
  <c r="AQ1214" i="1" a="1"/>
  <c r="AQ1215" i="1" a="1"/>
  <c r="AQ1216" i="1" a="1"/>
  <c r="AQ1217" i="1" a="1"/>
  <c r="AQ1218" i="1" a="1"/>
  <c r="AQ1219" i="1" a="1"/>
  <c r="AQ1220" i="1" a="1"/>
  <c r="AQ1221" i="1" a="1"/>
  <c r="AQ1222" i="1" a="1"/>
  <c r="AQ1223" i="1" a="1"/>
  <c r="AQ1224" i="1" a="1"/>
  <c r="AQ1225" i="1" a="1"/>
  <c r="AQ1226" i="1" a="1"/>
  <c r="AQ1227" i="1" a="1"/>
  <c r="AQ1228" i="1" a="1"/>
  <c r="AQ1229" i="1" a="1"/>
  <c r="AQ1230" i="1" a="1"/>
  <c r="AQ1231" i="1" a="1"/>
  <c r="AQ1232" i="1" a="1"/>
  <c r="AQ1233" i="1" a="1"/>
  <c r="AQ1234" i="1" a="1"/>
  <c r="AQ1235" i="1" a="1"/>
  <c r="AQ1236" i="1" a="1"/>
  <c r="AQ1237" i="1" a="1"/>
  <c r="AQ1238" i="1" a="1"/>
  <c r="AQ1239" i="1" a="1"/>
  <c r="AQ1240" i="1" a="1"/>
  <c r="AQ1241" i="1" a="1"/>
  <c r="AQ1242" i="1" a="1"/>
  <c r="AQ1243" i="1" a="1"/>
  <c r="AQ1244" i="1" a="1"/>
  <c r="AQ1245" i="1" a="1"/>
  <c r="AQ1246" i="1" a="1"/>
  <c r="AQ1247" i="1" a="1"/>
  <c r="AQ1248" i="1" a="1"/>
  <c r="AQ1249" i="1" a="1"/>
  <c r="AQ1250" i="1" a="1"/>
  <c r="AQ1251" i="1" a="1"/>
  <c r="AQ1252" i="1" a="1"/>
  <c r="AQ1253" i="1" a="1"/>
  <c r="AQ1254" i="1" a="1"/>
  <c r="AQ1255" i="1" a="1"/>
  <c r="AQ1256" i="1" a="1"/>
  <c r="AQ1257" i="1" a="1"/>
  <c r="AQ1258" i="1" a="1"/>
  <c r="AQ1259" i="1" a="1"/>
  <c r="AQ1260" i="1" a="1"/>
  <c r="AQ1261" i="1" a="1"/>
  <c r="AQ1262" i="1" a="1"/>
  <c r="AQ1263" i="1" a="1"/>
  <c r="AQ1264" i="1" a="1"/>
  <c r="AQ1265" i="1" a="1"/>
  <c r="AQ1266" i="1" a="1"/>
  <c r="AQ1267" i="1" a="1"/>
  <c r="AQ1268" i="1" a="1"/>
  <c r="AQ1269" i="1" a="1"/>
  <c r="AQ1270" i="1" a="1"/>
  <c r="AQ1271" i="1" a="1"/>
  <c r="AQ1272" i="1" a="1"/>
  <c r="AQ1273" i="1" a="1"/>
  <c r="AQ1274" i="1" a="1"/>
  <c r="AQ1275" i="1" a="1"/>
  <c r="AQ1276" i="1" a="1"/>
  <c r="AQ1277" i="1" a="1"/>
  <c r="AQ1278" i="1" a="1"/>
  <c r="AQ1279" i="1" a="1"/>
  <c r="AQ1280" i="1" a="1"/>
  <c r="AQ1281" i="1" a="1"/>
  <c r="AQ1282" i="1" a="1"/>
  <c r="AQ1283" i="1" a="1"/>
  <c r="AQ1284" i="1" a="1"/>
  <c r="AQ1285" i="1" a="1"/>
  <c r="AQ1286" i="1" a="1"/>
  <c r="AQ1287" i="1" a="1"/>
  <c r="AQ1288" i="1" a="1"/>
  <c r="AQ1289" i="1" a="1"/>
  <c r="AQ1290" i="1" a="1"/>
  <c r="AQ1291" i="1" a="1"/>
  <c r="AQ1292" i="1" a="1"/>
  <c r="AQ1293" i="1" a="1"/>
  <c r="AQ1294" i="1" a="1"/>
  <c r="AQ1295" i="1" a="1"/>
  <c r="AQ1296" i="1" a="1"/>
  <c r="AQ1297" i="1" a="1"/>
  <c r="AQ1298" i="1" a="1"/>
  <c r="AQ1299" i="1" a="1"/>
  <c r="AQ1300" i="1" a="1"/>
  <c r="AQ1301" i="1" a="1"/>
  <c r="AQ1302" i="1" a="1"/>
  <c r="AQ1303" i="1" a="1"/>
  <c r="AQ1304" i="1" a="1"/>
  <c r="AQ1305" i="1" a="1"/>
  <c r="AQ1306" i="1" a="1"/>
  <c r="AQ1307" i="1" a="1"/>
  <c r="AQ1308" i="1" a="1"/>
  <c r="AQ1309" i="1" a="1"/>
  <c r="AQ1310" i="1" a="1"/>
  <c r="AQ1311" i="1" a="1"/>
  <c r="AQ1312" i="1" a="1"/>
  <c r="AQ1313" i="1" a="1"/>
  <c r="AQ1314" i="1" a="1"/>
  <c r="AQ1315" i="1" a="1"/>
  <c r="AQ1316" i="1" a="1"/>
  <c r="AQ1317" i="1" a="1"/>
  <c r="AQ1318" i="1" a="1"/>
  <c r="AQ1319" i="1" a="1"/>
  <c r="AQ1320" i="1" a="1"/>
  <c r="AQ1321" i="1" a="1"/>
  <c r="AQ1322" i="1" a="1"/>
  <c r="AQ1323" i="1" a="1"/>
  <c r="AQ1324" i="1" a="1"/>
  <c r="AQ1325" i="1" a="1"/>
  <c r="AQ1326" i="1" a="1"/>
  <c r="AQ1327" i="1" a="1"/>
  <c r="AQ1328" i="1" a="1"/>
  <c r="AQ1329" i="1" a="1"/>
  <c r="AQ1330" i="1" a="1"/>
  <c r="AQ1331" i="1" a="1"/>
  <c r="AQ1332" i="1" a="1"/>
  <c r="AQ1333" i="1" a="1"/>
  <c r="AQ1334" i="1" a="1"/>
  <c r="AQ1335" i="1" a="1"/>
  <c r="AQ1336" i="1" a="1"/>
  <c r="AQ1337" i="1" a="1"/>
  <c r="AQ1338" i="1" a="1"/>
  <c r="AQ1339" i="1" a="1"/>
  <c r="AQ1340" i="1" a="1"/>
  <c r="AQ1341" i="1" a="1"/>
  <c r="AQ1342" i="1" a="1"/>
  <c r="AQ1343" i="1" a="1"/>
  <c r="AQ1344" i="1" a="1"/>
  <c r="AQ1345" i="1" a="1"/>
  <c r="AQ1346" i="1" a="1"/>
  <c r="AQ1347" i="1" a="1"/>
  <c r="AQ1348" i="1" a="1"/>
  <c r="AQ1349" i="1" a="1"/>
  <c r="AQ1350" i="1" a="1"/>
  <c r="AQ1351" i="1" a="1"/>
  <c r="AQ1352" i="1" a="1"/>
  <c r="AQ1353" i="1" a="1"/>
  <c r="AQ1354" i="1" a="1"/>
  <c r="AQ1355" i="1" a="1"/>
  <c r="AQ1356" i="1" a="1"/>
  <c r="AQ1357" i="1" a="1"/>
  <c r="AQ1358" i="1" a="1"/>
  <c r="AQ1359" i="1" a="1"/>
  <c r="AQ1360" i="1" a="1"/>
  <c r="AQ1361" i="1" a="1"/>
  <c r="AQ1362" i="1" a="1"/>
  <c r="AQ1363" i="1" a="1"/>
  <c r="AQ1364" i="1" a="1"/>
  <c r="AQ1365" i="1" a="1"/>
  <c r="AQ1366" i="1" a="1"/>
  <c r="AQ1367" i="1" a="1"/>
  <c r="AQ1368" i="1" a="1"/>
  <c r="AQ1369" i="1" a="1"/>
  <c r="AQ1370" i="1" a="1"/>
  <c r="AQ1371" i="1" a="1"/>
  <c r="AQ1372" i="1" a="1"/>
  <c r="AQ1373" i="1" a="1"/>
  <c r="AQ1374" i="1" a="1"/>
  <c r="AQ1375" i="1" a="1"/>
  <c r="AQ1376" i="1" a="1"/>
  <c r="AQ1377" i="1" a="1"/>
  <c r="AQ1378" i="1" a="1"/>
  <c r="AQ1379" i="1" a="1"/>
  <c r="AQ1380" i="1" a="1"/>
  <c r="AQ1381" i="1" a="1"/>
  <c r="AQ1382" i="1" a="1"/>
  <c r="AQ1383" i="1" a="1"/>
  <c r="AQ1384" i="1" a="1"/>
  <c r="AQ1385" i="1" a="1"/>
  <c r="AQ1386" i="1" a="1"/>
  <c r="AQ1387" i="1" a="1"/>
  <c r="AQ1388" i="1" a="1"/>
  <c r="AQ1389" i="1" a="1"/>
  <c r="AQ1390" i="1" a="1"/>
  <c r="AQ1391" i="1" a="1"/>
  <c r="AQ1392" i="1" a="1"/>
  <c r="AQ1393" i="1" a="1"/>
  <c r="AQ1394" i="1" a="1"/>
  <c r="AQ1395" i="1" a="1"/>
  <c r="AQ1396" i="1" a="1"/>
  <c r="AQ1397" i="1" a="1"/>
  <c r="AQ1398" i="1" a="1"/>
  <c r="AQ1399" i="1" a="1"/>
  <c r="AQ1400" i="1" a="1"/>
  <c r="AQ1401" i="1" a="1"/>
  <c r="AQ1402" i="1" a="1"/>
  <c r="AQ1403" i="1" a="1"/>
  <c r="AQ1404" i="1" a="1"/>
  <c r="AQ1405" i="1" a="1"/>
  <c r="AQ1406" i="1" a="1"/>
  <c r="AQ1407" i="1" a="1"/>
  <c r="AQ1408" i="1" a="1"/>
  <c r="AQ1409" i="1" a="1"/>
  <c r="AQ1410" i="1" a="1"/>
  <c r="AQ1411" i="1" a="1"/>
  <c r="AQ1412" i="1" a="1"/>
  <c r="AQ1413" i="1" a="1"/>
  <c r="AQ1414" i="1" a="1"/>
  <c r="AQ1415" i="1" a="1"/>
  <c r="AQ1416" i="1" a="1"/>
  <c r="AQ1417" i="1" a="1"/>
  <c r="AQ1418" i="1" a="1"/>
  <c r="AQ1419" i="1" a="1"/>
  <c r="AQ1420" i="1" a="1"/>
  <c r="AQ1421" i="1" a="1"/>
  <c r="AQ1422" i="1" a="1"/>
  <c r="AQ1423" i="1" a="1"/>
  <c r="AQ1424" i="1" a="1"/>
  <c r="AQ1425" i="1" a="1"/>
  <c r="AQ1426" i="1" a="1"/>
  <c r="AQ1427" i="1" a="1"/>
  <c r="AQ1428" i="1" a="1"/>
  <c r="AQ1429" i="1" a="1"/>
  <c r="AQ1430" i="1" a="1"/>
  <c r="AQ1431" i="1" a="1"/>
  <c r="AQ1432" i="1" a="1"/>
  <c r="AQ1433" i="1" a="1"/>
  <c r="AQ1434" i="1" a="1"/>
  <c r="AQ1435" i="1" a="1"/>
  <c r="AQ1436" i="1" a="1"/>
  <c r="AQ1437" i="1" a="1"/>
  <c r="AQ1438" i="1" a="1"/>
  <c r="AQ1439" i="1" a="1"/>
  <c r="AQ1440" i="1" a="1"/>
  <c r="AQ1441" i="1" a="1"/>
  <c r="AQ1442" i="1" a="1"/>
  <c r="AQ1443" i="1" a="1"/>
  <c r="AQ1444" i="1" a="1"/>
  <c r="AQ1445" i="1" a="1"/>
  <c r="AQ1446" i="1" a="1"/>
  <c r="AQ1447" i="1" a="1"/>
  <c r="AQ1448" i="1" a="1"/>
  <c r="AQ1449" i="1" a="1"/>
  <c r="AQ1450" i="1" a="1"/>
  <c r="AQ1451" i="1" a="1"/>
  <c r="AQ1452" i="1" a="1"/>
  <c r="AQ1453" i="1" a="1"/>
  <c r="AQ1454" i="1" a="1"/>
  <c r="AQ1455" i="1" a="1"/>
  <c r="AQ1456" i="1" a="1"/>
  <c r="AQ1457" i="1" a="1"/>
  <c r="AQ1458" i="1" a="1"/>
  <c r="AQ1459" i="1" a="1"/>
  <c r="AQ1460" i="1" a="1"/>
  <c r="AQ1461" i="1" a="1"/>
  <c r="AQ1462" i="1" a="1"/>
  <c r="AQ1463" i="1" a="1"/>
  <c r="AQ1464" i="1" a="1"/>
  <c r="AQ1465" i="1" a="1"/>
  <c r="AQ1466" i="1" a="1"/>
  <c r="AQ1467" i="1" a="1"/>
  <c r="AQ1468" i="1" a="1"/>
  <c r="AQ1469" i="1" a="1"/>
  <c r="AQ1470" i="1" a="1"/>
  <c r="AQ1471" i="1" a="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3"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2" i="1"/>
  <c r="AP1323" i="1"/>
  <c r="AP1324" i="1"/>
  <c r="AP1325" i="1"/>
  <c r="AP1326" i="1"/>
  <c r="AP1327" i="1"/>
  <c r="AP1328" i="1"/>
  <c r="AP1329" i="1"/>
  <c r="AP1330" i="1"/>
  <c r="AP1331" i="1"/>
  <c r="AP1332" i="1"/>
  <c r="AP1333" i="1"/>
  <c r="AP1334" i="1"/>
  <c r="AP1335" i="1"/>
  <c r="AP1336" i="1"/>
  <c r="AP1337" i="1"/>
  <c r="AP1338" i="1"/>
  <c r="AP1339" i="1"/>
  <c r="AP1340" i="1"/>
  <c r="AP1341" i="1"/>
  <c r="AP1342" i="1"/>
  <c r="AP1343" i="1"/>
  <c r="AP1344" i="1"/>
  <c r="AP1345" i="1"/>
  <c r="AP1346" i="1"/>
  <c r="AP1347" i="1"/>
  <c r="AP1348" i="1"/>
  <c r="AP1349" i="1"/>
  <c r="AP1350" i="1"/>
  <c r="AP1351" i="1"/>
  <c r="AP1352" i="1"/>
  <c r="AP1353" i="1"/>
  <c r="AP1354" i="1"/>
  <c r="AP1355" i="1"/>
  <c r="AP1356" i="1"/>
  <c r="AP1357" i="1"/>
  <c r="AP1358" i="1"/>
  <c r="AP1359" i="1"/>
  <c r="AP1360" i="1"/>
  <c r="AP1361" i="1"/>
  <c r="AP1362" i="1"/>
  <c r="AP1363" i="1"/>
  <c r="AP1364" i="1"/>
  <c r="AP1365" i="1"/>
  <c r="AP1366" i="1"/>
  <c r="AP1367" i="1"/>
  <c r="AP1368" i="1"/>
  <c r="AP1369" i="1"/>
  <c r="AP1370" i="1"/>
  <c r="AP1371" i="1"/>
  <c r="AP1372" i="1"/>
  <c r="AP1373" i="1"/>
  <c r="AP1374" i="1"/>
  <c r="AP1375" i="1"/>
  <c r="AP1376" i="1"/>
  <c r="AP1377" i="1"/>
  <c r="AP1378" i="1"/>
  <c r="AP1379" i="1"/>
  <c r="AP1380" i="1"/>
  <c r="AP1381" i="1"/>
  <c r="AP1382" i="1"/>
  <c r="AP1383" i="1"/>
  <c r="AP1384" i="1"/>
  <c r="AP1385" i="1"/>
  <c r="AP1386" i="1"/>
  <c r="AP1387" i="1"/>
  <c r="AP1388" i="1"/>
  <c r="AP1389" i="1"/>
  <c r="AP1390" i="1"/>
  <c r="AP1391" i="1"/>
  <c r="AP1392" i="1"/>
  <c r="AP1393" i="1"/>
  <c r="AP1394" i="1"/>
  <c r="AP1395" i="1"/>
  <c r="AP1396" i="1"/>
  <c r="AP1397" i="1"/>
  <c r="AP1398" i="1"/>
  <c r="AP1399" i="1"/>
  <c r="AP1400" i="1"/>
  <c r="AP1401" i="1"/>
  <c r="AP1402" i="1"/>
  <c r="AP1403" i="1"/>
  <c r="AP1404" i="1"/>
  <c r="AP1405" i="1"/>
  <c r="AP1406" i="1"/>
  <c r="AP1407" i="1"/>
  <c r="AP1408" i="1"/>
  <c r="AP1409" i="1"/>
  <c r="AP1410" i="1"/>
  <c r="AP1411" i="1"/>
  <c r="AP1412" i="1"/>
  <c r="AP1413" i="1"/>
  <c r="AP1414" i="1"/>
  <c r="AP1415" i="1"/>
  <c r="AP1416" i="1"/>
  <c r="AP1417" i="1"/>
  <c r="AP1418" i="1"/>
  <c r="AP1419" i="1"/>
  <c r="AP1420" i="1"/>
  <c r="AP1421" i="1"/>
  <c r="AP1422" i="1"/>
  <c r="AP1423" i="1"/>
  <c r="AP1424" i="1"/>
  <c r="AP1425" i="1"/>
  <c r="AP1426" i="1"/>
  <c r="AP1427" i="1"/>
  <c r="AP1428" i="1"/>
  <c r="AP1429" i="1"/>
  <c r="AP1430"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 r="AO2" i="1" a="1"/>
  <c r="AO3" i="1" a="1"/>
  <c r="AO4" i="1" a="1"/>
  <c r="AO5" i="1" a="1"/>
  <c r="AO6" i="1" a="1"/>
  <c r="AO7" i="1" a="1"/>
  <c r="AO8" i="1" a="1"/>
  <c r="AO9" i="1" a="1"/>
  <c r="AO10" i="1" a="1"/>
  <c r="AO11" i="1" a="1"/>
  <c r="AO12" i="1" a="1"/>
  <c r="AO13" i="1" a="1"/>
  <c r="AO14" i="1" a="1"/>
  <c r="AO15" i="1" a="1"/>
  <c r="AO16" i="1" a="1"/>
  <c r="AO17" i="1" a="1"/>
  <c r="AO18" i="1" a="1"/>
  <c r="AO19" i="1" a="1"/>
  <c r="AO20" i="1" a="1"/>
  <c r="AO21" i="1" a="1"/>
  <c r="AO22" i="1" a="1"/>
  <c r="AO23" i="1" a="1"/>
  <c r="AO24" i="1" a="1"/>
  <c r="AO25" i="1" a="1"/>
  <c r="AO26" i="1" a="1"/>
  <c r="AO27" i="1" a="1"/>
  <c r="AO28" i="1" a="1"/>
  <c r="AO29" i="1" a="1"/>
  <c r="AO30" i="1" a="1"/>
  <c r="AO31" i="1" a="1"/>
  <c r="AO32" i="1" a="1"/>
  <c r="AO33" i="1" a="1"/>
  <c r="AO34" i="1" a="1"/>
  <c r="AO35" i="1" a="1"/>
  <c r="AO36" i="1" a="1"/>
  <c r="AO37" i="1" a="1"/>
  <c r="AO38" i="1" a="1"/>
  <c r="AO39" i="1" a="1"/>
  <c r="AO40" i="1" a="1"/>
  <c r="AO41" i="1" a="1"/>
  <c r="AO42" i="1" a="1"/>
  <c r="AO43" i="1" a="1"/>
  <c r="AO44" i="1" a="1"/>
  <c r="AO45" i="1" a="1"/>
  <c r="AO46" i="1" a="1"/>
  <c r="AO47" i="1" a="1"/>
  <c r="AO48" i="1" a="1"/>
  <c r="AO49" i="1" a="1"/>
  <c r="AO50" i="1" a="1"/>
  <c r="AO51" i="1" a="1"/>
  <c r="AO52" i="1" a="1"/>
  <c r="AO53" i="1" a="1"/>
  <c r="AO54" i="1" a="1"/>
  <c r="AO55" i="1" a="1"/>
  <c r="AO56" i="1" a="1"/>
  <c r="AO57" i="1" a="1"/>
  <c r="AO58" i="1" a="1"/>
  <c r="AO59" i="1" a="1"/>
  <c r="AO60" i="1" a="1"/>
  <c r="AO61" i="1" a="1"/>
  <c r="AO62" i="1" a="1"/>
  <c r="AO63" i="1" a="1"/>
  <c r="AO64" i="1" a="1"/>
  <c r="AO65" i="1" a="1"/>
  <c r="AO66" i="1" a="1"/>
  <c r="AO67" i="1" a="1"/>
  <c r="AO68" i="1" a="1"/>
  <c r="AO69" i="1" a="1"/>
  <c r="AO70" i="1" a="1"/>
  <c r="AO71" i="1" a="1"/>
  <c r="AO72" i="1" a="1"/>
  <c r="AO73" i="1" a="1"/>
  <c r="AO74" i="1" a="1"/>
  <c r="AO75" i="1" a="1"/>
  <c r="AO76" i="1" a="1"/>
  <c r="AO77" i="1" a="1"/>
  <c r="AO78" i="1" a="1"/>
  <c r="AO79" i="1" a="1"/>
  <c r="AO80" i="1" a="1"/>
  <c r="AO81" i="1" a="1"/>
  <c r="AO82" i="1" a="1"/>
  <c r="AO83" i="1" a="1"/>
  <c r="AO84" i="1" a="1"/>
  <c r="AO85" i="1" a="1"/>
  <c r="AO86" i="1" a="1"/>
  <c r="AO87" i="1" a="1"/>
  <c r="AO88" i="1" a="1"/>
  <c r="AO89" i="1" a="1"/>
  <c r="AO90" i="1" a="1"/>
  <c r="AO91" i="1" a="1"/>
  <c r="AO92" i="1" a="1"/>
  <c r="AO93" i="1" a="1"/>
  <c r="AO94" i="1" a="1"/>
  <c r="AO95" i="1" a="1"/>
  <c r="AO96" i="1" a="1"/>
  <c r="AO97" i="1" a="1"/>
  <c r="AO98" i="1" a="1"/>
  <c r="AO99" i="1" a="1"/>
  <c r="AO100" i="1" a="1"/>
  <c r="AO101" i="1" a="1"/>
  <c r="AO102" i="1" a="1"/>
  <c r="AO103" i="1" a="1"/>
  <c r="AO104" i="1" a="1"/>
  <c r="AO105" i="1" a="1"/>
  <c r="AO106" i="1" a="1"/>
  <c r="AO107" i="1" a="1"/>
  <c r="AO108" i="1" a="1"/>
  <c r="AO109" i="1" a="1"/>
  <c r="AO110" i="1" a="1"/>
  <c r="AO111" i="1" a="1"/>
  <c r="AO112" i="1" a="1"/>
  <c r="AO113" i="1" a="1"/>
  <c r="AO114" i="1" a="1"/>
  <c r="AO115" i="1" a="1"/>
  <c r="AO116" i="1" a="1"/>
  <c r="AO117" i="1" a="1"/>
  <c r="AO118" i="1" a="1"/>
  <c r="AO119" i="1" a="1"/>
  <c r="AO120" i="1" a="1"/>
  <c r="AO121" i="1" a="1"/>
  <c r="AO122" i="1" a="1"/>
  <c r="AO123" i="1" a="1"/>
  <c r="AO124" i="1" a="1"/>
  <c r="AO125" i="1" a="1"/>
  <c r="AO126" i="1" a="1"/>
  <c r="AO127" i="1" a="1"/>
  <c r="AO128" i="1" a="1"/>
  <c r="AO129" i="1" a="1"/>
  <c r="AO130" i="1" a="1"/>
  <c r="AO131" i="1" a="1"/>
  <c r="AO132" i="1" a="1"/>
  <c r="AO133" i="1" a="1"/>
  <c r="AO134" i="1" a="1"/>
  <c r="AO135" i="1" a="1"/>
  <c r="AO136" i="1" a="1"/>
  <c r="AO137" i="1" a="1"/>
  <c r="AO138" i="1" a="1"/>
  <c r="AO139" i="1" a="1"/>
  <c r="AO140" i="1" a="1"/>
  <c r="AO141" i="1" a="1"/>
  <c r="AO142" i="1" a="1"/>
  <c r="AO143" i="1" a="1"/>
  <c r="AO144" i="1" a="1"/>
  <c r="AO145" i="1" a="1"/>
  <c r="AO146" i="1" a="1"/>
  <c r="AO147" i="1" a="1"/>
  <c r="AO148" i="1" a="1"/>
  <c r="AO149" i="1" a="1"/>
  <c r="AO150" i="1" a="1"/>
  <c r="AO151" i="1" a="1"/>
  <c r="AO152" i="1" a="1"/>
  <c r="AO153" i="1" a="1"/>
  <c r="AO154" i="1" a="1"/>
  <c r="AO155" i="1" a="1"/>
  <c r="AO156" i="1" a="1"/>
  <c r="AO157" i="1" a="1"/>
  <c r="AO158" i="1" a="1"/>
  <c r="AO159" i="1" a="1"/>
  <c r="AO160" i="1" a="1"/>
  <c r="AO161" i="1" a="1"/>
  <c r="AO162" i="1" a="1"/>
  <c r="AO163" i="1" a="1"/>
  <c r="AO164" i="1" a="1"/>
  <c r="AO165" i="1" a="1"/>
  <c r="AO166" i="1" a="1"/>
  <c r="AO167" i="1" a="1"/>
  <c r="AO168" i="1" a="1"/>
  <c r="AO169" i="1" a="1"/>
  <c r="AO170" i="1" a="1"/>
  <c r="AO171" i="1" a="1"/>
  <c r="AO172" i="1" a="1"/>
  <c r="AO173" i="1" a="1"/>
  <c r="AO174" i="1" a="1"/>
  <c r="AO175" i="1" a="1"/>
  <c r="AO176" i="1" a="1"/>
  <c r="AO177" i="1" a="1"/>
  <c r="AO178" i="1" a="1"/>
  <c r="AO179" i="1" a="1"/>
  <c r="AO180" i="1" a="1"/>
  <c r="AO181" i="1" a="1"/>
  <c r="AO182" i="1" a="1"/>
  <c r="AO183" i="1" a="1"/>
  <c r="AO184" i="1" a="1"/>
  <c r="AO185" i="1" a="1"/>
  <c r="AO186" i="1" a="1"/>
  <c r="AO187" i="1" a="1"/>
  <c r="AO188" i="1" a="1"/>
  <c r="AO189" i="1" a="1"/>
  <c r="AO190" i="1" a="1"/>
  <c r="AO191" i="1" a="1"/>
  <c r="AO192" i="1" a="1"/>
  <c r="AO193" i="1" a="1"/>
  <c r="AO194" i="1" a="1"/>
  <c r="AO195" i="1" a="1"/>
  <c r="AO196" i="1" a="1"/>
  <c r="AO197" i="1" a="1"/>
  <c r="AO198" i="1" a="1"/>
  <c r="AO199" i="1" a="1"/>
  <c r="AO200" i="1" a="1"/>
  <c r="AO201" i="1" a="1"/>
  <c r="AO202" i="1" a="1"/>
  <c r="AO203" i="1" a="1"/>
  <c r="AO204" i="1" a="1"/>
  <c r="AO205" i="1" a="1"/>
  <c r="AO206" i="1" a="1"/>
  <c r="AO207" i="1" a="1"/>
  <c r="AO208" i="1" a="1"/>
  <c r="AO209" i="1" a="1"/>
  <c r="AO210" i="1" a="1"/>
  <c r="AO211" i="1" a="1"/>
  <c r="AO212" i="1" a="1"/>
  <c r="AO213" i="1" a="1"/>
  <c r="AO214" i="1" a="1"/>
  <c r="AO215" i="1" a="1"/>
  <c r="AO216" i="1" a="1"/>
  <c r="AO217" i="1" a="1"/>
  <c r="AO218" i="1" a="1"/>
  <c r="AO219" i="1" a="1"/>
  <c r="AO220" i="1" a="1"/>
  <c r="AO221" i="1" a="1"/>
  <c r="AO222" i="1" a="1"/>
  <c r="AO223" i="1" a="1"/>
  <c r="AO224" i="1" a="1"/>
  <c r="AO225" i="1" a="1"/>
  <c r="AO226" i="1" a="1"/>
  <c r="AO227" i="1" a="1"/>
  <c r="AO228" i="1" a="1"/>
  <c r="AO229" i="1" a="1"/>
  <c r="AO230" i="1" a="1"/>
  <c r="AO231" i="1" a="1"/>
  <c r="AO232" i="1" a="1"/>
  <c r="AO233" i="1" a="1"/>
  <c r="AO234" i="1" a="1"/>
  <c r="AO235" i="1" a="1"/>
  <c r="AO236" i="1" a="1"/>
  <c r="AO237" i="1" a="1"/>
  <c r="AO238" i="1" a="1"/>
  <c r="AO239" i="1" a="1"/>
  <c r="AO240" i="1" a="1"/>
  <c r="AO241" i="1" a="1"/>
  <c r="AO242" i="1" a="1"/>
  <c r="AO243" i="1" a="1"/>
  <c r="AO244" i="1" a="1"/>
  <c r="AO245" i="1" a="1"/>
  <c r="AO246" i="1" a="1"/>
  <c r="AO247" i="1" a="1"/>
  <c r="AO248" i="1" a="1"/>
  <c r="AO249" i="1" a="1"/>
  <c r="AO250" i="1" a="1"/>
  <c r="AO251" i="1" a="1"/>
  <c r="AO252" i="1" a="1"/>
  <c r="AO253" i="1" a="1"/>
  <c r="AO254" i="1" a="1"/>
  <c r="AO255" i="1" a="1"/>
  <c r="AO256" i="1" a="1"/>
  <c r="AO257" i="1" a="1"/>
  <c r="AO258" i="1" a="1"/>
  <c r="AO259" i="1" a="1"/>
  <c r="AO260" i="1" a="1"/>
  <c r="AO261" i="1" a="1"/>
  <c r="AO262" i="1" a="1"/>
  <c r="AO263" i="1" a="1"/>
  <c r="AO264" i="1" a="1"/>
  <c r="AO265" i="1" a="1"/>
  <c r="AO266" i="1" a="1"/>
  <c r="AO267" i="1" a="1"/>
  <c r="AO268" i="1" a="1"/>
  <c r="AO269" i="1" a="1"/>
  <c r="AO270" i="1" a="1"/>
  <c r="AO271" i="1" a="1"/>
  <c r="AO272" i="1" a="1"/>
  <c r="AO273" i="1" a="1"/>
  <c r="AO274" i="1" a="1"/>
  <c r="AO275" i="1" a="1"/>
  <c r="AO276" i="1" a="1"/>
  <c r="AO277" i="1" a="1"/>
  <c r="AO278" i="1" a="1"/>
  <c r="AO279" i="1" a="1"/>
  <c r="AO280" i="1" a="1"/>
  <c r="AO281" i="1" a="1"/>
  <c r="AO282" i="1" a="1"/>
  <c r="AO283" i="1" a="1"/>
  <c r="AO284" i="1" a="1"/>
  <c r="AO285" i="1" a="1"/>
  <c r="AO286" i="1" a="1"/>
  <c r="AO287" i="1" a="1"/>
  <c r="AO288" i="1" a="1"/>
  <c r="AO289" i="1" a="1"/>
  <c r="AO290" i="1" a="1"/>
  <c r="AO291" i="1" a="1"/>
  <c r="AO292" i="1" a="1"/>
  <c r="AO293" i="1" a="1"/>
  <c r="AO294" i="1" a="1"/>
  <c r="AO295" i="1" a="1"/>
  <c r="AO296" i="1" a="1"/>
  <c r="AO297" i="1" a="1"/>
  <c r="AO298" i="1" a="1"/>
  <c r="AO299" i="1" a="1"/>
  <c r="AO300" i="1" a="1"/>
  <c r="AO301" i="1" a="1"/>
  <c r="AO302" i="1" a="1"/>
  <c r="AO303" i="1" a="1"/>
  <c r="AO304" i="1" a="1"/>
  <c r="AO305" i="1" a="1"/>
  <c r="AO306" i="1" a="1"/>
  <c r="AO307" i="1" a="1"/>
  <c r="AO308" i="1" a="1"/>
  <c r="AO309" i="1" a="1"/>
  <c r="AO310" i="1" a="1"/>
  <c r="AO311" i="1" a="1"/>
  <c r="AO312" i="1" a="1"/>
  <c r="AO313" i="1" a="1"/>
  <c r="AO314" i="1" a="1"/>
  <c r="AO315" i="1" a="1"/>
  <c r="AO316" i="1" a="1"/>
  <c r="AO317" i="1" a="1"/>
  <c r="AO318" i="1" a="1"/>
  <c r="AO319" i="1" a="1"/>
  <c r="AO320" i="1" a="1"/>
  <c r="AO321" i="1" a="1"/>
  <c r="AO322" i="1" a="1"/>
  <c r="AO323" i="1" a="1"/>
  <c r="AO324" i="1" a="1"/>
  <c r="AO325" i="1" a="1"/>
  <c r="AO326" i="1" a="1"/>
  <c r="AO327" i="1" a="1"/>
  <c r="AO328" i="1" a="1"/>
  <c r="AO329" i="1" a="1"/>
  <c r="AO330" i="1" a="1"/>
  <c r="AO331" i="1" a="1"/>
  <c r="AO332" i="1" a="1"/>
  <c r="AO333" i="1" a="1"/>
  <c r="AO334" i="1" a="1"/>
  <c r="AO335" i="1" a="1"/>
  <c r="AO336" i="1" a="1"/>
  <c r="AO337" i="1" a="1"/>
  <c r="AO338" i="1" a="1"/>
  <c r="AO339" i="1" a="1"/>
  <c r="AO340" i="1" a="1"/>
  <c r="AO341" i="1" a="1"/>
  <c r="AO342" i="1" a="1"/>
  <c r="AO343" i="1" a="1"/>
  <c r="AO344" i="1" a="1"/>
  <c r="AO345" i="1" a="1"/>
  <c r="AO346" i="1" a="1"/>
  <c r="AO347" i="1" a="1"/>
  <c r="AO348" i="1" a="1"/>
  <c r="AO349" i="1" a="1"/>
  <c r="AO350" i="1" a="1"/>
  <c r="AO351" i="1" a="1"/>
  <c r="AO352" i="1" a="1"/>
  <c r="AO353" i="1" a="1"/>
  <c r="AO354" i="1" a="1"/>
  <c r="AO355" i="1" a="1"/>
  <c r="AO356" i="1" a="1"/>
  <c r="AO357" i="1" a="1"/>
  <c r="AO358" i="1" a="1"/>
  <c r="AO359" i="1" a="1"/>
  <c r="AO360" i="1" a="1"/>
  <c r="AO361" i="1" a="1"/>
  <c r="AO362" i="1" a="1"/>
  <c r="AO363" i="1" a="1"/>
  <c r="AO364" i="1" a="1"/>
  <c r="AO365" i="1" a="1"/>
  <c r="AO366" i="1" a="1"/>
  <c r="AO367" i="1" a="1"/>
  <c r="AO368" i="1" a="1"/>
  <c r="AO369" i="1" a="1"/>
  <c r="AO370" i="1" a="1"/>
  <c r="AO371" i="1" a="1"/>
  <c r="AO372" i="1" a="1"/>
  <c r="AO373" i="1" a="1"/>
  <c r="AO374" i="1" a="1"/>
  <c r="AO375" i="1" a="1"/>
  <c r="AO376" i="1" a="1"/>
  <c r="AO377" i="1" a="1"/>
  <c r="AO378" i="1" a="1"/>
  <c r="AO379" i="1" a="1"/>
  <c r="AO380" i="1" a="1"/>
  <c r="AO381" i="1" a="1"/>
  <c r="AO382" i="1" a="1"/>
  <c r="AO383" i="1" a="1"/>
  <c r="AO384" i="1" a="1"/>
  <c r="AO385" i="1" a="1"/>
  <c r="AO386" i="1" a="1"/>
  <c r="AO387" i="1" a="1"/>
  <c r="AO388" i="1" a="1"/>
  <c r="AO389" i="1" a="1"/>
  <c r="AO390" i="1" a="1"/>
  <c r="AO391" i="1" a="1"/>
  <c r="AO392" i="1" a="1"/>
  <c r="AO393" i="1" a="1"/>
  <c r="AO394" i="1" a="1"/>
  <c r="AO395" i="1" a="1"/>
  <c r="AO396" i="1" a="1"/>
  <c r="AO397" i="1" a="1"/>
  <c r="AO398" i="1" a="1"/>
  <c r="AO399" i="1" a="1"/>
  <c r="AO400" i="1" a="1"/>
  <c r="AO401" i="1" a="1"/>
  <c r="AO402" i="1" a="1"/>
  <c r="AO403" i="1" a="1"/>
  <c r="AO404" i="1" a="1"/>
  <c r="AO405" i="1" a="1"/>
  <c r="AO406" i="1" a="1"/>
  <c r="AO407" i="1" a="1"/>
  <c r="AO408" i="1" a="1"/>
  <c r="AO409" i="1" a="1"/>
  <c r="AO410" i="1" a="1"/>
  <c r="AO411" i="1" a="1"/>
  <c r="AO412" i="1" a="1"/>
  <c r="AO413" i="1" a="1"/>
  <c r="AO414" i="1" a="1"/>
  <c r="AO415" i="1" a="1"/>
  <c r="AO416" i="1" a="1"/>
  <c r="AO417" i="1" a="1"/>
  <c r="AO418" i="1" a="1"/>
  <c r="AO419" i="1" a="1"/>
  <c r="AO420" i="1" a="1"/>
  <c r="AO421" i="1" a="1"/>
  <c r="AO422" i="1" a="1"/>
  <c r="AO423" i="1" a="1"/>
  <c r="AO424" i="1" a="1"/>
  <c r="AO425" i="1" a="1"/>
  <c r="AO426" i="1" a="1"/>
  <c r="AO427" i="1" a="1"/>
  <c r="AO428" i="1" a="1"/>
  <c r="AO429" i="1" a="1"/>
  <c r="AO430" i="1" a="1"/>
  <c r="AO431" i="1" a="1"/>
  <c r="AO432" i="1" a="1"/>
  <c r="AO433" i="1" a="1"/>
  <c r="AO434" i="1" a="1"/>
  <c r="AO435" i="1" a="1"/>
  <c r="AO436" i="1" a="1"/>
  <c r="AO437" i="1" a="1"/>
  <c r="AO438" i="1" a="1"/>
  <c r="AO439" i="1" a="1"/>
  <c r="AO440" i="1" a="1"/>
  <c r="AO441" i="1" a="1"/>
  <c r="AO442" i="1" a="1"/>
  <c r="AO443" i="1" a="1"/>
  <c r="AO444" i="1" a="1"/>
  <c r="AO445" i="1" a="1"/>
  <c r="AO446" i="1" a="1"/>
  <c r="AO447" i="1" a="1"/>
  <c r="AO448" i="1" a="1"/>
  <c r="AO449" i="1" a="1"/>
  <c r="AO450" i="1" a="1"/>
  <c r="AO451" i="1" a="1"/>
  <c r="AO452" i="1" a="1"/>
  <c r="AO453" i="1" a="1"/>
  <c r="AO454" i="1" a="1"/>
  <c r="AO455" i="1" a="1"/>
  <c r="AO456" i="1" a="1"/>
  <c r="AO457" i="1" a="1"/>
  <c r="AO458" i="1" a="1"/>
  <c r="AO459" i="1" a="1"/>
  <c r="AO460" i="1" a="1"/>
  <c r="AO461" i="1" a="1"/>
  <c r="AO462" i="1" a="1"/>
  <c r="AO463" i="1" a="1"/>
  <c r="AO464" i="1" a="1"/>
  <c r="AO465" i="1" a="1"/>
  <c r="AO466" i="1" a="1"/>
  <c r="AO467" i="1" a="1"/>
  <c r="AO468" i="1" a="1"/>
  <c r="AO469" i="1" a="1"/>
  <c r="AO470" i="1" a="1"/>
  <c r="AO471" i="1" a="1"/>
  <c r="AO472" i="1" a="1"/>
  <c r="AO473" i="1" a="1"/>
  <c r="AO474" i="1" a="1"/>
  <c r="AO475" i="1" a="1"/>
  <c r="AO476" i="1" a="1"/>
  <c r="AO477" i="1" a="1"/>
  <c r="AO478" i="1" a="1"/>
  <c r="AO479" i="1" a="1"/>
  <c r="AO480" i="1" a="1"/>
  <c r="AO481" i="1" a="1"/>
  <c r="AO482" i="1" a="1"/>
  <c r="AO483" i="1" a="1"/>
  <c r="AO484" i="1" a="1"/>
  <c r="AO485" i="1" a="1"/>
  <c r="AO486" i="1" a="1"/>
  <c r="AO487" i="1" a="1"/>
  <c r="AO488" i="1" a="1"/>
  <c r="AO489" i="1" a="1"/>
  <c r="AO490" i="1" a="1"/>
  <c r="AO491" i="1" a="1"/>
  <c r="AO492" i="1" a="1"/>
  <c r="AO493" i="1" a="1"/>
  <c r="AO494" i="1" a="1"/>
  <c r="AO495" i="1" a="1"/>
  <c r="AO496" i="1" a="1"/>
  <c r="AO497" i="1" a="1"/>
  <c r="AO498" i="1" a="1"/>
  <c r="AO499" i="1" a="1"/>
  <c r="AO500" i="1" a="1"/>
  <c r="AO501" i="1" a="1"/>
  <c r="AO502" i="1" a="1"/>
  <c r="AO503" i="1" a="1"/>
  <c r="AO504" i="1" a="1"/>
  <c r="AO505" i="1" a="1"/>
  <c r="AO506" i="1" a="1"/>
  <c r="AO507" i="1" a="1"/>
  <c r="AO508" i="1" a="1"/>
  <c r="AO509" i="1" a="1"/>
  <c r="AO510" i="1" a="1"/>
  <c r="AO511" i="1" a="1"/>
  <c r="AO512" i="1" a="1"/>
  <c r="AO513" i="1" a="1"/>
  <c r="AO514" i="1" a="1"/>
  <c r="AO515" i="1" a="1"/>
  <c r="AO516" i="1" a="1"/>
  <c r="AO517" i="1" a="1"/>
  <c r="AO518" i="1" a="1"/>
  <c r="AO519" i="1" a="1"/>
  <c r="AO520" i="1" a="1"/>
  <c r="AO521" i="1" a="1"/>
  <c r="AO522" i="1" a="1"/>
  <c r="AO523" i="1" a="1"/>
  <c r="AO524" i="1" a="1"/>
  <c r="AO525" i="1" a="1"/>
  <c r="AO526" i="1" a="1"/>
  <c r="AO527" i="1" a="1"/>
  <c r="AO528" i="1" a="1"/>
  <c r="AO529" i="1" a="1"/>
  <c r="AO530" i="1" a="1"/>
  <c r="AO531" i="1" a="1"/>
  <c r="AO532" i="1" a="1"/>
  <c r="AO533" i="1" a="1"/>
  <c r="AO534" i="1" a="1"/>
  <c r="AO535" i="1" a="1"/>
  <c r="AO536" i="1" a="1"/>
  <c r="AO537" i="1" a="1"/>
  <c r="AO538" i="1" a="1"/>
  <c r="AO539" i="1" a="1"/>
  <c r="AO540" i="1" a="1"/>
  <c r="AO541" i="1" a="1"/>
  <c r="AO542" i="1" a="1"/>
  <c r="AO543" i="1" a="1"/>
  <c r="AO544" i="1" a="1"/>
  <c r="AO545" i="1" a="1"/>
  <c r="AO546" i="1" a="1"/>
  <c r="AO547" i="1" a="1"/>
  <c r="AO548" i="1" a="1"/>
  <c r="AO549" i="1" a="1"/>
  <c r="AO550" i="1" a="1"/>
  <c r="AO551" i="1" a="1"/>
  <c r="AO552" i="1" a="1"/>
  <c r="AO553" i="1" a="1"/>
  <c r="AO554" i="1" a="1"/>
  <c r="AO555" i="1" a="1"/>
  <c r="AO556" i="1" a="1"/>
  <c r="AO557" i="1" a="1"/>
  <c r="AO558" i="1" a="1"/>
  <c r="AO559" i="1" a="1"/>
  <c r="AO560" i="1" a="1"/>
  <c r="AO561" i="1" a="1"/>
  <c r="AO562" i="1" a="1"/>
  <c r="AO563" i="1" a="1"/>
  <c r="AO564" i="1" a="1"/>
  <c r="AO565" i="1" a="1"/>
  <c r="AO566" i="1" a="1"/>
  <c r="AO567" i="1" a="1"/>
  <c r="AO568" i="1" a="1"/>
  <c r="AO569" i="1" a="1"/>
  <c r="AO570" i="1" a="1"/>
  <c r="AO571" i="1" a="1"/>
  <c r="AO572" i="1" a="1"/>
  <c r="AO573" i="1" a="1"/>
  <c r="AO574" i="1" a="1"/>
  <c r="AO575" i="1" a="1"/>
  <c r="AO576" i="1" a="1"/>
  <c r="AO577" i="1" a="1"/>
  <c r="AO578" i="1" a="1"/>
  <c r="AO579" i="1" a="1"/>
  <c r="AO580" i="1" a="1"/>
  <c r="AO581" i="1" a="1"/>
  <c r="AO582" i="1" a="1"/>
  <c r="AO583" i="1" a="1"/>
  <c r="AO584" i="1" a="1"/>
  <c r="AO585" i="1" a="1"/>
  <c r="AO586" i="1" a="1"/>
  <c r="AO587" i="1" a="1"/>
  <c r="AO588" i="1" a="1"/>
  <c r="AO589" i="1" a="1"/>
  <c r="AO590" i="1" a="1"/>
  <c r="AO591" i="1" a="1"/>
  <c r="AO592" i="1" a="1"/>
  <c r="AO593" i="1" a="1"/>
  <c r="AO594" i="1" a="1"/>
  <c r="AO595" i="1" a="1"/>
  <c r="AO596" i="1" a="1"/>
  <c r="AO597" i="1" a="1"/>
  <c r="AO598" i="1" a="1"/>
  <c r="AO599" i="1" a="1"/>
  <c r="AO600" i="1" a="1"/>
  <c r="AO601" i="1" a="1"/>
  <c r="AO602" i="1" a="1"/>
  <c r="AO603" i="1" a="1"/>
  <c r="AO604" i="1" a="1"/>
  <c r="AO605" i="1" a="1"/>
  <c r="AO606" i="1" a="1"/>
  <c r="AO607" i="1" a="1"/>
  <c r="AO608" i="1" a="1"/>
  <c r="AO609" i="1" a="1"/>
  <c r="AO610" i="1" a="1"/>
  <c r="AO611" i="1" a="1"/>
  <c r="AO612" i="1" a="1"/>
  <c r="AO613" i="1" a="1"/>
  <c r="AO614" i="1" a="1"/>
  <c r="AO615" i="1" a="1"/>
  <c r="AO616" i="1" a="1"/>
  <c r="AO617" i="1" a="1"/>
  <c r="AO618" i="1" a="1"/>
  <c r="AO619" i="1" a="1"/>
  <c r="AO620" i="1" a="1"/>
  <c r="AO621" i="1" a="1"/>
  <c r="AO622" i="1" a="1"/>
  <c r="AO623" i="1" a="1"/>
  <c r="AO624" i="1" a="1"/>
  <c r="AO625" i="1" a="1"/>
  <c r="AO626" i="1" a="1"/>
  <c r="AO627" i="1" a="1"/>
  <c r="AO628" i="1" a="1"/>
  <c r="AO629" i="1" a="1"/>
  <c r="AO630" i="1" a="1"/>
  <c r="AO631" i="1" a="1"/>
  <c r="AO632" i="1" a="1"/>
  <c r="AO633" i="1" a="1"/>
  <c r="AO634" i="1" a="1"/>
  <c r="AO635" i="1" a="1"/>
  <c r="AO636" i="1" a="1"/>
  <c r="AO637" i="1" a="1"/>
  <c r="AO638" i="1" a="1"/>
  <c r="AO639" i="1" a="1"/>
  <c r="AO640" i="1" a="1"/>
  <c r="AO641" i="1" a="1"/>
  <c r="AO642" i="1" a="1"/>
  <c r="AO643" i="1" a="1"/>
  <c r="AO644" i="1" a="1"/>
  <c r="AO645" i="1" a="1"/>
  <c r="AO646" i="1" a="1"/>
  <c r="AO647" i="1" a="1"/>
  <c r="AO648" i="1" a="1"/>
  <c r="AO649" i="1" a="1"/>
  <c r="AO650" i="1" a="1"/>
  <c r="AO651" i="1" a="1"/>
  <c r="AO652" i="1" a="1"/>
  <c r="AO653" i="1" a="1"/>
  <c r="AO654" i="1" a="1"/>
  <c r="AO655" i="1" a="1"/>
  <c r="AO656" i="1" a="1"/>
  <c r="AO657" i="1" a="1"/>
  <c r="AO658" i="1" a="1"/>
  <c r="AO659" i="1" a="1"/>
  <c r="AO660" i="1" a="1"/>
  <c r="AO661" i="1" a="1"/>
  <c r="AO662" i="1" a="1"/>
  <c r="AO663" i="1" a="1"/>
  <c r="AO664" i="1" a="1"/>
  <c r="AO665" i="1" a="1"/>
  <c r="AO666" i="1" a="1"/>
  <c r="AO667" i="1" a="1"/>
  <c r="AO668" i="1" a="1"/>
  <c r="AO669" i="1" a="1"/>
  <c r="AO670" i="1" a="1"/>
  <c r="AO671" i="1" a="1"/>
  <c r="AO672" i="1" a="1"/>
  <c r="AO673" i="1" a="1"/>
  <c r="AO674" i="1" a="1"/>
  <c r="AO675" i="1" a="1"/>
  <c r="AO676" i="1" a="1"/>
  <c r="AO677" i="1" a="1"/>
  <c r="AO678" i="1" a="1"/>
  <c r="AO679" i="1" a="1"/>
  <c r="AO680" i="1" a="1"/>
  <c r="AO681" i="1" a="1"/>
  <c r="AO682" i="1" a="1"/>
  <c r="AO683" i="1" a="1"/>
  <c r="AO684" i="1" a="1"/>
  <c r="AO685" i="1" a="1"/>
  <c r="AO686" i="1" a="1"/>
  <c r="AO687" i="1" a="1"/>
  <c r="AO688" i="1" a="1"/>
  <c r="AO689" i="1" a="1"/>
  <c r="AO690" i="1" a="1"/>
  <c r="AO691" i="1" a="1"/>
  <c r="AO692" i="1" a="1"/>
  <c r="AO693" i="1" a="1"/>
  <c r="AO694" i="1" a="1"/>
  <c r="AO695" i="1" a="1"/>
  <c r="AO696" i="1" a="1"/>
  <c r="AO697" i="1" a="1"/>
  <c r="AO698" i="1" a="1"/>
  <c r="AO699" i="1" a="1"/>
  <c r="AO700" i="1" a="1"/>
  <c r="AO701" i="1" a="1"/>
  <c r="AO702" i="1" a="1"/>
  <c r="AO703" i="1" a="1"/>
  <c r="AO704" i="1" a="1"/>
  <c r="AO705" i="1" a="1"/>
  <c r="AO706" i="1" a="1"/>
  <c r="AO707" i="1" a="1"/>
  <c r="AO708" i="1" a="1"/>
  <c r="AO709" i="1" a="1"/>
  <c r="AO710" i="1" a="1"/>
  <c r="AO711" i="1" a="1"/>
  <c r="AO712" i="1" a="1"/>
  <c r="AO713" i="1" a="1"/>
  <c r="AO714" i="1" a="1"/>
  <c r="AO715" i="1" a="1"/>
  <c r="AO716" i="1" a="1"/>
  <c r="AO717" i="1" a="1"/>
  <c r="AO718" i="1" a="1"/>
  <c r="AO719" i="1" a="1"/>
  <c r="AO720" i="1" a="1"/>
  <c r="AO721" i="1" a="1"/>
  <c r="AO722" i="1" a="1"/>
  <c r="AO723" i="1" a="1"/>
  <c r="AO724" i="1" a="1"/>
  <c r="AO725" i="1" a="1"/>
  <c r="AO726" i="1" a="1"/>
  <c r="AO727" i="1" a="1"/>
  <c r="AO728" i="1" a="1"/>
  <c r="AO729" i="1" a="1"/>
  <c r="AO730" i="1" a="1"/>
  <c r="AO731" i="1" a="1"/>
  <c r="AO732" i="1" a="1"/>
  <c r="AO733" i="1" a="1"/>
  <c r="AO734" i="1" a="1"/>
  <c r="AO735" i="1" a="1"/>
  <c r="AO736" i="1" a="1"/>
  <c r="AO737" i="1" a="1"/>
  <c r="AO738" i="1" a="1"/>
  <c r="AO739" i="1" a="1"/>
  <c r="AO740" i="1" a="1"/>
  <c r="AO741" i="1" a="1"/>
  <c r="AO742" i="1" a="1"/>
  <c r="AO743" i="1" a="1"/>
  <c r="AO744" i="1" a="1"/>
  <c r="AO745" i="1" a="1"/>
  <c r="AO746" i="1" a="1"/>
  <c r="AO747" i="1" a="1"/>
  <c r="AO748" i="1" a="1"/>
  <c r="AO749" i="1" a="1"/>
  <c r="AO750" i="1" a="1"/>
  <c r="AO751" i="1" a="1"/>
  <c r="AO752" i="1" a="1"/>
  <c r="AO753" i="1" a="1"/>
  <c r="AO754" i="1" a="1"/>
  <c r="AO755" i="1" a="1"/>
  <c r="AO756" i="1" a="1"/>
  <c r="AO757" i="1" a="1"/>
  <c r="AO758" i="1" a="1"/>
  <c r="AO759" i="1" a="1"/>
  <c r="AO760" i="1" a="1"/>
  <c r="AO761" i="1" a="1"/>
  <c r="AO762" i="1" a="1"/>
  <c r="AO763" i="1" a="1"/>
  <c r="AO764" i="1" a="1"/>
  <c r="AO765" i="1" a="1"/>
  <c r="AO766" i="1" a="1"/>
  <c r="AO767" i="1" a="1"/>
  <c r="AO768" i="1" a="1"/>
  <c r="AO769" i="1" a="1"/>
  <c r="AO770" i="1" a="1"/>
  <c r="AO771" i="1" a="1"/>
  <c r="AO772" i="1" a="1"/>
  <c r="AO773" i="1" a="1"/>
  <c r="AO774" i="1" a="1"/>
  <c r="AO775" i="1" a="1"/>
  <c r="AO776" i="1" a="1"/>
  <c r="AO777" i="1" a="1"/>
  <c r="AO778" i="1" a="1"/>
  <c r="AO779" i="1" a="1"/>
  <c r="AO780" i="1" a="1"/>
  <c r="AO781" i="1" a="1"/>
  <c r="AO782" i="1" a="1"/>
  <c r="AO783" i="1" a="1"/>
  <c r="AO784" i="1" a="1"/>
  <c r="AO785" i="1" a="1"/>
  <c r="AO786" i="1" a="1"/>
  <c r="AO787" i="1" a="1"/>
  <c r="AO788" i="1" a="1"/>
  <c r="AO789" i="1" a="1"/>
  <c r="AO790" i="1" a="1"/>
  <c r="AO791" i="1" a="1"/>
  <c r="AO792" i="1" a="1"/>
  <c r="AO793" i="1" a="1"/>
  <c r="AO794" i="1" a="1"/>
  <c r="AO795" i="1" a="1"/>
  <c r="AO796" i="1" a="1"/>
  <c r="AO797" i="1" a="1"/>
  <c r="AO798" i="1" a="1"/>
  <c r="AO799" i="1" a="1"/>
  <c r="AO800" i="1" a="1"/>
  <c r="AO801" i="1" a="1"/>
  <c r="AO802" i="1" a="1"/>
  <c r="AO803" i="1" a="1"/>
  <c r="AO804" i="1" a="1"/>
  <c r="AO805" i="1" a="1"/>
  <c r="AO806" i="1" a="1"/>
  <c r="AO807" i="1" a="1"/>
  <c r="AO808" i="1" a="1"/>
  <c r="AO809" i="1" a="1"/>
  <c r="AO810" i="1" a="1"/>
  <c r="AO811" i="1" a="1"/>
  <c r="AO812" i="1" a="1"/>
  <c r="AO813" i="1" a="1"/>
  <c r="AO814" i="1" a="1"/>
  <c r="AO815" i="1" a="1"/>
  <c r="AO816" i="1" a="1"/>
  <c r="AO817" i="1" a="1"/>
  <c r="AO818" i="1" a="1"/>
  <c r="AO819" i="1" a="1"/>
  <c r="AO820" i="1" a="1"/>
  <c r="AO821" i="1" a="1"/>
  <c r="AO822" i="1" a="1"/>
  <c r="AO823" i="1" a="1"/>
  <c r="AO824" i="1" a="1"/>
  <c r="AO825" i="1" a="1"/>
  <c r="AO826" i="1" a="1"/>
  <c r="AO827" i="1" a="1"/>
  <c r="AO828" i="1" a="1"/>
  <c r="AO829" i="1" a="1"/>
  <c r="AO830" i="1" a="1"/>
  <c r="AO831" i="1" a="1"/>
  <c r="AO832" i="1" a="1"/>
  <c r="AO833" i="1" a="1"/>
  <c r="AO834" i="1" a="1"/>
  <c r="AO835" i="1" a="1"/>
  <c r="AO836" i="1" a="1"/>
  <c r="AO837" i="1" a="1"/>
  <c r="AO838" i="1" a="1"/>
  <c r="AO839" i="1" a="1"/>
  <c r="AO840" i="1" a="1"/>
  <c r="AO841" i="1" a="1"/>
  <c r="AO842" i="1" a="1"/>
  <c r="AO843" i="1" a="1"/>
  <c r="AO844" i="1" a="1"/>
  <c r="AO845" i="1" a="1"/>
  <c r="AO846" i="1" a="1"/>
  <c r="AO847" i="1" a="1"/>
  <c r="AO848" i="1" a="1"/>
  <c r="AO849" i="1" a="1"/>
  <c r="AO850" i="1" a="1"/>
  <c r="AO851" i="1" a="1"/>
  <c r="AO852" i="1" a="1"/>
  <c r="AO853" i="1" a="1"/>
  <c r="AO854" i="1" a="1"/>
  <c r="AO855" i="1" a="1"/>
  <c r="AO856" i="1" a="1"/>
  <c r="AO857" i="1" a="1"/>
  <c r="AO858" i="1" a="1"/>
  <c r="AO859" i="1" a="1"/>
  <c r="AO860" i="1" a="1"/>
  <c r="AO861" i="1" a="1"/>
  <c r="AO862" i="1" a="1"/>
  <c r="AO863" i="1" a="1"/>
  <c r="AO864" i="1" a="1"/>
  <c r="AO865" i="1" a="1"/>
  <c r="AO866" i="1" a="1"/>
  <c r="AO867" i="1" a="1"/>
  <c r="AO868" i="1" a="1"/>
  <c r="AO869" i="1" a="1"/>
  <c r="AO870" i="1" a="1"/>
  <c r="AO871" i="1" a="1"/>
  <c r="AO872" i="1" a="1"/>
  <c r="AO873" i="1" a="1"/>
  <c r="AO874" i="1" a="1"/>
  <c r="AO875" i="1" a="1"/>
  <c r="AO876" i="1" a="1"/>
  <c r="AO877" i="1" a="1"/>
  <c r="AO878" i="1" a="1"/>
  <c r="AO879" i="1" a="1"/>
  <c r="AO880" i="1" a="1"/>
  <c r="AO881" i="1" a="1"/>
  <c r="AO882" i="1" a="1"/>
  <c r="AO883" i="1" a="1"/>
  <c r="AO884" i="1" a="1"/>
  <c r="AO885" i="1" a="1"/>
  <c r="AO886" i="1" a="1"/>
  <c r="AO887" i="1" a="1"/>
  <c r="AO888" i="1" a="1"/>
  <c r="AO889" i="1" a="1"/>
  <c r="AO890" i="1" a="1"/>
  <c r="AO891" i="1" a="1"/>
  <c r="AO892" i="1" a="1"/>
  <c r="AO893" i="1" a="1"/>
  <c r="AO894" i="1" a="1"/>
  <c r="AO895" i="1" a="1"/>
  <c r="AO896" i="1" a="1"/>
  <c r="AO897" i="1" a="1"/>
  <c r="AO898" i="1" a="1"/>
  <c r="AO899" i="1" a="1"/>
  <c r="AO900" i="1" a="1"/>
  <c r="AO901" i="1" a="1"/>
  <c r="AO902" i="1" a="1"/>
  <c r="AO903" i="1" a="1"/>
  <c r="AO904" i="1" a="1"/>
  <c r="AO905" i="1" a="1"/>
  <c r="AO906" i="1" a="1"/>
  <c r="AO907" i="1" a="1"/>
  <c r="AO908" i="1" a="1"/>
  <c r="AO909" i="1" a="1"/>
  <c r="AO910" i="1" a="1"/>
  <c r="AO911" i="1" a="1"/>
  <c r="AO912" i="1" a="1"/>
  <c r="AO913" i="1" a="1"/>
  <c r="AO914" i="1" a="1"/>
  <c r="AO915" i="1" a="1"/>
  <c r="AO916" i="1" a="1"/>
  <c r="AO917" i="1" a="1"/>
  <c r="AO918" i="1" a="1"/>
  <c r="AO919" i="1" a="1"/>
  <c r="AO920" i="1" a="1"/>
  <c r="AO921" i="1" a="1"/>
  <c r="AO922" i="1" a="1"/>
  <c r="AO923" i="1" a="1"/>
  <c r="AO924" i="1" a="1"/>
  <c r="AO925" i="1" a="1"/>
  <c r="AO926" i="1" a="1"/>
  <c r="AO927" i="1" a="1"/>
  <c r="AO928" i="1" a="1"/>
  <c r="AO929" i="1" a="1"/>
  <c r="AO930" i="1" a="1"/>
  <c r="AO931" i="1" a="1"/>
  <c r="AO932" i="1" a="1"/>
  <c r="AO933" i="1" a="1"/>
  <c r="AO934" i="1" a="1"/>
  <c r="AO935" i="1" a="1"/>
  <c r="AO936" i="1" a="1"/>
  <c r="AO937" i="1" a="1"/>
  <c r="AO938" i="1" a="1"/>
  <c r="AO939" i="1" a="1"/>
  <c r="AO940" i="1" a="1"/>
  <c r="AO941" i="1" a="1"/>
  <c r="AO942" i="1" a="1"/>
  <c r="AO943" i="1" a="1"/>
  <c r="AO944" i="1" a="1"/>
  <c r="AO945" i="1" a="1"/>
  <c r="AO946" i="1" a="1"/>
  <c r="AO947" i="1" a="1"/>
  <c r="AO948" i="1" a="1"/>
  <c r="AO949" i="1" a="1"/>
  <c r="AO950" i="1" a="1"/>
  <c r="AO951" i="1" a="1"/>
  <c r="AO952" i="1" a="1"/>
  <c r="AO953" i="1" a="1"/>
  <c r="AO954" i="1" a="1"/>
  <c r="AO955" i="1" a="1"/>
  <c r="AO956" i="1" a="1"/>
  <c r="AO957" i="1" a="1"/>
  <c r="AO958" i="1" a="1"/>
  <c r="AO959" i="1" a="1"/>
  <c r="AO960" i="1" a="1"/>
  <c r="AO961" i="1" a="1"/>
  <c r="AO962" i="1" a="1"/>
  <c r="AO963" i="1" a="1"/>
  <c r="AO964" i="1" a="1"/>
  <c r="AO965" i="1" a="1"/>
  <c r="AO966" i="1" a="1"/>
  <c r="AO967" i="1" a="1"/>
  <c r="AO968" i="1" a="1"/>
  <c r="AO969" i="1" a="1"/>
  <c r="AO970" i="1" a="1"/>
  <c r="AO971" i="1" a="1"/>
  <c r="AO972" i="1" a="1"/>
  <c r="AO973" i="1" a="1"/>
  <c r="AO974" i="1" a="1"/>
  <c r="AO975" i="1" a="1"/>
  <c r="AO976" i="1" a="1"/>
  <c r="AO977" i="1" a="1"/>
  <c r="AO978" i="1" a="1"/>
  <c r="AO979" i="1" a="1"/>
  <c r="AO980" i="1" a="1"/>
  <c r="AO981" i="1" a="1"/>
  <c r="AO982" i="1" a="1"/>
  <c r="AO983" i="1" a="1"/>
  <c r="AO984" i="1" a="1"/>
  <c r="AO985" i="1" a="1"/>
  <c r="AO986" i="1" a="1"/>
  <c r="AO987" i="1" a="1"/>
  <c r="AO988" i="1" a="1"/>
  <c r="AO989" i="1" a="1"/>
  <c r="AO990" i="1" a="1"/>
  <c r="AO991" i="1" a="1"/>
  <c r="AO992" i="1" a="1"/>
  <c r="AO993" i="1" a="1"/>
  <c r="AO994" i="1" a="1"/>
  <c r="AO995" i="1" a="1"/>
  <c r="AO996" i="1" a="1"/>
  <c r="AO997" i="1" a="1"/>
  <c r="AO998" i="1" a="1"/>
  <c r="AO999" i="1" a="1"/>
  <c r="AO1000" i="1" a="1"/>
  <c r="AO1001" i="1" a="1"/>
  <c r="AO1002" i="1" a="1"/>
  <c r="AO1003" i="1" a="1"/>
  <c r="AO1004" i="1" a="1"/>
  <c r="AO1005" i="1" a="1"/>
  <c r="AO1006" i="1" a="1"/>
  <c r="AO1007" i="1" a="1"/>
  <c r="AO1008" i="1" a="1"/>
  <c r="AO1009" i="1" a="1"/>
  <c r="AO1010" i="1" a="1"/>
  <c r="AO1011" i="1" a="1"/>
  <c r="AO1012" i="1" a="1"/>
  <c r="AO1013" i="1" a="1"/>
  <c r="AO1014" i="1" a="1"/>
  <c r="AO1015" i="1" a="1"/>
  <c r="AO1016" i="1" a="1"/>
  <c r="AO1017" i="1" a="1"/>
  <c r="AO1018" i="1" a="1"/>
  <c r="AO1019" i="1" a="1"/>
  <c r="AO1020" i="1" a="1"/>
  <c r="AO1021" i="1" a="1"/>
  <c r="AO1022" i="1" a="1"/>
  <c r="AO1023" i="1" a="1"/>
  <c r="AO1024" i="1" a="1"/>
  <c r="AO1025" i="1" a="1"/>
  <c r="AO1026" i="1" a="1"/>
  <c r="AO1027" i="1" a="1"/>
  <c r="AO1028" i="1" a="1"/>
  <c r="AO1029" i="1" a="1"/>
  <c r="AO1030" i="1" a="1"/>
  <c r="AO1031" i="1" a="1"/>
  <c r="AO1032" i="1" a="1"/>
  <c r="AO1033" i="1" a="1"/>
  <c r="AO1034" i="1" a="1"/>
  <c r="AO1035" i="1" a="1"/>
  <c r="AO1036" i="1" a="1"/>
  <c r="AO1037" i="1" a="1"/>
  <c r="AO1038" i="1" a="1"/>
  <c r="AO1039" i="1" a="1"/>
  <c r="AO1040" i="1" a="1"/>
  <c r="AO1041" i="1" a="1"/>
  <c r="AO1042" i="1" a="1"/>
  <c r="AO1043" i="1" a="1"/>
  <c r="AO1044" i="1" a="1"/>
  <c r="AO1045" i="1" a="1"/>
  <c r="AO1046" i="1" a="1"/>
  <c r="AO1047" i="1" a="1"/>
  <c r="AO1048" i="1" a="1"/>
  <c r="AO1049" i="1" a="1"/>
  <c r="AO1050" i="1" a="1"/>
  <c r="AO1051" i="1" a="1"/>
  <c r="AO1052" i="1" a="1"/>
  <c r="AO1053" i="1" a="1"/>
  <c r="AO1054" i="1" a="1"/>
  <c r="AO1055" i="1" a="1"/>
  <c r="AO1056" i="1" a="1"/>
  <c r="AO1057" i="1" a="1"/>
  <c r="AO1058" i="1" a="1"/>
  <c r="AO1059" i="1" a="1"/>
  <c r="AO1060" i="1" a="1"/>
  <c r="AO1061" i="1" a="1"/>
  <c r="AO1062" i="1" a="1"/>
  <c r="AO1063" i="1" a="1"/>
  <c r="AO1064" i="1" a="1"/>
  <c r="AO1065" i="1" a="1"/>
  <c r="AO1066" i="1" a="1"/>
  <c r="AO1067" i="1" a="1"/>
  <c r="AO1068" i="1" a="1"/>
  <c r="AO1069" i="1" a="1"/>
  <c r="AO1070" i="1" a="1"/>
  <c r="AO1071" i="1" a="1"/>
  <c r="AO1072" i="1" a="1"/>
  <c r="AO1073" i="1" a="1"/>
  <c r="AO1074" i="1" a="1"/>
  <c r="AO1075" i="1" a="1"/>
  <c r="AO1076" i="1" a="1"/>
  <c r="AO1077" i="1" a="1"/>
  <c r="AO1078" i="1" a="1"/>
  <c r="AO1079" i="1" a="1"/>
  <c r="AO1080" i="1" a="1"/>
  <c r="AO1081" i="1" a="1"/>
  <c r="AO1082" i="1" a="1"/>
  <c r="AO1083" i="1" a="1"/>
  <c r="AO1084" i="1" a="1"/>
  <c r="AO1085" i="1" a="1"/>
  <c r="AO1086" i="1" a="1"/>
  <c r="AO1087" i="1" a="1"/>
  <c r="AO1088" i="1" a="1"/>
  <c r="AO1089" i="1" a="1"/>
  <c r="AO1090" i="1" a="1"/>
  <c r="AO1091" i="1" a="1"/>
  <c r="AO1092" i="1" a="1"/>
  <c r="AO1093" i="1" a="1"/>
  <c r="AO1094" i="1" a="1"/>
  <c r="AO1095" i="1" a="1"/>
  <c r="AO1096" i="1" a="1"/>
  <c r="AO1097" i="1" a="1"/>
  <c r="AO1098" i="1" a="1"/>
  <c r="AO1099" i="1" a="1"/>
  <c r="AO1100" i="1" a="1"/>
  <c r="AO1101" i="1" a="1"/>
  <c r="AO1102" i="1" a="1"/>
  <c r="AO1103" i="1" a="1"/>
  <c r="AO1104" i="1" a="1"/>
  <c r="AO1105" i="1" a="1"/>
  <c r="AO1106" i="1" a="1"/>
  <c r="AO1107" i="1" a="1"/>
  <c r="AO1108" i="1" a="1"/>
  <c r="AO1109" i="1" a="1"/>
  <c r="AO1110" i="1" a="1"/>
  <c r="AO1111" i="1" a="1"/>
  <c r="AO1112" i="1" a="1"/>
  <c r="AO1113" i="1" a="1"/>
  <c r="AO1114" i="1" a="1"/>
  <c r="AO1115" i="1" a="1"/>
  <c r="AO1116" i="1" a="1"/>
  <c r="AO1117" i="1" a="1"/>
  <c r="AO1118" i="1" a="1"/>
  <c r="AO1119" i="1" a="1"/>
  <c r="AO1120" i="1" a="1"/>
  <c r="AO1121" i="1" a="1"/>
  <c r="AO1122" i="1" a="1"/>
  <c r="AO1123" i="1" a="1"/>
  <c r="AO1124" i="1" a="1"/>
  <c r="AO1125" i="1" a="1"/>
  <c r="AO1126" i="1" a="1"/>
  <c r="AO1127" i="1" a="1"/>
  <c r="AO1128" i="1" a="1"/>
  <c r="AO1129" i="1" a="1"/>
  <c r="AO1130" i="1" a="1"/>
  <c r="AO1131" i="1" a="1"/>
  <c r="AO1132" i="1" a="1"/>
  <c r="AO1133" i="1" a="1"/>
  <c r="AO1134" i="1" a="1"/>
  <c r="AO1135" i="1" a="1"/>
  <c r="AO1136" i="1" a="1"/>
  <c r="AO1137" i="1" a="1"/>
  <c r="AO1138" i="1" a="1"/>
  <c r="AO1139" i="1" a="1"/>
  <c r="AO1140" i="1" a="1"/>
  <c r="AO1141" i="1" a="1"/>
  <c r="AO1142" i="1" a="1"/>
  <c r="AO1143" i="1" a="1"/>
  <c r="AO1144" i="1" a="1"/>
  <c r="AO1145" i="1" a="1"/>
  <c r="AO1146" i="1" a="1"/>
  <c r="AO1147" i="1" a="1"/>
  <c r="AO1148" i="1" a="1"/>
  <c r="AO1149" i="1" a="1"/>
  <c r="AO1150" i="1" a="1"/>
  <c r="AO1151" i="1" a="1"/>
  <c r="AO1152" i="1" a="1"/>
  <c r="AO1153" i="1" a="1"/>
  <c r="AO1154" i="1" a="1"/>
  <c r="AO1155" i="1" a="1"/>
  <c r="AO1156" i="1" a="1"/>
  <c r="AO1157" i="1" a="1"/>
  <c r="AO1158" i="1" a="1"/>
  <c r="AO1159" i="1" a="1"/>
  <c r="AO1160" i="1" a="1"/>
  <c r="AO1161" i="1" a="1"/>
  <c r="AO1162" i="1" a="1"/>
  <c r="AO1163" i="1" a="1"/>
  <c r="AO1164" i="1" a="1"/>
  <c r="AO1165" i="1" a="1"/>
  <c r="AO1166" i="1" a="1"/>
  <c r="AO1167" i="1" a="1"/>
  <c r="AO1168" i="1" a="1"/>
  <c r="AO1169" i="1" a="1"/>
  <c r="AO1170" i="1" a="1"/>
  <c r="AO1171" i="1" a="1"/>
  <c r="AO1172" i="1" a="1"/>
  <c r="AO1173" i="1" a="1"/>
  <c r="AO1174" i="1" a="1"/>
  <c r="AO1175" i="1" a="1"/>
  <c r="AO1176" i="1" a="1"/>
  <c r="AO1177" i="1" a="1"/>
  <c r="AO1178" i="1" a="1"/>
  <c r="AO1179" i="1" a="1"/>
  <c r="AO1180" i="1" a="1"/>
  <c r="AO1181" i="1" a="1"/>
  <c r="AO1182" i="1" a="1"/>
  <c r="AO1183" i="1" a="1"/>
  <c r="AO1184" i="1" a="1"/>
  <c r="AO1185" i="1" a="1"/>
  <c r="AO1186" i="1" a="1"/>
  <c r="AO1187" i="1" a="1"/>
  <c r="AO1188" i="1" a="1"/>
  <c r="AO1189" i="1" a="1"/>
  <c r="AO1190" i="1" a="1"/>
  <c r="AO1191" i="1" a="1"/>
  <c r="AO1192" i="1" a="1"/>
  <c r="AO1193" i="1" a="1"/>
  <c r="AO1194" i="1" a="1"/>
  <c r="AO1195" i="1" a="1"/>
  <c r="AO1196" i="1" a="1"/>
  <c r="AO1197" i="1" a="1"/>
  <c r="AO1198" i="1" a="1"/>
  <c r="AO1199" i="1" a="1"/>
  <c r="AO1200" i="1" a="1"/>
  <c r="AO1201" i="1" a="1"/>
  <c r="AO1202" i="1" a="1"/>
  <c r="AO1203" i="1" a="1"/>
  <c r="AO1204" i="1" a="1"/>
  <c r="AO1205" i="1" a="1"/>
  <c r="AO1206" i="1" a="1"/>
  <c r="AO1207" i="1" a="1"/>
  <c r="AO1208" i="1" a="1"/>
  <c r="AO1209" i="1" a="1"/>
  <c r="AO1210" i="1" a="1"/>
  <c r="AO1211" i="1" a="1"/>
  <c r="AO1212" i="1" a="1"/>
  <c r="AO1213" i="1" a="1"/>
  <c r="AO1214" i="1" a="1"/>
  <c r="AO1215" i="1" a="1"/>
  <c r="AO1216" i="1" a="1"/>
  <c r="AO1217" i="1" a="1"/>
  <c r="AO1218" i="1" a="1"/>
  <c r="AO1219" i="1" a="1"/>
  <c r="AO1220" i="1" a="1"/>
  <c r="AO1221" i="1" a="1"/>
  <c r="AO1222" i="1" a="1"/>
  <c r="AO1223" i="1" a="1"/>
  <c r="AO1224" i="1" a="1"/>
  <c r="AO1225" i="1" a="1"/>
  <c r="AO1226" i="1" a="1"/>
  <c r="AO1227" i="1" a="1"/>
  <c r="AO1228" i="1" a="1"/>
  <c r="AO1229" i="1" a="1"/>
  <c r="AO1230" i="1" a="1"/>
  <c r="AO1231" i="1" a="1"/>
  <c r="AO1232" i="1" a="1"/>
  <c r="AO1233" i="1" a="1"/>
  <c r="AO1234" i="1" a="1"/>
  <c r="AO1235" i="1" a="1"/>
  <c r="AO1236" i="1" a="1"/>
  <c r="AO1237" i="1" a="1"/>
  <c r="AO1238" i="1" a="1"/>
  <c r="AO1239" i="1" a="1"/>
  <c r="AO1240" i="1" a="1"/>
  <c r="AO1241" i="1" a="1"/>
  <c r="AO1242" i="1" a="1"/>
  <c r="AO1243" i="1" a="1"/>
  <c r="AO1244" i="1" a="1"/>
  <c r="AO1245" i="1" a="1"/>
  <c r="AO1246" i="1" a="1"/>
  <c r="AO1247" i="1" a="1"/>
  <c r="AO1248" i="1" a="1"/>
  <c r="AO1249" i="1" a="1"/>
  <c r="AO1250" i="1" a="1"/>
  <c r="AO1251" i="1" a="1"/>
  <c r="AO1252" i="1" a="1"/>
  <c r="AO1253" i="1" a="1"/>
  <c r="AO1254" i="1" a="1"/>
  <c r="AO1255" i="1" a="1"/>
  <c r="AO1256" i="1" a="1"/>
  <c r="AO1257" i="1" a="1"/>
  <c r="AO1258" i="1" a="1"/>
  <c r="AO1259" i="1" a="1"/>
  <c r="AO1260" i="1" a="1"/>
  <c r="AO1261" i="1" a="1"/>
  <c r="AO1262" i="1" a="1"/>
  <c r="AO1263" i="1" a="1"/>
  <c r="AO1264" i="1" a="1"/>
  <c r="AO1265" i="1" a="1"/>
  <c r="AO1266" i="1" a="1"/>
  <c r="AO1267" i="1" a="1"/>
  <c r="AO1268" i="1" a="1"/>
  <c r="AO1269" i="1" a="1"/>
  <c r="AO1270" i="1" a="1"/>
  <c r="AO1271" i="1" a="1"/>
  <c r="AO1272" i="1" a="1"/>
  <c r="AO1273" i="1" a="1"/>
  <c r="AO1274" i="1" a="1"/>
  <c r="AO1275" i="1" a="1"/>
  <c r="AO1276" i="1" a="1"/>
  <c r="AO1277" i="1" a="1"/>
  <c r="AO1278" i="1" a="1"/>
  <c r="AO1279" i="1" a="1"/>
  <c r="AO1280" i="1" a="1"/>
  <c r="AO1281" i="1" a="1"/>
  <c r="AO1282" i="1" a="1"/>
  <c r="AO1283" i="1" a="1"/>
  <c r="AO1284" i="1" a="1"/>
  <c r="AO1285" i="1" a="1"/>
  <c r="AO1286" i="1" a="1"/>
  <c r="AO1287" i="1" a="1"/>
  <c r="AO1288" i="1" a="1"/>
  <c r="AO1289" i="1" a="1"/>
  <c r="AO1290" i="1" a="1"/>
  <c r="AO1291" i="1" a="1"/>
  <c r="AO1292" i="1" a="1"/>
  <c r="AO1293" i="1" a="1"/>
  <c r="AO1294" i="1" a="1"/>
  <c r="AO1295" i="1" a="1"/>
  <c r="AO1296" i="1" a="1"/>
  <c r="AO1297" i="1" a="1"/>
  <c r="AO1298" i="1" a="1"/>
  <c r="AO1299" i="1" a="1"/>
  <c r="AO1300" i="1" a="1"/>
  <c r="AO1301" i="1" a="1"/>
  <c r="AO1302" i="1" a="1"/>
  <c r="AO1303" i="1" a="1"/>
  <c r="AO1304" i="1" a="1"/>
  <c r="AO1305" i="1" a="1"/>
  <c r="AO1306" i="1" a="1"/>
  <c r="AO1307" i="1" a="1"/>
  <c r="AO1308" i="1" a="1"/>
  <c r="AO1309" i="1" a="1"/>
  <c r="AO1310" i="1" a="1"/>
  <c r="AO1311" i="1" a="1"/>
  <c r="AO1312" i="1" a="1"/>
  <c r="AO1313" i="1" a="1"/>
  <c r="AO1314" i="1" a="1"/>
  <c r="AO1315" i="1" a="1"/>
  <c r="AO1316" i="1" a="1"/>
  <c r="AO1317" i="1" a="1"/>
  <c r="AO1318" i="1" a="1"/>
  <c r="AO1319" i="1" a="1"/>
  <c r="AO1320" i="1" a="1"/>
  <c r="AO1321" i="1" a="1"/>
  <c r="AO1322" i="1" a="1"/>
  <c r="AO1323" i="1" a="1"/>
  <c r="AO1324" i="1" a="1"/>
  <c r="AO1325" i="1" a="1"/>
  <c r="AO1326" i="1" a="1"/>
  <c r="AO1327" i="1" a="1"/>
  <c r="AO1328" i="1" a="1"/>
  <c r="AO1329" i="1" a="1"/>
  <c r="AO1330" i="1" a="1"/>
  <c r="AO1331" i="1" a="1"/>
  <c r="AO1332" i="1" a="1"/>
  <c r="AO1333" i="1" a="1"/>
  <c r="AO1334" i="1" a="1"/>
  <c r="AO1335" i="1" a="1"/>
  <c r="AO1336" i="1" a="1"/>
  <c r="AO1337" i="1" a="1"/>
  <c r="AO1338" i="1" a="1"/>
  <c r="AO1339" i="1" a="1"/>
  <c r="AO1340" i="1" a="1"/>
  <c r="AO1341" i="1" a="1"/>
  <c r="AO1342" i="1" a="1"/>
  <c r="AO1343" i="1" a="1"/>
  <c r="AO1344" i="1" a="1"/>
  <c r="AO1345" i="1" a="1"/>
  <c r="AO1346" i="1" a="1"/>
  <c r="AO1347" i="1" a="1"/>
  <c r="AO1348" i="1" a="1"/>
  <c r="AO1349" i="1" a="1"/>
  <c r="AO1350" i="1" a="1"/>
  <c r="AO1351" i="1" a="1"/>
  <c r="AO1352" i="1" a="1"/>
  <c r="AO1353" i="1" a="1"/>
  <c r="AO1354" i="1" a="1"/>
  <c r="AO1355" i="1" a="1"/>
  <c r="AO1356" i="1" a="1"/>
  <c r="AO1357" i="1" a="1"/>
  <c r="AO1358" i="1" a="1"/>
  <c r="AO1359" i="1" a="1"/>
  <c r="AO1360" i="1" a="1"/>
  <c r="AO1361" i="1" a="1"/>
  <c r="AO1362" i="1" a="1"/>
  <c r="AO1363" i="1" a="1"/>
  <c r="AO1364" i="1" a="1"/>
  <c r="AO1365" i="1" a="1"/>
  <c r="AO1366" i="1" a="1"/>
  <c r="AO1367" i="1" a="1"/>
  <c r="AO1368" i="1" a="1"/>
  <c r="AO1369" i="1" a="1"/>
  <c r="AO1370" i="1" a="1"/>
  <c r="AO1371" i="1" a="1"/>
  <c r="AO1372" i="1" a="1"/>
  <c r="AO1373" i="1" a="1"/>
  <c r="AO1374" i="1" a="1"/>
  <c r="AO1375" i="1" a="1"/>
  <c r="AO1376" i="1" a="1"/>
  <c r="AO1377" i="1" a="1"/>
  <c r="AO1378" i="1" a="1"/>
  <c r="AO1379" i="1" a="1"/>
  <c r="AO1380" i="1" a="1"/>
  <c r="AO1381" i="1" a="1"/>
  <c r="AO1382" i="1" a="1"/>
  <c r="AO1383" i="1" a="1"/>
  <c r="AO1384" i="1" a="1"/>
  <c r="AO1385" i="1" a="1"/>
  <c r="AO1386" i="1" a="1"/>
  <c r="AO1387" i="1" a="1"/>
  <c r="AO1388" i="1" a="1"/>
  <c r="AO1389" i="1" a="1"/>
  <c r="AO1390" i="1" a="1"/>
  <c r="AO1391" i="1" a="1"/>
  <c r="AO1392" i="1" a="1"/>
  <c r="AO1393" i="1" a="1"/>
  <c r="AO1394" i="1" a="1"/>
  <c r="AO1395" i="1" a="1"/>
  <c r="AO1396" i="1" a="1"/>
  <c r="AO1397" i="1" a="1"/>
  <c r="AO1398" i="1" a="1"/>
  <c r="AO1399" i="1" a="1"/>
  <c r="AO1400" i="1" a="1"/>
  <c r="AO1401" i="1" a="1"/>
  <c r="AO1402" i="1" a="1"/>
  <c r="AO1403" i="1" a="1"/>
  <c r="AO1404" i="1" a="1"/>
  <c r="AO1405" i="1" a="1"/>
  <c r="AO1406" i="1" a="1"/>
  <c r="AO1407" i="1" a="1"/>
  <c r="AO1408" i="1" a="1"/>
  <c r="AO1409" i="1" a="1"/>
  <c r="AO1410" i="1" a="1"/>
  <c r="AO1411" i="1" a="1"/>
  <c r="AO1412" i="1" a="1"/>
  <c r="AO1413" i="1" a="1"/>
  <c r="AO1414" i="1" a="1"/>
  <c r="AO1415" i="1" a="1"/>
  <c r="AO1416" i="1" a="1"/>
  <c r="AO1417" i="1" a="1"/>
  <c r="AO1418" i="1" a="1"/>
  <c r="AO1419" i="1" a="1"/>
  <c r="AO1420" i="1" a="1"/>
  <c r="AO1421" i="1" a="1"/>
  <c r="AO1422" i="1" a="1"/>
  <c r="AO1423" i="1" a="1"/>
  <c r="AO1424" i="1" a="1"/>
  <c r="AO1425" i="1" a="1"/>
  <c r="AO1426" i="1" a="1"/>
  <c r="AO1427" i="1" a="1"/>
  <c r="AO1428" i="1" a="1"/>
  <c r="AO1429" i="1" a="1"/>
  <c r="AO1430" i="1" a="1"/>
  <c r="AO1431" i="1" a="1"/>
  <c r="AO1432" i="1" a="1"/>
  <c r="AO1433" i="1" a="1"/>
  <c r="AO1434" i="1" a="1"/>
  <c r="AO1435" i="1" a="1"/>
  <c r="AO1436" i="1" a="1"/>
  <c r="AO1437" i="1" a="1"/>
  <c r="AO1438" i="1" a="1"/>
  <c r="AO1439" i="1" a="1"/>
  <c r="AO1440" i="1" a="1"/>
  <c r="AO1441" i="1" a="1"/>
  <c r="AO1442" i="1" a="1"/>
  <c r="AO1443" i="1" a="1"/>
  <c r="AO1444" i="1" a="1"/>
  <c r="AO1445" i="1" a="1"/>
  <c r="AO1446" i="1" a="1"/>
  <c r="AO1447" i="1" a="1"/>
  <c r="AO1448" i="1" a="1"/>
  <c r="AO1449" i="1" a="1"/>
  <c r="AO1450" i="1" a="1"/>
  <c r="AO1451" i="1" a="1"/>
  <c r="AO1452" i="1" a="1"/>
  <c r="AO1453" i="1" a="1"/>
  <c r="AO1454" i="1" a="1"/>
  <c r="AO1455" i="1" a="1"/>
  <c r="AO1456" i="1" a="1"/>
  <c r="AO1457" i="1" a="1"/>
  <c r="AO1458" i="1" a="1"/>
  <c r="AO1459" i="1" a="1"/>
  <c r="AO1460" i="1" a="1"/>
  <c r="AO1461" i="1" a="1"/>
  <c r="AO1462" i="1" a="1"/>
  <c r="AO1463" i="1" a="1"/>
  <c r="AO1464" i="1" a="1"/>
  <c r="AO1465" i="1" a="1"/>
  <c r="AO1466" i="1" a="1"/>
  <c r="AO1467" i="1" a="1"/>
  <c r="AO1468" i="1" a="1"/>
  <c r="AO1469" i="1" a="1"/>
  <c r="AO1470" i="1" a="1"/>
  <c r="AO1471" i="1" a="1"/>
  <c r="AN2" i="1" a="1"/>
  <c r="AN3" i="1" a="1"/>
  <c r="AN4" i="1" a="1"/>
  <c r="AN5" i="1" a="1"/>
  <c r="AN6" i="1" a="1"/>
  <c r="AN7" i="1" a="1"/>
  <c r="AN8" i="1" a="1"/>
  <c r="AN9" i="1" a="1"/>
  <c r="AN10" i="1" a="1"/>
  <c r="AN11" i="1" a="1"/>
  <c r="AN12" i="1" a="1"/>
  <c r="AN13" i="1" a="1"/>
  <c r="AN14" i="1" a="1"/>
  <c r="AN15" i="1" a="1"/>
  <c r="AN16" i="1" a="1"/>
  <c r="AN17" i="1" a="1"/>
  <c r="AN18" i="1" a="1"/>
  <c r="AN19" i="1" a="1"/>
  <c r="AN20" i="1" a="1"/>
  <c r="AN21" i="1" a="1"/>
  <c r="AN22" i="1" a="1"/>
  <c r="AN23" i="1" a="1"/>
  <c r="AN24" i="1" a="1"/>
  <c r="AN25" i="1" a="1"/>
  <c r="AN26" i="1" a="1"/>
  <c r="AN27" i="1" a="1"/>
  <c r="AN28" i="1" a="1"/>
  <c r="AN29" i="1" a="1"/>
  <c r="AN30" i="1" a="1"/>
  <c r="AN31" i="1" a="1"/>
  <c r="AN32" i="1" a="1"/>
  <c r="AN33" i="1" a="1"/>
  <c r="AN34" i="1" a="1"/>
  <c r="AN35" i="1" a="1"/>
  <c r="AN36" i="1" a="1"/>
  <c r="AN37" i="1" a="1"/>
  <c r="AN38" i="1" a="1"/>
  <c r="AN39" i="1" a="1"/>
  <c r="AN40" i="1" a="1"/>
  <c r="AN41" i="1" a="1"/>
  <c r="AN42" i="1" a="1"/>
  <c r="AN43" i="1" a="1"/>
  <c r="AN44" i="1" a="1"/>
  <c r="AN45" i="1" a="1"/>
  <c r="AN46" i="1" a="1"/>
  <c r="AN47" i="1" a="1"/>
  <c r="AN48" i="1" a="1"/>
  <c r="AN49" i="1" a="1"/>
  <c r="AN50" i="1" a="1"/>
  <c r="AN51" i="1" a="1"/>
  <c r="AN52" i="1" a="1"/>
  <c r="AN53" i="1" a="1"/>
  <c r="AN54" i="1" a="1"/>
  <c r="AN55" i="1" a="1"/>
  <c r="AN56" i="1" a="1"/>
  <c r="AN57" i="1" a="1"/>
  <c r="AN58" i="1" a="1"/>
  <c r="AN59" i="1" a="1"/>
  <c r="AN60" i="1" a="1"/>
  <c r="AN61" i="1" a="1"/>
  <c r="AN62" i="1" a="1"/>
  <c r="AN63" i="1" a="1"/>
  <c r="AN64" i="1" a="1"/>
  <c r="AN65" i="1" a="1"/>
  <c r="AN66" i="1" a="1"/>
  <c r="AN67" i="1" a="1"/>
  <c r="AN68" i="1" a="1"/>
  <c r="AN69" i="1" a="1"/>
  <c r="AN70" i="1" a="1"/>
  <c r="AN71" i="1" a="1"/>
  <c r="AN72" i="1" a="1"/>
  <c r="AN73" i="1" a="1"/>
  <c r="AN74" i="1" a="1"/>
  <c r="AN75" i="1" a="1"/>
  <c r="AN76" i="1" a="1"/>
  <c r="AN77" i="1" a="1"/>
  <c r="AN78" i="1" a="1"/>
  <c r="AN79" i="1" a="1"/>
  <c r="AN80" i="1" a="1"/>
  <c r="AN81" i="1" a="1"/>
  <c r="AN82" i="1" a="1"/>
  <c r="AN83" i="1" a="1"/>
  <c r="AN84" i="1" a="1"/>
  <c r="AN85" i="1" a="1"/>
  <c r="AN86" i="1" a="1"/>
  <c r="AN87" i="1" a="1"/>
  <c r="AN88" i="1" a="1"/>
  <c r="AN89" i="1" a="1"/>
  <c r="AN90" i="1" a="1"/>
  <c r="AN91" i="1" a="1"/>
  <c r="AN92" i="1" a="1"/>
  <c r="AN93" i="1" a="1"/>
  <c r="AN94" i="1" a="1"/>
  <c r="AN95" i="1" a="1"/>
  <c r="AN96" i="1" a="1"/>
  <c r="AN97" i="1" a="1"/>
  <c r="AN98" i="1" a="1"/>
  <c r="AN99" i="1" a="1"/>
  <c r="AN100" i="1" a="1"/>
  <c r="AN101" i="1" a="1"/>
  <c r="AN102" i="1" a="1"/>
  <c r="AN103" i="1" a="1"/>
  <c r="AN104" i="1" a="1"/>
  <c r="AN105" i="1" a="1"/>
  <c r="AN106" i="1" a="1"/>
  <c r="AN107" i="1" a="1"/>
  <c r="AN108" i="1" a="1"/>
  <c r="AN109" i="1" a="1"/>
  <c r="AN110" i="1" a="1"/>
  <c r="AN111" i="1" a="1"/>
  <c r="AN112" i="1" a="1"/>
  <c r="AN113" i="1" a="1"/>
  <c r="AN114" i="1" a="1"/>
  <c r="AN115" i="1" a="1"/>
  <c r="AN116" i="1" a="1"/>
  <c r="AN117" i="1" a="1"/>
  <c r="AN118" i="1" a="1"/>
  <c r="AN119" i="1" a="1"/>
  <c r="AN120" i="1" a="1"/>
  <c r="AN121" i="1" a="1"/>
  <c r="AN122" i="1" a="1"/>
  <c r="AN123" i="1" a="1"/>
  <c r="AN124" i="1" a="1"/>
  <c r="AN125" i="1" a="1"/>
  <c r="AN126" i="1" a="1"/>
  <c r="AN127" i="1" a="1"/>
  <c r="AN128" i="1" a="1"/>
  <c r="AN129" i="1" a="1"/>
  <c r="AN130" i="1" a="1"/>
  <c r="AN131" i="1" a="1"/>
  <c r="AN132" i="1" a="1"/>
  <c r="AN133" i="1" a="1"/>
  <c r="AN134" i="1" a="1"/>
  <c r="AN135" i="1" a="1"/>
  <c r="AN136" i="1" a="1"/>
  <c r="AN137" i="1" a="1"/>
  <c r="AN138" i="1" a="1"/>
  <c r="AN139" i="1" a="1"/>
  <c r="AN140" i="1" a="1"/>
  <c r="AN141" i="1" a="1"/>
  <c r="AN142" i="1" a="1"/>
  <c r="AN143" i="1" a="1"/>
  <c r="AN144" i="1" a="1"/>
  <c r="AN145" i="1" a="1"/>
  <c r="AN146" i="1" a="1"/>
  <c r="AN147" i="1" a="1"/>
  <c r="AN148" i="1" a="1"/>
  <c r="AN149" i="1" a="1"/>
  <c r="AN150" i="1" a="1"/>
  <c r="AN151" i="1" a="1"/>
  <c r="AN152" i="1" a="1"/>
  <c r="AN153" i="1" a="1"/>
  <c r="AN154" i="1" a="1"/>
  <c r="AN155" i="1" a="1"/>
  <c r="AN156" i="1" a="1"/>
  <c r="AN157" i="1" a="1"/>
  <c r="AN158" i="1" a="1"/>
  <c r="AN159" i="1" a="1"/>
  <c r="AN160" i="1" a="1"/>
  <c r="AN161" i="1" a="1"/>
  <c r="AN162" i="1" a="1"/>
  <c r="AN163" i="1" a="1"/>
  <c r="AN164" i="1" a="1"/>
  <c r="AN165" i="1" a="1"/>
  <c r="AN166" i="1" a="1"/>
  <c r="AN167" i="1" a="1"/>
  <c r="AN168" i="1" a="1"/>
  <c r="AN169" i="1" a="1"/>
  <c r="AN170" i="1" a="1"/>
  <c r="AN171" i="1" a="1"/>
  <c r="AN172" i="1" a="1"/>
  <c r="AN173" i="1" a="1"/>
  <c r="AN174" i="1" a="1"/>
  <c r="AN175" i="1" a="1"/>
  <c r="AN176" i="1" a="1"/>
  <c r="AN177" i="1" a="1"/>
  <c r="AN178" i="1" a="1"/>
  <c r="AN179" i="1" a="1"/>
  <c r="AN180" i="1" a="1"/>
  <c r="AN181" i="1" a="1"/>
  <c r="AN182" i="1" a="1"/>
  <c r="AN183" i="1" a="1"/>
  <c r="AN184" i="1" a="1"/>
  <c r="AN185" i="1" a="1"/>
  <c r="AN186" i="1" a="1"/>
  <c r="AN187" i="1" a="1"/>
  <c r="AN188" i="1" a="1"/>
  <c r="AN189" i="1" a="1"/>
  <c r="AN190" i="1" a="1"/>
  <c r="AN191" i="1" a="1"/>
  <c r="AN192" i="1" a="1"/>
  <c r="AN193" i="1" a="1"/>
  <c r="AN194" i="1" a="1"/>
  <c r="AN195" i="1" a="1"/>
  <c r="AN196" i="1" a="1"/>
  <c r="AN197" i="1" a="1"/>
  <c r="AN198" i="1" a="1"/>
  <c r="AN199" i="1" a="1"/>
  <c r="AN200" i="1" a="1"/>
  <c r="AN201" i="1" a="1"/>
  <c r="AN202" i="1" a="1"/>
  <c r="AN203" i="1" a="1"/>
  <c r="AN204" i="1" a="1"/>
  <c r="AN205" i="1" a="1"/>
  <c r="AN206" i="1" a="1"/>
  <c r="AN207" i="1" a="1"/>
  <c r="AN208" i="1" a="1"/>
  <c r="AN209" i="1" a="1"/>
  <c r="AN210" i="1" a="1"/>
  <c r="AN211" i="1" a="1"/>
  <c r="AN212" i="1" a="1"/>
  <c r="AN213" i="1" a="1"/>
  <c r="AN214" i="1" a="1"/>
  <c r="AN215" i="1" a="1"/>
  <c r="AN216" i="1" a="1"/>
  <c r="AN217" i="1" a="1"/>
  <c r="AN218" i="1" a="1"/>
  <c r="AN219" i="1" a="1"/>
  <c r="AN220" i="1" a="1"/>
  <c r="AN221" i="1" a="1"/>
  <c r="AN222" i="1" a="1"/>
  <c r="AN223" i="1" a="1"/>
  <c r="AN224" i="1" a="1"/>
  <c r="AN225" i="1" a="1"/>
  <c r="AN226" i="1" a="1"/>
  <c r="AN227" i="1" a="1"/>
  <c r="AN228" i="1" a="1"/>
  <c r="AN229" i="1" a="1"/>
  <c r="AN230" i="1" a="1"/>
  <c r="AN231" i="1" a="1"/>
  <c r="AN232" i="1" a="1"/>
  <c r="AN233" i="1" a="1"/>
  <c r="AN234" i="1" a="1"/>
  <c r="AN235" i="1" a="1"/>
  <c r="AN236" i="1" a="1"/>
  <c r="AN237" i="1" a="1"/>
  <c r="AN238" i="1" a="1"/>
  <c r="AN239" i="1" a="1"/>
  <c r="AN240" i="1" a="1"/>
  <c r="AN241" i="1" a="1"/>
  <c r="AN242" i="1" a="1"/>
  <c r="AN243" i="1" a="1"/>
  <c r="AN244" i="1" a="1"/>
  <c r="AN245" i="1" a="1"/>
  <c r="AN246" i="1" a="1"/>
  <c r="AN247" i="1" a="1"/>
  <c r="AN248" i="1" a="1"/>
  <c r="AN249" i="1" a="1"/>
  <c r="AN250" i="1" a="1"/>
  <c r="AN251" i="1" a="1"/>
  <c r="AN252" i="1" a="1"/>
  <c r="AN253" i="1" a="1"/>
  <c r="AN254" i="1" a="1"/>
  <c r="AN255" i="1" a="1"/>
  <c r="AN256" i="1" a="1"/>
  <c r="AN257" i="1" a="1"/>
  <c r="AN258" i="1" a="1"/>
  <c r="AN259" i="1" a="1"/>
  <c r="AN260" i="1" a="1"/>
  <c r="AN261" i="1" a="1"/>
  <c r="AN262" i="1" a="1"/>
  <c r="AN263" i="1" a="1"/>
  <c r="AN264" i="1" a="1"/>
  <c r="AN265" i="1" a="1"/>
  <c r="AN266" i="1" a="1"/>
  <c r="AN267" i="1" a="1"/>
  <c r="AN268" i="1" a="1"/>
  <c r="AN269" i="1" a="1"/>
  <c r="AN270" i="1" a="1"/>
  <c r="AN271" i="1" a="1"/>
  <c r="AN272" i="1" a="1"/>
  <c r="AN273" i="1" a="1"/>
  <c r="AN274" i="1" a="1"/>
  <c r="AN275" i="1" a="1"/>
  <c r="AN276" i="1" a="1"/>
  <c r="AN277" i="1" a="1"/>
  <c r="AN278" i="1" a="1"/>
  <c r="AN279" i="1" a="1"/>
  <c r="AN280" i="1" a="1"/>
  <c r="AN281" i="1" a="1"/>
  <c r="AN282" i="1" a="1"/>
  <c r="AN283" i="1" a="1"/>
  <c r="AN284" i="1" a="1"/>
  <c r="AN285" i="1" a="1"/>
  <c r="AN286" i="1" a="1"/>
  <c r="AN287" i="1" a="1"/>
  <c r="AN288" i="1" a="1"/>
  <c r="AN289" i="1" a="1"/>
  <c r="AN290" i="1" a="1"/>
  <c r="AN291" i="1" a="1"/>
  <c r="AN292" i="1" a="1"/>
  <c r="AN293" i="1" a="1"/>
  <c r="AN294" i="1" a="1"/>
  <c r="AN295" i="1" a="1"/>
  <c r="AN296" i="1" a="1"/>
  <c r="AN297" i="1" a="1"/>
  <c r="AN298" i="1" a="1"/>
  <c r="AN299" i="1" a="1"/>
  <c r="AN300" i="1" a="1"/>
  <c r="AN301" i="1" a="1"/>
  <c r="AN302" i="1" a="1"/>
  <c r="AN303" i="1" a="1"/>
  <c r="AN304" i="1" a="1"/>
  <c r="AN305" i="1" a="1"/>
  <c r="AN306" i="1" a="1"/>
  <c r="AN307" i="1" a="1"/>
  <c r="AN308" i="1" a="1"/>
  <c r="AN309" i="1" a="1"/>
  <c r="AN310" i="1" a="1"/>
  <c r="AN311" i="1" a="1"/>
  <c r="AN312" i="1" a="1"/>
  <c r="AN313" i="1" a="1"/>
  <c r="AN314" i="1" a="1"/>
  <c r="AN315" i="1" a="1"/>
  <c r="AN316" i="1" a="1"/>
  <c r="AN317" i="1" a="1"/>
  <c r="AN318" i="1" a="1"/>
  <c r="AN319" i="1" a="1"/>
  <c r="AN320" i="1" a="1"/>
  <c r="AN321" i="1" a="1"/>
  <c r="AN322" i="1" a="1"/>
  <c r="AN323" i="1" a="1"/>
  <c r="AN324" i="1" a="1"/>
  <c r="AN325" i="1" a="1"/>
  <c r="AN326" i="1" a="1"/>
  <c r="AN327" i="1" a="1"/>
  <c r="AN328" i="1" a="1"/>
  <c r="AN329" i="1" a="1"/>
  <c r="AN330" i="1" a="1"/>
  <c r="AN331" i="1" a="1"/>
  <c r="AN332" i="1" a="1"/>
  <c r="AN333" i="1" a="1"/>
  <c r="AN334" i="1" a="1"/>
  <c r="AN335" i="1" a="1"/>
  <c r="AN336" i="1" a="1"/>
  <c r="AN337" i="1" a="1"/>
  <c r="AN338" i="1" a="1"/>
  <c r="AN339" i="1" a="1"/>
  <c r="AN340" i="1" a="1"/>
  <c r="AN341" i="1" a="1"/>
  <c r="AN342" i="1" a="1"/>
  <c r="AN343" i="1" a="1"/>
  <c r="AN344" i="1" a="1"/>
  <c r="AN345" i="1" a="1"/>
  <c r="AN346" i="1" a="1"/>
  <c r="AN347" i="1" a="1"/>
  <c r="AN348" i="1" a="1"/>
  <c r="AN349" i="1" a="1"/>
  <c r="AN350" i="1" a="1"/>
  <c r="AN351" i="1" a="1"/>
  <c r="AN352" i="1" a="1"/>
  <c r="AN353" i="1" a="1"/>
  <c r="AN354" i="1" a="1"/>
  <c r="AN355" i="1" a="1"/>
  <c r="AN356" i="1" a="1"/>
  <c r="AN357" i="1" a="1"/>
  <c r="AN358" i="1" a="1"/>
  <c r="AN359" i="1" a="1"/>
  <c r="AN360" i="1" a="1"/>
  <c r="AN361" i="1" a="1"/>
  <c r="AN362" i="1" a="1"/>
  <c r="AN363" i="1" a="1"/>
  <c r="AN364" i="1" a="1"/>
  <c r="AN365" i="1" a="1"/>
  <c r="AN366" i="1" a="1"/>
  <c r="AN367" i="1" a="1"/>
  <c r="AN368" i="1" a="1"/>
  <c r="AN369" i="1" a="1"/>
  <c r="AN370" i="1" a="1"/>
  <c r="AN371" i="1" a="1"/>
  <c r="AN372" i="1" a="1"/>
  <c r="AN373" i="1" a="1"/>
  <c r="AN374" i="1" a="1"/>
  <c r="AN375" i="1" a="1"/>
  <c r="AN376" i="1" a="1"/>
  <c r="AN377" i="1" a="1"/>
  <c r="AN378" i="1" a="1"/>
  <c r="AN379" i="1" a="1"/>
  <c r="AN380" i="1" a="1"/>
  <c r="AN381" i="1" a="1"/>
  <c r="AN382" i="1" a="1"/>
  <c r="AN383" i="1" a="1"/>
  <c r="AN384" i="1" a="1"/>
  <c r="AN385" i="1" a="1"/>
  <c r="AN386" i="1" a="1"/>
  <c r="AN387" i="1" a="1"/>
  <c r="AN388" i="1" a="1"/>
  <c r="AN389" i="1" a="1"/>
  <c r="AN390" i="1" a="1"/>
  <c r="AN391" i="1" a="1"/>
  <c r="AN392" i="1" a="1"/>
  <c r="AN393" i="1" a="1"/>
  <c r="AN394" i="1" a="1"/>
  <c r="AN395" i="1" a="1"/>
  <c r="AN396" i="1" a="1"/>
  <c r="AN397" i="1" a="1"/>
  <c r="AN398" i="1" a="1"/>
  <c r="AN399" i="1" a="1"/>
  <c r="AN400" i="1" a="1"/>
  <c r="AN401" i="1" a="1"/>
  <c r="AN402" i="1" a="1"/>
  <c r="AN403" i="1" a="1"/>
  <c r="AN404" i="1" a="1"/>
  <c r="AN405" i="1" a="1"/>
  <c r="AN406" i="1" a="1"/>
  <c r="AN407" i="1" a="1"/>
  <c r="AN408" i="1" a="1"/>
  <c r="AN409" i="1" a="1"/>
  <c r="AN410" i="1" a="1"/>
  <c r="AN411" i="1" a="1"/>
  <c r="AN412" i="1" a="1"/>
  <c r="AN413" i="1" a="1"/>
  <c r="AN414" i="1" a="1"/>
  <c r="AN415" i="1" a="1"/>
  <c r="AN416" i="1" a="1"/>
  <c r="AN417" i="1" a="1"/>
  <c r="AN418" i="1" a="1"/>
  <c r="AN419" i="1" a="1"/>
  <c r="AN420" i="1" a="1"/>
  <c r="AN421" i="1" a="1"/>
  <c r="AN422" i="1" a="1"/>
  <c r="AN423" i="1" a="1"/>
  <c r="AN424" i="1" a="1"/>
  <c r="AN425" i="1" a="1"/>
  <c r="AN426" i="1" a="1"/>
  <c r="AN427" i="1" a="1"/>
  <c r="AN428" i="1" a="1"/>
  <c r="AN429" i="1" a="1"/>
  <c r="AN430" i="1" a="1"/>
  <c r="AN431" i="1" a="1"/>
  <c r="AN432" i="1" a="1"/>
  <c r="AN433" i="1" a="1"/>
  <c r="AN434" i="1" a="1"/>
  <c r="AN435" i="1" a="1"/>
  <c r="AN436" i="1" a="1"/>
  <c r="AN437" i="1" a="1"/>
  <c r="AN438" i="1" a="1"/>
  <c r="AN439" i="1" a="1"/>
  <c r="AN440" i="1" a="1"/>
  <c r="AN441" i="1" a="1"/>
  <c r="AN442" i="1" a="1"/>
  <c r="AN443" i="1" a="1"/>
  <c r="AN444" i="1" a="1"/>
  <c r="AN445" i="1" a="1"/>
  <c r="AN446" i="1" a="1"/>
  <c r="AN447" i="1" a="1"/>
  <c r="AN448" i="1" a="1"/>
  <c r="AN449" i="1" a="1"/>
  <c r="AN450" i="1" a="1"/>
  <c r="AN451" i="1" a="1"/>
  <c r="AN452" i="1" a="1"/>
  <c r="AN453" i="1" a="1"/>
  <c r="AN454" i="1" a="1"/>
  <c r="AN455" i="1" a="1"/>
  <c r="AN456" i="1" a="1"/>
  <c r="AN457" i="1" a="1"/>
  <c r="AN458" i="1" a="1"/>
  <c r="AN459" i="1" a="1"/>
  <c r="AN460" i="1" a="1"/>
  <c r="AN461" i="1" a="1"/>
  <c r="AN462" i="1" a="1"/>
  <c r="AN463" i="1" a="1"/>
  <c r="AN464" i="1" a="1"/>
  <c r="AN465" i="1" a="1"/>
  <c r="AN466" i="1" a="1"/>
  <c r="AN467" i="1" a="1"/>
  <c r="AN468" i="1" a="1"/>
  <c r="AN469" i="1" a="1"/>
  <c r="AN470" i="1" a="1"/>
  <c r="AN471" i="1" a="1"/>
  <c r="AN472" i="1" a="1"/>
  <c r="AN473" i="1" a="1"/>
  <c r="AN474" i="1" a="1"/>
  <c r="AN475" i="1" a="1"/>
  <c r="AN476" i="1" a="1"/>
  <c r="AN477" i="1" a="1"/>
  <c r="AN478" i="1" a="1"/>
  <c r="AN479" i="1" a="1"/>
  <c r="AN480" i="1" a="1"/>
  <c r="AN481" i="1" a="1"/>
  <c r="AN482" i="1" a="1"/>
  <c r="AN483" i="1" a="1"/>
  <c r="AN484" i="1" a="1"/>
  <c r="AN485" i="1" a="1"/>
  <c r="AN486" i="1" a="1"/>
  <c r="AN487" i="1" a="1"/>
  <c r="AN488" i="1" a="1"/>
  <c r="AN489" i="1" a="1"/>
  <c r="AN490" i="1" a="1"/>
  <c r="AN491" i="1" a="1"/>
  <c r="AN492" i="1" a="1"/>
  <c r="AN493" i="1" a="1"/>
  <c r="AN494" i="1" a="1"/>
  <c r="AN495" i="1" a="1"/>
  <c r="AN496" i="1" a="1"/>
  <c r="AN497" i="1" a="1"/>
  <c r="AN498" i="1" a="1"/>
  <c r="AN499" i="1" a="1"/>
  <c r="AN500" i="1" a="1"/>
  <c r="AN501" i="1" a="1"/>
  <c r="AN502" i="1" a="1"/>
  <c r="AN503" i="1" a="1"/>
  <c r="AN504" i="1" a="1"/>
  <c r="AN505" i="1" a="1"/>
  <c r="AN506" i="1" a="1"/>
  <c r="AN507" i="1" a="1"/>
  <c r="AN508" i="1" a="1"/>
  <c r="AN509" i="1" a="1"/>
  <c r="AN510" i="1" a="1"/>
  <c r="AN511" i="1" a="1"/>
  <c r="AN512" i="1" a="1"/>
  <c r="AN513" i="1" a="1"/>
  <c r="AN514" i="1" a="1"/>
  <c r="AN515" i="1" a="1"/>
  <c r="AN516" i="1" a="1"/>
  <c r="AN517" i="1" a="1"/>
  <c r="AN518" i="1" a="1"/>
  <c r="AN519" i="1" a="1"/>
  <c r="AN520" i="1" a="1"/>
  <c r="AN521" i="1" a="1"/>
  <c r="AN522" i="1" a="1"/>
  <c r="AN523" i="1" a="1"/>
  <c r="AN524" i="1" a="1"/>
  <c r="AN525" i="1" a="1"/>
  <c r="AN526" i="1" a="1"/>
  <c r="AN527" i="1" a="1"/>
  <c r="AN528" i="1" a="1"/>
  <c r="AN529" i="1" a="1"/>
  <c r="AN530" i="1" a="1"/>
  <c r="AN531" i="1" a="1"/>
  <c r="AN532" i="1" a="1"/>
  <c r="AN533" i="1" a="1"/>
  <c r="AN534" i="1" a="1"/>
  <c r="AN535" i="1" a="1"/>
  <c r="AN536" i="1" a="1"/>
  <c r="AN537" i="1" a="1"/>
  <c r="AN538" i="1" a="1"/>
  <c r="AN539" i="1" a="1"/>
  <c r="AN540" i="1" a="1"/>
  <c r="AN541" i="1" a="1"/>
  <c r="AN542" i="1" a="1"/>
  <c r="AN543" i="1" a="1"/>
  <c r="AN544" i="1" a="1"/>
  <c r="AN545" i="1" a="1"/>
  <c r="AN546" i="1" a="1"/>
  <c r="AN547" i="1" a="1"/>
  <c r="AN548" i="1" a="1"/>
  <c r="AN549" i="1" a="1"/>
  <c r="AN550" i="1" a="1"/>
  <c r="AN551" i="1" a="1"/>
  <c r="AN552" i="1" a="1"/>
  <c r="AN553" i="1" a="1"/>
  <c r="AN554" i="1" a="1"/>
  <c r="AN555" i="1" a="1"/>
  <c r="AN556" i="1" a="1"/>
  <c r="AN557" i="1" a="1"/>
  <c r="AN558" i="1" a="1"/>
  <c r="AN559" i="1" a="1"/>
  <c r="AN560" i="1" a="1"/>
  <c r="AN561" i="1" a="1"/>
  <c r="AN562" i="1" a="1"/>
  <c r="AN563" i="1" a="1"/>
  <c r="AN564" i="1" a="1"/>
  <c r="AN565" i="1" a="1"/>
  <c r="AN566" i="1" a="1"/>
  <c r="AN567" i="1" a="1"/>
  <c r="AN568" i="1" a="1"/>
  <c r="AN569" i="1" a="1"/>
  <c r="AN570" i="1" a="1"/>
  <c r="AN571" i="1" a="1"/>
  <c r="AN572" i="1" a="1"/>
  <c r="AN573" i="1" a="1"/>
  <c r="AN574" i="1" a="1"/>
  <c r="AN575" i="1" a="1"/>
  <c r="AN576" i="1" a="1"/>
  <c r="AN577" i="1" a="1"/>
  <c r="AN578" i="1" a="1"/>
  <c r="AN579" i="1" a="1"/>
  <c r="AN580" i="1" a="1"/>
  <c r="AN581" i="1" a="1"/>
  <c r="AN582" i="1" a="1"/>
  <c r="AN583" i="1" a="1"/>
  <c r="AN584" i="1" a="1"/>
  <c r="AN585" i="1" a="1"/>
  <c r="AN586" i="1" a="1"/>
  <c r="AN587" i="1" a="1"/>
  <c r="AN588" i="1" a="1"/>
  <c r="AN589" i="1" a="1"/>
  <c r="AN590" i="1" a="1"/>
  <c r="AN591" i="1" a="1"/>
  <c r="AN592" i="1" a="1"/>
  <c r="AN593" i="1" a="1"/>
  <c r="AN594" i="1" a="1"/>
  <c r="AN595" i="1" a="1"/>
  <c r="AN596" i="1" a="1"/>
  <c r="AN597" i="1" a="1"/>
  <c r="AN598" i="1" a="1"/>
  <c r="AN599" i="1" a="1"/>
  <c r="AN600" i="1" a="1"/>
  <c r="AN601" i="1" a="1"/>
  <c r="AN602" i="1" a="1"/>
  <c r="AN603" i="1" a="1"/>
  <c r="AN604" i="1" a="1"/>
  <c r="AN605" i="1" a="1"/>
  <c r="AN606" i="1" a="1"/>
  <c r="AN607" i="1" a="1"/>
  <c r="AN608" i="1" a="1"/>
  <c r="AN609" i="1" a="1"/>
  <c r="AN610" i="1" a="1"/>
  <c r="AN611" i="1" a="1"/>
  <c r="AN612" i="1" a="1"/>
  <c r="AN613" i="1" a="1"/>
  <c r="AN614" i="1" a="1"/>
  <c r="AN615" i="1" a="1"/>
  <c r="AN616" i="1" a="1"/>
  <c r="AN617" i="1" a="1"/>
  <c r="AN618" i="1" a="1"/>
  <c r="AN619" i="1" a="1"/>
  <c r="AN620" i="1" a="1"/>
  <c r="AN621" i="1" a="1"/>
  <c r="AN622" i="1" a="1"/>
  <c r="AN623" i="1" a="1"/>
  <c r="AN624" i="1" a="1"/>
  <c r="AN625" i="1" a="1"/>
  <c r="AN626" i="1" a="1"/>
  <c r="AN627" i="1" a="1"/>
  <c r="AN628" i="1" a="1"/>
  <c r="AN629" i="1" a="1"/>
  <c r="AN630" i="1" a="1"/>
  <c r="AN631" i="1" a="1"/>
  <c r="AN632" i="1" a="1"/>
  <c r="AN633" i="1" a="1"/>
  <c r="AN634" i="1" a="1"/>
  <c r="AN635" i="1" a="1"/>
  <c r="AN636" i="1" a="1"/>
  <c r="AN637" i="1" a="1"/>
  <c r="AN638" i="1" a="1"/>
  <c r="AN639" i="1" a="1"/>
  <c r="AN640" i="1" a="1"/>
  <c r="AN641" i="1" a="1"/>
  <c r="AN642" i="1" a="1"/>
  <c r="AN643" i="1" a="1"/>
  <c r="AN644" i="1" a="1"/>
  <c r="AN645" i="1" a="1"/>
  <c r="AN646" i="1" a="1"/>
  <c r="AN647" i="1" a="1"/>
  <c r="AN648" i="1" a="1"/>
  <c r="AN649" i="1" a="1"/>
  <c r="AN650" i="1" a="1"/>
  <c r="AN651" i="1" a="1"/>
  <c r="AN652" i="1" a="1"/>
  <c r="AN653" i="1" a="1"/>
  <c r="AN654" i="1" a="1"/>
  <c r="AN655" i="1" a="1"/>
  <c r="AN656" i="1" a="1"/>
  <c r="AN657" i="1" a="1"/>
  <c r="AN658" i="1" a="1"/>
  <c r="AN659" i="1" a="1"/>
  <c r="AN660" i="1" a="1"/>
  <c r="AN661" i="1" a="1"/>
  <c r="AN662" i="1" a="1"/>
  <c r="AN663" i="1" a="1"/>
  <c r="AN664" i="1" a="1"/>
  <c r="AN665" i="1" a="1"/>
  <c r="AN666" i="1" a="1"/>
  <c r="AN667" i="1" a="1"/>
  <c r="AN668" i="1" a="1"/>
  <c r="AN669" i="1" a="1"/>
  <c r="AN670" i="1" a="1"/>
  <c r="AN671" i="1" a="1"/>
  <c r="AN672" i="1" a="1"/>
  <c r="AN673" i="1" a="1"/>
  <c r="AN674" i="1" a="1"/>
  <c r="AN675" i="1" a="1"/>
  <c r="AN676" i="1" a="1"/>
  <c r="AN677" i="1" a="1"/>
  <c r="AN678" i="1" a="1"/>
  <c r="AN679" i="1" a="1"/>
  <c r="AN680" i="1" a="1"/>
  <c r="AN681" i="1" a="1"/>
  <c r="AN682" i="1" a="1"/>
  <c r="AN683" i="1" a="1"/>
  <c r="AN684" i="1" a="1"/>
  <c r="AN685" i="1" a="1"/>
  <c r="AN686" i="1" a="1"/>
  <c r="AN687" i="1" a="1"/>
  <c r="AN688" i="1" a="1"/>
  <c r="AN689" i="1" a="1"/>
  <c r="AN690" i="1" a="1"/>
  <c r="AN691" i="1" a="1"/>
  <c r="AN692" i="1" a="1"/>
  <c r="AN693" i="1" a="1"/>
  <c r="AN694" i="1" a="1"/>
  <c r="AN695" i="1" a="1"/>
  <c r="AN696" i="1" a="1"/>
  <c r="AN697" i="1" a="1"/>
  <c r="AN698" i="1" a="1"/>
  <c r="AN699" i="1" a="1"/>
  <c r="AN700" i="1" a="1"/>
  <c r="AN701" i="1" a="1"/>
  <c r="AN702" i="1" a="1"/>
  <c r="AN703" i="1" a="1"/>
  <c r="AN704" i="1" a="1"/>
  <c r="AN705" i="1" a="1"/>
  <c r="AN706" i="1" a="1"/>
  <c r="AN707" i="1" a="1"/>
  <c r="AN708" i="1" a="1"/>
  <c r="AN709" i="1" a="1"/>
  <c r="AN710" i="1" a="1"/>
  <c r="AN711" i="1" a="1"/>
  <c r="AN712" i="1" a="1"/>
  <c r="AN713" i="1" a="1"/>
  <c r="AN714" i="1" a="1"/>
  <c r="AN715" i="1" a="1"/>
  <c r="AN716" i="1" a="1"/>
  <c r="AN717" i="1" a="1"/>
  <c r="AN718" i="1" a="1"/>
  <c r="AN719" i="1" a="1"/>
  <c r="AN720" i="1" a="1"/>
  <c r="AN721" i="1" a="1"/>
  <c r="AN722" i="1" a="1"/>
  <c r="AN723" i="1" a="1"/>
  <c r="AN724" i="1" a="1"/>
  <c r="AN725" i="1" a="1"/>
  <c r="AN726" i="1" a="1"/>
  <c r="AN727" i="1" a="1"/>
  <c r="AN728" i="1" a="1"/>
  <c r="AN729" i="1" a="1"/>
  <c r="AN730" i="1" a="1"/>
  <c r="AN731" i="1" a="1"/>
  <c r="AN732" i="1" a="1"/>
  <c r="AN733" i="1" a="1"/>
  <c r="AN734" i="1" a="1"/>
  <c r="AN735" i="1" a="1"/>
  <c r="AN736" i="1" a="1"/>
  <c r="AN737" i="1" a="1"/>
  <c r="AN738" i="1" a="1"/>
  <c r="AN739" i="1" a="1"/>
  <c r="AN740" i="1" a="1"/>
  <c r="AN741" i="1" a="1"/>
  <c r="AN742" i="1" a="1"/>
  <c r="AN743" i="1" a="1"/>
  <c r="AN744" i="1" a="1"/>
  <c r="AN745" i="1" a="1"/>
  <c r="AN746" i="1" a="1"/>
  <c r="AN747" i="1" a="1"/>
  <c r="AN748" i="1" a="1"/>
  <c r="AN749" i="1" a="1"/>
  <c r="AN750" i="1" a="1"/>
  <c r="AN751" i="1" a="1"/>
  <c r="AN752" i="1" a="1"/>
  <c r="AN753" i="1" a="1"/>
  <c r="AN754" i="1" a="1"/>
  <c r="AN755" i="1" a="1"/>
  <c r="AN756" i="1" a="1"/>
  <c r="AN757" i="1" a="1"/>
  <c r="AN758" i="1" a="1"/>
  <c r="AN759" i="1" a="1"/>
  <c r="AN760" i="1" a="1"/>
  <c r="AN761" i="1" a="1"/>
  <c r="AN762" i="1" a="1"/>
  <c r="AN763" i="1" a="1"/>
  <c r="AN764" i="1" a="1"/>
  <c r="AN765" i="1" a="1"/>
  <c r="AN766" i="1" a="1"/>
  <c r="AN767" i="1" a="1"/>
  <c r="AN768" i="1" a="1"/>
  <c r="AN769" i="1" a="1"/>
  <c r="AN770" i="1" a="1"/>
  <c r="AN771" i="1" a="1"/>
  <c r="AN772" i="1" a="1"/>
  <c r="AN773" i="1" a="1"/>
  <c r="AN774" i="1" a="1"/>
  <c r="AN775" i="1" a="1"/>
  <c r="AN776" i="1" a="1"/>
  <c r="AN777" i="1" a="1"/>
  <c r="AN778" i="1" a="1"/>
  <c r="AN779" i="1" a="1"/>
  <c r="AN780" i="1" a="1"/>
  <c r="AN781" i="1" a="1"/>
  <c r="AN782" i="1" a="1"/>
  <c r="AN783" i="1" a="1"/>
  <c r="AN784" i="1" a="1"/>
  <c r="AN785" i="1" a="1"/>
  <c r="AN786" i="1" a="1"/>
  <c r="AN787" i="1" a="1"/>
  <c r="AN788" i="1" a="1"/>
  <c r="AN789" i="1" a="1"/>
  <c r="AN790" i="1" a="1"/>
  <c r="AN791" i="1" a="1"/>
  <c r="AN792" i="1" a="1"/>
  <c r="AN793" i="1" a="1"/>
  <c r="AN794" i="1" a="1"/>
  <c r="AN795" i="1" a="1"/>
  <c r="AN796" i="1" a="1"/>
  <c r="AN797" i="1" a="1"/>
  <c r="AN798" i="1" a="1"/>
  <c r="AN799" i="1" a="1"/>
  <c r="AN800" i="1" a="1"/>
  <c r="AN801" i="1" a="1"/>
  <c r="AN802" i="1" a="1"/>
  <c r="AN803" i="1" a="1"/>
  <c r="AN804" i="1" a="1"/>
  <c r="AN805" i="1" a="1"/>
  <c r="AN806" i="1" a="1"/>
  <c r="AN807" i="1" a="1"/>
  <c r="AN808" i="1" a="1"/>
  <c r="AN809" i="1" a="1"/>
  <c r="AN810" i="1" a="1"/>
  <c r="AN811" i="1" a="1"/>
  <c r="AN812" i="1" a="1"/>
  <c r="AN813" i="1" a="1"/>
  <c r="AN814" i="1" a="1"/>
  <c r="AN815" i="1" a="1"/>
  <c r="AN816" i="1" a="1"/>
  <c r="AN817" i="1" a="1"/>
  <c r="AN818" i="1" a="1"/>
  <c r="AN819" i="1" a="1"/>
  <c r="AN820" i="1" a="1"/>
  <c r="AN821" i="1" a="1"/>
  <c r="AN822" i="1" a="1"/>
  <c r="AN823" i="1" a="1"/>
  <c r="AN824" i="1" a="1"/>
  <c r="AN825" i="1" a="1"/>
  <c r="AN826" i="1" a="1"/>
  <c r="AN827" i="1" a="1"/>
  <c r="AN828" i="1" a="1"/>
  <c r="AN829" i="1" a="1"/>
  <c r="AN830" i="1" a="1"/>
  <c r="AN831" i="1" a="1"/>
  <c r="AN832" i="1" a="1"/>
  <c r="AN833" i="1" a="1"/>
  <c r="AN834" i="1" a="1"/>
  <c r="AN835" i="1" a="1"/>
  <c r="AN836" i="1" a="1"/>
  <c r="AN837" i="1" a="1"/>
  <c r="AN838" i="1" a="1"/>
  <c r="AN839" i="1" a="1"/>
  <c r="AN840" i="1" a="1"/>
  <c r="AN841" i="1" a="1"/>
  <c r="AN842" i="1" a="1"/>
  <c r="AN843" i="1" a="1"/>
  <c r="AN844" i="1" a="1"/>
  <c r="AN845" i="1" a="1"/>
  <c r="AN846" i="1" a="1"/>
  <c r="AN847" i="1" a="1"/>
  <c r="AN848" i="1" a="1"/>
  <c r="AN849" i="1" a="1"/>
  <c r="AN850" i="1" a="1"/>
  <c r="AN851" i="1" a="1"/>
  <c r="AN852" i="1" a="1"/>
  <c r="AN853" i="1" a="1"/>
  <c r="AN854" i="1" a="1"/>
  <c r="AN855" i="1" a="1"/>
  <c r="AN856" i="1" a="1"/>
  <c r="AN857" i="1" a="1"/>
  <c r="AN858" i="1" a="1"/>
  <c r="AN859" i="1" a="1"/>
  <c r="AN860" i="1" a="1"/>
  <c r="AN861" i="1" a="1"/>
  <c r="AN862" i="1" a="1"/>
  <c r="AN863" i="1" a="1"/>
  <c r="AN864" i="1" a="1"/>
  <c r="AN865" i="1" a="1"/>
  <c r="AN866" i="1" a="1"/>
  <c r="AN867" i="1" a="1"/>
  <c r="AN868" i="1" a="1"/>
  <c r="AN869" i="1" a="1"/>
  <c r="AN870" i="1" a="1"/>
  <c r="AN871" i="1" a="1"/>
  <c r="AN872" i="1" a="1"/>
  <c r="AN873" i="1" a="1"/>
  <c r="AN874" i="1" a="1"/>
  <c r="AN875" i="1" a="1"/>
  <c r="AN876" i="1" a="1"/>
  <c r="AN877" i="1" a="1"/>
  <c r="AN878" i="1" a="1"/>
  <c r="AN879" i="1" a="1"/>
  <c r="AN880" i="1" a="1"/>
  <c r="AN881" i="1" a="1"/>
  <c r="AN882" i="1" a="1"/>
  <c r="AN883" i="1" a="1"/>
  <c r="AN884" i="1" a="1"/>
  <c r="AN885" i="1" a="1"/>
  <c r="AN886" i="1" a="1"/>
  <c r="AN887" i="1" a="1"/>
  <c r="AN888" i="1" a="1"/>
  <c r="AN889" i="1" a="1"/>
  <c r="AN890" i="1" a="1"/>
  <c r="AN891" i="1" a="1"/>
  <c r="AN892" i="1" a="1"/>
  <c r="AN893" i="1" a="1"/>
  <c r="AN894" i="1" a="1"/>
  <c r="AN895" i="1" a="1"/>
  <c r="AN896" i="1" a="1"/>
  <c r="AN897" i="1" a="1"/>
  <c r="AN898" i="1" a="1"/>
  <c r="AN899" i="1" a="1"/>
  <c r="AN900" i="1" a="1"/>
  <c r="AN901" i="1" a="1"/>
  <c r="AN902" i="1" a="1"/>
  <c r="AN903" i="1" a="1"/>
  <c r="AN904" i="1" a="1"/>
  <c r="AN905" i="1" a="1"/>
  <c r="AN906" i="1" a="1"/>
  <c r="AN907" i="1" a="1"/>
  <c r="AN908" i="1" a="1"/>
  <c r="AN909" i="1" a="1"/>
  <c r="AN910" i="1" a="1"/>
  <c r="AN911" i="1" a="1"/>
  <c r="AN912" i="1" a="1"/>
  <c r="AN913" i="1" a="1"/>
  <c r="AN914" i="1" a="1"/>
  <c r="AN915" i="1" a="1"/>
  <c r="AN916" i="1" a="1"/>
  <c r="AN917" i="1" a="1"/>
  <c r="AN918" i="1" a="1"/>
  <c r="AN919" i="1" a="1"/>
  <c r="AN920" i="1" a="1"/>
  <c r="AN921" i="1" a="1"/>
  <c r="AN922" i="1" a="1"/>
  <c r="AN923" i="1" a="1"/>
  <c r="AN924" i="1" a="1"/>
  <c r="AN925" i="1" a="1"/>
  <c r="AN926" i="1" a="1"/>
  <c r="AN927" i="1" a="1"/>
  <c r="AN928" i="1" a="1"/>
  <c r="AN929" i="1" a="1"/>
  <c r="AN930" i="1" a="1"/>
  <c r="AN931" i="1" a="1"/>
  <c r="AN932" i="1" a="1"/>
  <c r="AN933" i="1" a="1"/>
  <c r="AN934" i="1" a="1"/>
  <c r="AN935" i="1" a="1"/>
  <c r="AN936" i="1" a="1"/>
  <c r="AN937" i="1" a="1"/>
  <c r="AN938" i="1" a="1"/>
  <c r="AN939" i="1" a="1"/>
  <c r="AN940" i="1" a="1"/>
  <c r="AN941" i="1" a="1"/>
  <c r="AN942" i="1" a="1"/>
  <c r="AN943" i="1" a="1"/>
  <c r="AN944" i="1" a="1"/>
  <c r="AN945" i="1" a="1"/>
  <c r="AN946" i="1" a="1"/>
  <c r="AN947" i="1" a="1"/>
  <c r="AN948" i="1" a="1"/>
  <c r="AN949" i="1" a="1"/>
  <c r="AN950" i="1" a="1"/>
  <c r="AN951" i="1" a="1"/>
  <c r="AN952" i="1" a="1"/>
  <c r="AN953" i="1" a="1"/>
  <c r="AN954" i="1" a="1"/>
  <c r="AN955" i="1" a="1"/>
  <c r="AN956" i="1" a="1"/>
  <c r="AN957" i="1" a="1"/>
  <c r="AN958" i="1" a="1"/>
  <c r="AN959" i="1" a="1"/>
  <c r="AN960" i="1" a="1"/>
  <c r="AN961" i="1" a="1"/>
  <c r="AN962" i="1" a="1"/>
  <c r="AN963" i="1" a="1"/>
  <c r="AN964" i="1" a="1"/>
  <c r="AN965" i="1" a="1"/>
  <c r="AN966" i="1" a="1"/>
  <c r="AN967" i="1" a="1"/>
  <c r="AN968" i="1" a="1"/>
  <c r="AN969" i="1" a="1"/>
  <c r="AN970" i="1" a="1"/>
  <c r="AN971" i="1" a="1"/>
  <c r="AN972" i="1" a="1"/>
  <c r="AN973" i="1" a="1"/>
  <c r="AN974" i="1" a="1"/>
  <c r="AN975" i="1" a="1"/>
  <c r="AN976" i="1" a="1"/>
  <c r="AN977" i="1" a="1"/>
  <c r="AN978" i="1" a="1"/>
  <c r="AN979" i="1" a="1"/>
  <c r="AN980" i="1" a="1"/>
  <c r="AN981" i="1" a="1"/>
  <c r="AN982" i="1" a="1"/>
  <c r="AN983" i="1" a="1"/>
  <c r="AN984" i="1" a="1"/>
  <c r="AN985" i="1" a="1"/>
  <c r="AN986" i="1" a="1"/>
  <c r="AN987" i="1" a="1"/>
  <c r="AN988" i="1" a="1"/>
  <c r="AN989" i="1" a="1"/>
  <c r="AN990" i="1" a="1"/>
  <c r="AN991" i="1" a="1"/>
  <c r="AN992" i="1" a="1"/>
  <c r="AN993" i="1" a="1"/>
  <c r="AN994" i="1" a="1"/>
  <c r="AN995" i="1" a="1"/>
  <c r="AN996" i="1" a="1"/>
  <c r="AN997" i="1" a="1"/>
  <c r="AN998" i="1" a="1"/>
  <c r="AN999" i="1" a="1"/>
  <c r="AN1000" i="1" a="1"/>
  <c r="AN1001" i="1" a="1"/>
  <c r="AN1002" i="1" a="1"/>
  <c r="AN1003" i="1" a="1"/>
  <c r="AN1004" i="1" a="1"/>
  <c r="AN1005" i="1" a="1"/>
  <c r="AN1006" i="1" a="1"/>
  <c r="AN1007" i="1" a="1"/>
  <c r="AN1008" i="1" a="1"/>
  <c r="AN1009" i="1" a="1"/>
  <c r="AN1010" i="1" a="1"/>
  <c r="AN1011" i="1" a="1"/>
  <c r="AN1012" i="1" a="1"/>
  <c r="AN1013" i="1" a="1"/>
  <c r="AN1014" i="1" a="1"/>
  <c r="AN1015" i="1" a="1"/>
  <c r="AN1016" i="1" a="1"/>
  <c r="AN1017" i="1" a="1"/>
  <c r="AN1018" i="1" a="1"/>
  <c r="AN1019" i="1" a="1"/>
  <c r="AN1020" i="1" a="1"/>
  <c r="AN1021" i="1" a="1"/>
  <c r="AN1022" i="1" a="1"/>
  <c r="AN1023" i="1" a="1"/>
  <c r="AN1024" i="1" a="1"/>
  <c r="AN1025" i="1" a="1"/>
  <c r="AN1026" i="1" a="1"/>
  <c r="AN1027" i="1" a="1"/>
  <c r="AN1028" i="1" a="1"/>
  <c r="AN1029" i="1" a="1"/>
  <c r="AN1030" i="1" a="1"/>
  <c r="AN1031" i="1" a="1"/>
  <c r="AN1032" i="1" a="1"/>
  <c r="AN1033" i="1" a="1"/>
  <c r="AN1034" i="1" a="1"/>
  <c r="AN1035" i="1" a="1"/>
  <c r="AN1036" i="1" a="1"/>
  <c r="AN1037" i="1" a="1"/>
  <c r="AN1038" i="1" a="1"/>
  <c r="AN1039" i="1" a="1"/>
  <c r="AN1040" i="1" a="1"/>
  <c r="AN1041" i="1" a="1"/>
  <c r="AN1042" i="1" a="1"/>
  <c r="AN1043" i="1" a="1"/>
  <c r="AN1044" i="1" a="1"/>
  <c r="AN1045" i="1" a="1"/>
  <c r="AN1046" i="1" a="1"/>
  <c r="AN1047" i="1" a="1"/>
  <c r="AN1048" i="1" a="1"/>
  <c r="AN1049" i="1" a="1"/>
  <c r="AN1050" i="1" a="1"/>
  <c r="AN1051" i="1" a="1"/>
  <c r="AN1052" i="1" a="1"/>
  <c r="AN1053" i="1" a="1"/>
  <c r="AN1054" i="1" a="1"/>
  <c r="AN1055" i="1" a="1"/>
  <c r="AN1056" i="1" a="1"/>
  <c r="AN1057" i="1" a="1"/>
  <c r="AN1058" i="1" a="1"/>
  <c r="AN1059" i="1" a="1"/>
  <c r="AN1060" i="1" a="1"/>
  <c r="AN1061" i="1" a="1"/>
  <c r="AN1062" i="1" a="1"/>
  <c r="AN1063" i="1" a="1"/>
  <c r="AN1064" i="1" a="1"/>
  <c r="AN1065" i="1" a="1"/>
  <c r="AN1066" i="1" a="1"/>
  <c r="AN1067" i="1" a="1"/>
  <c r="AN1068" i="1" a="1"/>
  <c r="AN1069" i="1" a="1"/>
  <c r="AN1070" i="1" a="1"/>
  <c r="AN1071" i="1" a="1"/>
  <c r="AN1072" i="1" a="1"/>
  <c r="AN1073" i="1" a="1"/>
  <c r="AN1074" i="1" a="1"/>
  <c r="AN1075" i="1" a="1"/>
  <c r="AN1076" i="1" a="1"/>
  <c r="AN1077" i="1" a="1"/>
  <c r="AN1078" i="1" a="1"/>
  <c r="AN1079" i="1" a="1"/>
  <c r="AN1080" i="1" a="1"/>
  <c r="AN1081" i="1" a="1"/>
  <c r="AN1082" i="1" a="1"/>
  <c r="AN1083" i="1" a="1"/>
  <c r="AN1084" i="1" a="1"/>
  <c r="AN1085" i="1" a="1"/>
  <c r="AN1086" i="1" a="1"/>
  <c r="AN1087" i="1" a="1"/>
  <c r="AN1088" i="1" a="1"/>
  <c r="AN1089" i="1" a="1"/>
  <c r="AN1090" i="1" a="1"/>
  <c r="AN1091" i="1" a="1"/>
  <c r="AN1092" i="1" a="1"/>
  <c r="AN1093" i="1" a="1"/>
  <c r="AN1094" i="1" a="1"/>
  <c r="AN1095" i="1" a="1"/>
  <c r="AN1096" i="1" a="1"/>
  <c r="AN1097" i="1" a="1"/>
  <c r="AN1098" i="1" a="1"/>
  <c r="AN1099" i="1" a="1"/>
  <c r="AN1100" i="1" a="1"/>
  <c r="AN1101" i="1" a="1"/>
  <c r="AN1102" i="1" a="1"/>
  <c r="AN1103" i="1" a="1"/>
  <c r="AN1104" i="1" a="1"/>
  <c r="AN1105" i="1" a="1"/>
  <c r="AN1106" i="1" a="1"/>
  <c r="AN1107" i="1" a="1"/>
  <c r="AN1108" i="1" a="1"/>
  <c r="AN1109" i="1" a="1"/>
  <c r="AN1110" i="1" a="1"/>
  <c r="AN1111" i="1" a="1"/>
  <c r="AN1112" i="1" a="1"/>
  <c r="AN1113" i="1" a="1"/>
  <c r="AN1114" i="1" a="1"/>
  <c r="AN1115" i="1" a="1"/>
  <c r="AN1116" i="1" a="1"/>
  <c r="AN1117" i="1" a="1"/>
  <c r="AN1118" i="1" a="1"/>
  <c r="AN1119" i="1" a="1"/>
  <c r="AN1120" i="1" a="1"/>
  <c r="AN1121" i="1" a="1"/>
  <c r="AN1122" i="1" a="1"/>
  <c r="AN1123" i="1" a="1"/>
  <c r="AN1124" i="1" a="1"/>
  <c r="AN1125" i="1" a="1"/>
  <c r="AN1126" i="1" a="1"/>
  <c r="AN1127" i="1" a="1"/>
  <c r="AN1128" i="1" a="1"/>
  <c r="AN1129" i="1" a="1"/>
  <c r="AN1130" i="1" a="1"/>
  <c r="AN1131" i="1" a="1"/>
  <c r="AN1132" i="1" a="1"/>
  <c r="AN1133" i="1" a="1"/>
  <c r="AN1134" i="1" a="1"/>
  <c r="AN1135" i="1" a="1"/>
  <c r="AN1136" i="1" a="1"/>
  <c r="AN1137" i="1" a="1"/>
  <c r="AN1138" i="1" a="1"/>
  <c r="AN1139" i="1" a="1"/>
  <c r="AN1140" i="1" a="1"/>
  <c r="AN1141" i="1" a="1"/>
  <c r="AN1142" i="1" a="1"/>
  <c r="AN1143" i="1" a="1"/>
  <c r="AN1144" i="1" a="1"/>
  <c r="AN1145" i="1" a="1"/>
  <c r="AN1146" i="1" a="1"/>
  <c r="AN1147" i="1" a="1"/>
  <c r="AN1148" i="1" a="1"/>
  <c r="AN1149" i="1" a="1"/>
  <c r="AN1150" i="1" a="1"/>
  <c r="AN1151" i="1" a="1"/>
  <c r="AN1152" i="1" a="1"/>
  <c r="AN1153" i="1" a="1"/>
  <c r="AN1154" i="1" a="1"/>
  <c r="AN1155" i="1" a="1"/>
  <c r="AN1156" i="1" a="1"/>
  <c r="AN1157" i="1" a="1"/>
  <c r="AN1158" i="1" a="1"/>
  <c r="AN1159" i="1" a="1"/>
  <c r="AN1160" i="1" a="1"/>
  <c r="AN1161" i="1" a="1"/>
  <c r="AN1162" i="1" a="1"/>
  <c r="AN1163" i="1" a="1"/>
  <c r="AN1164" i="1" a="1"/>
  <c r="AN1165" i="1" a="1"/>
  <c r="AN1166" i="1" a="1"/>
  <c r="AN1167" i="1" a="1"/>
  <c r="AN1168" i="1" a="1"/>
  <c r="AN1169" i="1" a="1"/>
  <c r="AN1170" i="1" a="1"/>
  <c r="AN1171" i="1" a="1"/>
  <c r="AN1172" i="1" a="1"/>
  <c r="AN1173" i="1" a="1"/>
  <c r="AN1174" i="1" a="1"/>
  <c r="AN1175" i="1" a="1"/>
  <c r="AN1176" i="1" a="1"/>
  <c r="AN1177" i="1" a="1"/>
  <c r="AN1178" i="1" a="1"/>
  <c r="AN1179" i="1" a="1"/>
  <c r="AN1180" i="1" a="1"/>
  <c r="AN1181" i="1" a="1"/>
  <c r="AN1182" i="1" a="1"/>
  <c r="AN1183" i="1" a="1"/>
  <c r="AN1184" i="1" a="1"/>
  <c r="AN1185" i="1" a="1"/>
  <c r="AN1186" i="1" a="1"/>
  <c r="AN1187" i="1" a="1"/>
  <c r="AN1188" i="1" a="1"/>
  <c r="AN1189" i="1" a="1"/>
  <c r="AN1190" i="1" a="1"/>
  <c r="AN1191" i="1" a="1"/>
  <c r="AN1192" i="1" a="1"/>
  <c r="AN1193" i="1" a="1"/>
  <c r="AN1194" i="1" a="1"/>
  <c r="AN1195" i="1" a="1"/>
  <c r="AN1196" i="1" a="1"/>
  <c r="AN1197" i="1" a="1"/>
  <c r="AN1198" i="1" a="1"/>
  <c r="AN1199" i="1" a="1"/>
  <c r="AN1200" i="1" a="1"/>
  <c r="AN1201" i="1" a="1"/>
  <c r="AN1202" i="1" a="1"/>
  <c r="AN1203" i="1" a="1"/>
  <c r="AN1204" i="1" a="1"/>
  <c r="AN1205" i="1" a="1"/>
  <c r="AN1206" i="1" a="1"/>
  <c r="AN1207" i="1" a="1"/>
  <c r="AN1208" i="1" a="1"/>
  <c r="AN1209" i="1" a="1"/>
  <c r="AN1210" i="1" a="1"/>
  <c r="AN1211" i="1" a="1"/>
  <c r="AN1212" i="1" a="1"/>
  <c r="AN1213" i="1" a="1"/>
  <c r="AN1214" i="1" a="1"/>
  <c r="AN1215" i="1" a="1"/>
  <c r="AN1216" i="1" a="1"/>
  <c r="AN1217" i="1" a="1"/>
  <c r="AN1218" i="1" a="1"/>
  <c r="AN1219" i="1" a="1"/>
  <c r="AN1220" i="1" a="1"/>
  <c r="AN1221" i="1" a="1"/>
  <c r="AN1222" i="1" a="1"/>
  <c r="AN1223" i="1" a="1"/>
  <c r="AN1224" i="1" a="1"/>
  <c r="AN1225" i="1" a="1"/>
  <c r="AN1226" i="1" a="1"/>
  <c r="AN1227" i="1" a="1"/>
  <c r="AN1228" i="1" a="1"/>
  <c r="AN1229" i="1" a="1"/>
  <c r="AN1230" i="1" a="1"/>
  <c r="AN1231" i="1" a="1"/>
  <c r="AN1232" i="1" a="1"/>
  <c r="AN1233" i="1" a="1"/>
  <c r="AN1234" i="1" a="1"/>
  <c r="AN1235" i="1" a="1"/>
  <c r="AN1236" i="1" a="1"/>
  <c r="AN1237" i="1" a="1"/>
  <c r="AN1238" i="1" a="1"/>
  <c r="AN1239" i="1" a="1"/>
  <c r="AN1240" i="1" a="1"/>
  <c r="AN1241" i="1" a="1"/>
  <c r="AN1242" i="1" a="1"/>
  <c r="AN1243" i="1" a="1"/>
  <c r="AN1244" i="1" a="1"/>
  <c r="AN1245" i="1" a="1"/>
  <c r="AN1246" i="1" a="1"/>
  <c r="AN1247" i="1" a="1"/>
  <c r="AN1248" i="1" a="1"/>
  <c r="AN1249" i="1" a="1"/>
  <c r="AN1250" i="1" a="1"/>
  <c r="AN1251" i="1" a="1"/>
  <c r="AN1252" i="1" a="1"/>
  <c r="AN1253" i="1" a="1"/>
  <c r="AN1254" i="1" a="1"/>
  <c r="AN1255" i="1" a="1"/>
  <c r="AN1256" i="1" a="1"/>
  <c r="AN1257" i="1" a="1"/>
  <c r="AN1258" i="1" a="1"/>
  <c r="AN1259" i="1" a="1"/>
  <c r="AN1260" i="1" a="1"/>
  <c r="AN1261" i="1" a="1"/>
  <c r="AN1262" i="1" a="1"/>
  <c r="AN1263" i="1" a="1"/>
  <c r="AN1264" i="1" a="1"/>
  <c r="AN1265" i="1" a="1"/>
  <c r="AN1266" i="1" a="1"/>
  <c r="AN1267" i="1" a="1"/>
  <c r="AN1268" i="1" a="1"/>
  <c r="AN1269" i="1" a="1"/>
  <c r="AN1270" i="1" a="1"/>
  <c r="AN1271" i="1" a="1"/>
  <c r="AN1272" i="1" a="1"/>
  <c r="AN1273" i="1" a="1"/>
  <c r="AN1274" i="1" a="1"/>
  <c r="AN1275" i="1" a="1"/>
  <c r="AN1276" i="1" a="1"/>
  <c r="AN1277" i="1" a="1"/>
  <c r="AN1278" i="1" a="1"/>
  <c r="AN1279" i="1" a="1"/>
  <c r="AN1280" i="1" a="1"/>
  <c r="AN1281" i="1" a="1"/>
  <c r="AN1282" i="1" a="1"/>
  <c r="AN1283" i="1" a="1"/>
  <c r="AN1284" i="1" a="1"/>
  <c r="AN1285" i="1" a="1"/>
  <c r="AN1286" i="1" a="1"/>
  <c r="AN1287" i="1" a="1"/>
  <c r="AN1288" i="1" a="1"/>
  <c r="AN1289" i="1" a="1"/>
  <c r="AN1290" i="1" a="1"/>
  <c r="AN1291" i="1" a="1"/>
  <c r="AN1292" i="1" a="1"/>
  <c r="AN1293" i="1" a="1"/>
  <c r="AN1294" i="1" a="1"/>
  <c r="AN1295" i="1" a="1"/>
  <c r="AN1296" i="1" a="1"/>
  <c r="AN1297" i="1" a="1"/>
  <c r="AN1298" i="1" a="1"/>
  <c r="AN1299" i="1" a="1"/>
  <c r="AN1300" i="1" a="1"/>
  <c r="AN1301" i="1" a="1"/>
  <c r="AN1302" i="1" a="1"/>
  <c r="AN1303" i="1" a="1"/>
  <c r="AN1304" i="1" a="1"/>
  <c r="AN1305" i="1" a="1"/>
  <c r="AN1306" i="1" a="1"/>
  <c r="AN1307" i="1" a="1"/>
  <c r="AN1308" i="1" a="1"/>
  <c r="AN1309" i="1" a="1"/>
  <c r="AN1310" i="1" a="1"/>
  <c r="AN1311" i="1" a="1"/>
  <c r="AN1312" i="1" a="1"/>
  <c r="AN1313" i="1" a="1"/>
  <c r="AN1314" i="1" a="1"/>
  <c r="AN1315" i="1" a="1"/>
  <c r="AN1316" i="1" a="1"/>
  <c r="AN1317" i="1" a="1"/>
  <c r="AN1318" i="1" a="1"/>
  <c r="AN1319" i="1" a="1"/>
  <c r="AN1320" i="1" a="1"/>
  <c r="AN1321" i="1" a="1"/>
  <c r="AN1322" i="1" a="1"/>
  <c r="AN1323" i="1" a="1"/>
  <c r="AN1324" i="1" a="1"/>
  <c r="AN1325" i="1" a="1"/>
  <c r="AN1326" i="1" a="1"/>
  <c r="AN1327" i="1" a="1"/>
  <c r="AN1328" i="1" a="1"/>
  <c r="AN1329" i="1" a="1"/>
  <c r="AN1330" i="1" a="1"/>
  <c r="AN1331" i="1" a="1"/>
  <c r="AN1332" i="1" a="1"/>
  <c r="AN1333" i="1" a="1"/>
  <c r="AN1334" i="1" a="1"/>
  <c r="AN1335" i="1" a="1"/>
  <c r="AN1336" i="1" a="1"/>
  <c r="AN1337" i="1" a="1"/>
  <c r="AN1338" i="1" a="1"/>
  <c r="AN1339" i="1" a="1"/>
  <c r="AN1340" i="1" a="1"/>
  <c r="AN1341" i="1" a="1"/>
  <c r="AN1342" i="1" a="1"/>
  <c r="AN1343" i="1" a="1"/>
  <c r="AN1344" i="1" a="1"/>
  <c r="AN1345" i="1" a="1"/>
  <c r="AN1346" i="1" a="1"/>
  <c r="AN1347" i="1" a="1"/>
  <c r="AN1348" i="1" a="1"/>
  <c r="AN1349" i="1" a="1"/>
  <c r="AN1350" i="1" a="1"/>
  <c r="AN1351" i="1" a="1"/>
  <c r="AN1352" i="1" a="1"/>
  <c r="AN1353" i="1" a="1"/>
  <c r="AN1354" i="1" a="1"/>
  <c r="AN1355" i="1" a="1"/>
  <c r="AN1356" i="1" a="1"/>
  <c r="AN1357" i="1" a="1"/>
  <c r="AN1358" i="1" a="1"/>
  <c r="AN1359" i="1" a="1"/>
  <c r="AN1360" i="1" a="1"/>
  <c r="AN1361" i="1" a="1"/>
  <c r="AN1362" i="1" a="1"/>
  <c r="AN1363" i="1" a="1"/>
  <c r="AN1364" i="1" a="1"/>
  <c r="AN1365" i="1" a="1"/>
  <c r="AN1366" i="1" a="1"/>
  <c r="AN1367" i="1" a="1"/>
  <c r="AN1368" i="1" a="1"/>
  <c r="AN1369" i="1" a="1"/>
  <c r="AN1370" i="1" a="1"/>
  <c r="AN1371" i="1" a="1"/>
  <c r="AN1372" i="1" a="1"/>
  <c r="AN1373" i="1" a="1"/>
  <c r="AN1374" i="1" a="1"/>
  <c r="AN1375" i="1" a="1"/>
  <c r="AN1376" i="1" a="1"/>
  <c r="AN1377" i="1" a="1"/>
  <c r="AN1378" i="1" a="1"/>
  <c r="AN1379" i="1" a="1"/>
  <c r="AN1380" i="1" a="1"/>
  <c r="AN1381" i="1" a="1"/>
  <c r="AN1382" i="1" a="1"/>
  <c r="AN1383" i="1" a="1"/>
  <c r="AN1384" i="1" a="1"/>
  <c r="AN1385" i="1" a="1"/>
  <c r="AN1386" i="1" a="1"/>
  <c r="AN1387" i="1" a="1"/>
  <c r="AN1388" i="1" a="1"/>
  <c r="AN1389" i="1" a="1"/>
  <c r="AN1390" i="1" a="1"/>
  <c r="AN1391" i="1" a="1"/>
  <c r="AN1392" i="1" a="1"/>
  <c r="AN1393" i="1" a="1"/>
  <c r="AN1394" i="1" a="1"/>
  <c r="AN1395" i="1" a="1"/>
  <c r="AN1396" i="1" a="1"/>
  <c r="AN1397" i="1" a="1"/>
  <c r="AN1398" i="1" a="1"/>
  <c r="AN1399" i="1" a="1"/>
  <c r="AN1400" i="1" a="1"/>
  <c r="AN1401" i="1" a="1"/>
  <c r="AN1402" i="1" a="1"/>
  <c r="AN1403" i="1" a="1"/>
  <c r="AN1404" i="1" a="1"/>
  <c r="AN1405" i="1" a="1"/>
  <c r="AN1406" i="1" a="1"/>
  <c r="AN1407" i="1" a="1"/>
  <c r="AN1408" i="1" a="1"/>
  <c r="AN1409" i="1" a="1"/>
  <c r="AN1410" i="1" a="1"/>
  <c r="AN1411" i="1" a="1"/>
  <c r="AN1412" i="1" a="1"/>
  <c r="AN1413" i="1" a="1"/>
  <c r="AN1414" i="1" a="1"/>
  <c r="AN1415" i="1" a="1"/>
  <c r="AN1416" i="1" a="1"/>
  <c r="AN1417" i="1" a="1"/>
  <c r="AN1418" i="1" a="1"/>
  <c r="AN1419" i="1" a="1"/>
  <c r="AN1420" i="1" a="1"/>
  <c r="AN1421" i="1" a="1"/>
  <c r="AN1422" i="1" a="1"/>
  <c r="AN1423" i="1" a="1"/>
  <c r="AN1424" i="1" a="1"/>
  <c r="AN1425" i="1" a="1"/>
  <c r="AN1426" i="1" a="1"/>
  <c r="AN1427" i="1" a="1"/>
  <c r="AN1428" i="1" a="1"/>
  <c r="AN1429" i="1" a="1"/>
  <c r="AN1430" i="1" a="1"/>
  <c r="AN1431" i="1" a="1"/>
  <c r="AN1432" i="1" a="1"/>
  <c r="AN1433" i="1" a="1"/>
  <c r="AN1434" i="1" a="1"/>
  <c r="AN1435" i="1" a="1"/>
  <c r="AN1436" i="1" a="1"/>
  <c r="AN1437" i="1" a="1"/>
  <c r="AN1438" i="1" a="1"/>
  <c r="AN1439" i="1" a="1"/>
  <c r="AN1440" i="1" a="1"/>
  <c r="AN1441" i="1" a="1"/>
  <c r="AN1442" i="1" a="1"/>
  <c r="AN1443" i="1" a="1"/>
  <c r="AN1444" i="1" a="1"/>
  <c r="AN1445" i="1" a="1"/>
  <c r="AN1446" i="1" a="1"/>
  <c r="AN1447" i="1" a="1"/>
  <c r="AN1448" i="1" a="1"/>
  <c r="AN1449" i="1" a="1"/>
  <c r="AN1450" i="1" a="1"/>
  <c r="AN1451" i="1" a="1"/>
  <c r="AN1452" i="1" a="1"/>
  <c r="AN1453" i="1" a="1"/>
  <c r="AN1454" i="1" a="1"/>
  <c r="AN1455" i="1" a="1"/>
  <c r="AN1456" i="1" a="1"/>
  <c r="AN1457" i="1" a="1"/>
  <c r="AN1458" i="1" a="1"/>
  <c r="AN1459" i="1" a="1"/>
  <c r="AN1460" i="1" a="1"/>
  <c r="AN1461" i="1" a="1"/>
  <c r="AN1462" i="1" a="1"/>
  <c r="AN1463" i="1" a="1"/>
  <c r="AN1464" i="1" a="1"/>
  <c r="AN1465" i="1" a="1"/>
  <c r="AN1466" i="1" a="1"/>
  <c r="AN1467" i="1" a="1"/>
  <c r="AN1468" i="1" a="1"/>
  <c r="AN1469" i="1" a="1"/>
  <c r="AN1470" i="1" a="1"/>
  <c r="AN1471" i="1" a="1"/>
  <c r="AM2" i="1" a="1"/>
  <c r="AM3" i="1" a="1"/>
  <c r="AM4" i="1" a="1"/>
  <c r="AM5" i="1" a="1"/>
  <c r="AM6" i="1" a="1"/>
  <c r="AM7" i="1" a="1"/>
  <c r="AM8" i="1" a="1"/>
  <c r="AM9" i="1" a="1"/>
  <c r="AM10" i="1" a="1"/>
  <c r="AM11" i="1" a="1"/>
  <c r="AM12" i="1" a="1"/>
  <c r="AM13" i="1" a="1"/>
  <c r="AM14" i="1" a="1"/>
  <c r="AM15" i="1" a="1"/>
  <c r="AM16" i="1" a="1"/>
  <c r="AM17" i="1" a="1"/>
  <c r="AM18" i="1" a="1"/>
  <c r="AM19" i="1" a="1"/>
  <c r="AM20" i="1" a="1"/>
  <c r="AM21" i="1" a="1"/>
  <c r="AM22" i="1" a="1"/>
  <c r="AM23" i="1" a="1"/>
  <c r="AM24" i="1" a="1"/>
  <c r="AM25" i="1" a="1"/>
  <c r="AM26" i="1" a="1"/>
  <c r="AM27" i="1" a="1"/>
  <c r="AM28" i="1" a="1"/>
  <c r="AM29" i="1" a="1"/>
  <c r="AM30" i="1" a="1"/>
  <c r="AM31" i="1" a="1"/>
  <c r="AM32" i="1" a="1"/>
  <c r="AM33" i="1" a="1"/>
  <c r="AM34" i="1" a="1"/>
  <c r="AM35" i="1" a="1"/>
  <c r="AM36" i="1" a="1"/>
  <c r="AM37" i="1" a="1"/>
  <c r="AM38" i="1" a="1"/>
  <c r="AM39" i="1" a="1"/>
  <c r="AM40" i="1" a="1"/>
  <c r="AM41" i="1" a="1"/>
  <c r="AM42" i="1" a="1"/>
  <c r="AM43" i="1" a="1"/>
  <c r="AM44" i="1" a="1"/>
  <c r="AM45" i="1" a="1"/>
  <c r="AM46" i="1" a="1"/>
  <c r="AM47" i="1" a="1"/>
  <c r="AM48" i="1" a="1"/>
  <c r="AM49" i="1" a="1"/>
  <c r="AM50" i="1" a="1"/>
  <c r="AM51" i="1" a="1"/>
  <c r="AM52" i="1" a="1"/>
  <c r="AM53" i="1" a="1"/>
  <c r="AM54" i="1" a="1"/>
  <c r="AM55" i="1" a="1"/>
  <c r="AM56" i="1" a="1"/>
  <c r="AM57" i="1" a="1"/>
  <c r="AM58" i="1" a="1"/>
  <c r="AM59" i="1" a="1"/>
  <c r="AM60" i="1" a="1"/>
  <c r="AM61" i="1" a="1"/>
  <c r="AM62" i="1" a="1"/>
  <c r="AM63" i="1" a="1"/>
  <c r="AM64" i="1" a="1"/>
  <c r="AM65" i="1" a="1"/>
  <c r="AM66" i="1" a="1"/>
  <c r="AM67" i="1" a="1"/>
  <c r="AM68" i="1" a="1"/>
  <c r="AM69" i="1" a="1"/>
  <c r="AM70" i="1" a="1"/>
  <c r="AM71" i="1" a="1"/>
  <c r="AM72" i="1" a="1"/>
  <c r="AM73" i="1" a="1"/>
  <c r="AM74" i="1" a="1"/>
  <c r="AM75" i="1" a="1"/>
  <c r="AM76" i="1" a="1"/>
  <c r="AM77" i="1" a="1"/>
  <c r="AM78" i="1" a="1"/>
  <c r="AM79" i="1" a="1"/>
  <c r="AM80" i="1" a="1"/>
  <c r="AM81" i="1" a="1"/>
  <c r="AM82" i="1" a="1"/>
  <c r="AM83" i="1" a="1"/>
  <c r="AM84" i="1" a="1"/>
  <c r="AM85" i="1" a="1"/>
  <c r="AM86" i="1" a="1"/>
  <c r="AM87" i="1" a="1"/>
  <c r="AM88" i="1" a="1"/>
  <c r="AM89" i="1" a="1"/>
  <c r="AM90" i="1" a="1"/>
  <c r="AM91" i="1" a="1"/>
  <c r="AM92" i="1" a="1"/>
  <c r="AM93" i="1" a="1"/>
  <c r="AM94" i="1" a="1"/>
  <c r="AM95" i="1" a="1"/>
  <c r="AM96" i="1" a="1"/>
  <c r="AM97" i="1" a="1"/>
  <c r="AM98" i="1" a="1"/>
  <c r="AM99" i="1" a="1"/>
  <c r="AM100" i="1" a="1"/>
  <c r="AM101" i="1" a="1"/>
  <c r="AM102" i="1" a="1"/>
  <c r="AM103" i="1" a="1"/>
  <c r="AM104" i="1" a="1"/>
  <c r="AM105" i="1" a="1"/>
  <c r="AM106" i="1" a="1"/>
  <c r="AM107" i="1" a="1"/>
  <c r="AM108" i="1" a="1"/>
  <c r="AM109" i="1" a="1"/>
  <c r="AM110" i="1" a="1"/>
  <c r="AM111" i="1" a="1"/>
  <c r="AM112" i="1" a="1"/>
  <c r="AM113" i="1" a="1"/>
  <c r="AM114" i="1" a="1"/>
  <c r="AM115" i="1" a="1"/>
  <c r="AM116" i="1" a="1"/>
  <c r="AM117" i="1" a="1"/>
  <c r="AM118" i="1" a="1"/>
  <c r="AM119" i="1" a="1"/>
  <c r="AM120" i="1" a="1"/>
  <c r="AM121" i="1" a="1"/>
  <c r="AM122" i="1" a="1"/>
  <c r="AM123" i="1" a="1"/>
  <c r="AM124" i="1" a="1"/>
  <c r="AM125" i="1" a="1"/>
  <c r="AM126" i="1" a="1"/>
  <c r="AM127" i="1" a="1"/>
  <c r="AM128" i="1" a="1"/>
  <c r="AM129" i="1" a="1"/>
  <c r="AM130" i="1" a="1"/>
  <c r="AM131" i="1" a="1"/>
  <c r="AM132" i="1" a="1"/>
  <c r="AM133" i="1" a="1"/>
  <c r="AM134" i="1" a="1"/>
  <c r="AM135" i="1" a="1"/>
  <c r="AM136" i="1" a="1"/>
  <c r="AM137" i="1" a="1"/>
  <c r="AM138" i="1" a="1"/>
  <c r="AM139" i="1" a="1"/>
  <c r="AM140" i="1" a="1"/>
  <c r="AM141" i="1" a="1"/>
  <c r="AM142" i="1" a="1"/>
  <c r="AM143" i="1" a="1"/>
  <c r="AM144" i="1" a="1"/>
  <c r="AM145" i="1" a="1"/>
  <c r="AM146" i="1" a="1"/>
  <c r="AM147" i="1" a="1"/>
  <c r="AM148" i="1" a="1"/>
  <c r="AM149" i="1" a="1"/>
  <c r="AM150" i="1" a="1"/>
  <c r="AM151" i="1" a="1"/>
  <c r="AM152" i="1" a="1"/>
  <c r="AM153" i="1" a="1"/>
  <c r="AM154" i="1" a="1"/>
  <c r="AM155" i="1" a="1"/>
  <c r="AM156" i="1" a="1"/>
  <c r="AM157" i="1" a="1"/>
  <c r="AM158" i="1" a="1"/>
  <c r="AM159" i="1" a="1"/>
  <c r="AM160" i="1" a="1"/>
  <c r="AM161" i="1" a="1"/>
  <c r="AM162" i="1" a="1"/>
  <c r="AM163" i="1" a="1"/>
  <c r="AM164" i="1" a="1"/>
  <c r="AM165" i="1" a="1"/>
  <c r="AM166" i="1" a="1"/>
  <c r="AM167" i="1" a="1"/>
  <c r="AM168" i="1" a="1"/>
  <c r="AM169" i="1" a="1"/>
  <c r="AM170" i="1" a="1"/>
  <c r="AM171" i="1" a="1"/>
  <c r="AM172" i="1" a="1"/>
  <c r="AM173" i="1" a="1"/>
  <c r="AM174" i="1" a="1"/>
  <c r="AM175" i="1" a="1"/>
  <c r="AM176" i="1" a="1"/>
  <c r="AM177" i="1" a="1"/>
  <c r="AM178" i="1" a="1"/>
  <c r="AM179" i="1" a="1"/>
  <c r="AM180" i="1" a="1"/>
  <c r="AM181" i="1" a="1"/>
  <c r="AM182" i="1" a="1"/>
  <c r="AM183" i="1" a="1"/>
  <c r="AM184" i="1" a="1"/>
  <c r="AM185" i="1" a="1"/>
  <c r="AM186" i="1" a="1"/>
  <c r="AM187" i="1" a="1"/>
  <c r="AM188" i="1" a="1"/>
  <c r="AM189" i="1" a="1"/>
  <c r="AM190" i="1" a="1"/>
  <c r="AM191" i="1" a="1"/>
  <c r="AM192" i="1" a="1"/>
  <c r="AM193" i="1" a="1"/>
  <c r="AM194" i="1" a="1"/>
  <c r="AM195" i="1" a="1"/>
  <c r="AM196" i="1" a="1"/>
  <c r="AM197" i="1" a="1"/>
  <c r="AM198" i="1" a="1"/>
  <c r="AM199" i="1" a="1"/>
  <c r="AM200" i="1" a="1"/>
  <c r="AM201" i="1" a="1"/>
  <c r="AM202" i="1" a="1"/>
  <c r="AM203" i="1" a="1"/>
  <c r="AM204" i="1" a="1"/>
  <c r="AM205" i="1" a="1"/>
  <c r="AM206" i="1" a="1"/>
  <c r="AM207" i="1" a="1"/>
  <c r="AM208" i="1" a="1"/>
  <c r="AM209" i="1" a="1"/>
  <c r="AM210" i="1" a="1"/>
  <c r="AM211" i="1" a="1"/>
  <c r="AM212" i="1" a="1"/>
  <c r="AM213" i="1" a="1"/>
  <c r="AM214" i="1" a="1"/>
  <c r="AM215" i="1" a="1"/>
  <c r="AM216" i="1" a="1"/>
  <c r="AM217" i="1" a="1"/>
  <c r="AM218" i="1" a="1"/>
  <c r="AM219" i="1" a="1"/>
  <c r="AM220" i="1" a="1"/>
  <c r="AM221" i="1" a="1"/>
  <c r="AM222" i="1" a="1"/>
  <c r="AM223" i="1" a="1"/>
  <c r="AM224" i="1" a="1"/>
  <c r="AM225" i="1" a="1"/>
  <c r="AM226" i="1" a="1"/>
  <c r="AM227" i="1" a="1"/>
  <c r="AM228" i="1" a="1"/>
  <c r="AM229" i="1" a="1"/>
  <c r="AM230" i="1" a="1"/>
  <c r="AM231" i="1" a="1"/>
  <c r="AM232" i="1" a="1"/>
  <c r="AM233" i="1" a="1"/>
  <c r="AM234" i="1" a="1"/>
  <c r="AM235" i="1" a="1"/>
  <c r="AM236" i="1" a="1"/>
  <c r="AM237" i="1" a="1"/>
  <c r="AM238" i="1" a="1"/>
  <c r="AM239" i="1" a="1"/>
  <c r="AM240" i="1" a="1"/>
  <c r="AM241" i="1" a="1"/>
  <c r="AM242" i="1" a="1"/>
  <c r="AM243" i="1" a="1"/>
  <c r="AM244" i="1" a="1"/>
  <c r="AM245" i="1" a="1"/>
  <c r="AM246" i="1" a="1"/>
  <c r="AM247" i="1" a="1"/>
  <c r="AM248" i="1" a="1"/>
  <c r="AM249" i="1" a="1"/>
  <c r="AM250" i="1" a="1"/>
  <c r="AM251" i="1" a="1"/>
  <c r="AM252" i="1" a="1"/>
  <c r="AM253" i="1" a="1"/>
  <c r="AM254" i="1" a="1"/>
  <c r="AM255" i="1" a="1"/>
  <c r="AM256" i="1" a="1"/>
  <c r="AM257" i="1" a="1"/>
  <c r="AM258" i="1" a="1"/>
  <c r="AM259" i="1" a="1"/>
  <c r="AM260" i="1" a="1"/>
  <c r="AM261" i="1" a="1"/>
  <c r="AM262" i="1" a="1"/>
  <c r="AM263" i="1" a="1"/>
  <c r="AM264" i="1" a="1"/>
  <c r="AM265" i="1" a="1"/>
  <c r="AM266" i="1" a="1"/>
  <c r="AM267" i="1" a="1"/>
  <c r="AM268" i="1" a="1"/>
  <c r="AM269" i="1" a="1"/>
  <c r="AM270" i="1" a="1"/>
  <c r="AM271" i="1" a="1"/>
  <c r="AM272" i="1" a="1"/>
  <c r="AM273" i="1" a="1"/>
  <c r="AM274" i="1" a="1"/>
  <c r="AM275" i="1" a="1"/>
  <c r="AM276" i="1" a="1"/>
  <c r="AM277" i="1" a="1"/>
  <c r="AM278" i="1" a="1"/>
  <c r="AM279" i="1" a="1"/>
  <c r="AM280" i="1" a="1"/>
  <c r="AM281" i="1" a="1"/>
  <c r="AM282" i="1" a="1"/>
  <c r="AM283" i="1" a="1"/>
  <c r="AM284" i="1" a="1"/>
  <c r="AM285" i="1" a="1"/>
  <c r="AM286" i="1" a="1"/>
  <c r="AM287" i="1" a="1"/>
  <c r="AM288" i="1" a="1"/>
  <c r="AM289" i="1" a="1"/>
  <c r="AM290" i="1" a="1"/>
  <c r="AM291" i="1" a="1"/>
  <c r="AM292" i="1" a="1"/>
  <c r="AM293" i="1" a="1"/>
  <c r="AM294" i="1" a="1"/>
  <c r="AM295" i="1" a="1"/>
  <c r="AM296" i="1" a="1"/>
  <c r="AM297" i="1" a="1"/>
  <c r="AM298" i="1" a="1"/>
  <c r="AM299" i="1" a="1"/>
  <c r="AM300" i="1" a="1"/>
  <c r="AM301" i="1" a="1"/>
  <c r="AM302" i="1" a="1"/>
  <c r="AM303" i="1" a="1"/>
  <c r="AM304" i="1" a="1"/>
  <c r="AM305" i="1" a="1"/>
  <c r="AM306" i="1" a="1"/>
  <c r="AM307" i="1" a="1"/>
  <c r="AM308" i="1" a="1"/>
  <c r="AM309" i="1" a="1"/>
  <c r="AM310" i="1" a="1"/>
  <c r="AM311" i="1" a="1"/>
  <c r="AM312" i="1" a="1"/>
  <c r="AM313" i="1" a="1"/>
  <c r="AM314" i="1" a="1"/>
  <c r="AM315" i="1" a="1"/>
  <c r="AM316" i="1" a="1"/>
  <c r="AM317" i="1" a="1"/>
  <c r="AM318" i="1" a="1"/>
  <c r="AM319" i="1" a="1"/>
  <c r="AM320" i="1" a="1"/>
  <c r="AM321" i="1" a="1"/>
  <c r="AM322" i="1" a="1"/>
  <c r="AM323" i="1" a="1"/>
  <c r="AM324" i="1" a="1"/>
  <c r="AM325" i="1" a="1"/>
  <c r="AM326" i="1" a="1"/>
  <c r="AM327" i="1" a="1"/>
  <c r="AM328" i="1" a="1"/>
  <c r="AM329" i="1" a="1"/>
  <c r="AM330" i="1" a="1"/>
  <c r="AM331" i="1" a="1"/>
  <c r="AM332" i="1" a="1"/>
  <c r="AM333" i="1" a="1"/>
  <c r="AM334" i="1" a="1"/>
  <c r="AM335" i="1" a="1"/>
  <c r="AM336" i="1" a="1"/>
  <c r="AM337" i="1" a="1"/>
  <c r="AM338" i="1" a="1"/>
  <c r="AM339" i="1" a="1"/>
  <c r="AM340" i="1" a="1"/>
  <c r="AM341" i="1" a="1"/>
  <c r="AM342" i="1" a="1"/>
  <c r="AM343" i="1" a="1"/>
  <c r="AM344" i="1" a="1"/>
  <c r="AM345" i="1" a="1"/>
  <c r="AM346" i="1" a="1"/>
  <c r="AM347" i="1" a="1"/>
  <c r="AM348" i="1" a="1"/>
  <c r="AM349" i="1" a="1"/>
  <c r="AM350" i="1" a="1"/>
  <c r="AM351" i="1" a="1"/>
  <c r="AM352" i="1" a="1"/>
  <c r="AM353" i="1" a="1"/>
  <c r="AM354" i="1" a="1"/>
  <c r="AM355" i="1" a="1"/>
  <c r="AM356" i="1" a="1"/>
  <c r="AM357" i="1" a="1"/>
  <c r="AM358" i="1" a="1"/>
  <c r="AM359" i="1" a="1"/>
  <c r="AM360" i="1" a="1"/>
  <c r="AM361" i="1" a="1"/>
  <c r="AM362" i="1" a="1"/>
  <c r="AM363" i="1" a="1"/>
  <c r="AM364" i="1" a="1"/>
  <c r="AM365" i="1" a="1"/>
  <c r="AM366" i="1" a="1"/>
  <c r="AM367" i="1" a="1"/>
  <c r="AM368" i="1" a="1"/>
  <c r="AM369" i="1" a="1"/>
  <c r="AM370" i="1" a="1"/>
  <c r="AM371" i="1" a="1"/>
  <c r="AM372" i="1" a="1"/>
  <c r="AM373" i="1" a="1"/>
  <c r="AM374" i="1" a="1"/>
  <c r="AM375" i="1" a="1"/>
  <c r="AM376" i="1" a="1"/>
  <c r="AM377" i="1" a="1"/>
  <c r="AM378" i="1" a="1"/>
  <c r="AM379" i="1" a="1"/>
  <c r="AM380" i="1" a="1"/>
  <c r="AM381" i="1" a="1"/>
  <c r="AM382" i="1" a="1"/>
  <c r="AM383" i="1" a="1"/>
  <c r="AM384" i="1" a="1"/>
  <c r="AM385" i="1" a="1"/>
  <c r="AM386" i="1" a="1"/>
  <c r="AM387" i="1" a="1"/>
  <c r="AM388" i="1" a="1"/>
  <c r="AM389" i="1" a="1"/>
  <c r="AM390" i="1" a="1"/>
  <c r="AM391" i="1" a="1"/>
  <c r="AM392" i="1" a="1"/>
  <c r="AM393" i="1" a="1"/>
  <c r="AM394" i="1" a="1"/>
  <c r="AM395" i="1" a="1"/>
  <c r="AM396" i="1" a="1"/>
  <c r="AM397" i="1" a="1"/>
  <c r="AM398" i="1" a="1"/>
  <c r="AM399" i="1" a="1"/>
  <c r="AM400" i="1" a="1"/>
  <c r="AM401" i="1" a="1"/>
  <c r="AM402" i="1" a="1"/>
  <c r="AM403" i="1" a="1"/>
  <c r="AM404" i="1" a="1"/>
  <c r="AM405" i="1" a="1"/>
  <c r="AM406" i="1" a="1"/>
  <c r="AM407" i="1" a="1"/>
  <c r="AM408" i="1" a="1"/>
  <c r="AM409" i="1" a="1"/>
  <c r="AM410" i="1" a="1"/>
  <c r="AM411" i="1" a="1"/>
  <c r="AM412" i="1" a="1"/>
  <c r="AM413" i="1" a="1"/>
  <c r="AM414" i="1" a="1"/>
  <c r="AM415" i="1" a="1"/>
  <c r="AM416" i="1" a="1"/>
  <c r="AM417" i="1" a="1"/>
  <c r="AM418" i="1" a="1"/>
  <c r="AM419" i="1" a="1"/>
  <c r="AM420" i="1" a="1"/>
  <c r="AM421" i="1" a="1"/>
  <c r="AM422" i="1" a="1"/>
  <c r="AM423" i="1" a="1"/>
  <c r="AM424" i="1" a="1"/>
  <c r="AM425" i="1" a="1"/>
  <c r="AM426" i="1" a="1"/>
  <c r="AM427" i="1" a="1"/>
  <c r="AM428" i="1" a="1"/>
  <c r="AM429" i="1" a="1"/>
  <c r="AM430" i="1" a="1"/>
  <c r="AM431" i="1" a="1"/>
  <c r="AM432" i="1" a="1"/>
  <c r="AM433" i="1" a="1"/>
  <c r="AM434" i="1" a="1"/>
  <c r="AM435" i="1" a="1"/>
  <c r="AM436" i="1" a="1"/>
  <c r="AM437" i="1" a="1"/>
  <c r="AM438" i="1" a="1"/>
  <c r="AM439" i="1" a="1"/>
  <c r="AM440" i="1" a="1"/>
  <c r="AM441" i="1" a="1"/>
  <c r="AM442" i="1" a="1"/>
  <c r="AM443" i="1" a="1"/>
  <c r="AM444" i="1" a="1"/>
  <c r="AM445" i="1" a="1"/>
  <c r="AM446" i="1" a="1"/>
  <c r="AM447" i="1" a="1"/>
  <c r="AM448" i="1" a="1"/>
  <c r="AM449" i="1" a="1"/>
  <c r="AM450" i="1" a="1"/>
  <c r="AM451" i="1" a="1"/>
  <c r="AM452" i="1" a="1"/>
  <c r="AM453" i="1" a="1"/>
  <c r="AM454" i="1" a="1"/>
  <c r="AM455" i="1" a="1"/>
  <c r="AM456" i="1" a="1"/>
  <c r="AM457" i="1" a="1"/>
  <c r="AM458" i="1" a="1"/>
  <c r="AM459" i="1" a="1"/>
  <c r="AM460" i="1" a="1"/>
  <c r="AM461" i="1" a="1"/>
  <c r="AM462" i="1" a="1"/>
  <c r="AM463" i="1" a="1"/>
  <c r="AM464" i="1" a="1"/>
  <c r="AM465" i="1" a="1"/>
  <c r="AM466" i="1" a="1"/>
  <c r="AM467" i="1" a="1"/>
  <c r="AM468" i="1" a="1"/>
  <c r="AM469" i="1" a="1"/>
  <c r="AM470" i="1" a="1"/>
  <c r="AM471" i="1" a="1"/>
  <c r="AM472" i="1" a="1"/>
  <c r="AM473" i="1" a="1"/>
  <c r="AM474" i="1" a="1"/>
  <c r="AM475" i="1" a="1"/>
  <c r="AM476" i="1" a="1"/>
  <c r="AM477" i="1" a="1"/>
  <c r="AM478" i="1" a="1"/>
  <c r="AM479" i="1" a="1"/>
  <c r="AM480" i="1" a="1"/>
  <c r="AM481" i="1" a="1"/>
  <c r="AM482" i="1" a="1"/>
  <c r="AM483" i="1" a="1"/>
  <c r="AM484" i="1" a="1"/>
  <c r="AM485" i="1" a="1"/>
  <c r="AM486" i="1" a="1"/>
  <c r="AM487" i="1" a="1"/>
  <c r="AM488" i="1" a="1"/>
  <c r="AM489" i="1" a="1"/>
  <c r="AM490" i="1" a="1"/>
  <c r="AM491" i="1" a="1"/>
  <c r="AM492" i="1" a="1"/>
  <c r="AM493" i="1" a="1"/>
  <c r="AM494" i="1" a="1"/>
  <c r="AM495" i="1" a="1"/>
  <c r="AM496" i="1" a="1"/>
  <c r="AM497" i="1" a="1"/>
  <c r="AM498" i="1" a="1"/>
  <c r="AM499" i="1" a="1"/>
  <c r="AM500" i="1" a="1"/>
  <c r="AM501" i="1" a="1"/>
  <c r="AM502" i="1" a="1"/>
  <c r="AM503" i="1" a="1"/>
  <c r="AM504" i="1" a="1"/>
  <c r="AM505" i="1" a="1"/>
  <c r="AM506" i="1" a="1"/>
  <c r="AM507" i="1" a="1"/>
  <c r="AM508" i="1" a="1"/>
  <c r="AM509" i="1" a="1"/>
  <c r="AM510" i="1" a="1"/>
  <c r="AM511" i="1" a="1"/>
  <c r="AM512" i="1" a="1"/>
  <c r="AM513" i="1" a="1"/>
  <c r="AM514" i="1" a="1"/>
  <c r="AM515" i="1" a="1"/>
  <c r="AM516" i="1" a="1"/>
  <c r="AM517" i="1" a="1"/>
  <c r="AM518" i="1" a="1"/>
  <c r="AM519" i="1" a="1"/>
  <c r="AM520" i="1" a="1"/>
  <c r="AM521" i="1" a="1"/>
  <c r="AM522" i="1" a="1"/>
  <c r="AM523" i="1" a="1"/>
  <c r="AM524" i="1" a="1"/>
  <c r="AM525" i="1" a="1"/>
  <c r="AM526" i="1" a="1"/>
  <c r="AM527" i="1" a="1"/>
  <c r="AM528" i="1" a="1"/>
  <c r="AM529" i="1" a="1"/>
  <c r="AM530" i="1" a="1"/>
  <c r="AM531" i="1" a="1"/>
  <c r="AM532" i="1" a="1"/>
  <c r="AM533" i="1" a="1"/>
  <c r="AM534" i="1" a="1"/>
  <c r="AM535" i="1" a="1"/>
  <c r="AM536" i="1" a="1"/>
  <c r="AM537" i="1" a="1"/>
  <c r="AM538" i="1" a="1"/>
  <c r="AM539" i="1" a="1"/>
  <c r="AM540" i="1" a="1"/>
  <c r="AM541" i="1" a="1"/>
  <c r="AM542" i="1" a="1"/>
  <c r="AM543" i="1" a="1"/>
  <c r="AM544" i="1" a="1"/>
  <c r="AM545" i="1" a="1"/>
  <c r="AM546" i="1" a="1"/>
  <c r="AM547" i="1" a="1"/>
  <c r="AM548" i="1" a="1"/>
  <c r="AM549" i="1" a="1"/>
  <c r="AM550" i="1" a="1"/>
  <c r="AM551" i="1" a="1"/>
  <c r="AM552" i="1" a="1"/>
  <c r="AM553" i="1" a="1"/>
  <c r="AM554" i="1" a="1"/>
  <c r="AM555" i="1" a="1"/>
  <c r="AM556" i="1" a="1"/>
  <c r="AM557" i="1" a="1"/>
  <c r="AM558" i="1" a="1"/>
  <c r="AM559" i="1" a="1"/>
  <c r="AM560" i="1" a="1"/>
  <c r="AM561" i="1" a="1"/>
  <c r="AM562" i="1" a="1"/>
  <c r="AM563" i="1" a="1"/>
  <c r="AM564" i="1" a="1"/>
  <c r="AM565" i="1" a="1"/>
  <c r="AM566" i="1" a="1"/>
  <c r="AM567" i="1" a="1"/>
  <c r="AM568" i="1" a="1"/>
  <c r="AM569" i="1" a="1"/>
  <c r="AM570" i="1" a="1"/>
  <c r="AM571" i="1" a="1"/>
  <c r="AM572" i="1" a="1"/>
  <c r="AM573" i="1" a="1"/>
  <c r="AM574" i="1" a="1"/>
  <c r="AM575" i="1" a="1"/>
  <c r="AM576" i="1" a="1"/>
  <c r="AM577" i="1" a="1"/>
  <c r="AM578" i="1" a="1"/>
  <c r="AM579" i="1" a="1"/>
  <c r="AM580" i="1" a="1"/>
  <c r="AM581" i="1" a="1"/>
  <c r="AM582" i="1" a="1"/>
  <c r="AM583" i="1" a="1"/>
  <c r="AM584" i="1" a="1"/>
  <c r="AM585" i="1" a="1"/>
  <c r="AM586" i="1" a="1"/>
  <c r="AM587" i="1" a="1"/>
  <c r="AM588" i="1" a="1"/>
  <c r="AM589" i="1" a="1"/>
  <c r="AM590" i="1" a="1"/>
  <c r="AM591" i="1" a="1"/>
  <c r="AM592" i="1" a="1"/>
  <c r="AM593" i="1" a="1"/>
  <c r="AM594" i="1" a="1"/>
  <c r="AM595" i="1" a="1"/>
  <c r="AM596" i="1" a="1"/>
  <c r="AM597" i="1" a="1"/>
  <c r="AM598" i="1" a="1"/>
  <c r="AM599" i="1" a="1"/>
  <c r="AM600" i="1" a="1"/>
  <c r="AM601" i="1" a="1"/>
  <c r="AM602" i="1" a="1"/>
  <c r="AM603" i="1" a="1"/>
  <c r="AM604" i="1" a="1"/>
  <c r="AM605" i="1" a="1"/>
  <c r="AM606" i="1" a="1"/>
  <c r="AM607" i="1" a="1"/>
  <c r="AM608" i="1" a="1"/>
  <c r="AM609" i="1" a="1"/>
  <c r="AM610" i="1" a="1"/>
  <c r="AM611" i="1" a="1"/>
  <c r="AM612" i="1" a="1"/>
  <c r="AM613" i="1" a="1"/>
  <c r="AM614" i="1" a="1"/>
  <c r="AM615" i="1" a="1"/>
  <c r="AM616" i="1" a="1"/>
  <c r="AM617" i="1" a="1"/>
  <c r="AM618" i="1" a="1"/>
  <c r="AM619" i="1" a="1"/>
  <c r="AM620" i="1" a="1"/>
  <c r="AM621" i="1" a="1"/>
  <c r="AM622" i="1" a="1"/>
  <c r="AM623" i="1" a="1"/>
  <c r="AM624" i="1" a="1"/>
  <c r="AM625" i="1" a="1"/>
  <c r="AM626" i="1" a="1"/>
  <c r="AM627" i="1" a="1"/>
  <c r="AM628" i="1" a="1"/>
  <c r="AM629" i="1" a="1"/>
  <c r="AM630" i="1" a="1"/>
  <c r="AM631" i="1" a="1"/>
  <c r="AM632" i="1" a="1"/>
  <c r="AM633" i="1" a="1"/>
  <c r="AM634" i="1" a="1"/>
  <c r="AM635" i="1" a="1"/>
  <c r="AM636" i="1" a="1"/>
  <c r="AM637" i="1" a="1"/>
  <c r="AM638" i="1" a="1"/>
  <c r="AM639" i="1" a="1"/>
  <c r="AM640" i="1" a="1"/>
  <c r="AM641" i="1" a="1"/>
  <c r="AM642" i="1" a="1"/>
  <c r="AM643" i="1" a="1"/>
  <c r="AM644" i="1" a="1"/>
  <c r="AM645" i="1" a="1"/>
  <c r="AM646" i="1" a="1"/>
  <c r="AM647" i="1" a="1"/>
  <c r="AM648" i="1" a="1"/>
  <c r="AM649" i="1" a="1"/>
  <c r="AM650" i="1" a="1"/>
  <c r="AM651" i="1" a="1"/>
  <c r="AM652" i="1" a="1"/>
  <c r="AM653" i="1" a="1"/>
  <c r="AM654" i="1" a="1"/>
  <c r="AM655" i="1" a="1"/>
  <c r="AM656" i="1" a="1"/>
  <c r="AM657" i="1" a="1"/>
  <c r="AM658" i="1" a="1"/>
  <c r="AM659" i="1" a="1"/>
  <c r="AM660" i="1" a="1"/>
  <c r="AM661" i="1" a="1"/>
  <c r="AM662" i="1" a="1"/>
  <c r="AM663" i="1" a="1"/>
  <c r="AM664" i="1" a="1"/>
  <c r="AM665" i="1" a="1"/>
  <c r="AM666" i="1" a="1"/>
  <c r="AM667" i="1" a="1"/>
  <c r="AM668" i="1" a="1"/>
  <c r="AM669" i="1" a="1"/>
  <c r="AM670" i="1" a="1"/>
  <c r="AM671" i="1" a="1"/>
  <c r="AM672" i="1" a="1"/>
  <c r="AM673" i="1" a="1"/>
  <c r="AM674" i="1" a="1"/>
  <c r="AM675" i="1" a="1"/>
  <c r="AM676" i="1" a="1"/>
  <c r="AM677" i="1" a="1"/>
  <c r="AM678" i="1" a="1"/>
  <c r="AM679" i="1" a="1"/>
  <c r="AM680" i="1" a="1"/>
  <c r="AM681" i="1" a="1"/>
  <c r="AM682" i="1" a="1"/>
  <c r="AM683" i="1" a="1"/>
  <c r="AM684" i="1" a="1"/>
  <c r="AM685" i="1" a="1"/>
  <c r="AM686" i="1" a="1"/>
  <c r="AM687" i="1" a="1"/>
  <c r="AM688" i="1" a="1"/>
  <c r="AM689" i="1" a="1"/>
  <c r="AM690" i="1" a="1"/>
  <c r="AM691" i="1" a="1"/>
  <c r="AM692" i="1" a="1"/>
  <c r="AM693" i="1" a="1"/>
  <c r="AM694" i="1" a="1"/>
  <c r="AM695" i="1" a="1"/>
  <c r="AM696" i="1" a="1"/>
  <c r="AM697" i="1" a="1"/>
  <c r="AM698" i="1" a="1"/>
  <c r="AM699" i="1" a="1"/>
  <c r="AM700" i="1" a="1"/>
  <c r="AM701" i="1" a="1"/>
  <c r="AM702" i="1" a="1"/>
  <c r="AM703" i="1" a="1"/>
  <c r="AM704" i="1" a="1"/>
  <c r="AM705" i="1" a="1"/>
  <c r="AM706" i="1" a="1"/>
  <c r="AM707" i="1" a="1"/>
  <c r="AM708" i="1" a="1"/>
  <c r="AM709" i="1" a="1"/>
  <c r="AM710" i="1" a="1"/>
  <c r="AM711" i="1" a="1"/>
  <c r="AM712" i="1" a="1"/>
  <c r="AM713" i="1" a="1"/>
  <c r="AM714" i="1" a="1"/>
  <c r="AM715" i="1" a="1"/>
  <c r="AM716" i="1" a="1"/>
  <c r="AM717" i="1" a="1"/>
  <c r="AM718" i="1" a="1"/>
  <c r="AM719" i="1" a="1"/>
  <c r="AM720" i="1" a="1"/>
  <c r="AM721" i="1" a="1"/>
  <c r="AM722" i="1" a="1"/>
  <c r="AM723" i="1" a="1"/>
  <c r="AM724" i="1" a="1"/>
  <c r="AM725" i="1" a="1"/>
  <c r="AM726" i="1" a="1"/>
  <c r="AM727" i="1" a="1"/>
  <c r="AM728" i="1" a="1"/>
  <c r="AM729" i="1" a="1"/>
  <c r="AM730" i="1" a="1"/>
  <c r="AM731" i="1" a="1"/>
  <c r="AM732" i="1" a="1"/>
  <c r="AM733" i="1" a="1"/>
  <c r="AM734" i="1" a="1"/>
  <c r="AM735" i="1" a="1"/>
  <c r="AM736" i="1" a="1"/>
  <c r="AM737" i="1" a="1"/>
  <c r="AM738" i="1" a="1"/>
  <c r="AM739" i="1" a="1"/>
  <c r="AM740" i="1" a="1"/>
  <c r="AM741" i="1" a="1"/>
  <c r="AM742" i="1" a="1"/>
  <c r="AM743" i="1" a="1"/>
  <c r="AM744" i="1" a="1"/>
  <c r="AM745" i="1" a="1"/>
  <c r="AM746" i="1" a="1"/>
  <c r="AM747" i="1" a="1"/>
  <c r="AM748" i="1" a="1"/>
  <c r="AM749" i="1" a="1"/>
  <c r="AM750" i="1" a="1"/>
  <c r="AM751" i="1" a="1"/>
  <c r="AM752" i="1" a="1"/>
  <c r="AM753" i="1" a="1"/>
  <c r="AM754" i="1" a="1"/>
  <c r="AM755" i="1" a="1"/>
  <c r="AM756" i="1" a="1"/>
  <c r="AM757" i="1" a="1"/>
  <c r="AM758" i="1" a="1"/>
  <c r="AM759" i="1" a="1"/>
  <c r="AM760" i="1" a="1"/>
  <c r="AM761" i="1" a="1"/>
  <c r="AM762" i="1" a="1"/>
  <c r="AM763" i="1" a="1"/>
  <c r="AM764" i="1" a="1"/>
  <c r="AM765" i="1" a="1"/>
  <c r="AM766" i="1" a="1"/>
  <c r="AM767" i="1" a="1"/>
  <c r="AM768" i="1" a="1"/>
  <c r="AM769" i="1" a="1"/>
  <c r="AM770" i="1" a="1"/>
  <c r="AM771" i="1" a="1"/>
  <c r="AM772" i="1" a="1"/>
  <c r="AM773" i="1" a="1"/>
  <c r="AM774" i="1" a="1"/>
  <c r="AM775" i="1" a="1"/>
  <c r="AM776" i="1" a="1"/>
  <c r="AM777" i="1" a="1"/>
  <c r="AM778" i="1" a="1"/>
  <c r="AM779" i="1" a="1"/>
  <c r="AM780" i="1" a="1"/>
  <c r="AM781" i="1" a="1"/>
  <c r="AM782" i="1" a="1"/>
  <c r="AM783" i="1" a="1"/>
  <c r="AM784" i="1" a="1"/>
  <c r="AM785" i="1" a="1"/>
  <c r="AM786" i="1" a="1"/>
  <c r="AM787" i="1" a="1"/>
  <c r="AM788" i="1" a="1"/>
  <c r="AM789" i="1" a="1"/>
  <c r="AM790" i="1" a="1"/>
  <c r="AM791" i="1" a="1"/>
  <c r="AM792" i="1" a="1"/>
  <c r="AM793" i="1" a="1"/>
  <c r="AM794" i="1" a="1"/>
  <c r="AM795" i="1" a="1"/>
  <c r="AM796" i="1" a="1"/>
  <c r="AM797" i="1" a="1"/>
  <c r="AM798" i="1" a="1"/>
  <c r="AM799" i="1" a="1"/>
  <c r="AM800" i="1" a="1"/>
  <c r="AM801" i="1" a="1"/>
  <c r="AM802" i="1" a="1"/>
  <c r="AM803" i="1" a="1"/>
  <c r="AM804" i="1" a="1"/>
  <c r="AM805" i="1" a="1"/>
  <c r="AM806" i="1" a="1"/>
  <c r="AM807" i="1" a="1"/>
  <c r="AM808" i="1" a="1"/>
  <c r="AM809" i="1" a="1"/>
  <c r="AM810" i="1" a="1"/>
  <c r="AM811" i="1" a="1"/>
  <c r="AM812" i="1" a="1"/>
  <c r="AM813" i="1" a="1"/>
  <c r="AM814" i="1" a="1"/>
  <c r="AM815" i="1" a="1"/>
  <c r="AM816" i="1" a="1"/>
  <c r="AM817" i="1" a="1"/>
  <c r="AM818" i="1" a="1"/>
  <c r="AM819" i="1" a="1"/>
  <c r="AM820" i="1" a="1"/>
  <c r="AM821" i="1" a="1"/>
  <c r="AM822" i="1" a="1"/>
  <c r="AM823" i="1" a="1"/>
  <c r="AM824" i="1" a="1"/>
  <c r="AM825" i="1" a="1"/>
  <c r="AM826" i="1" a="1"/>
  <c r="AM827" i="1" a="1"/>
  <c r="AM828" i="1" a="1"/>
  <c r="AM829" i="1" a="1"/>
  <c r="AM830" i="1" a="1"/>
  <c r="AM831" i="1" a="1"/>
  <c r="AM832" i="1" a="1"/>
  <c r="AM833" i="1" a="1"/>
  <c r="AM834" i="1" a="1"/>
  <c r="AM835" i="1" a="1"/>
  <c r="AM836" i="1" a="1"/>
  <c r="AM837" i="1" a="1"/>
  <c r="AM838" i="1" a="1"/>
  <c r="AM839" i="1" a="1"/>
  <c r="AM840" i="1" a="1"/>
  <c r="AM841" i="1" a="1"/>
  <c r="AM842" i="1" a="1"/>
  <c r="AM843" i="1" a="1"/>
  <c r="AM844" i="1" a="1"/>
  <c r="AM845" i="1" a="1"/>
  <c r="AM846" i="1" a="1"/>
  <c r="AM847" i="1" a="1"/>
  <c r="AM848" i="1" a="1"/>
  <c r="AM849" i="1" a="1"/>
  <c r="AM850" i="1" a="1"/>
  <c r="AM851" i="1" a="1"/>
  <c r="AM852" i="1" a="1"/>
  <c r="AM853" i="1" a="1"/>
  <c r="AM854" i="1" a="1"/>
  <c r="AM855" i="1" a="1"/>
  <c r="AM856" i="1" a="1"/>
  <c r="AM857" i="1" a="1"/>
  <c r="AM858" i="1" a="1"/>
  <c r="AM859" i="1" a="1"/>
  <c r="AM860" i="1" a="1"/>
  <c r="AM861" i="1" a="1"/>
  <c r="AM862" i="1" a="1"/>
  <c r="AM863" i="1" a="1"/>
  <c r="AM864" i="1" a="1"/>
  <c r="AM865" i="1" a="1"/>
  <c r="AM866" i="1" a="1"/>
  <c r="AM867" i="1" a="1"/>
  <c r="AM868" i="1" a="1"/>
  <c r="AM869" i="1" a="1"/>
  <c r="AM870" i="1" a="1"/>
  <c r="AM871" i="1" a="1"/>
  <c r="AM872" i="1" a="1"/>
  <c r="AM873" i="1" a="1"/>
  <c r="AM874" i="1" a="1"/>
  <c r="AM875" i="1" a="1"/>
  <c r="AM876" i="1" a="1"/>
  <c r="AM877" i="1" a="1"/>
  <c r="AM878" i="1" a="1"/>
  <c r="AM879" i="1" a="1"/>
  <c r="AM880" i="1" a="1"/>
  <c r="AM881" i="1" a="1"/>
  <c r="AM882" i="1" a="1"/>
  <c r="AM883" i="1" a="1"/>
  <c r="AM884" i="1" a="1"/>
  <c r="AM885" i="1" a="1"/>
  <c r="AM886" i="1" a="1"/>
  <c r="AM887" i="1" a="1"/>
  <c r="AM888" i="1" a="1"/>
  <c r="AM889" i="1" a="1"/>
  <c r="AM890" i="1" a="1"/>
  <c r="AM891" i="1" a="1"/>
  <c r="AM892" i="1" a="1"/>
  <c r="AM893" i="1" a="1"/>
  <c r="AM894" i="1" a="1"/>
  <c r="AM895" i="1" a="1"/>
  <c r="AM896" i="1" a="1"/>
  <c r="AM897" i="1" a="1"/>
  <c r="AM898" i="1" a="1"/>
  <c r="AM899" i="1" a="1"/>
  <c r="AM900" i="1" a="1"/>
  <c r="AM901" i="1" a="1"/>
  <c r="AM902" i="1" a="1"/>
  <c r="AM903" i="1" a="1"/>
  <c r="AM904" i="1" a="1"/>
  <c r="AM905" i="1" a="1"/>
  <c r="AM906" i="1" a="1"/>
  <c r="AM907" i="1" a="1"/>
  <c r="AM908" i="1" a="1"/>
  <c r="AM909" i="1" a="1"/>
  <c r="AM910" i="1" a="1"/>
  <c r="AM911" i="1" a="1"/>
  <c r="AM912" i="1" a="1"/>
  <c r="AM913" i="1" a="1"/>
  <c r="AM914" i="1" a="1"/>
  <c r="AM915" i="1" a="1"/>
  <c r="AM916" i="1" a="1"/>
  <c r="AM917" i="1" a="1"/>
  <c r="AM918" i="1" a="1"/>
  <c r="AM919" i="1" a="1"/>
  <c r="AM920" i="1" a="1"/>
  <c r="AM921" i="1" a="1"/>
  <c r="AM922" i="1" a="1"/>
  <c r="AM923" i="1" a="1"/>
  <c r="AM924" i="1" a="1"/>
  <c r="AM925" i="1" a="1"/>
  <c r="AM926" i="1" a="1"/>
  <c r="AM927" i="1" a="1"/>
  <c r="AM928" i="1" a="1"/>
  <c r="AM929" i="1" a="1"/>
  <c r="AM930" i="1" a="1"/>
  <c r="AM931" i="1" a="1"/>
  <c r="AM932" i="1" a="1"/>
  <c r="AM933" i="1" a="1"/>
  <c r="AM934" i="1" a="1"/>
  <c r="AM935" i="1" a="1"/>
  <c r="AM936" i="1" a="1"/>
  <c r="AM937" i="1" a="1"/>
  <c r="AM938" i="1" a="1"/>
  <c r="AM939" i="1" a="1"/>
  <c r="AM940" i="1" a="1"/>
  <c r="AM941" i="1" a="1"/>
  <c r="AM942" i="1" a="1"/>
  <c r="AM943" i="1" a="1"/>
  <c r="AM944" i="1" a="1"/>
  <c r="AM945" i="1" a="1"/>
  <c r="AM946" i="1" a="1"/>
  <c r="AM947" i="1" a="1"/>
  <c r="AM948" i="1" a="1"/>
  <c r="AM949" i="1" a="1"/>
  <c r="AM950" i="1" a="1"/>
  <c r="AM951" i="1" a="1"/>
  <c r="AM952" i="1" a="1"/>
  <c r="AM953" i="1" a="1"/>
  <c r="AM954" i="1" a="1"/>
  <c r="AM955" i="1" a="1"/>
  <c r="AM956" i="1" a="1"/>
  <c r="AM957" i="1" a="1"/>
  <c r="AM958" i="1" a="1"/>
  <c r="AM959" i="1" a="1"/>
  <c r="AM960" i="1" a="1"/>
  <c r="AM961" i="1" a="1"/>
  <c r="AM962" i="1" a="1"/>
  <c r="AM963" i="1" a="1"/>
  <c r="AM964" i="1" a="1"/>
  <c r="AM965" i="1" a="1"/>
  <c r="AM966" i="1" a="1"/>
  <c r="AM967" i="1" a="1"/>
  <c r="AM968" i="1" a="1"/>
  <c r="AM969" i="1" a="1"/>
  <c r="AM970" i="1" a="1"/>
  <c r="AM971" i="1" a="1"/>
  <c r="AM972" i="1" a="1"/>
  <c r="AM973" i="1" a="1"/>
  <c r="AM974" i="1" a="1"/>
  <c r="AM975" i="1" a="1"/>
  <c r="AM976" i="1" a="1"/>
  <c r="AM977" i="1" a="1"/>
  <c r="AM978" i="1" a="1"/>
  <c r="AM979" i="1" a="1"/>
  <c r="AM980" i="1" a="1"/>
  <c r="AM981" i="1" a="1"/>
  <c r="AM982" i="1" a="1"/>
  <c r="AM983" i="1" a="1"/>
  <c r="AM984" i="1" a="1"/>
  <c r="AM985" i="1" a="1"/>
  <c r="AM986" i="1" a="1"/>
  <c r="AM987" i="1" a="1"/>
  <c r="AM988" i="1" a="1"/>
  <c r="AM989" i="1" a="1"/>
  <c r="AM990" i="1" a="1"/>
  <c r="AM991" i="1" a="1"/>
  <c r="AM992" i="1" a="1"/>
  <c r="AM993" i="1" a="1"/>
  <c r="AM994" i="1" a="1"/>
  <c r="AM995" i="1" a="1"/>
  <c r="AM996" i="1" a="1"/>
  <c r="AM997" i="1" a="1"/>
  <c r="AM998" i="1" a="1"/>
  <c r="AM999" i="1" a="1"/>
  <c r="AM1000" i="1" a="1"/>
  <c r="AM1001" i="1" a="1"/>
  <c r="AM1002" i="1" a="1"/>
  <c r="AM1003" i="1" a="1"/>
  <c r="AM1004" i="1" a="1"/>
  <c r="AM1005" i="1" a="1"/>
  <c r="AM1006" i="1" a="1"/>
  <c r="AM1007" i="1" a="1"/>
  <c r="AM1008" i="1" a="1"/>
  <c r="AM1009" i="1" a="1"/>
  <c r="AM1010" i="1" a="1"/>
  <c r="AM1011" i="1" a="1"/>
  <c r="AM1012" i="1" a="1"/>
  <c r="AM1013" i="1" a="1"/>
  <c r="AM1014" i="1" a="1"/>
  <c r="AM1015" i="1" a="1"/>
  <c r="AM1016" i="1" a="1"/>
  <c r="AM1017" i="1" a="1"/>
  <c r="AM1018" i="1" a="1"/>
  <c r="AM1019" i="1" a="1"/>
  <c r="AM1020" i="1" a="1"/>
  <c r="AM1021" i="1" a="1"/>
  <c r="AM1022" i="1" a="1"/>
  <c r="AM1023" i="1" a="1"/>
  <c r="AM1024" i="1" a="1"/>
  <c r="AM1025" i="1" a="1"/>
  <c r="AM1026" i="1" a="1"/>
  <c r="AM1027" i="1" a="1"/>
  <c r="AM1028" i="1" a="1"/>
  <c r="AM1029" i="1" a="1"/>
  <c r="AM1030" i="1" a="1"/>
  <c r="AM1031" i="1" a="1"/>
  <c r="AM1032" i="1" a="1"/>
  <c r="AM1033" i="1" a="1"/>
  <c r="AM1034" i="1" a="1"/>
  <c r="AM1035" i="1" a="1"/>
  <c r="AM1036" i="1" a="1"/>
  <c r="AM1037" i="1" a="1"/>
  <c r="AM1038" i="1" a="1"/>
  <c r="AM1039" i="1" a="1"/>
  <c r="AM1040" i="1" a="1"/>
  <c r="AM1041" i="1" a="1"/>
  <c r="AM1042" i="1" a="1"/>
  <c r="AM1043" i="1" a="1"/>
  <c r="AM1044" i="1" a="1"/>
  <c r="AM1045" i="1" a="1"/>
  <c r="AM1046" i="1" a="1"/>
  <c r="AM1047" i="1" a="1"/>
  <c r="AM1048" i="1" a="1"/>
  <c r="AM1049" i="1" a="1"/>
  <c r="AM1050" i="1" a="1"/>
  <c r="AM1051" i="1" a="1"/>
  <c r="AM1052" i="1" a="1"/>
  <c r="AM1053" i="1" a="1"/>
  <c r="AM1054" i="1" a="1"/>
  <c r="AM1055" i="1" a="1"/>
  <c r="AM1056" i="1" a="1"/>
  <c r="AM1057" i="1" a="1"/>
  <c r="AM1058" i="1" a="1"/>
  <c r="AM1059" i="1" a="1"/>
  <c r="AM1060" i="1" a="1"/>
  <c r="AM1061" i="1" a="1"/>
  <c r="AM1062" i="1" a="1"/>
  <c r="AM1063" i="1" a="1"/>
  <c r="AM1064" i="1" a="1"/>
  <c r="AM1065" i="1" a="1"/>
  <c r="AM1066" i="1" a="1"/>
  <c r="AM1067" i="1" a="1"/>
  <c r="AM1068" i="1" a="1"/>
  <c r="AM1069" i="1" a="1"/>
  <c r="AM1070" i="1" a="1"/>
  <c r="AM1071" i="1" a="1"/>
  <c r="AM1072" i="1" a="1"/>
  <c r="AM1073" i="1" a="1"/>
  <c r="AM1074" i="1" a="1"/>
  <c r="AM1075" i="1" a="1"/>
  <c r="AM1076" i="1" a="1"/>
  <c r="AM1077" i="1" a="1"/>
  <c r="AM1078" i="1" a="1"/>
  <c r="AM1079" i="1" a="1"/>
  <c r="AM1080" i="1" a="1"/>
  <c r="AM1081" i="1" a="1"/>
  <c r="AM1082" i="1" a="1"/>
  <c r="AM1083" i="1" a="1"/>
  <c r="AM1084" i="1" a="1"/>
  <c r="AM1085" i="1" a="1"/>
  <c r="AM1086" i="1" a="1"/>
  <c r="AM1087" i="1" a="1"/>
  <c r="AM1088" i="1" a="1"/>
  <c r="AM1089" i="1" a="1"/>
  <c r="AM1090" i="1" a="1"/>
  <c r="AM1091" i="1" a="1"/>
  <c r="AM1092" i="1" a="1"/>
  <c r="AM1093" i="1" a="1"/>
  <c r="AM1094" i="1" a="1"/>
  <c r="AM1095" i="1" a="1"/>
  <c r="AM1096" i="1" a="1"/>
  <c r="AM1097" i="1" a="1"/>
  <c r="AM1098" i="1" a="1"/>
  <c r="AM1099" i="1" a="1"/>
  <c r="AM1100" i="1" a="1"/>
  <c r="AM1101" i="1" a="1"/>
  <c r="AM1102" i="1" a="1"/>
  <c r="AM1103" i="1" a="1"/>
  <c r="AM1104" i="1" a="1"/>
  <c r="AM1105" i="1" a="1"/>
  <c r="AM1106" i="1" a="1"/>
  <c r="AM1107" i="1" a="1"/>
  <c r="AM1108" i="1" a="1"/>
  <c r="AM1109" i="1" a="1"/>
  <c r="AM1110" i="1" a="1"/>
  <c r="AM1111" i="1" a="1"/>
  <c r="AM1112" i="1" a="1"/>
  <c r="AM1113" i="1" a="1"/>
  <c r="AM1114" i="1" a="1"/>
  <c r="AM1115" i="1" a="1"/>
  <c r="AM1116" i="1" a="1"/>
  <c r="AM1117" i="1" a="1"/>
  <c r="AM1118" i="1" a="1"/>
  <c r="AM1119" i="1" a="1"/>
  <c r="AM1120" i="1" a="1"/>
  <c r="AM1121" i="1" a="1"/>
  <c r="AM1122" i="1" a="1"/>
  <c r="AM1123" i="1" a="1"/>
  <c r="AM1124" i="1" a="1"/>
  <c r="AM1125" i="1" a="1"/>
  <c r="AM1126" i="1" a="1"/>
  <c r="AM1127" i="1" a="1"/>
  <c r="AM1128" i="1" a="1"/>
  <c r="AM1129" i="1" a="1"/>
  <c r="AM1130" i="1" a="1"/>
  <c r="AM1131" i="1" a="1"/>
  <c r="AM1132" i="1" a="1"/>
  <c r="AM1133" i="1" a="1"/>
  <c r="AM1134" i="1" a="1"/>
  <c r="AM1135" i="1" a="1"/>
  <c r="AM1136" i="1" a="1"/>
  <c r="AM1137" i="1" a="1"/>
  <c r="AM1138" i="1" a="1"/>
  <c r="AM1139" i="1" a="1"/>
  <c r="AM1140" i="1" a="1"/>
  <c r="AM1141" i="1" a="1"/>
  <c r="AM1142" i="1" a="1"/>
  <c r="AM1143" i="1" a="1"/>
  <c r="AM1144" i="1" a="1"/>
  <c r="AM1145" i="1" a="1"/>
  <c r="AM1146" i="1" a="1"/>
  <c r="AM1147" i="1" a="1"/>
  <c r="AM1148" i="1" a="1"/>
  <c r="AM1149" i="1" a="1"/>
  <c r="AM1150" i="1" a="1"/>
  <c r="AM1151" i="1" a="1"/>
  <c r="AM1152" i="1" a="1"/>
  <c r="AM1153" i="1" a="1"/>
  <c r="AM1154" i="1" a="1"/>
  <c r="AM1155" i="1" a="1"/>
  <c r="AM1156" i="1" a="1"/>
  <c r="AM1157" i="1" a="1"/>
  <c r="AM1158" i="1" a="1"/>
  <c r="AM1159" i="1" a="1"/>
  <c r="AM1160" i="1" a="1"/>
  <c r="AM1161" i="1" a="1"/>
  <c r="AM1162" i="1" a="1"/>
  <c r="AM1163" i="1" a="1"/>
  <c r="AM1164" i="1" a="1"/>
  <c r="AM1165" i="1" a="1"/>
  <c r="AM1166" i="1" a="1"/>
  <c r="AM1167" i="1" a="1"/>
  <c r="AM1168" i="1" a="1"/>
  <c r="AM1169" i="1" a="1"/>
  <c r="AM1170" i="1" a="1"/>
  <c r="AM1171" i="1" a="1"/>
  <c r="AM1172" i="1" a="1"/>
  <c r="AM1173" i="1" a="1"/>
  <c r="AM1174" i="1" a="1"/>
  <c r="AM1175" i="1" a="1"/>
  <c r="AM1176" i="1" a="1"/>
  <c r="AM1177" i="1" a="1"/>
  <c r="AM1178" i="1" a="1"/>
  <c r="AM1179" i="1" a="1"/>
  <c r="AM1180" i="1" a="1"/>
  <c r="AM1181" i="1" a="1"/>
  <c r="AM1182" i="1" a="1"/>
  <c r="AM1183" i="1" a="1"/>
  <c r="AM1184" i="1" a="1"/>
  <c r="AM1185" i="1" a="1"/>
  <c r="AM1186" i="1" a="1"/>
  <c r="AM1187" i="1" a="1"/>
  <c r="AM1188" i="1" a="1"/>
  <c r="AM1189" i="1" a="1"/>
  <c r="AM1190" i="1" a="1"/>
  <c r="AM1191" i="1" a="1"/>
  <c r="AM1192" i="1" a="1"/>
  <c r="AM1193" i="1" a="1"/>
  <c r="AM1194" i="1" a="1"/>
  <c r="AM1195" i="1" a="1"/>
  <c r="AM1196" i="1" a="1"/>
  <c r="AM1197" i="1" a="1"/>
  <c r="AM1198" i="1" a="1"/>
  <c r="AM1199" i="1" a="1"/>
  <c r="AM1200" i="1" a="1"/>
  <c r="AM1201" i="1" a="1"/>
  <c r="AM1202" i="1" a="1"/>
  <c r="AM1203" i="1" a="1"/>
  <c r="AM1204" i="1" a="1"/>
  <c r="AM1205" i="1" a="1"/>
  <c r="AM1206" i="1" a="1"/>
  <c r="AM1207" i="1" a="1"/>
  <c r="AM1208" i="1" a="1"/>
  <c r="AM1209" i="1" a="1"/>
  <c r="AM1210" i="1" a="1"/>
  <c r="AM1211" i="1" a="1"/>
  <c r="AM1212" i="1" a="1"/>
  <c r="AM1213" i="1" a="1"/>
  <c r="AM1214" i="1" a="1"/>
  <c r="AM1215" i="1" a="1"/>
  <c r="AM1216" i="1" a="1"/>
  <c r="AM1217" i="1" a="1"/>
  <c r="AM1218" i="1" a="1"/>
  <c r="AM1219" i="1" a="1"/>
  <c r="AM1220" i="1" a="1"/>
  <c r="AM1221" i="1" a="1"/>
  <c r="AM1222" i="1" a="1"/>
  <c r="AM1223" i="1" a="1"/>
  <c r="AM1224" i="1" a="1"/>
  <c r="AM1225" i="1" a="1"/>
  <c r="AM1226" i="1" a="1"/>
  <c r="AM1227" i="1" a="1"/>
  <c r="AM1228" i="1" a="1"/>
  <c r="AM1229" i="1" a="1"/>
  <c r="AM1230" i="1" a="1"/>
  <c r="AM1231" i="1" a="1"/>
  <c r="AM1232" i="1" a="1"/>
  <c r="AM1233" i="1" a="1"/>
  <c r="AM1234" i="1" a="1"/>
  <c r="AM1235" i="1" a="1"/>
  <c r="AM1236" i="1" a="1"/>
  <c r="AM1237" i="1" a="1"/>
  <c r="AM1238" i="1" a="1"/>
  <c r="AM1239" i="1" a="1"/>
  <c r="AM1240" i="1" a="1"/>
  <c r="AM1241" i="1" a="1"/>
  <c r="AM1242" i="1" a="1"/>
  <c r="AM1243" i="1" a="1"/>
  <c r="AM1244" i="1" a="1"/>
  <c r="AM1245" i="1" a="1"/>
  <c r="AM1246" i="1" a="1"/>
  <c r="AM1247" i="1" a="1"/>
  <c r="AM1248" i="1" a="1"/>
  <c r="AM1249" i="1" a="1"/>
  <c r="AM1250" i="1" a="1"/>
  <c r="AM1251" i="1" a="1"/>
  <c r="AM1252" i="1" a="1"/>
  <c r="AM1253" i="1" a="1"/>
  <c r="AM1254" i="1" a="1"/>
  <c r="AM1255" i="1" a="1"/>
  <c r="AM1256" i="1" a="1"/>
  <c r="AM1257" i="1" a="1"/>
  <c r="AM1258" i="1" a="1"/>
  <c r="AM1259" i="1" a="1"/>
  <c r="AM1260" i="1" a="1"/>
  <c r="AM1261" i="1" a="1"/>
  <c r="AM1262" i="1" a="1"/>
  <c r="AM1263" i="1" a="1"/>
  <c r="AM1264" i="1" a="1"/>
  <c r="AM1265" i="1" a="1"/>
  <c r="AM1266" i="1" a="1"/>
  <c r="AM1267" i="1" a="1"/>
  <c r="AM1268" i="1" a="1"/>
  <c r="AM1269" i="1" a="1"/>
  <c r="AM1270" i="1" a="1"/>
  <c r="AM1271" i="1" a="1"/>
  <c r="AM1272" i="1" a="1"/>
  <c r="AM1273" i="1" a="1"/>
  <c r="AM1274" i="1" a="1"/>
  <c r="AM1275" i="1" a="1"/>
  <c r="AM1276" i="1" a="1"/>
  <c r="AM1277" i="1" a="1"/>
  <c r="AM1278" i="1" a="1"/>
  <c r="AM1279" i="1" a="1"/>
  <c r="AM1280" i="1" a="1"/>
  <c r="AM1281" i="1" a="1"/>
  <c r="AM1282" i="1" a="1"/>
  <c r="AM1283" i="1" a="1"/>
  <c r="AM1284" i="1" a="1"/>
  <c r="AM1285" i="1" a="1"/>
  <c r="AM1286" i="1" a="1"/>
  <c r="AM1287" i="1" a="1"/>
  <c r="AM1288" i="1" a="1"/>
  <c r="AM1289" i="1" a="1"/>
  <c r="AM1290" i="1" a="1"/>
  <c r="AM1291" i="1" a="1"/>
  <c r="AM1292" i="1" a="1"/>
  <c r="AM1293" i="1" a="1"/>
  <c r="AM1294" i="1" a="1"/>
  <c r="AM1295" i="1" a="1"/>
  <c r="AM1296" i="1" a="1"/>
  <c r="AM1297" i="1" a="1"/>
  <c r="AM1298" i="1" a="1"/>
  <c r="AM1299" i="1" a="1"/>
  <c r="AM1300" i="1" a="1"/>
  <c r="AM1301" i="1" a="1"/>
  <c r="AM1302" i="1" a="1"/>
  <c r="AM1303" i="1" a="1"/>
  <c r="AM1304" i="1" a="1"/>
  <c r="AM1305" i="1" a="1"/>
  <c r="AM1306" i="1" a="1"/>
  <c r="AM1307" i="1" a="1"/>
  <c r="AM1308" i="1" a="1"/>
  <c r="AM1309" i="1" a="1"/>
  <c r="AM1310" i="1" a="1"/>
  <c r="AM1311" i="1" a="1"/>
  <c r="AM1312" i="1" a="1"/>
  <c r="AM1313" i="1" a="1"/>
  <c r="AM1314" i="1" a="1"/>
  <c r="AM1315" i="1" a="1"/>
  <c r="AM1316" i="1" a="1"/>
  <c r="AM1317" i="1" a="1"/>
  <c r="AM1318" i="1" a="1"/>
  <c r="AM1319" i="1" a="1"/>
  <c r="AM1320" i="1" a="1"/>
  <c r="AM1321" i="1" a="1"/>
  <c r="AM1322" i="1" a="1"/>
  <c r="AM1323" i="1" a="1"/>
  <c r="AM1324" i="1" a="1"/>
  <c r="AM1325" i="1" a="1"/>
  <c r="AM1326" i="1" a="1"/>
  <c r="AM1327" i="1" a="1"/>
  <c r="AM1328" i="1" a="1"/>
  <c r="AM1329" i="1" a="1"/>
  <c r="AM1330" i="1" a="1"/>
  <c r="AM1331" i="1" a="1"/>
  <c r="AM1332" i="1" a="1"/>
  <c r="AM1333" i="1" a="1"/>
  <c r="AM1334" i="1" a="1"/>
  <c r="AM1335" i="1" a="1"/>
  <c r="AM1336" i="1" a="1"/>
  <c r="AM1337" i="1" a="1"/>
  <c r="AM1338" i="1" a="1"/>
  <c r="AM1339" i="1" a="1"/>
  <c r="AM1340" i="1" a="1"/>
  <c r="AM1341" i="1" a="1"/>
  <c r="AM1342" i="1" a="1"/>
  <c r="AM1343" i="1" a="1"/>
  <c r="AM1344" i="1" a="1"/>
  <c r="AM1345" i="1" a="1"/>
  <c r="AM1346" i="1" a="1"/>
  <c r="AM1347" i="1" a="1"/>
  <c r="AM1348" i="1" a="1"/>
  <c r="AM1349" i="1" a="1"/>
  <c r="AM1350" i="1" a="1"/>
  <c r="AM1351" i="1" a="1"/>
  <c r="AM1352" i="1" a="1"/>
  <c r="AM1353" i="1" a="1"/>
  <c r="AM1354" i="1" a="1"/>
  <c r="AM1355" i="1" a="1"/>
  <c r="AM1356" i="1" a="1"/>
  <c r="AM1357" i="1" a="1"/>
  <c r="AM1358" i="1" a="1"/>
  <c r="AM1359" i="1" a="1"/>
  <c r="AM1360" i="1" a="1"/>
  <c r="AM1361" i="1" a="1"/>
  <c r="AM1362" i="1" a="1"/>
  <c r="AM1363" i="1" a="1"/>
  <c r="AM1364" i="1" a="1"/>
  <c r="AM1365" i="1" a="1"/>
  <c r="AM1366" i="1" a="1"/>
  <c r="AM1367" i="1" a="1"/>
  <c r="AM1368" i="1" a="1"/>
  <c r="AM1369" i="1" a="1"/>
  <c r="AM1370" i="1" a="1"/>
  <c r="AM1371" i="1" a="1"/>
  <c r="AM1372" i="1" a="1"/>
  <c r="AM1373" i="1" a="1"/>
  <c r="AM1374" i="1" a="1"/>
  <c r="AM1375" i="1" a="1"/>
  <c r="AM1376" i="1" a="1"/>
  <c r="AM1377" i="1" a="1"/>
  <c r="AM1378" i="1" a="1"/>
  <c r="AM1379" i="1" a="1"/>
  <c r="AM1380" i="1" a="1"/>
  <c r="AM1381" i="1" a="1"/>
  <c r="AM1382" i="1" a="1"/>
  <c r="AM1383" i="1" a="1"/>
  <c r="AM1384" i="1" a="1"/>
  <c r="AM1385" i="1" a="1"/>
  <c r="AM1386" i="1" a="1"/>
  <c r="AM1387" i="1" a="1"/>
  <c r="AM1388" i="1" a="1"/>
  <c r="AM1389" i="1" a="1"/>
  <c r="AM1390" i="1" a="1"/>
  <c r="AM1391" i="1" a="1"/>
  <c r="AM1392" i="1" a="1"/>
  <c r="AM1393" i="1" a="1"/>
  <c r="AM1394" i="1" a="1"/>
  <c r="AM1395" i="1" a="1"/>
  <c r="AM1396" i="1" a="1"/>
  <c r="AM1397" i="1" a="1"/>
  <c r="AM1398" i="1" a="1"/>
  <c r="AM1399" i="1" a="1"/>
  <c r="AM1400" i="1" a="1"/>
  <c r="AM1401" i="1" a="1"/>
  <c r="AM1402" i="1" a="1"/>
  <c r="AM1403" i="1" a="1"/>
  <c r="AM1404" i="1" a="1"/>
  <c r="AM1405" i="1" a="1"/>
  <c r="AM1406" i="1" a="1"/>
  <c r="AM1407" i="1" a="1"/>
  <c r="AM1408" i="1" a="1"/>
  <c r="AM1409" i="1" a="1"/>
  <c r="AM1410" i="1" a="1"/>
  <c r="AM1411" i="1" a="1"/>
  <c r="AM1412" i="1" a="1"/>
  <c r="AM1413" i="1" a="1"/>
  <c r="AM1414" i="1" a="1"/>
  <c r="AM1415" i="1" a="1"/>
  <c r="AM1416" i="1" a="1"/>
  <c r="AM1417" i="1" a="1"/>
  <c r="AM1418" i="1" a="1"/>
  <c r="AM1419" i="1" a="1"/>
  <c r="AM1420" i="1" a="1"/>
  <c r="AM1421" i="1" a="1"/>
  <c r="AM1422" i="1" a="1"/>
  <c r="AM1423" i="1" a="1"/>
  <c r="AM1424" i="1" a="1"/>
  <c r="AM1425" i="1" a="1"/>
  <c r="AM1426" i="1" a="1"/>
  <c r="AM1427" i="1" a="1"/>
  <c r="AM1428" i="1" a="1"/>
  <c r="AM1429" i="1" a="1"/>
  <c r="AM1430" i="1" a="1"/>
  <c r="AM1431" i="1" a="1"/>
  <c r="AM1432" i="1" a="1"/>
  <c r="AM1433" i="1" a="1"/>
  <c r="AM1434" i="1" a="1"/>
  <c r="AM1435" i="1" a="1"/>
  <c r="AM1436" i="1" a="1"/>
  <c r="AM1437" i="1" a="1"/>
  <c r="AM1438" i="1" a="1"/>
  <c r="AM1439" i="1" a="1"/>
  <c r="AM1440" i="1" a="1"/>
  <c r="AM1441" i="1" a="1"/>
  <c r="AM1442" i="1" a="1"/>
  <c r="AM1443" i="1" a="1"/>
  <c r="AM1444" i="1" a="1"/>
  <c r="AM1445" i="1" a="1"/>
  <c r="AM1446" i="1" a="1"/>
  <c r="AM1447" i="1" a="1"/>
  <c r="AM1448" i="1" a="1"/>
  <c r="AM1449" i="1" a="1"/>
  <c r="AM1450" i="1" a="1"/>
  <c r="AM1451" i="1" a="1"/>
  <c r="AM1452" i="1" a="1"/>
  <c r="AM1453" i="1" a="1"/>
  <c r="AM1454" i="1" a="1"/>
  <c r="AM1455" i="1" a="1"/>
  <c r="AM1456" i="1" a="1"/>
  <c r="AM1457" i="1" a="1"/>
  <c r="AM1458" i="1" a="1"/>
  <c r="AM1459" i="1" a="1"/>
  <c r="AM1460" i="1" a="1"/>
  <c r="AM1461" i="1" a="1"/>
  <c r="AM1462" i="1" a="1"/>
  <c r="AM1463" i="1" a="1"/>
  <c r="AM1464" i="1" a="1"/>
  <c r="AM1465" i="1" a="1"/>
  <c r="AM1466" i="1" a="1"/>
  <c r="AM1467" i="1" a="1"/>
  <c r="AM1468" i="1" a="1"/>
  <c r="AM1469" i="1" a="1"/>
  <c r="AM1470" i="1" a="1"/>
  <c r="AM1471" i="1" a="1"/>
  <c r="AL2" i="1" a="1"/>
  <c r="AL3" i="1" a="1"/>
  <c r="AL4" i="1" a="1"/>
  <c r="AL5" i="1" a="1"/>
  <c r="AL6" i="1" a="1"/>
  <c r="AL7" i="1" a="1"/>
  <c r="AL8" i="1" a="1"/>
  <c r="AL9" i="1" a="1"/>
  <c r="AL10" i="1" a="1"/>
  <c r="AL11" i="1" a="1"/>
  <c r="AL12" i="1" a="1"/>
  <c r="AL13" i="1" a="1"/>
  <c r="AL14" i="1" a="1"/>
  <c r="AL15" i="1" a="1"/>
  <c r="AL16" i="1" a="1"/>
  <c r="AL17" i="1" a="1"/>
  <c r="AL18" i="1" a="1"/>
  <c r="AL19" i="1" a="1"/>
  <c r="AL20" i="1" a="1"/>
  <c r="AL21" i="1" a="1"/>
  <c r="AL22" i="1" a="1"/>
  <c r="AL23" i="1" a="1"/>
  <c r="AL24" i="1" a="1"/>
  <c r="AL25" i="1" a="1"/>
  <c r="AL26" i="1" a="1"/>
  <c r="AL27" i="1" a="1"/>
  <c r="AL28" i="1" a="1"/>
  <c r="AL29" i="1" a="1"/>
  <c r="AL30" i="1" a="1"/>
  <c r="AL31" i="1" a="1"/>
  <c r="AL32" i="1" a="1"/>
  <c r="AL33" i="1" a="1"/>
  <c r="AL34" i="1" a="1"/>
  <c r="AL35" i="1" a="1"/>
  <c r="AL36" i="1" a="1"/>
  <c r="AL37" i="1" a="1"/>
  <c r="AL38" i="1" a="1"/>
  <c r="AL39" i="1" a="1"/>
  <c r="AL40" i="1" a="1"/>
  <c r="AL41" i="1" a="1"/>
  <c r="AL42" i="1" a="1"/>
  <c r="AL43" i="1" a="1"/>
  <c r="AL44" i="1" a="1"/>
  <c r="AL45" i="1" a="1"/>
  <c r="AL46" i="1" a="1"/>
  <c r="AL47" i="1" a="1"/>
  <c r="AL48" i="1" a="1"/>
  <c r="AL49" i="1" a="1"/>
  <c r="AL50" i="1" a="1"/>
  <c r="AL51" i="1" a="1"/>
  <c r="AL52" i="1" a="1"/>
  <c r="AL53" i="1" a="1"/>
  <c r="AL54" i="1" a="1"/>
  <c r="AL55" i="1" a="1"/>
  <c r="AL56" i="1" a="1"/>
  <c r="AL57" i="1" a="1"/>
  <c r="AL58" i="1" a="1"/>
  <c r="AL59" i="1" a="1"/>
  <c r="AL60" i="1" a="1"/>
  <c r="AL61" i="1" a="1"/>
  <c r="AL62" i="1" a="1"/>
  <c r="AL63" i="1" a="1"/>
  <c r="AL64" i="1" a="1"/>
  <c r="AL65" i="1" a="1"/>
  <c r="AL66" i="1" a="1"/>
  <c r="AL67" i="1" a="1"/>
  <c r="AL68" i="1" a="1"/>
  <c r="AL69" i="1" a="1"/>
  <c r="AL70" i="1" a="1"/>
  <c r="AL71" i="1" a="1"/>
  <c r="AL72" i="1" a="1"/>
  <c r="AL73" i="1" a="1"/>
  <c r="AL74" i="1" a="1"/>
  <c r="AL75" i="1" a="1"/>
  <c r="AL76" i="1" a="1"/>
  <c r="AL77" i="1" a="1"/>
  <c r="AL78" i="1" a="1"/>
  <c r="AL79" i="1" a="1"/>
  <c r="AL80" i="1" a="1"/>
  <c r="AL81" i="1" a="1"/>
  <c r="AL82" i="1" a="1"/>
  <c r="AL83" i="1" a="1"/>
  <c r="AL84" i="1" a="1"/>
  <c r="AL85" i="1" a="1"/>
  <c r="AL86" i="1" a="1"/>
  <c r="AL87" i="1" a="1"/>
  <c r="AL88" i="1" a="1"/>
  <c r="AL89" i="1" a="1"/>
  <c r="AL90" i="1" a="1"/>
  <c r="AL91" i="1" a="1"/>
  <c r="AL92" i="1" a="1"/>
  <c r="AL93" i="1" a="1"/>
  <c r="AL94" i="1" a="1"/>
  <c r="AL95" i="1" a="1"/>
  <c r="AL96" i="1" a="1"/>
  <c r="AL97" i="1" a="1"/>
  <c r="AL98" i="1" a="1"/>
  <c r="AL99" i="1" a="1"/>
  <c r="AL100" i="1" a="1"/>
  <c r="AL101" i="1" a="1"/>
  <c r="AL102" i="1" a="1"/>
  <c r="AL103" i="1" a="1"/>
  <c r="AL104" i="1" a="1"/>
  <c r="AL105" i="1" a="1"/>
  <c r="AL106" i="1" a="1"/>
  <c r="AL107" i="1" a="1"/>
  <c r="AL108" i="1" a="1"/>
  <c r="AL109" i="1" a="1"/>
  <c r="AL110" i="1" a="1"/>
  <c r="AL111" i="1" a="1"/>
  <c r="AL112" i="1" a="1"/>
  <c r="AL113" i="1" a="1"/>
  <c r="AL114" i="1" a="1"/>
  <c r="AL115" i="1" a="1"/>
  <c r="AL116" i="1" a="1"/>
  <c r="AL117" i="1" a="1"/>
  <c r="AL118" i="1" a="1"/>
  <c r="AL119" i="1" a="1"/>
  <c r="AL120" i="1" a="1"/>
  <c r="AL121" i="1" a="1"/>
  <c r="AL122" i="1" a="1"/>
  <c r="AL123" i="1" a="1"/>
  <c r="AL124" i="1" a="1"/>
  <c r="AL125" i="1" a="1"/>
  <c r="AL126" i="1" a="1"/>
  <c r="AL127" i="1" a="1"/>
  <c r="AL128" i="1" a="1"/>
  <c r="AL129" i="1" a="1"/>
  <c r="AL130" i="1" a="1"/>
  <c r="AL131" i="1" a="1"/>
  <c r="AL132" i="1" a="1"/>
  <c r="AL133" i="1" a="1"/>
  <c r="AL134" i="1" a="1"/>
  <c r="AL135" i="1" a="1"/>
  <c r="AL136" i="1" a="1"/>
  <c r="AL137" i="1" a="1"/>
  <c r="AL138" i="1" a="1"/>
  <c r="AL139" i="1" a="1"/>
  <c r="AL140" i="1" a="1"/>
  <c r="AL141" i="1" a="1"/>
  <c r="AL142" i="1" a="1"/>
  <c r="AL143" i="1" a="1"/>
  <c r="AL144" i="1" a="1"/>
  <c r="AL145" i="1" a="1"/>
  <c r="AL146" i="1" a="1"/>
  <c r="AL147" i="1" a="1"/>
  <c r="AL148" i="1" a="1"/>
  <c r="AL149" i="1" a="1"/>
  <c r="AL150" i="1" a="1"/>
  <c r="AL151" i="1" a="1"/>
  <c r="AL152" i="1" a="1"/>
  <c r="AL153" i="1" a="1"/>
  <c r="AL154" i="1" a="1"/>
  <c r="AL155" i="1" a="1"/>
  <c r="AL156" i="1" a="1"/>
  <c r="AL157" i="1" a="1"/>
  <c r="AL158" i="1" a="1"/>
  <c r="AL159" i="1" a="1"/>
  <c r="AL160" i="1" a="1"/>
  <c r="AL161" i="1" a="1"/>
  <c r="AL162" i="1" a="1"/>
  <c r="AL163" i="1" a="1"/>
  <c r="AL164" i="1" a="1"/>
  <c r="AL165" i="1" a="1"/>
  <c r="AL166" i="1" a="1"/>
  <c r="AL167" i="1" a="1"/>
  <c r="AL168" i="1" a="1"/>
  <c r="AL169" i="1" a="1"/>
  <c r="AL170" i="1" a="1"/>
  <c r="AL171" i="1" a="1"/>
  <c r="AL172" i="1" a="1"/>
  <c r="AL173" i="1" a="1"/>
  <c r="AL174" i="1" a="1"/>
  <c r="AL175" i="1" a="1"/>
  <c r="AL176" i="1" a="1"/>
  <c r="AL177" i="1" a="1"/>
  <c r="AL178" i="1" a="1"/>
  <c r="AL179" i="1" a="1"/>
  <c r="AL180" i="1" a="1"/>
  <c r="AL181" i="1" a="1"/>
  <c r="AL182" i="1" a="1"/>
  <c r="AL183" i="1" a="1"/>
  <c r="AL184" i="1" a="1"/>
  <c r="AL185" i="1" a="1"/>
  <c r="AL186" i="1" a="1"/>
  <c r="AL187" i="1" a="1"/>
  <c r="AL188" i="1" a="1"/>
  <c r="AL189" i="1" a="1"/>
  <c r="AL190" i="1" a="1"/>
  <c r="AL191" i="1" a="1"/>
  <c r="AL192" i="1" a="1"/>
  <c r="AL193" i="1" a="1"/>
  <c r="AL194" i="1" a="1"/>
  <c r="AL195" i="1" a="1"/>
  <c r="AL196" i="1" a="1"/>
  <c r="AL197" i="1" a="1"/>
  <c r="AL198" i="1" a="1"/>
  <c r="AL199" i="1" a="1"/>
  <c r="AL200" i="1" a="1"/>
  <c r="AL201" i="1" a="1"/>
  <c r="AL202" i="1" a="1"/>
  <c r="AL203" i="1" a="1"/>
  <c r="AL204" i="1" a="1"/>
  <c r="AL205" i="1" a="1"/>
  <c r="AL206" i="1" a="1"/>
  <c r="AL207" i="1" a="1"/>
  <c r="AL208" i="1" a="1"/>
  <c r="AL209" i="1" a="1"/>
  <c r="AL210" i="1" a="1"/>
  <c r="AL211" i="1" a="1"/>
  <c r="AL212" i="1" a="1"/>
  <c r="AL213" i="1" a="1"/>
  <c r="AL214" i="1" a="1"/>
  <c r="AL215" i="1" a="1"/>
  <c r="AL216" i="1" a="1"/>
  <c r="AL217" i="1" a="1"/>
  <c r="AL218" i="1" a="1"/>
  <c r="AL219" i="1" a="1"/>
  <c r="AL220" i="1" a="1"/>
  <c r="AL221" i="1" a="1"/>
  <c r="AL222" i="1" a="1"/>
  <c r="AL223" i="1" a="1"/>
  <c r="AL224" i="1" a="1"/>
  <c r="AL225" i="1" a="1"/>
  <c r="AL226" i="1" a="1"/>
  <c r="AL227" i="1" a="1"/>
  <c r="AL228" i="1" a="1"/>
  <c r="AL229" i="1" a="1"/>
  <c r="AL230" i="1" a="1"/>
  <c r="AL231" i="1" a="1"/>
  <c r="AL232" i="1" a="1"/>
  <c r="AL233" i="1" a="1"/>
  <c r="AL234" i="1" a="1"/>
  <c r="AL235" i="1" a="1"/>
  <c r="AL236" i="1" a="1"/>
  <c r="AL237" i="1" a="1"/>
  <c r="AL238" i="1" a="1"/>
  <c r="AL239" i="1" a="1"/>
  <c r="AL240" i="1" a="1"/>
  <c r="AL241" i="1" a="1"/>
  <c r="AL242" i="1" a="1"/>
  <c r="AL243" i="1" a="1"/>
  <c r="AL244" i="1" a="1"/>
  <c r="AL245" i="1" a="1"/>
  <c r="AL246" i="1" a="1"/>
  <c r="AL247" i="1" a="1"/>
  <c r="AL248" i="1" a="1"/>
  <c r="AL249" i="1" a="1"/>
  <c r="AL250" i="1" a="1"/>
  <c r="AL251" i="1" a="1"/>
  <c r="AL252" i="1" a="1"/>
  <c r="AL253" i="1" a="1"/>
  <c r="AL254" i="1" a="1"/>
  <c r="AL255" i="1" a="1"/>
  <c r="AL256" i="1" a="1"/>
  <c r="AL257" i="1" a="1"/>
  <c r="AL258" i="1" a="1"/>
  <c r="AL259" i="1" a="1"/>
  <c r="AL260" i="1" a="1"/>
  <c r="AL261" i="1" a="1"/>
  <c r="AL262" i="1" a="1"/>
  <c r="AL263" i="1" a="1"/>
  <c r="AL264" i="1" a="1"/>
  <c r="AL265" i="1" a="1"/>
  <c r="AL266" i="1" a="1"/>
  <c r="AL267" i="1" a="1"/>
  <c r="AL268" i="1" a="1"/>
  <c r="AL269" i="1" a="1"/>
  <c r="AL270" i="1" a="1"/>
  <c r="AL271" i="1" a="1"/>
  <c r="AL272" i="1" a="1"/>
  <c r="AL273" i="1" a="1"/>
  <c r="AL274" i="1" a="1"/>
  <c r="AL275" i="1" a="1"/>
  <c r="AL276" i="1" a="1"/>
  <c r="AL277" i="1" a="1"/>
  <c r="AL278" i="1" a="1"/>
  <c r="AL279" i="1" a="1"/>
  <c r="AL280" i="1" a="1"/>
  <c r="AL281" i="1" a="1"/>
  <c r="AL282" i="1" a="1"/>
  <c r="AL283" i="1" a="1"/>
  <c r="AL284" i="1" a="1"/>
  <c r="AL285" i="1" a="1"/>
  <c r="AL286" i="1" a="1"/>
  <c r="AL287" i="1" a="1"/>
  <c r="AL288" i="1" a="1"/>
  <c r="AL289" i="1" a="1"/>
  <c r="AL290" i="1" a="1"/>
  <c r="AL291" i="1" a="1"/>
  <c r="AL292" i="1" a="1"/>
  <c r="AL293" i="1" a="1"/>
  <c r="AL294" i="1" a="1"/>
  <c r="AL295" i="1" a="1"/>
  <c r="AL296" i="1" a="1"/>
  <c r="AL297" i="1" a="1"/>
  <c r="AL298" i="1" a="1"/>
  <c r="AL299" i="1" a="1"/>
  <c r="AL300" i="1" a="1"/>
  <c r="AL301" i="1" a="1"/>
  <c r="AL302" i="1" a="1"/>
  <c r="AL303" i="1" a="1"/>
  <c r="AL304" i="1" a="1"/>
  <c r="AL305" i="1" a="1"/>
  <c r="AL306" i="1" a="1"/>
  <c r="AL307" i="1" a="1"/>
  <c r="AL308" i="1" a="1"/>
  <c r="AL309" i="1" a="1"/>
  <c r="AL310" i="1" a="1"/>
  <c r="AL311" i="1" a="1"/>
  <c r="AL312" i="1" a="1"/>
  <c r="AL313" i="1" a="1"/>
  <c r="AL314" i="1" a="1"/>
  <c r="AL315" i="1" a="1"/>
  <c r="AL316" i="1" a="1"/>
  <c r="AL317" i="1" a="1"/>
  <c r="AL318" i="1" a="1"/>
  <c r="AL319" i="1" a="1"/>
  <c r="AL320" i="1" a="1"/>
  <c r="AL321" i="1" a="1"/>
  <c r="AL322" i="1" a="1"/>
  <c r="AL323" i="1" a="1"/>
  <c r="AL324" i="1" a="1"/>
  <c r="AL325" i="1" a="1"/>
  <c r="AL326" i="1" a="1"/>
  <c r="AL327" i="1" a="1"/>
  <c r="AL328" i="1" a="1"/>
  <c r="AL329" i="1" a="1"/>
  <c r="AL330" i="1" a="1"/>
  <c r="AL331" i="1" a="1"/>
  <c r="AL332" i="1" a="1"/>
  <c r="AL333" i="1" a="1"/>
  <c r="AL334" i="1" a="1"/>
  <c r="AL335" i="1" a="1"/>
  <c r="AL336" i="1" a="1"/>
  <c r="AL337" i="1" a="1"/>
  <c r="AL338" i="1" a="1"/>
  <c r="AL339" i="1" a="1"/>
  <c r="AL340" i="1" a="1"/>
  <c r="AL341" i="1" a="1"/>
  <c r="AL342" i="1" a="1"/>
  <c r="AL343" i="1" a="1"/>
  <c r="AL344" i="1" a="1"/>
  <c r="AL345" i="1" a="1"/>
  <c r="AL346" i="1" a="1"/>
  <c r="AL347" i="1" a="1"/>
  <c r="AL348" i="1" a="1"/>
  <c r="AL349" i="1" a="1"/>
  <c r="AL350" i="1" a="1"/>
  <c r="AL351" i="1" a="1"/>
  <c r="AL352" i="1" a="1"/>
  <c r="AL353" i="1" a="1"/>
  <c r="AL354" i="1" a="1"/>
  <c r="AL355" i="1" a="1"/>
  <c r="AL356" i="1" a="1"/>
  <c r="AL357" i="1" a="1"/>
  <c r="AL358" i="1" a="1"/>
  <c r="AL359" i="1" a="1"/>
  <c r="AL360" i="1" a="1"/>
  <c r="AL361" i="1" a="1"/>
  <c r="AL362" i="1" a="1"/>
  <c r="AL363" i="1" a="1"/>
  <c r="AL364" i="1" a="1"/>
  <c r="AL365" i="1" a="1"/>
  <c r="AL366" i="1" a="1"/>
  <c r="AL367" i="1" a="1"/>
  <c r="AL368" i="1" a="1"/>
  <c r="AL369" i="1" a="1"/>
  <c r="AL370" i="1" a="1"/>
  <c r="AL371" i="1" a="1"/>
  <c r="AL372" i="1" a="1"/>
  <c r="AL373" i="1" a="1"/>
  <c r="AL374" i="1" a="1"/>
  <c r="AL375" i="1" a="1"/>
  <c r="AL376" i="1" a="1"/>
  <c r="AL377" i="1" a="1"/>
  <c r="AL378" i="1" a="1"/>
  <c r="AL379" i="1" a="1"/>
  <c r="AL380" i="1" a="1"/>
  <c r="AL381" i="1" a="1"/>
  <c r="AL382" i="1" a="1"/>
  <c r="AL383" i="1" a="1"/>
  <c r="AL384" i="1" a="1"/>
  <c r="AL385" i="1" a="1"/>
  <c r="AL386" i="1" a="1"/>
  <c r="AL387" i="1" a="1"/>
  <c r="AL388" i="1" a="1"/>
  <c r="AL389" i="1" a="1"/>
  <c r="AL390" i="1" a="1"/>
  <c r="AL391" i="1" a="1"/>
  <c r="AL392" i="1" a="1"/>
  <c r="AL393" i="1" a="1"/>
  <c r="AL394" i="1" a="1"/>
  <c r="AL395" i="1" a="1"/>
  <c r="AL396" i="1" a="1"/>
  <c r="AL397" i="1" a="1"/>
  <c r="AL398" i="1" a="1"/>
  <c r="AL399" i="1" a="1"/>
  <c r="AL400" i="1" a="1"/>
  <c r="AL401" i="1" a="1"/>
  <c r="AL402" i="1" a="1"/>
  <c r="AL403" i="1" a="1"/>
  <c r="AL404" i="1" a="1"/>
  <c r="AL405" i="1" a="1"/>
  <c r="AL406" i="1" a="1"/>
  <c r="AL407" i="1" a="1"/>
  <c r="AL408" i="1" a="1"/>
  <c r="AL409" i="1" a="1"/>
  <c r="AL410" i="1" a="1"/>
  <c r="AL411" i="1" a="1"/>
  <c r="AL412" i="1" a="1"/>
  <c r="AL413" i="1" a="1"/>
  <c r="AL414" i="1" a="1"/>
  <c r="AL415" i="1" a="1"/>
  <c r="AL416" i="1" a="1"/>
  <c r="AL417" i="1" a="1"/>
  <c r="AL418" i="1" a="1"/>
  <c r="AL419" i="1" a="1"/>
  <c r="AL420" i="1" a="1"/>
  <c r="AL421" i="1" a="1"/>
  <c r="AL422" i="1" a="1"/>
  <c r="AL423" i="1" a="1"/>
  <c r="AL424" i="1" a="1"/>
  <c r="AL425" i="1" a="1"/>
  <c r="AL426" i="1" a="1"/>
  <c r="AL427" i="1" a="1"/>
  <c r="AL428" i="1" a="1"/>
  <c r="AL429" i="1" a="1"/>
  <c r="AL430" i="1" a="1"/>
  <c r="AL431" i="1" a="1"/>
  <c r="AL432" i="1" a="1"/>
  <c r="AL433" i="1" a="1"/>
  <c r="AL434" i="1" a="1"/>
  <c r="AL435" i="1" a="1"/>
  <c r="AL436" i="1" a="1"/>
  <c r="AL437" i="1" a="1"/>
  <c r="AL438" i="1" a="1"/>
  <c r="AL439" i="1" a="1"/>
  <c r="AL440" i="1" a="1"/>
  <c r="AL441" i="1" a="1"/>
  <c r="AL442" i="1" a="1"/>
  <c r="AL443" i="1" a="1"/>
  <c r="AL444" i="1" a="1"/>
  <c r="AL445" i="1" a="1"/>
  <c r="AL446" i="1" a="1"/>
  <c r="AL447" i="1" a="1"/>
  <c r="AL448" i="1" a="1"/>
  <c r="AL449" i="1" a="1"/>
  <c r="AL450" i="1" a="1"/>
  <c r="AL451" i="1" a="1"/>
  <c r="AL452" i="1" a="1"/>
  <c r="AL453" i="1" a="1"/>
  <c r="AL454" i="1" a="1"/>
  <c r="AL455" i="1" a="1"/>
  <c r="AL456" i="1" a="1"/>
  <c r="AL457" i="1" a="1"/>
  <c r="AL458" i="1" a="1"/>
  <c r="AL459" i="1" a="1"/>
  <c r="AL460" i="1" a="1"/>
  <c r="AL461" i="1" a="1"/>
  <c r="AL462" i="1" a="1"/>
  <c r="AL463" i="1" a="1"/>
  <c r="AL464" i="1" a="1"/>
  <c r="AL465" i="1" a="1"/>
  <c r="AL466" i="1" a="1"/>
  <c r="AL467" i="1" a="1"/>
  <c r="AL468" i="1" a="1"/>
  <c r="AL469" i="1" a="1"/>
  <c r="AL470" i="1" a="1"/>
  <c r="AL471" i="1" a="1"/>
  <c r="AL472" i="1" a="1"/>
  <c r="AL473" i="1" a="1"/>
  <c r="AL474" i="1" a="1"/>
  <c r="AL475" i="1" a="1"/>
  <c r="AL476" i="1" a="1"/>
  <c r="AL477" i="1" a="1"/>
  <c r="AL478" i="1" a="1"/>
  <c r="AL479" i="1" a="1"/>
  <c r="AL480" i="1" a="1"/>
  <c r="AL481" i="1" a="1"/>
  <c r="AL482" i="1" a="1"/>
  <c r="AL483" i="1" a="1"/>
  <c r="AL484" i="1" a="1"/>
  <c r="AL485" i="1" a="1"/>
  <c r="AL486" i="1" a="1"/>
  <c r="AL487" i="1" a="1"/>
  <c r="AL488" i="1" a="1"/>
  <c r="AL489" i="1" a="1"/>
  <c r="AL490" i="1" a="1"/>
  <c r="AL491" i="1" a="1"/>
  <c r="AL492" i="1" a="1"/>
  <c r="AL493" i="1" a="1"/>
  <c r="AL494" i="1" a="1"/>
  <c r="AL495" i="1" a="1"/>
  <c r="AL496" i="1" a="1"/>
  <c r="AL497" i="1" a="1"/>
  <c r="AL498" i="1" a="1"/>
  <c r="AL499" i="1" a="1"/>
  <c r="AL500" i="1" a="1"/>
  <c r="AL501" i="1" a="1"/>
  <c r="AL502" i="1" a="1"/>
  <c r="AL503" i="1" a="1"/>
  <c r="AL504" i="1" a="1"/>
  <c r="AL505" i="1" a="1"/>
  <c r="AL506" i="1" a="1"/>
  <c r="AL507" i="1" a="1"/>
  <c r="AL508" i="1" a="1"/>
  <c r="AL509" i="1" a="1"/>
  <c r="AL510" i="1" a="1"/>
  <c r="AL511" i="1" a="1"/>
  <c r="AL512" i="1" a="1"/>
  <c r="AL513" i="1" a="1"/>
  <c r="AL514" i="1" a="1"/>
  <c r="AL515" i="1" a="1"/>
  <c r="AL516" i="1" a="1"/>
  <c r="AL517" i="1" a="1"/>
  <c r="AL518" i="1" a="1"/>
  <c r="AL519" i="1" a="1"/>
  <c r="AL520" i="1" a="1"/>
  <c r="AL521" i="1" a="1"/>
  <c r="AL522" i="1" a="1"/>
  <c r="AL523" i="1" a="1"/>
  <c r="AL524" i="1" a="1"/>
  <c r="AL525" i="1" a="1"/>
  <c r="AL526" i="1" a="1"/>
  <c r="AL527" i="1" a="1"/>
  <c r="AL528" i="1" a="1"/>
  <c r="AL529" i="1" a="1"/>
  <c r="AL530" i="1" a="1"/>
  <c r="AL531" i="1" a="1"/>
  <c r="AL532" i="1" a="1"/>
  <c r="AL533" i="1" a="1"/>
  <c r="AL534" i="1" a="1"/>
  <c r="AL535" i="1" a="1"/>
  <c r="AL536" i="1" a="1"/>
  <c r="AL537" i="1" a="1"/>
  <c r="AL538" i="1" a="1"/>
  <c r="AL539" i="1" a="1"/>
  <c r="AL540" i="1" a="1"/>
  <c r="AL541" i="1" a="1"/>
  <c r="AL542" i="1" a="1"/>
  <c r="AL543" i="1" a="1"/>
  <c r="AL544" i="1" a="1"/>
  <c r="AL545" i="1" a="1"/>
  <c r="AL546" i="1" a="1"/>
  <c r="AL547" i="1" a="1"/>
  <c r="AL548" i="1" a="1"/>
  <c r="AL549" i="1" a="1"/>
  <c r="AL550" i="1" a="1"/>
  <c r="AL551" i="1" a="1"/>
  <c r="AL552" i="1" a="1"/>
  <c r="AL553" i="1" a="1"/>
  <c r="AL554" i="1" a="1"/>
  <c r="AL555" i="1" a="1"/>
  <c r="AL556" i="1" a="1"/>
  <c r="AL557" i="1" a="1"/>
  <c r="AL558" i="1" a="1"/>
  <c r="AL559" i="1" a="1"/>
  <c r="AL560" i="1" a="1"/>
  <c r="AL561" i="1" a="1"/>
  <c r="AL562" i="1" a="1"/>
  <c r="AL563" i="1" a="1"/>
  <c r="AL564" i="1" a="1"/>
  <c r="AL565" i="1" a="1"/>
  <c r="AL566" i="1" a="1"/>
  <c r="AL567" i="1" a="1"/>
  <c r="AL568" i="1" a="1"/>
  <c r="AL569" i="1" a="1"/>
  <c r="AL570" i="1" a="1"/>
  <c r="AL571" i="1" a="1"/>
  <c r="AL572" i="1" a="1"/>
  <c r="AL573" i="1" a="1"/>
  <c r="AL574" i="1" a="1"/>
  <c r="AL575" i="1" a="1"/>
  <c r="AL576" i="1" a="1"/>
  <c r="AL577" i="1" a="1"/>
  <c r="AL578" i="1" a="1"/>
  <c r="AL579" i="1" a="1"/>
  <c r="AL580" i="1" a="1"/>
  <c r="AL581" i="1" a="1"/>
  <c r="AL582" i="1" a="1"/>
  <c r="AL583" i="1" a="1"/>
  <c r="AL584" i="1" a="1"/>
  <c r="AL585" i="1" a="1"/>
  <c r="AL586" i="1" a="1"/>
  <c r="AL587" i="1" a="1"/>
  <c r="AL588" i="1" a="1"/>
  <c r="AL589" i="1" a="1"/>
  <c r="AL590" i="1" a="1"/>
  <c r="AL591" i="1" a="1"/>
  <c r="AL592" i="1" a="1"/>
  <c r="AL593" i="1" a="1"/>
  <c r="AL594" i="1" a="1"/>
  <c r="AL595" i="1" a="1"/>
  <c r="AL596" i="1" a="1"/>
  <c r="AL597" i="1" a="1"/>
  <c r="AL598" i="1" a="1"/>
  <c r="AL599" i="1" a="1"/>
  <c r="AL600" i="1" a="1"/>
  <c r="AL601" i="1" a="1"/>
  <c r="AL602" i="1" a="1"/>
  <c r="AL603" i="1" a="1"/>
  <c r="AL604" i="1" a="1"/>
  <c r="AL605" i="1" a="1"/>
  <c r="AL606" i="1" a="1"/>
  <c r="AL607" i="1" a="1"/>
  <c r="AL608" i="1" a="1"/>
  <c r="AL609" i="1" a="1"/>
  <c r="AL610" i="1" a="1"/>
  <c r="AL611" i="1" a="1"/>
  <c r="AL612" i="1" a="1"/>
  <c r="AL613" i="1" a="1"/>
  <c r="AL614" i="1" a="1"/>
  <c r="AL615" i="1" a="1"/>
  <c r="AL616" i="1" a="1"/>
  <c r="AL617" i="1" a="1"/>
  <c r="AL618" i="1" a="1"/>
  <c r="AL619" i="1" a="1"/>
  <c r="AL620" i="1" a="1"/>
  <c r="AL621" i="1" a="1"/>
  <c r="AL622" i="1" a="1"/>
  <c r="AL623" i="1" a="1"/>
  <c r="AL624" i="1" a="1"/>
  <c r="AL625" i="1" a="1"/>
  <c r="AL626" i="1" a="1"/>
  <c r="AL627" i="1" a="1"/>
  <c r="AL628" i="1" a="1"/>
  <c r="AL629" i="1" a="1"/>
  <c r="AL630" i="1" a="1"/>
  <c r="AL631" i="1" a="1"/>
  <c r="AL632" i="1" a="1"/>
  <c r="AL633" i="1" a="1"/>
  <c r="AL634" i="1" a="1"/>
  <c r="AL635" i="1" a="1"/>
  <c r="AL636" i="1" a="1"/>
  <c r="AL637" i="1" a="1"/>
  <c r="AL638" i="1" a="1"/>
  <c r="AL639" i="1" a="1"/>
  <c r="AL640" i="1" a="1"/>
  <c r="AL641" i="1" a="1"/>
  <c r="AL642" i="1" a="1"/>
  <c r="AL643" i="1" a="1"/>
  <c r="AL644" i="1" a="1"/>
  <c r="AL645" i="1" a="1"/>
  <c r="AL646" i="1" a="1"/>
  <c r="AL647" i="1" a="1"/>
  <c r="AL648" i="1" a="1"/>
  <c r="AL649" i="1" a="1"/>
  <c r="AL650" i="1" a="1"/>
  <c r="AL651" i="1" a="1"/>
  <c r="AL652" i="1" a="1"/>
  <c r="AL653" i="1" a="1"/>
  <c r="AL654" i="1" a="1"/>
  <c r="AL655" i="1" a="1"/>
  <c r="AL656" i="1" a="1"/>
  <c r="AL657" i="1" a="1"/>
  <c r="AL658" i="1" a="1"/>
  <c r="AL659" i="1" a="1"/>
  <c r="AL660" i="1" a="1"/>
  <c r="AL661" i="1" a="1"/>
  <c r="AL662" i="1" a="1"/>
  <c r="AL663" i="1" a="1"/>
  <c r="AL664" i="1" a="1"/>
  <c r="AL665" i="1" a="1"/>
  <c r="AL666" i="1" a="1"/>
  <c r="AL667" i="1" a="1"/>
  <c r="AL668" i="1" a="1"/>
  <c r="AL669" i="1" a="1"/>
  <c r="AL670" i="1" a="1"/>
  <c r="AL671" i="1" a="1"/>
  <c r="AL672" i="1" a="1"/>
  <c r="AL673" i="1" a="1"/>
  <c r="AL674" i="1" a="1"/>
  <c r="AL675" i="1" a="1"/>
  <c r="AL676" i="1" a="1"/>
  <c r="AL677" i="1" a="1"/>
  <c r="AL678" i="1" a="1"/>
  <c r="AL679" i="1" a="1"/>
  <c r="AL680" i="1" a="1"/>
  <c r="AL681" i="1" a="1"/>
  <c r="AL682" i="1" a="1"/>
  <c r="AL683" i="1" a="1"/>
  <c r="AL684" i="1" a="1"/>
  <c r="AL685" i="1" a="1"/>
  <c r="AL686" i="1" a="1"/>
  <c r="AL687" i="1" a="1"/>
  <c r="AL688" i="1" a="1"/>
  <c r="AL689" i="1" a="1"/>
  <c r="AL690" i="1" a="1"/>
  <c r="AL691" i="1" a="1"/>
  <c r="AL692" i="1" a="1"/>
  <c r="AL693" i="1" a="1"/>
  <c r="AL694" i="1" a="1"/>
  <c r="AL695" i="1" a="1"/>
  <c r="AL696" i="1" a="1"/>
  <c r="AL697" i="1" a="1"/>
  <c r="AL698" i="1" a="1"/>
  <c r="AL699" i="1" a="1"/>
  <c r="AL700" i="1" a="1"/>
  <c r="AL701" i="1" a="1"/>
  <c r="AL702" i="1" a="1"/>
  <c r="AL703" i="1" a="1"/>
  <c r="AL704" i="1" a="1"/>
  <c r="AL705" i="1" a="1"/>
  <c r="AL706" i="1" a="1"/>
  <c r="AL707" i="1" a="1"/>
  <c r="AL708" i="1" a="1"/>
  <c r="AL709" i="1" a="1"/>
  <c r="AL710" i="1" a="1"/>
  <c r="AL711" i="1" a="1"/>
  <c r="AL712" i="1" a="1"/>
  <c r="AL713" i="1" a="1"/>
  <c r="AL714" i="1" a="1"/>
  <c r="AL715" i="1" a="1"/>
  <c r="AL716" i="1" a="1"/>
  <c r="AL717" i="1" a="1"/>
  <c r="AL718" i="1" a="1"/>
  <c r="AL719" i="1" a="1"/>
  <c r="AL720" i="1" a="1"/>
  <c r="AL721" i="1" a="1"/>
  <c r="AL722" i="1" a="1"/>
  <c r="AL723" i="1" a="1"/>
  <c r="AL724" i="1" a="1"/>
  <c r="AL725" i="1" a="1"/>
  <c r="AL726" i="1" a="1"/>
  <c r="AL727" i="1" a="1"/>
  <c r="AL728" i="1" a="1"/>
  <c r="AL729" i="1" a="1"/>
  <c r="AL730" i="1" a="1"/>
  <c r="AL731" i="1" a="1"/>
  <c r="AL732" i="1" a="1"/>
  <c r="AL733" i="1" a="1"/>
  <c r="AL734" i="1" a="1"/>
  <c r="AL735" i="1" a="1"/>
  <c r="AL736" i="1" a="1"/>
  <c r="AL737" i="1" a="1"/>
  <c r="AL738" i="1" a="1"/>
  <c r="AL739" i="1" a="1"/>
  <c r="AL740" i="1" a="1"/>
  <c r="AL741" i="1" a="1"/>
  <c r="AL742" i="1" a="1"/>
  <c r="AL743" i="1" a="1"/>
  <c r="AL744" i="1" a="1"/>
  <c r="AL745" i="1" a="1"/>
  <c r="AL746" i="1" a="1"/>
  <c r="AL747" i="1" a="1"/>
  <c r="AL748" i="1" a="1"/>
  <c r="AL749" i="1" a="1"/>
  <c r="AL750" i="1" a="1"/>
  <c r="AL751" i="1" a="1"/>
  <c r="AL752" i="1" a="1"/>
  <c r="AL753" i="1" a="1"/>
  <c r="AL754" i="1" a="1"/>
  <c r="AL755" i="1" a="1"/>
  <c r="AL756" i="1" a="1"/>
  <c r="AL757" i="1" a="1"/>
  <c r="AL758" i="1" a="1"/>
  <c r="AL759" i="1" a="1"/>
  <c r="AL760" i="1" a="1"/>
  <c r="AL761" i="1" a="1"/>
  <c r="AL762" i="1" a="1"/>
  <c r="AL763" i="1" a="1"/>
  <c r="AL764" i="1" a="1"/>
  <c r="AL765" i="1" a="1"/>
  <c r="AL766" i="1" a="1"/>
  <c r="AL767" i="1" a="1"/>
  <c r="AL768" i="1" a="1"/>
  <c r="AL769" i="1" a="1"/>
  <c r="AL770" i="1" a="1"/>
  <c r="AL771" i="1" a="1"/>
  <c r="AL772" i="1" a="1"/>
  <c r="AL773" i="1" a="1"/>
  <c r="AL774" i="1" a="1"/>
  <c r="AL775" i="1" a="1"/>
  <c r="AL776" i="1" a="1"/>
  <c r="AL777" i="1" a="1"/>
  <c r="AL778" i="1" a="1"/>
  <c r="AL779" i="1" a="1"/>
  <c r="AL780" i="1" a="1"/>
  <c r="AL781" i="1" a="1"/>
  <c r="AL782" i="1" a="1"/>
  <c r="AL783" i="1" a="1"/>
  <c r="AL784" i="1" a="1"/>
  <c r="AL785" i="1" a="1"/>
  <c r="AL786" i="1" a="1"/>
  <c r="AL787" i="1" a="1"/>
  <c r="AL788" i="1" a="1"/>
  <c r="AL789" i="1" a="1"/>
  <c r="AL790" i="1" a="1"/>
  <c r="AL791" i="1" a="1"/>
  <c r="AL792" i="1" a="1"/>
  <c r="AL793" i="1" a="1"/>
  <c r="AL794" i="1" a="1"/>
  <c r="AL795" i="1" a="1"/>
  <c r="AL796" i="1" a="1"/>
  <c r="AL797" i="1" a="1"/>
  <c r="AL798" i="1" a="1"/>
  <c r="AL799" i="1" a="1"/>
  <c r="AL800" i="1" a="1"/>
  <c r="AL801" i="1" a="1"/>
  <c r="AL802" i="1" a="1"/>
  <c r="AL803" i="1" a="1"/>
  <c r="AL804" i="1" a="1"/>
  <c r="AL805" i="1" a="1"/>
  <c r="AL806" i="1" a="1"/>
  <c r="AL807" i="1" a="1"/>
  <c r="AL808" i="1" a="1"/>
  <c r="AL809" i="1" a="1"/>
  <c r="AL810" i="1" a="1"/>
  <c r="AL811" i="1" a="1"/>
  <c r="AL812" i="1" a="1"/>
  <c r="AL813" i="1" a="1"/>
  <c r="AL814" i="1" a="1"/>
  <c r="AL815" i="1" a="1"/>
  <c r="AL816" i="1" a="1"/>
  <c r="AL817" i="1" a="1"/>
  <c r="AL818" i="1" a="1"/>
  <c r="AL819" i="1" a="1"/>
  <c r="AL820" i="1" a="1"/>
  <c r="AL821" i="1" a="1"/>
  <c r="AL822" i="1" a="1"/>
  <c r="AL823" i="1" a="1"/>
  <c r="AL824" i="1" a="1"/>
  <c r="AL825" i="1" a="1"/>
  <c r="AL826" i="1" a="1"/>
  <c r="AL827" i="1" a="1"/>
  <c r="AL828" i="1" a="1"/>
  <c r="AL829" i="1" a="1"/>
  <c r="AL830" i="1" a="1"/>
  <c r="AL831" i="1" a="1"/>
  <c r="AL832" i="1" a="1"/>
  <c r="AL833" i="1" a="1"/>
  <c r="AL834" i="1" a="1"/>
  <c r="AL835" i="1" a="1"/>
  <c r="AL836" i="1" a="1"/>
  <c r="AL837" i="1" a="1"/>
  <c r="AL838" i="1" a="1"/>
  <c r="AL839" i="1" a="1"/>
  <c r="AL840" i="1" a="1"/>
  <c r="AL841" i="1" a="1"/>
  <c r="AL842" i="1" a="1"/>
  <c r="AL843" i="1" a="1"/>
  <c r="AL844" i="1" a="1"/>
  <c r="AL845" i="1" a="1"/>
  <c r="AL846" i="1" a="1"/>
  <c r="AL847" i="1" a="1"/>
  <c r="AL848" i="1" a="1"/>
  <c r="AL849" i="1" a="1"/>
  <c r="AL850" i="1" a="1"/>
  <c r="AL851" i="1" a="1"/>
  <c r="AL852" i="1" a="1"/>
  <c r="AL853" i="1" a="1"/>
  <c r="AL854" i="1" a="1"/>
  <c r="AL855" i="1" a="1"/>
  <c r="AL856" i="1" a="1"/>
  <c r="AL857" i="1" a="1"/>
  <c r="AL858" i="1" a="1"/>
  <c r="AL859" i="1" a="1"/>
  <c r="AL860" i="1" a="1"/>
  <c r="AL861" i="1" a="1"/>
  <c r="AL862" i="1" a="1"/>
  <c r="AL863" i="1" a="1"/>
  <c r="AL864" i="1" a="1"/>
  <c r="AL865" i="1" a="1"/>
  <c r="AL866" i="1" a="1"/>
  <c r="AL867" i="1" a="1"/>
  <c r="AL868" i="1" a="1"/>
  <c r="AL869" i="1" a="1"/>
  <c r="AL870" i="1" a="1"/>
  <c r="AL871" i="1" a="1"/>
  <c r="AL872" i="1" a="1"/>
  <c r="AL873" i="1" a="1"/>
  <c r="AL874" i="1" a="1"/>
  <c r="AL875" i="1" a="1"/>
  <c r="AL876" i="1" a="1"/>
  <c r="AL877" i="1" a="1"/>
  <c r="AL878" i="1" a="1"/>
  <c r="AL879" i="1" a="1"/>
  <c r="AL880" i="1" a="1"/>
  <c r="AL881" i="1" a="1"/>
  <c r="AL882" i="1" a="1"/>
  <c r="AL883" i="1" a="1"/>
  <c r="AL884" i="1" a="1"/>
  <c r="AL885" i="1" a="1"/>
  <c r="AL886" i="1" a="1"/>
  <c r="AL887" i="1" a="1"/>
  <c r="AL888" i="1" a="1"/>
  <c r="AL889" i="1" a="1"/>
  <c r="AL890" i="1" a="1"/>
  <c r="AL891" i="1" a="1"/>
  <c r="AL892" i="1" a="1"/>
  <c r="AL893" i="1" a="1"/>
  <c r="AL894" i="1" a="1"/>
  <c r="AL895" i="1" a="1"/>
  <c r="AL896" i="1" a="1"/>
  <c r="AL897" i="1" a="1"/>
  <c r="AL898" i="1" a="1"/>
  <c r="AL899" i="1" a="1"/>
  <c r="AL900" i="1" a="1"/>
  <c r="AL901" i="1" a="1"/>
  <c r="AL902" i="1" a="1"/>
  <c r="AL903" i="1" a="1"/>
  <c r="AL904" i="1" a="1"/>
  <c r="AL905" i="1" a="1"/>
  <c r="AL906" i="1" a="1"/>
  <c r="AL907" i="1" a="1"/>
  <c r="AL908" i="1" a="1"/>
  <c r="AL909" i="1" a="1"/>
  <c r="AL910" i="1" a="1"/>
  <c r="AL911" i="1" a="1"/>
  <c r="AL912" i="1" a="1"/>
  <c r="AL913" i="1" a="1"/>
  <c r="AL914" i="1" a="1"/>
  <c r="AL915" i="1" a="1"/>
  <c r="AL916" i="1" a="1"/>
  <c r="AL917" i="1" a="1"/>
  <c r="AL918" i="1" a="1"/>
  <c r="AL919" i="1" a="1"/>
  <c r="AL920" i="1" a="1"/>
  <c r="AL921" i="1" a="1"/>
  <c r="AL922" i="1" a="1"/>
  <c r="AL923" i="1" a="1"/>
  <c r="AL924" i="1" a="1"/>
  <c r="AL925" i="1" a="1"/>
  <c r="AL926" i="1" a="1"/>
  <c r="AL927" i="1" a="1"/>
  <c r="AL928" i="1" a="1"/>
  <c r="AL929" i="1" a="1"/>
  <c r="AL930" i="1" a="1"/>
  <c r="AL931" i="1" a="1"/>
  <c r="AL932" i="1" a="1"/>
  <c r="AL933" i="1" a="1"/>
  <c r="AL934" i="1" a="1"/>
  <c r="AL935" i="1" a="1"/>
  <c r="AL936" i="1" a="1"/>
  <c r="AL937" i="1" a="1"/>
  <c r="AL938" i="1" a="1"/>
  <c r="AL939" i="1" a="1"/>
  <c r="AL940" i="1" a="1"/>
  <c r="AL941" i="1" a="1"/>
  <c r="AL942" i="1" a="1"/>
  <c r="AL943" i="1" a="1"/>
  <c r="AL944" i="1" a="1"/>
  <c r="AL945" i="1" a="1"/>
  <c r="AL946" i="1" a="1"/>
  <c r="AL947" i="1" a="1"/>
  <c r="AL948" i="1" a="1"/>
  <c r="AL949" i="1" a="1"/>
  <c r="AL950" i="1" a="1"/>
  <c r="AL951" i="1" a="1"/>
  <c r="AL952" i="1" a="1"/>
  <c r="AL953" i="1" a="1"/>
  <c r="AL954" i="1" a="1"/>
  <c r="AL955" i="1" a="1"/>
  <c r="AL956" i="1" a="1"/>
  <c r="AL957" i="1" a="1"/>
  <c r="AL958" i="1" a="1"/>
  <c r="AL959" i="1" a="1"/>
  <c r="AL960" i="1" a="1"/>
  <c r="AL961" i="1" a="1"/>
  <c r="AL962" i="1" a="1"/>
  <c r="AL963" i="1" a="1"/>
  <c r="AL964" i="1" a="1"/>
  <c r="AL965" i="1" a="1"/>
  <c r="AL966" i="1" a="1"/>
  <c r="AL967" i="1" a="1"/>
  <c r="AL968" i="1" a="1"/>
  <c r="AL969" i="1" a="1"/>
  <c r="AL970" i="1" a="1"/>
  <c r="AL971" i="1" a="1"/>
  <c r="AL972" i="1" a="1"/>
  <c r="AL973" i="1" a="1"/>
  <c r="AL974" i="1" a="1"/>
  <c r="AL975" i="1" a="1"/>
  <c r="AL976" i="1" a="1"/>
  <c r="AL977" i="1" a="1"/>
  <c r="AL978" i="1" a="1"/>
  <c r="AL979" i="1" a="1"/>
  <c r="AL980" i="1" a="1"/>
  <c r="AL981" i="1" a="1"/>
  <c r="AL982" i="1" a="1"/>
  <c r="AL983" i="1" a="1"/>
  <c r="AL984" i="1" a="1"/>
  <c r="AL985" i="1" a="1"/>
  <c r="AL986" i="1" a="1"/>
  <c r="AL987" i="1" a="1"/>
  <c r="AL988" i="1" a="1"/>
  <c r="AL989" i="1" a="1"/>
  <c r="AL990" i="1" a="1"/>
  <c r="AL991" i="1" a="1"/>
  <c r="AL992" i="1" a="1"/>
  <c r="AL993" i="1" a="1"/>
  <c r="AL994" i="1" a="1"/>
  <c r="AL995" i="1" a="1"/>
  <c r="AL996" i="1" a="1"/>
  <c r="AL997" i="1" a="1"/>
  <c r="AL998" i="1" a="1"/>
  <c r="AL999" i="1" a="1"/>
  <c r="AL1000" i="1" a="1"/>
  <c r="AL1001" i="1" a="1"/>
  <c r="AL1002" i="1" a="1"/>
  <c r="AL1003" i="1" a="1"/>
  <c r="AL1004" i="1" a="1"/>
  <c r="AL1005" i="1" a="1"/>
  <c r="AL1006" i="1" a="1"/>
  <c r="AL1007" i="1" a="1"/>
  <c r="AL1008" i="1" a="1"/>
  <c r="AL1009" i="1" a="1"/>
  <c r="AL1010" i="1" a="1"/>
  <c r="AL1011" i="1" a="1"/>
  <c r="AL1012" i="1" a="1"/>
  <c r="AL1013" i="1" a="1"/>
  <c r="AL1014" i="1" a="1"/>
  <c r="AL1015" i="1" a="1"/>
  <c r="AL1016" i="1" a="1"/>
  <c r="AL1017" i="1" a="1"/>
  <c r="AL1018" i="1" a="1"/>
  <c r="AL1019" i="1" a="1"/>
  <c r="AL1020" i="1" a="1"/>
  <c r="AL1021" i="1" a="1"/>
  <c r="AL1022" i="1" a="1"/>
  <c r="AL1023" i="1" a="1"/>
  <c r="AL1024" i="1" a="1"/>
  <c r="AL1025" i="1" a="1"/>
  <c r="AL1026" i="1" a="1"/>
  <c r="AL1027" i="1" a="1"/>
  <c r="AL1028" i="1" a="1"/>
  <c r="AL1029" i="1" a="1"/>
  <c r="AL1030" i="1" a="1"/>
  <c r="AL1031" i="1" a="1"/>
  <c r="AL1032" i="1" a="1"/>
  <c r="AL1033" i="1" a="1"/>
  <c r="AL1034" i="1" a="1"/>
  <c r="AL1035" i="1" a="1"/>
  <c r="AL1036" i="1" a="1"/>
  <c r="AL1037" i="1" a="1"/>
  <c r="AL1038" i="1" a="1"/>
  <c r="AL1039" i="1" a="1"/>
  <c r="AL1040" i="1" a="1"/>
  <c r="AL1041" i="1" a="1"/>
  <c r="AL1042" i="1" a="1"/>
  <c r="AL1043" i="1" a="1"/>
  <c r="AL1044" i="1" a="1"/>
  <c r="AL1045" i="1" a="1"/>
  <c r="AL1046" i="1" a="1"/>
  <c r="AL1047" i="1" a="1"/>
  <c r="AL1048" i="1" a="1"/>
  <c r="AL1049" i="1" a="1"/>
  <c r="AL1050" i="1" a="1"/>
  <c r="AL1051" i="1" a="1"/>
  <c r="AL1052" i="1" a="1"/>
  <c r="AL1053" i="1" a="1"/>
  <c r="AL1054" i="1" a="1"/>
  <c r="AL1055" i="1" a="1"/>
  <c r="AL1056" i="1" a="1"/>
  <c r="AL1057" i="1" a="1"/>
  <c r="AL1058" i="1" a="1"/>
  <c r="AL1059" i="1" a="1"/>
  <c r="AL1060" i="1" a="1"/>
  <c r="AL1061" i="1" a="1"/>
  <c r="AL1062" i="1" a="1"/>
  <c r="AL1063" i="1" a="1"/>
  <c r="AL1064" i="1" a="1"/>
  <c r="AL1065" i="1" a="1"/>
  <c r="AL1066" i="1" a="1"/>
  <c r="AL1067" i="1" a="1"/>
  <c r="AL1068" i="1" a="1"/>
  <c r="AL1069" i="1" a="1"/>
  <c r="AL1070" i="1" a="1"/>
  <c r="AL1071" i="1" a="1"/>
  <c r="AL1072" i="1" a="1"/>
  <c r="AL1073" i="1" a="1"/>
  <c r="AL1074" i="1" a="1"/>
  <c r="AL1075" i="1" a="1"/>
  <c r="AL1076" i="1" a="1"/>
  <c r="AL1077" i="1" a="1"/>
  <c r="AL1078" i="1" a="1"/>
  <c r="AL1079" i="1" a="1"/>
  <c r="AL1080" i="1" a="1"/>
  <c r="AL1081" i="1" a="1"/>
  <c r="AL1082" i="1" a="1"/>
  <c r="AL1083" i="1" a="1"/>
  <c r="AL1084" i="1" a="1"/>
  <c r="AL1085" i="1" a="1"/>
  <c r="AL1086" i="1" a="1"/>
  <c r="AL1087" i="1" a="1"/>
  <c r="AL1088" i="1" a="1"/>
  <c r="AL1089" i="1" a="1"/>
  <c r="AL1090" i="1" a="1"/>
  <c r="AL1091" i="1" a="1"/>
  <c r="AL1092" i="1" a="1"/>
  <c r="AL1093" i="1" a="1"/>
  <c r="AL1094" i="1" a="1"/>
  <c r="AL1095" i="1" a="1"/>
  <c r="AL1096" i="1" a="1"/>
  <c r="AL1097" i="1" a="1"/>
  <c r="AL1098" i="1" a="1"/>
  <c r="AL1099" i="1" a="1"/>
  <c r="AL1100" i="1" a="1"/>
  <c r="AL1101" i="1" a="1"/>
  <c r="AL1102" i="1" a="1"/>
  <c r="AL1103" i="1" a="1"/>
  <c r="AL1104" i="1" a="1"/>
  <c r="AL1105" i="1" a="1"/>
  <c r="AL1106" i="1" a="1"/>
  <c r="AL1107" i="1" a="1"/>
  <c r="AL1108" i="1" a="1"/>
  <c r="AL1109" i="1" a="1"/>
  <c r="AL1110" i="1" a="1"/>
  <c r="AL1111" i="1" a="1"/>
  <c r="AL1112" i="1" a="1"/>
  <c r="AL1113" i="1" a="1"/>
  <c r="AL1114" i="1" a="1"/>
  <c r="AL1115" i="1" a="1"/>
  <c r="AL1116" i="1" a="1"/>
  <c r="AL1117" i="1" a="1"/>
  <c r="AL1118" i="1" a="1"/>
  <c r="AL1119" i="1" a="1"/>
  <c r="AL1120" i="1" a="1"/>
  <c r="AL1121" i="1" a="1"/>
  <c r="AL1122" i="1" a="1"/>
  <c r="AL1123" i="1" a="1"/>
  <c r="AL1124" i="1" a="1"/>
  <c r="AL1125" i="1" a="1"/>
  <c r="AL1126" i="1" a="1"/>
  <c r="AL1127" i="1" a="1"/>
  <c r="AL1128" i="1" a="1"/>
  <c r="AL1129" i="1" a="1"/>
  <c r="AL1130" i="1" a="1"/>
  <c r="AL1131" i="1" a="1"/>
  <c r="AL1132" i="1" a="1"/>
  <c r="AL1133" i="1" a="1"/>
  <c r="AL1134" i="1" a="1"/>
  <c r="AL1135" i="1" a="1"/>
  <c r="AL1136" i="1" a="1"/>
  <c r="AL1137" i="1" a="1"/>
  <c r="AL1138" i="1" a="1"/>
  <c r="AL1139" i="1" a="1"/>
  <c r="AL1140" i="1" a="1"/>
  <c r="AL1141" i="1" a="1"/>
  <c r="AL1142" i="1" a="1"/>
  <c r="AL1143" i="1" a="1"/>
  <c r="AL1144" i="1" a="1"/>
  <c r="AL1145" i="1" a="1"/>
  <c r="AL1146" i="1" a="1"/>
  <c r="AL1147" i="1" a="1"/>
  <c r="AL1148" i="1" a="1"/>
  <c r="AL1149" i="1" a="1"/>
  <c r="AL1150" i="1" a="1"/>
  <c r="AL1151" i="1" a="1"/>
  <c r="AL1152" i="1" a="1"/>
  <c r="AL1153" i="1" a="1"/>
  <c r="AL1154" i="1" a="1"/>
  <c r="AL1155" i="1" a="1"/>
  <c r="AL1156" i="1" a="1"/>
  <c r="AL1157" i="1" a="1"/>
  <c r="AL1158" i="1" a="1"/>
  <c r="AL1159" i="1" a="1"/>
  <c r="AL1160" i="1" a="1"/>
  <c r="AL1161" i="1" a="1"/>
  <c r="AL1162" i="1" a="1"/>
  <c r="AL1163" i="1" a="1"/>
  <c r="AL1164" i="1" a="1"/>
  <c r="AL1165" i="1" a="1"/>
  <c r="AL1166" i="1" a="1"/>
  <c r="AL1167" i="1" a="1"/>
  <c r="AL1168" i="1" a="1"/>
  <c r="AL1169" i="1" a="1"/>
  <c r="AL1170" i="1" a="1"/>
  <c r="AL1171" i="1" a="1"/>
  <c r="AL1172" i="1" a="1"/>
  <c r="AL1173" i="1" a="1"/>
  <c r="AL1174" i="1" a="1"/>
  <c r="AL1175" i="1" a="1"/>
  <c r="AL1176" i="1" a="1"/>
  <c r="AL1177" i="1" a="1"/>
  <c r="AL1178" i="1" a="1"/>
  <c r="AL1179" i="1" a="1"/>
  <c r="AL1180" i="1" a="1"/>
  <c r="AL1181" i="1" a="1"/>
  <c r="AL1182" i="1" a="1"/>
  <c r="AL1183" i="1" a="1"/>
  <c r="AL1184" i="1" a="1"/>
  <c r="AL1185" i="1" a="1"/>
  <c r="AL1186" i="1" a="1"/>
  <c r="AL1187" i="1" a="1"/>
  <c r="AL1188" i="1" a="1"/>
  <c r="AL1189" i="1" a="1"/>
  <c r="AL1190" i="1" a="1"/>
  <c r="AL1191" i="1" a="1"/>
  <c r="AL1192" i="1" a="1"/>
  <c r="AL1193" i="1" a="1"/>
  <c r="AL1194" i="1" a="1"/>
  <c r="AL1195" i="1" a="1"/>
  <c r="AL1196" i="1" a="1"/>
  <c r="AL1197" i="1" a="1"/>
  <c r="AL1198" i="1" a="1"/>
  <c r="AL1199" i="1" a="1"/>
  <c r="AL1200" i="1" a="1"/>
  <c r="AL1201" i="1" a="1"/>
  <c r="AL1202" i="1" a="1"/>
  <c r="AL1203" i="1" a="1"/>
  <c r="AL1204" i="1" a="1"/>
  <c r="AL1205" i="1" a="1"/>
  <c r="AL1206" i="1" a="1"/>
  <c r="AL1207" i="1" a="1"/>
  <c r="AL1208" i="1" a="1"/>
  <c r="AL1209" i="1" a="1"/>
  <c r="AL1210" i="1" a="1"/>
  <c r="AL1211" i="1" a="1"/>
  <c r="AL1212" i="1" a="1"/>
  <c r="AL1213" i="1" a="1"/>
  <c r="AL1214" i="1" a="1"/>
  <c r="AL1215" i="1" a="1"/>
  <c r="AL1216" i="1" a="1"/>
  <c r="AL1217" i="1" a="1"/>
  <c r="AL1218" i="1" a="1"/>
  <c r="AL1219" i="1" a="1"/>
  <c r="AL1220" i="1" a="1"/>
  <c r="AL1221" i="1" a="1"/>
  <c r="AL1222" i="1" a="1"/>
  <c r="AL1223" i="1" a="1"/>
  <c r="AL1224" i="1" a="1"/>
  <c r="AL1225" i="1" a="1"/>
  <c r="AL1226" i="1" a="1"/>
  <c r="AL1227" i="1" a="1"/>
  <c r="AL1228" i="1" a="1"/>
  <c r="AL1229" i="1" a="1"/>
  <c r="AL1230" i="1" a="1"/>
  <c r="AL1231" i="1" a="1"/>
  <c r="AL1232" i="1" a="1"/>
  <c r="AL1233" i="1" a="1"/>
  <c r="AL1234" i="1" a="1"/>
  <c r="AL1235" i="1" a="1"/>
  <c r="AL1236" i="1" a="1"/>
  <c r="AL1237" i="1" a="1"/>
  <c r="AL1238" i="1" a="1"/>
  <c r="AL1239" i="1" a="1"/>
  <c r="AL1240" i="1" a="1"/>
  <c r="AL1241" i="1" a="1"/>
  <c r="AL1242" i="1" a="1"/>
  <c r="AL1243" i="1" a="1"/>
  <c r="AL1244" i="1" a="1"/>
  <c r="AL1245" i="1" a="1"/>
  <c r="AL1246" i="1" a="1"/>
  <c r="AL1247" i="1" a="1"/>
  <c r="AL1248" i="1" a="1"/>
  <c r="AL1249" i="1" a="1"/>
  <c r="AL1250" i="1" a="1"/>
  <c r="AL1251" i="1" a="1"/>
  <c r="AL1252" i="1" a="1"/>
  <c r="AL1253" i="1" a="1"/>
  <c r="AL1254" i="1" a="1"/>
  <c r="AL1255" i="1" a="1"/>
  <c r="AL1256" i="1" a="1"/>
  <c r="AL1257" i="1" a="1"/>
  <c r="AL1258" i="1" a="1"/>
  <c r="AL1259" i="1" a="1"/>
  <c r="AL1260" i="1" a="1"/>
  <c r="AL1261" i="1" a="1"/>
  <c r="AL1262" i="1" a="1"/>
  <c r="AL1263" i="1" a="1"/>
  <c r="AL1264" i="1" a="1"/>
  <c r="AL1265" i="1" a="1"/>
  <c r="AL1266" i="1" a="1"/>
  <c r="AL1267" i="1" a="1"/>
  <c r="AL1268" i="1" a="1"/>
  <c r="AL1269" i="1" a="1"/>
  <c r="AL1270" i="1" a="1"/>
  <c r="AL1271" i="1" a="1"/>
  <c r="AL1272" i="1" a="1"/>
  <c r="AL1273" i="1" a="1"/>
  <c r="AL1274" i="1" a="1"/>
  <c r="AL1275" i="1" a="1"/>
  <c r="AL1276" i="1" a="1"/>
  <c r="AL1277" i="1" a="1"/>
  <c r="AL1278" i="1" a="1"/>
  <c r="AL1279" i="1" a="1"/>
  <c r="AL1280" i="1" a="1"/>
  <c r="AL1281" i="1" a="1"/>
  <c r="AL1282" i="1" a="1"/>
  <c r="AL1283" i="1" a="1"/>
  <c r="AL1284" i="1" a="1"/>
  <c r="AL1285" i="1" a="1"/>
  <c r="AL1286" i="1" a="1"/>
  <c r="AL1287" i="1" a="1"/>
  <c r="AL1288" i="1" a="1"/>
  <c r="AL1289" i="1" a="1"/>
  <c r="AL1290" i="1" a="1"/>
  <c r="AL1291" i="1" a="1"/>
  <c r="AL1292" i="1" a="1"/>
  <c r="AL1293" i="1" a="1"/>
  <c r="AL1294" i="1" a="1"/>
  <c r="AL1295" i="1" a="1"/>
  <c r="AL1296" i="1" a="1"/>
  <c r="AL1297" i="1" a="1"/>
  <c r="AL1298" i="1" a="1"/>
  <c r="AL1299" i="1" a="1"/>
  <c r="AL1300" i="1" a="1"/>
  <c r="AL1301" i="1" a="1"/>
  <c r="AL1302" i="1" a="1"/>
  <c r="AL1303" i="1" a="1"/>
  <c r="AL1304" i="1" a="1"/>
  <c r="AL1305" i="1" a="1"/>
  <c r="AL1306" i="1" a="1"/>
  <c r="AL1307" i="1" a="1"/>
  <c r="AL1308" i="1" a="1"/>
  <c r="AL1309" i="1" a="1"/>
  <c r="AL1310" i="1" a="1"/>
  <c r="AL1311" i="1" a="1"/>
  <c r="AL1312" i="1" a="1"/>
  <c r="AL1313" i="1" a="1"/>
  <c r="AL1314" i="1" a="1"/>
  <c r="AL1315" i="1" a="1"/>
  <c r="AL1316" i="1" a="1"/>
  <c r="AL1317" i="1" a="1"/>
  <c r="AL1318" i="1" a="1"/>
  <c r="AL1319" i="1" a="1"/>
  <c r="AL1320" i="1" a="1"/>
  <c r="AL1321" i="1" a="1"/>
  <c r="AL1322" i="1" a="1"/>
  <c r="AL1323" i="1" a="1"/>
  <c r="AL1324" i="1" a="1"/>
  <c r="AL1325" i="1" a="1"/>
  <c r="AL1326" i="1" a="1"/>
  <c r="AL1327" i="1" a="1"/>
  <c r="AL1328" i="1" a="1"/>
  <c r="AL1329" i="1" a="1"/>
  <c r="AL1330" i="1" a="1"/>
  <c r="AL1331" i="1" a="1"/>
  <c r="AL1332" i="1" a="1"/>
  <c r="AL1333" i="1" a="1"/>
  <c r="AL1334" i="1" a="1"/>
  <c r="AL1335" i="1" a="1"/>
  <c r="AL1336" i="1" a="1"/>
  <c r="AL1337" i="1" a="1"/>
  <c r="AL1338" i="1" a="1"/>
  <c r="AL1339" i="1" a="1"/>
  <c r="AL1340" i="1" a="1"/>
  <c r="AL1341" i="1" a="1"/>
  <c r="AL1342" i="1" a="1"/>
  <c r="AL1343" i="1" a="1"/>
  <c r="AL1344" i="1" a="1"/>
  <c r="AL1345" i="1" a="1"/>
  <c r="AL1346" i="1" a="1"/>
  <c r="AL1347" i="1" a="1"/>
  <c r="AL1348" i="1" a="1"/>
  <c r="AL1349" i="1" a="1"/>
  <c r="AL1350" i="1" a="1"/>
  <c r="AL1351" i="1" a="1"/>
  <c r="AL1352" i="1" a="1"/>
  <c r="AL1353" i="1" a="1"/>
  <c r="AL1354" i="1" a="1"/>
  <c r="AL1355" i="1" a="1"/>
  <c r="AL1356" i="1" a="1"/>
  <c r="AL1357" i="1" a="1"/>
  <c r="AL1358" i="1" a="1"/>
  <c r="AL1359" i="1" a="1"/>
  <c r="AL1360" i="1" a="1"/>
  <c r="AL1361" i="1" a="1"/>
  <c r="AL1362" i="1" a="1"/>
  <c r="AL1363" i="1" a="1"/>
  <c r="AL1364" i="1" a="1"/>
  <c r="AL1365" i="1" a="1"/>
  <c r="AL1366" i="1" a="1"/>
  <c r="AL1367" i="1" a="1"/>
  <c r="AL1368" i="1" a="1"/>
  <c r="AL1369" i="1" a="1"/>
  <c r="AL1370" i="1" a="1"/>
  <c r="AL1371" i="1" a="1"/>
  <c r="AL1372" i="1" a="1"/>
  <c r="AL1373" i="1" a="1"/>
  <c r="AL1374" i="1" a="1"/>
  <c r="AL1375" i="1" a="1"/>
  <c r="AL1376" i="1" a="1"/>
  <c r="AL1377" i="1" a="1"/>
  <c r="AL1378" i="1" a="1"/>
  <c r="AL1379" i="1" a="1"/>
  <c r="AL1380" i="1" a="1"/>
  <c r="AL1381" i="1" a="1"/>
  <c r="AL1382" i="1" a="1"/>
  <c r="AL1383" i="1" a="1"/>
  <c r="AL1384" i="1" a="1"/>
  <c r="AL1385" i="1" a="1"/>
  <c r="AL1386" i="1" a="1"/>
  <c r="AL1387" i="1" a="1"/>
  <c r="AL1388" i="1" a="1"/>
  <c r="AL1389" i="1" a="1"/>
  <c r="AL1390" i="1" a="1"/>
  <c r="AL1391" i="1" a="1"/>
  <c r="AL1392" i="1" a="1"/>
  <c r="AL1393" i="1" a="1"/>
  <c r="AL1394" i="1" a="1"/>
  <c r="AL1395" i="1" a="1"/>
  <c r="AL1396" i="1" a="1"/>
  <c r="AL1397" i="1" a="1"/>
  <c r="AL1398" i="1" a="1"/>
  <c r="AL1399" i="1" a="1"/>
  <c r="AL1400" i="1" a="1"/>
  <c r="AL1401" i="1" a="1"/>
  <c r="AL1402" i="1" a="1"/>
  <c r="AL1403" i="1" a="1"/>
  <c r="AL1404" i="1" a="1"/>
  <c r="AL1405" i="1" a="1"/>
  <c r="AL1406" i="1" a="1"/>
  <c r="AL1407" i="1" a="1"/>
  <c r="AL1408" i="1" a="1"/>
  <c r="AL1409" i="1" a="1"/>
  <c r="AL1410" i="1" a="1"/>
  <c r="AL1411" i="1" a="1"/>
  <c r="AL1412" i="1" a="1"/>
  <c r="AL1413" i="1" a="1"/>
  <c r="AL1414" i="1" a="1"/>
  <c r="AL1415" i="1" a="1"/>
  <c r="AL1416" i="1" a="1"/>
  <c r="AL1417" i="1" a="1"/>
  <c r="AL1418" i="1" a="1"/>
  <c r="AL1419" i="1" a="1"/>
  <c r="AL1420" i="1" a="1"/>
  <c r="AL1421" i="1" a="1"/>
  <c r="AL1422" i="1" a="1"/>
  <c r="AL1423" i="1" a="1"/>
  <c r="AL1424" i="1" a="1"/>
  <c r="AL1425" i="1" a="1"/>
  <c r="AL1426" i="1" a="1"/>
  <c r="AL1427" i="1" a="1"/>
  <c r="AL1428" i="1" a="1"/>
  <c r="AL1429" i="1" a="1"/>
  <c r="AL1430" i="1" a="1"/>
  <c r="AL1431" i="1" a="1"/>
  <c r="AL1432" i="1" a="1"/>
  <c r="AL1433" i="1" a="1"/>
  <c r="AL1434" i="1" a="1"/>
  <c r="AL1435" i="1" a="1"/>
  <c r="AL1436" i="1" a="1"/>
  <c r="AL1437" i="1" a="1"/>
  <c r="AL1438" i="1" a="1"/>
  <c r="AL1439" i="1" a="1"/>
  <c r="AL1440" i="1" a="1"/>
  <c r="AL1441" i="1" a="1"/>
  <c r="AL1442" i="1" a="1"/>
  <c r="AL1443" i="1" a="1"/>
  <c r="AL1444" i="1" a="1"/>
  <c r="AL1445" i="1" a="1"/>
  <c r="AL1446" i="1" a="1"/>
  <c r="AL1447" i="1" a="1"/>
  <c r="AL1448" i="1" a="1"/>
  <c r="AL1449" i="1" a="1"/>
  <c r="AL1450" i="1" a="1"/>
  <c r="AL1451" i="1" a="1"/>
  <c r="AL1452" i="1" a="1"/>
  <c r="AL1453" i="1" a="1"/>
  <c r="AL1454" i="1" a="1"/>
  <c r="AL1455" i="1" a="1"/>
  <c r="AL1456" i="1" a="1"/>
  <c r="AL1457" i="1" a="1"/>
  <c r="AL1458" i="1" a="1"/>
  <c r="AL1459" i="1" a="1"/>
  <c r="AL1460" i="1" a="1"/>
  <c r="AL1461" i="1" a="1"/>
  <c r="AL1462" i="1" a="1"/>
  <c r="AL1463" i="1" a="1"/>
  <c r="AL1464" i="1" a="1"/>
  <c r="AL1465" i="1" a="1"/>
  <c r="AL1466" i="1" a="1"/>
  <c r="AL1467" i="1" a="1"/>
  <c r="AL1468" i="1" a="1"/>
  <c r="AL1469" i="1" a="1"/>
  <c r="AL1470" i="1" a="1"/>
  <c r="AL1471" i="1" a="1"/>
  <c r="AK2" i="1" a="1"/>
  <c r="AK3" i="1" a="1"/>
  <c r="AK4" i="1" a="1"/>
  <c r="AK5" i="1" a="1"/>
  <c r="AK6" i="1" a="1"/>
  <c r="AK7" i="1" a="1"/>
  <c r="AK8" i="1" a="1"/>
  <c r="AK9" i="1" a="1"/>
  <c r="AK10" i="1" a="1"/>
  <c r="AK11" i="1" a="1"/>
  <c r="AK12" i="1" a="1"/>
  <c r="AK13" i="1" a="1"/>
  <c r="AK14" i="1" a="1"/>
  <c r="AK15" i="1" a="1"/>
  <c r="AK16" i="1" a="1"/>
  <c r="AK17" i="1" a="1"/>
  <c r="AK18" i="1" a="1"/>
  <c r="AK19" i="1" a="1"/>
  <c r="AK20" i="1" a="1"/>
  <c r="AK21" i="1" a="1"/>
  <c r="AK22" i="1" a="1"/>
  <c r="AK23" i="1" a="1"/>
  <c r="AK24" i="1" a="1"/>
  <c r="AK25" i="1" a="1"/>
  <c r="AK26" i="1" a="1"/>
  <c r="AK27" i="1" a="1"/>
  <c r="AK28" i="1" a="1"/>
  <c r="AK29" i="1" a="1"/>
  <c r="AK30" i="1" a="1"/>
  <c r="AK31" i="1" a="1"/>
  <c r="AK32" i="1" a="1"/>
  <c r="AK33" i="1" a="1"/>
  <c r="AK34" i="1" a="1"/>
  <c r="AK35" i="1" a="1"/>
  <c r="AK36" i="1" a="1"/>
  <c r="AK37" i="1" a="1"/>
  <c r="AK38" i="1" a="1"/>
  <c r="AK39" i="1" a="1"/>
  <c r="AK40" i="1" a="1"/>
  <c r="AK41" i="1" a="1"/>
  <c r="AK42" i="1" a="1"/>
  <c r="AK43" i="1" a="1"/>
  <c r="AK44" i="1" a="1"/>
  <c r="AK45" i="1" a="1"/>
  <c r="AK46" i="1" a="1"/>
  <c r="AK47" i="1" a="1"/>
  <c r="AK48" i="1" a="1"/>
  <c r="AK49" i="1" a="1"/>
  <c r="AK50" i="1" a="1"/>
  <c r="AK51" i="1" a="1"/>
  <c r="AK52" i="1" a="1"/>
  <c r="AK53" i="1" a="1"/>
  <c r="AK54" i="1" a="1"/>
  <c r="AK55" i="1" a="1"/>
  <c r="AK56" i="1" a="1"/>
  <c r="AK57" i="1" a="1"/>
  <c r="AK58" i="1" a="1"/>
  <c r="AK59" i="1" a="1"/>
  <c r="AK60" i="1" a="1"/>
  <c r="AK61" i="1" a="1"/>
  <c r="AK62" i="1" a="1"/>
  <c r="AK63" i="1" a="1"/>
  <c r="AK64" i="1" a="1"/>
  <c r="AK65" i="1" a="1"/>
  <c r="AK66" i="1" a="1"/>
  <c r="AK67" i="1" a="1"/>
  <c r="AK68" i="1" a="1"/>
  <c r="AK69" i="1" a="1"/>
  <c r="AK70" i="1" a="1"/>
  <c r="AK71" i="1" a="1"/>
  <c r="AK72" i="1" a="1"/>
  <c r="AK73" i="1" a="1"/>
  <c r="AK74" i="1" a="1"/>
  <c r="AK75" i="1" a="1"/>
  <c r="AK76" i="1" a="1"/>
  <c r="AK77" i="1" a="1"/>
  <c r="AK78" i="1" a="1"/>
  <c r="AK79" i="1" a="1"/>
  <c r="AK80" i="1" a="1"/>
  <c r="AK81" i="1" a="1"/>
  <c r="AK82" i="1" a="1"/>
  <c r="AK83" i="1" a="1"/>
  <c r="AK84" i="1" a="1"/>
  <c r="AK85" i="1" a="1"/>
  <c r="AK86" i="1" a="1"/>
  <c r="AK87" i="1" a="1"/>
  <c r="AK88" i="1" a="1"/>
  <c r="AK89" i="1" a="1"/>
  <c r="AK90" i="1" a="1"/>
  <c r="AK91" i="1" a="1"/>
  <c r="AK92" i="1" a="1"/>
  <c r="AK93" i="1" a="1"/>
  <c r="AK94" i="1" a="1"/>
  <c r="AK95" i="1" a="1"/>
  <c r="AK96" i="1" a="1"/>
  <c r="AK97" i="1" a="1"/>
  <c r="AK98" i="1" a="1"/>
  <c r="AK99" i="1" a="1"/>
  <c r="AK100" i="1" a="1"/>
  <c r="AK101" i="1" a="1"/>
  <c r="AK102" i="1" a="1"/>
  <c r="AK103" i="1" a="1"/>
  <c r="AK104" i="1" a="1"/>
  <c r="AK105" i="1" a="1"/>
  <c r="AK106" i="1" a="1"/>
  <c r="AK107" i="1" a="1"/>
  <c r="AK108" i="1" a="1"/>
  <c r="AK109" i="1" a="1"/>
  <c r="AK110" i="1" a="1"/>
  <c r="AK111" i="1" a="1"/>
  <c r="AK112" i="1" a="1"/>
  <c r="AK113" i="1" a="1"/>
  <c r="AK114" i="1" a="1"/>
  <c r="AK115" i="1" a="1"/>
  <c r="AK116" i="1" a="1"/>
  <c r="AK117" i="1" a="1"/>
  <c r="AK118" i="1" a="1"/>
  <c r="AK119" i="1" a="1"/>
  <c r="AK120" i="1" a="1"/>
  <c r="AK121" i="1" a="1"/>
  <c r="AK122" i="1" a="1"/>
  <c r="AK123" i="1" a="1"/>
  <c r="AK124" i="1" a="1"/>
  <c r="AK125" i="1" a="1"/>
  <c r="AK126" i="1" a="1"/>
  <c r="AK127" i="1" a="1"/>
  <c r="AK128" i="1" a="1"/>
  <c r="AK129" i="1" a="1"/>
  <c r="AK130" i="1" a="1"/>
  <c r="AK131" i="1" a="1"/>
  <c r="AK132" i="1" a="1"/>
  <c r="AK133" i="1" a="1"/>
  <c r="AK134" i="1" a="1"/>
  <c r="AK135" i="1" a="1"/>
  <c r="AK136" i="1" a="1"/>
  <c r="AK137" i="1" a="1"/>
  <c r="AK138" i="1" a="1"/>
  <c r="AK139" i="1" a="1"/>
  <c r="AK140" i="1" a="1"/>
  <c r="AK141" i="1" a="1"/>
  <c r="AK142" i="1" a="1"/>
  <c r="AK143" i="1" a="1"/>
  <c r="AK144" i="1" a="1"/>
  <c r="AK145" i="1" a="1"/>
  <c r="AK146" i="1" a="1"/>
  <c r="AK147" i="1" a="1"/>
  <c r="AK148" i="1" a="1"/>
  <c r="AK149" i="1" a="1"/>
  <c r="AK150" i="1" a="1"/>
  <c r="AK151" i="1" a="1"/>
  <c r="AK152" i="1" a="1"/>
  <c r="AK153" i="1" a="1"/>
  <c r="AK154" i="1" a="1"/>
  <c r="AK155" i="1" a="1"/>
  <c r="AK156" i="1" a="1"/>
  <c r="AK157" i="1" a="1"/>
  <c r="AK158" i="1" a="1"/>
  <c r="AK159" i="1" a="1"/>
  <c r="AK160" i="1" a="1"/>
  <c r="AK161" i="1" a="1"/>
  <c r="AK162" i="1" a="1"/>
  <c r="AK163" i="1" a="1"/>
  <c r="AK164" i="1" a="1"/>
  <c r="AK165" i="1" a="1"/>
  <c r="AK166" i="1" a="1"/>
  <c r="AK167" i="1" a="1"/>
  <c r="AK168" i="1" a="1"/>
  <c r="AK169" i="1" a="1"/>
  <c r="AK170" i="1" a="1"/>
  <c r="AK171" i="1" a="1"/>
  <c r="AK172" i="1" a="1"/>
  <c r="AK173" i="1" a="1"/>
  <c r="AK174" i="1" a="1"/>
  <c r="AK175" i="1" a="1"/>
  <c r="AK176" i="1" a="1"/>
  <c r="AK177" i="1" a="1"/>
  <c r="AK178" i="1" a="1"/>
  <c r="AK179" i="1" a="1"/>
  <c r="AK180" i="1" a="1"/>
  <c r="AK181" i="1" a="1"/>
  <c r="AK182" i="1" a="1"/>
  <c r="AK183" i="1" a="1"/>
  <c r="AK184" i="1" a="1"/>
  <c r="AK185" i="1" a="1"/>
  <c r="AK186" i="1" a="1"/>
  <c r="AK187" i="1" a="1"/>
  <c r="AK188" i="1" a="1"/>
  <c r="AK189" i="1" a="1"/>
  <c r="AK190" i="1" a="1"/>
  <c r="AK191" i="1" a="1"/>
  <c r="AK192" i="1" a="1"/>
  <c r="AK193" i="1" a="1"/>
  <c r="AK194" i="1" a="1"/>
  <c r="AK195" i="1" a="1"/>
  <c r="AK196" i="1" a="1"/>
  <c r="AK197" i="1" a="1"/>
  <c r="AK198" i="1" a="1"/>
  <c r="AK199" i="1" a="1"/>
  <c r="AK200" i="1" a="1"/>
  <c r="AK201" i="1" a="1"/>
  <c r="AK202" i="1" a="1"/>
  <c r="AK203" i="1" a="1"/>
  <c r="AK204" i="1" a="1"/>
  <c r="AK205" i="1" a="1"/>
  <c r="AK206" i="1" a="1"/>
  <c r="AK207" i="1" a="1"/>
  <c r="AK208" i="1" a="1"/>
  <c r="AK209" i="1" a="1"/>
  <c r="AK210" i="1" a="1"/>
  <c r="AK211" i="1" a="1"/>
  <c r="AK212" i="1" a="1"/>
  <c r="AK213" i="1" a="1"/>
  <c r="AK214" i="1" a="1"/>
  <c r="AK215" i="1" a="1"/>
  <c r="AK216" i="1" a="1"/>
  <c r="AK217" i="1" a="1"/>
  <c r="AK218" i="1" a="1"/>
  <c r="AK219" i="1" a="1"/>
  <c r="AK220" i="1" a="1"/>
  <c r="AK221" i="1" a="1"/>
  <c r="AK222" i="1" a="1"/>
  <c r="AK223" i="1" a="1"/>
  <c r="AK224" i="1" a="1"/>
  <c r="AK225" i="1" a="1"/>
  <c r="AK226" i="1" a="1"/>
  <c r="AK227" i="1" a="1"/>
  <c r="AK228" i="1" a="1"/>
  <c r="AK229" i="1" a="1"/>
  <c r="AK230" i="1" a="1"/>
  <c r="AK231" i="1" a="1"/>
  <c r="AK232" i="1" a="1"/>
  <c r="AK233" i="1" a="1"/>
  <c r="AK234" i="1" a="1"/>
  <c r="AK235" i="1" a="1"/>
  <c r="AK236" i="1" a="1"/>
  <c r="AK237" i="1" a="1"/>
  <c r="AK238" i="1" a="1"/>
  <c r="AK239" i="1" a="1"/>
  <c r="AK240" i="1" a="1"/>
  <c r="AK241" i="1" a="1"/>
  <c r="AK242" i="1" a="1"/>
  <c r="AK243" i="1" a="1"/>
  <c r="AK244" i="1" a="1"/>
  <c r="AK245" i="1" a="1"/>
  <c r="AK246" i="1" a="1"/>
  <c r="AK247" i="1" a="1"/>
  <c r="AK248" i="1" a="1"/>
  <c r="AK249" i="1" a="1"/>
  <c r="AK250" i="1" a="1"/>
  <c r="AK251" i="1" a="1"/>
  <c r="AK252" i="1" a="1"/>
  <c r="AK253" i="1" a="1"/>
  <c r="AK254" i="1" a="1"/>
  <c r="AK255" i="1" a="1"/>
  <c r="AK256" i="1" a="1"/>
  <c r="AK257" i="1" a="1"/>
  <c r="AK258" i="1" a="1"/>
  <c r="AK259" i="1" a="1"/>
  <c r="AK260" i="1" a="1"/>
  <c r="AK261" i="1" a="1"/>
  <c r="AK262" i="1" a="1"/>
  <c r="AK263" i="1" a="1"/>
  <c r="AK264" i="1" a="1"/>
  <c r="AK265" i="1" a="1"/>
  <c r="AK266" i="1" a="1"/>
  <c r="AK267" i="1" a="1"/>
  <c r="AK268" i="1" a="1"/>
  <c r="AK269" i="1" a="1"/>
  <c r="AK270" i="1" a="1"/>
  <c r="AK271" i="1" a="1"/>
  <c r="AK272" i="1" a="1"/>
  <c r="AK273" i="1" a="1"/>
  <c r="AK274" i="1" a="1"/>
  <c r="AK275" i="1" a="1"/>
  <c r="AK276" i="1" a="1"/>
  <c r="AK277" i="1" a="1"/>
  <c r="AK278" i="1" a="1"/>
  <c r="AK279" i="1" a="1"/>
  <c r="AK280" i="1" a="1"/>
  <c r="AK281" i="1" a="1"/>
  <c r="AK282" i="1" a="1"/>
  <c r="AK283" i="1" a="1"/>
  <c r="AK284" i="1" a="1"/>
  <c r="AK285" i="1" a="1"/>
  <c r="AK286" i="1" a="1"/>
  <c r="AK287" i="1" a="1"/>
  <c r="AK288" i="1" a="1"/>
  <c r="AK289" i="1" a="1"/>
  <c r="AK290" i="1" a="1"/>
  <c r="AK291" i="1" a="1"/>
  <c r="AK292" i="1" a="1"/>
  <c r="AK293" i="1" a="1"/>
  <c r="AK294" i="1" a="1"/>
  <c r="AK295" i="1" a="1"/>
  <c r="AK296" i="1" a="1"/>
  <c r="AK297" i="1" a="1"/>
  <c r="AK298" i="1" a="1"/>
  <c r="AK299" i="1" a="1"/>
  <c r="AK300" i="1" a="1"/>
  <c r="AK301" i="1" a="1"/>
  <c r="AK302" i="1" a="1"/>
  <c r="AK303" i="1" a="1"/>
  <c r="AK304" i="1" a="1"/>
  <c r="AK305" i="1" a="1"/>
  <c r="AK306" i="1" a="1"/>
  <c r="AK307" i="1" a="1"/>
  <c r="AK308" i="1" a="1"/>
  <c r="AK309" i="1" a="1"/>
  <c r="AK310" i="1" a="1"/>
  <c r="AK311" i="1" a="1"/>
  <c r="AK312" i="1" a="1"/>
  <c r="AK313" i="1" a="1"/>
  <c r="AK314" i="1" a="1"/>
  <c r="AK315" i="1" a="1"/>
  <c r="AK316" i="1" a="1"/>
  <c r="AK317" i="1" a="1"/>
  <c r="AK318" i="1" a="1"/>
  <c r="AK319" i="1" a="1"/>
  <c r="AK320" i="1" a="1"/>
  <c r="AK321" i="1" a="1"/>
  <c r="AK322" i="1" a="1"/>
  <c r="AK323" i="1" a="1"/>
  <c r="AK324" i="1" a="1"/>
  <c r="AK325" i="1" a="1"/>
  <c r="AK326" i="1" a="1"/>
  <c r="AK327" i="1" a="1"/>
  <c r="AK328" i="1" a="1"/>
  <c r="AK329" i="1" a="1"/>
  <c r="AK330" i="1" a="1"/>
  <c r="AK331" i="1" a="1"/>
  <c r="AK332" i="1" a="1"/>
  <c r="AK333" i="1" a="1"/>
  <c r="AK334" i="1" a="1"/>
  <c r="AK335" i="1" a="1"/>
  <c r="AK336" i="1" a="1"/>
  <c r="AK337" i="1" a="1"/>
  <c r="AK338" i="1" a="1"/>
  <c r="AK339" i="1" a="1"/>
  <c r="AK340" i="1" a="1"/>
  <c r="AK341" i="1" a="1"/>
  <c r="AK342" i="1" a="1"/>
  <c r="AK343" i="1" a="1"/>
  <c r="AK344" i="1" a="1"/>
  <c r="AK345" i="1" a="1"/>
  <c r="AK346" i="1" a="1"/>
  <c r="AK347" i="1" a="1"/>
  <c r="AK348" i="1" a="1"/>
  <c r="AK349" i="1" a="1"/>
  <c r="AK350" i="1" a="1"/>
  <c r="AK351" i="1" a="1"/>
  <c r="AK352" i="1" a="1"/>
  <c r="AK353" i="1" a="1"/>
  <c r="AK354" i="1" a="1"/>
  <c r="AK355" i="1" a="1"/>
  <c r="AK356" i="1" a="1"/>
  <c r="AK357" i="1" a="1"/>
  <c r="AK358" i="1" a="1"/>
  <c r="AK359" i="1" a="1"/>
  <c r="AK360" i="1" a="1"/>
  <c r="AK361" i="1" a="1"/>
  <c r="AK362" i="1" a="1"/>
  <c r="AK363" i="1" a="1"/>
  <c r="AK364" i="1" a="1"/>
  <c r="AK365" i="1" a="1"/>
  <c r="AK366" i="1" a="1"/>
  <c r="AK367" i="1" a="1"/>
  <c r="AK368" i="1" a="1"/>
  <c r="AK369" i="1" a="1"/>
  <c r="AK370" i="1" a="1"/>
  <c r="AK371" i="1" a="1"/>
  <c r="AK372" i="1" a="1"/>
  <c r="AK373" i="1" a="1"/>
  <c r="AK374" i="1" a="1"/>
  <c r="AK375" i="1" a="1"/>
  <c r="AK376" i="1" a="1"/>
  <c r="AK377" i="1" a="1"/>
  <c r="AK378" i="1" a="1"/>
  <c r="AK379" i="1" a="1"/>
  <c r="AK380" i="1" a="1"/>
  <c r="AK381" i="1" a="1"/>
  <c r="AK382" i="1" a="1"/>
  <c r="AK383" i="1" a="1"/>
  <c r="AK384" i="1" a="1"/>
  <c r="AK385" i="1" a="1"/>
  <c r="AK386" i="1" a="1"/>
  <c r="AK387" i="1" a="1"/>
  <c r="AK388" i="1" a="1"/>
  <c r="AK389" i="1" a="1"/>
  <c r="AK390" i="1" a="1"/>
  <c r="AK391" i="1" a="1"/>
  <c r="AK392" i="1" a="1"/>
  <c r="AK393" i="1" a="1"/>
  <c r="AK394" i="1" a="1"/>
  <c r="AK395" i="1" a="1"/>
  <c r="AK396" i="1" a="1"/>
  <c r="AK397" i="1" a="1"/>
  <c r="AK398" i="1" a="1"/>
  <c r="AK399" i="1" a="1"/>
  <c r="AK400" i="1" a="1"/>
  <c r="AK401" i="1" a="1"/>
  <c r="AK402" i="1" a="1"/>
  <c r="AK403" i="1" a="1"/>
  <c r="AK404" i="1" a="1"/>
  <c r="AK405" i="1" a="1"/>
  <c r="AK406" i="1" a="1"/>
  <c r="AK407" i="1" a="1"/>
  <c r="AK408" i="1" a="1"/>
  <c r="AK409" i="1" a="1"/>
  <c r="AK410" i="1" a="1"/>
  <c r="AK411" i="1" a="1"/>
  <c r="AK412" i="1" a="1"/>
  <c r="AK413" i="1" a="1"/>
  <c r="AK414" i="1" a="1"/>
  <c r="AK415" i="1" a="1"/>
  <c r="AK416" i="1" a="1"/>
  <c r="AK417" i="1" a="1"/>
  <c r="AK418" i="1" a="1"/>
  <c r="AK419" i="1" a="1"/>
  <c r="AK420" i="1" a="1"/>
  <c r="AK421" i="1" a="1"/>
  <c r="AK422" i="1" a="1"/>
  <c r="AK423" i="1" a="1"/>
  <c r="AK424" i="1" a="1"/>
  <c r="AK425" i="1" a="1"/>
  <c r="AK426" i="1" a="1"/>
  <c r="AK427" i="1" a="1"/>
  <c r="AK428" i="1" a="1"/>
  <c r="AK429" i="1" a="1"/>
  <c r="AK430" i="1" a="1"/>
  <c r="AK431" i="1" a="1"/>
  <c r="AK432" i="1" a="1"/>
  <c r="AK433" i="1" a="1"/>
  <c r="AK434" i="1" a="1"/>
  <c r="AK435" i="1" a="1"/>
  <c r="AK436" i="1" a="1"/>
  <c r="AK437" i="1" a="1"/>
  <c r="AK438" i="1" a="1"/>
  <c r="AK439" i="1" a="1"/>
  <c r="AK440" i="1" a="1"/>
  <c r="AK441" i="1" a="1"/>
  <c r="AK442" i="1" a="1"/>
  <c r="AK443" i="1" a="1"/>
  <c r="AK444" i="1" a="1"/>
  <c r="AK445" i="1" a="1"/>
  <c r="AK446" i="1" a="1"/>
  <c r="AK447" i="1" a="1"/>
  <c r="AK448" i="1" a="1"/>
  <c r="AK449" i="1" a="1"/>
  <c r="AK450" i="1" a="1"/>
  <c r="AK451" i="1" a="1"/>
  <c r="AK452" i="1" a="1"/>
  <c r="AK453" i="1" a="1"/>
  <c r="AK454" i="1" a="1"/>
  <c r="AK455" i="1" a="1"/>
  <c r="AK456" i="1" a="1"/>
  <c r="AK457" i="1" a="1"/>
  <c r="AK458" i="1" a="1"/>
  <c r="AK459" i="1" a="1"/>
  <c r="AK460" i="1" a="1"/>
  <c r="AK461" i="1" a="1"/>
  <c r="AK462" i="1" a="1"/>
  <c r="AK463" i="1" a="1"/>
  <c r="AK464" i="1" a="1"/>
  <c r="AK465" i="1" a="1"/>
  <c r="AK466" i="1" a="1"/>
  <c r="AK467" i="1" a="1"/>
  <c r="AK468" i="1" a="1"/>
  <c r="AK469" i="1" a="1"/>
  <c r="AK470" i="1" a="1"/>
  <c r="AK471" i="1" a="1"/>
  <c r="AK472" i="1" a="1"/>
  <c r="AK473" i="1" a="1"/>
  <c r="AK474" i="1" a="1"/>
  <c r="AK475" i="1" a="1"/>
  <c r="AK476" i="1" a="1"/>
  <c r="AK477" i="1" a="1"/>
  <c r="AK478" i="1" a="1"/>
  <c r="AK479" i="1" a="1"/>
  <c r="AK480" i="1" a="1"/>
  <c r="AK481" i="1" a="1"/>
  <c r="AK482" i="1" a="1"/>
  <c r="AK483" i="1" a="1"/>
  <c r="AK484" i="1" a="1"/>
  <c r="AK485" i="1" a="1"/>
  <c r="AK486" i="1" a="1"/>
  <c r="AK487" i="1" a="1"/>
  <c r="AK488" i="1" a="1"/>
  <c r="AK489" i="1" a="1"/>
  <c r="AK490" i="1" a="1"/>
  <c r="AK491" i="1" a="1"/>
  <c r="AK492" i="1" a="1"/>
  <c r="AK493" i="1" a="1"/>
  <c r="AK494" i="1" a="1"/>
  <c r="AK495" i="1" a="1"/>
  <c r="AK496" i="1" a="1"/>
  <c r="AK497" i="1" a="1"/>
  <c r="AK498" i="1" a="1"/>
  <c r="AK499" i="1" a="1"/>
  <c r="AK500" i="1" a="1"/>
  <c r="AK501" i="1" a="1"/>
  <c r="AK502" i="1" a="1"/>
  <c r="AK503" i="1" a="1"/>
  <c r="AK504" i="1" a="1"/>
  <c r="AK505" i="1" a="1"/>
  <c r="AK506" i="1" a="1"/>
  <c r="AK507" i="1" a="1"/>
  <c r="AK508" i="1" a="1"/>
  <c r="AK509" i="1" a="1"/>
  <c r="AK510" i="1" a="1"/>
  <c r="AK511" i="1" a="1"/>
  <c r="AK512" i="1" a="1"/>
  <c r="AK513" i="1" a="1"/>
  <c r="AK514" i="1" a="1"/>
  <c r="AK515" i="1" a="1"/>
  <c r="AK516" i="1" a="1"/>
  <c r="AK517" i="1" a="1"/>
  <c r="AK518" i="1" a="1"/>
  <c r="AK519" i="1" a="1"/>
  <c r="AK520" i="1" a="1"/>
  <c r="AK521" i="1" a="1"/>
  <c r="AK522" i="1" a="1"/>
  <c r="AK523" i="1" a="1"/>
  <c r="AK524" i="1" a="1"/>
  <c r="AK525" i="1" a="1"/>
  <c r="AK526" i="1" a="1"/>
  <c r="AK527" i="1" a="1"/>
  <c r="AK528" i="1" a="1"/>
  <c r="AK529" i="1" a="1"/>
  <c r="AK530" i="1" a="1"/>
  <c r="AK531" i="1" a="1"/>
  <c r="AK532" i="1" a="1"/>
  <c r="AK533" i="1" a="1"/>
  <c r="AK534" i="1" a="1"/>
  <c r="AK535" i="1" a="1"/>
  <c r="AK536" i="1" a="1"/>
  <c r="AK537" i="1" a="1"/>
  <c r="AK538" i="1" a="1"/>
  <c r="AK539" i="1" a="1"/>
  <c r="AK540" i="1" a="1"/>
  <c r="AK541" i="1" a="1"/>
  <c r="AK542" i="1" a="1"/>
  <c r="AK543" i="1" a="1"/>
  <c r="AK544" i="1" a="1"/>
  <c r="AK545" i="1" a="1"/>
  <c r="AK546" i="1" a="1"/>
  <c r="AK547" i="1" a="1"/>
  <c r="AK548" i="1" a="1"/>
  <c r="AK549" i="1" a="1"/>
  <c r="AK550" i="1" a="1"/>
  <c r="AK551" i="1" a="1"/>
  <c r="AK552" i="1" a="1"/>
  <c r="AK553" i="1" a="1"/>
  <c r="AK554" i="1" a="1"/>
  <c r="AK555" i="1" a="1"/>
  <c r="AK556" i="1" a="1"/>
  <c r="AK557" i="1" a="1"/>
  <c r="AK558" i="1" a="1"/>
  <c r="AK559" i="1" a="1"/>
  <c r="AK560" i="1" a="1"/>
  <c r="AK561" i="1" a="1"/>
  <c r="AK562" i="1" a="1"/>
  <c r="AK563" i="1" a="1"/>
  <c r="AK564" i="1" a="1"/>
  <c r="AK565" i="1" a="1"/>
  <c r="AK566" i="1" a="1"/>
  <c r="AK567" i="1" a="1"/>
  <c r="AK568" i="1" a="1"/>
  <c r="AK569" i="1" a="1"/>
  <c r="AK570" i="1" a="1"/>
  <c r="AK571" i="1" a="1"/>
  <c r="AK572" i="1" a="1"/>
  <c r="AK573" i="1" a="1"/>
  <c r="AK574" i="1" a="1"/>
  <c r="AK575" i="1" a="1"/>
  <c r="AK576" i="1" a="1"/>
  <c r="AK577" i="1" a="1"/>
  <c r="AK578" i="1" a="1"/>
  <c r="AK579" i="1" a="1"/>
  <c r="AK580" i="1" a="1"/>
  <c r="AK581" i="1" a="1"/>
  <c r="AK582" i="1" a="1"/>
  <c r="AK583" i="1" a="1"/>
  <c r="AK584" i="1" a="1"/>
  <c r="AK585" i="1" a="1"/>
  <c r="AK586" i="1" a="1"/>
  <c r="AK587" i="1" a="1"/>
  <c r="AK588" i="1" a="1"/>
  <c r="AK589" i="1" a="1"/>
  <c r="AK590" i="1" a="1"/>
  <c r="AK591" i="1" a="1"/>
  <c r="AK592" i="1" a="1"/>
  <c r="AK593" i="1" a="1"/>
  <c r="AK594" i="1" a="1"/>
  <c r="AK595" i="1" a="1"/>
  <c r="AK596" i="1" a="1"/>
  <c r="AK597" i="1" a="1"/>
  <c r="AK598" i="1" a="1"/>
  <c r="AK599" i="1" a="1"/>
  <c r="AK600" i="1" a="1"/>
  <c r="AK601" i="1" a="1"/>
  <c r="AK602" i="1" a="1"/>
  <c r="AK603" i="1" a="1"/>
  <c r="AK604" i="1" a="1"/>
  <c r="AK605" i="1" a="1"/>
  <c r="AK606" i="1" a="1"/>
  <c r="AK607" i="1" a="1"/>
  <c r="AK608" i="1" a="1"/>
  <c r="AK609" i="1" a="1"/>
  <c r="AK610" i="1" a="1"/>
  <c r="AK611" i="1" a="1"/>
  <c r="AK612" i="1" a="1"/>
  <c r="AK613" i="1" a="1"/>
  <c r="AK614" i="1" a="1"/>
  <c r="AK615" i="1" a="1"/>
  <c r="AK616" i="1" a="1"/>
  <c r="AK617" i="1" a="1"/>
  <c r="AK618" i="1" a="1"/>
  <c r="AK619" i="1" a="1"/>
  <c r="AK620" i="1" a="1"/>
  <c r="AK621" i="1" a="1"/>
  <c r="AK622" i="1" a="1"/>
  <c r="AK623" i="1" a="1"/>
  <c r="AK624" i="1" a="1"/>
  <c r="AK625" i="1" a="1"/>
  <c r="AK626" i="1" a="1"/>
  <c r="AK627" i="1" a="1"/>
  <c r="AK628" i="1" a="1"/>
  <c r="AK629" i="1" a="1"/>
  <c r="AK630" i="1" a="1"/>
  <c r="AK631" i="1" a="1"/>
  <c r="AK632" i="1" a="1"/>
  <c r="AK633" i="1" a="1"/>
  <c r="AK634" i="1" a="1"/>
  <c r="AK635" i="1" a="1"/>
  <c r="AK636" i="1" a="1"/>
  <c r="AK637" i="1" a="1"/>
  <c r="AK638" i="1" a="1"/>
  <c r="AK639" i="1" a="1"/>
  <c r="AK640" i="1" a="1"/>
  <c r="AK641" i="1" a="1"/>
  <c r="AK642" i="1" a="1"/>
  <c r="AK643" i="1" a="1"/>
  <c r="AK644" i="1" a="1"/>
  <c r="AK645" i="1" a="1"/>
  <c r="AK646" i="1" a="1"/>
  <c r="AK647" i="1" a="1"/>
  <c r="AK648" i="1" a="1"/>
  <c r="AK649" i="1" a="1"/>
  <c r="AK650" i="1" a="1"/>
  <c r="AK651" i="1" a="1"/>
  <c r="AK652" i="1" a="1"/>
  <c r="AK653" i="1" a="1"/>
  <c r="AK654" i="1" a="1"/>
  <c r="AK655" i="1" a="1"/>
  <c r="AK656" i="1" a="1"/>
  <c r="AK657" i="1" a="1"/>
  <c r="AK658" i="1" a="1"/>
  <c r="AK659" i="1" a="1"/>
  <c r="AK660" i="1" a="1"/>
  <c r="AK661" i="1" a="1"/>
  <c r="AK662" i="1" a="1"/>
  <c r="AK663" i="1" a="1"/>
  <c r="AK664" i="1" a="1"/>
  <c r="AK665" i="1" a="1"/>
  <c r="AK666" i="1" a="1"/>
  <c r="AK667" i="1" a="1"/>
  <c r="AK668" i="1" a="1"/>
  <c r="AK669" i="1" a="1"/>
  <c r="AK670" i="1" a="1"/>
  <c r="AK671" i="1" a="1"/>
  <c r="AK672" i="1" a="1"/>
  <c r="AK673" i="1" a="1"/>
  <c r="AK674" i="1" a="1"/>
  <c r="AK675" i="1" a="1"/>
  <c r="AK676" i="1" a="1"/>
  <c r="AK677" i="1" a="1"/>
  <c r="AK678" i="1" a="1"/>
  <c r="AK679" i="1" a="1"/>
  <c r="AK680" i="1" a="1"/>
  <c r="AK681" i="1" a="1"/>
  <c r="AK682" i="1" a="1"/>
  <c r="AK683" i="1" a="1"/>
  <c r="AK684" i="1" a="1"/>
  <c r="AK685" i="1" a="1"/>
  <c r="AK686" i="1" a="1"/>
  <c r="AK687" i="1" a="1"/>
  <c r="AK688" i="1" a="1"/>
  <c r="AK689" i="1" a="1"/>
  <c r="AK690" i="1" a="1"/>
  <c r="AK691" i="1" a="1"/>
  <c r="AK692" i="1" a="1"/>
  <c r="AK693" i="1" a="1"/>
  <c r="AK694" i="1" a="1"/>
  <c r="AK695" i="1" a="1"/>
  <c r="AK696" i="1" a="1"/>
  <c r="AK697" i="1" a="1"/>
  <c r="AK698" i="1" a="1"/>
  <c r="AK699" i="1" a="1"/>
  <c r="AK700" i="1" a="1"/>
  <c r="AK701" i="1" a="1"/>
  <c r="AK702" i="1" a="1"/>
  <c r="AK703" i="1" a="1"/>
  <c r="AK704" i="1" a="1"/>
  <c r="AK705" i="1" a="1"/>
  <c r="AK706" i="1" a="1"/>
  <c r="AK707" i="1" a="1"/>
  <c r="AK708" i="1" a="1"/>
  <c r="AK709" i="1" a="1"/>
  <c r="AK710" i="1" a="1"/>
  <c r="AK711" i="1" a="1"/>
  <c r="AK712" i="1" a="1"/>
  <c r="AK713" i="1" a="1"/>
  <c r="AK714" i="1" a="1"/>
  <c r="AK715" i="1" a="1"/>
  <c r="AK716" i="1" a="1"/>
  <c r="AK717" i="1" a="1"/>
  <c r="AK718" i="1" a="1"/>
  <c r="AK719" i="1" a="1"/>
  <c r="AK720" i="1" a="1"/>
  <c r="AK721" i="1" a="1"/>
  <c r="AK722" i="1" a="1"/>
  <c r="AK723" i="1" a="1"/>
  <c r="AK724" i="1" a="1"/>
  <c r="AK725" i="1" a="1"/>
  <c r="AK726" i="1" a="1"/>
  <c r="AK727" i="1" a="1"/>
  <c r="AK728" i="1" a="1"/>
  <c r="AK729" i="1" a="1"/>
  <c r="AK730" i="1" a="1"/>
  <c r="AK731" i="1" a="1"/>
  <c r="AK732" i="1" a="1"/>
  <c r="AK733" i="1" a="1"/>
  <c r="AK734" i="1" a="1"/>
  <c r="AK735" i="1" a="1"/>
  <c r="AK736" i="1" a="1"/>
  <c r="AK737" i="1" a="1"/>
  <c r="AK738" i="1" a="1"/>
  <c r="AK739" i="1" a="1"/>
  <c r="AK740" i="1" a="1"/>
  <c r="AK741" i="1" a="1"/>
  <c r="AK742" i="1" a="1"/>
  <c r="AK743" i="1" a="1"/>
  <c r="AK744" i="1" a="1"/>
  <c r="AK745" i="1" a="1"/>
  <c r="AK746" i="1" a="1"/>
  <c r="AK747" i="1" a="1"/>
  <c r="AK748" i="1" a="1"/>
  <c r="AK749" i="1" a="1"/>
  <c r="AK750" i="1" a="1"/>
  <c r="AK751" i="1" a="1"/>
  <c r="AK752" i="1" a="1"/>
  <c r="AK753" i="1" a="1"/>
  <c r="AK754" i="1" a="1"/>
  <c r="AK755" i="1" a="1"/>
  <c r="AK756" i="1" a="1"/>
  <c r="AK757" i="1" a="1"/>
  <c r="AK758" i="1" a="1"/>
  <c r="AK759" i="1" a="1"/>
  <c r="AK760" i="1" a="1"/>
  <c r="AK761" i="1" a="1"/>
  <c r="AK762" i="1" a="1"/>
  <c r="AK763" i="1" a="1"/>
  <c r="AK764" i="1" a="1"/>
  <c r="AK765" i="1" a="1"/>
  <c r="AK766" i="1" a="1"/>
  <c r="AK767" i="1" a="1"/>
  <c r="AK768" i="1" a="1"/>
  <c r="AK769" i="1" a="1"/>
  <c r="AK770" i="1" a="1"/>
  <c r="AK771" i="1" a="1"/>
  <c r="AK772" i="1" a="1"/>
  <c r="AK773" i="1" a="1"/>
  <c r="AK774" i="1" a="1"/>
  <c r="AK775" i="1" a="1"/>
  <c r="AK776" i="1" a="1"/>
  <c r="AK777" i="1" a="1"/>
  <c r="AK778" i="1" a="1"/>
  <c r="AK779" i="1" a="1"/>
  <c r="AK780" i="1" a="1"/>
  <c r="AK781" i="1" a="1"/>
  <c r="AK782" i="1" a="1"/>
  <c r="AK783" i="1" a="1"/>
  <c r="AK784" i="1" a="1"/>
  <c r="AK785" i="1" a="1"/>
  <c r="AK786" i="1" a="1"/>
  <c r="AK787" i="1" a="1"/>
  <c r="AK788" i="1" a="1"/>
  <c r="AK789" i="1" a="1"/>
  <c r="AK790" i="1" a="1"/>
  <c r="AK791" i="1" a="1"/>
  <c r="AK792" i="1" a="1"/>
  <c r="AK793" i="1" a="1"/>
  <c r="AK794" i="1" a="1"/>
  <c r="AK795" i="1" a="1"/>
  <c r="AK796" i="1" a="1"/>
  <c r="AK797" i="1" a="1"/>
  <c r="AK798" i="1" a="1"/>
  <c r="AK799" i="1" a="1"/>
  <c r="AK800" i="1" a="1"/>
  <c r="AK801" i="1" a="1"/>
  <c r="AK802" i="1" a="1"/>
  <c r="AK803" i="1" a="1"/>
  <c r="AK804" i="1" a="1"/>
  <c r="AK805" i="1" a="1"/>
  <c r="AK806" i="1" a="1"/>
  <c r="AK807" i="1" a="1"/>
  <c r="AK808" i="1" a="1"/>
  <c r="AK809" i="1" a="1"/>
  <c r="AK810" i="1" a="1"/>
  <c r="AK811" i="1" a="1"/>
  <c r="AK812" i="1" a="1"/>
  <c r="AK813" i="1" a="1"/>
  <c r="AK814" i="1" a="1"/>
  <c r="AK815" i="1" a="1"/>
  <c r="AK816" i="1" a="1"/>
  <c r="AK817" i="1" a="1"/>
  <c r="AK818" i="1" a="1"/>
  <c r="AK819" i="1" a="1"/>
  <c r="AK820" i="1" a="1"/>
  <c r="AK821" i="1" a="1"/>
  <c r="AK822" i="1" a="1"/>
  <c r="AK823" i="1" a="1"/>
  <c r="AK824" i="1" a="1"/>
  <c r="AK825" i="1" a="1"/>
  <c r="AK826" i="1" a="1"/>
  <c r="AK827" i="1" a="1"/>
  <c r="AK828" i="1" a="1"/>
  <c r="AK829" i="1" a="1"/>
  <c r="AK830" i="1" a="1"/>
  <c r="AK831" i="1" a="1"/>
  <c r="AK832" i="1" a="1"/>
  <c r="AK833" i="1" a="1"/>
  <c r="AK834" i="1" a="1"/>
  <c r="AK835" i="1" a="1"/>
  <c r="AK836" i="1" a="1"/>
  <c r="AK837" i="1" a="1"/>
  <c r="AK838" i="1" a="1"/>
  <c r="AK839" i="1" a="1"/>
  <c r="AK840" i="1" a="1"/>
  <c r="AK841" i="1" a="1"/>
  <c r="AK842" i="1" a="1"/>
  <c r="AK843" i="1" a="1"/>
  <c r="AK844" i="1" a="1"/>
  <c r="AK845" i="1" a="1"/>
  <c r="AK846" i="1" a="1"/>
  <c r="AK847" i="1" a="1"/>
  <c r="AK848" i="1" a="1"/>
  <c r="AK849" i="1" a="1"/>
  <c r="AK850" i="1" a="1"/>
  <c r="AK851" i="1" a="1"/>
  <c r="AK852" i="1" a="1"/>
  <c r="AK853" i="1" a="1"/>
  <c r="AK854" i="1" a="1"/>
  <c r="AK855" i="1" a="1"/>
  <c r="AK856" i="1" a="1"/>
  <c r="AK857" i="1" a="1"/>
  <c r="AK858" i="1" a="1"/>
  <c r="AK859" i="1" a="1"/>
  <c r="AK860" i="1" a="1"/>
  <c r="AK861" i="1" a="1"/>
  <c r="AK862" i="1" a="1"/>
  <c r="AK863" i="1" a="1"/>
  <c r="AK864" i="1" a="1"/>
  <c r="AK865" i="1" a="1"/>
  <c r="AK866" i="1" a="1"/>
  <c r="AK867" i="1" a="1"/>
  <c r="AK868" i="1" a="1"/>
  <c r="AK869" i="1" a="1"/>
  <c r="AK870" i="1" a="1"/>
  <c r="AK871" i="1" a="1"/>
  <c r="AK872" i="1" a="1"/>
  <c r="AK873" i="1" a="1"/>
  <c r="AK874" i="1" a="1"/>
  <c r="AK875" i="1" a="1"/>
  <c r="AK876" i="1" a="1"/>
  <c r="AK877" i="1" a="1"/>
  <c r="AK878" i="1" a="1"/>
  <c r="AK879" i="1" a="1"/>
  <c r="AK880" i="1" a="1"/>
  <c r="AK881" i="1" a="1"/>
  <c r="AK882" i="1" a="1"/>
  <c r="AK883" i="1" a="1"/>
  <c r="AK884" i="1" a="1"/>
  <c r="AK885" i="1" a="1"/>
  <c r="AK886" i="1" a="1"/>
  <c r="AK887" i="1" a="1"/>
  <c r="AK888" i="1" a="1"/>
  <c r="AK889" i="1" a="1"/>
  <c r="AK890" i="1" a="1"/>
  <c r="AK891" i="1" a="1"/>
  <c r="AK892" i="1" a="1"/>
  <c r="AK893" i="1" a="1"/>
  <c r="AK894" i="1" a="1"/>
  <c r="AK895" i="1" a="1"/>
  <c r="AK896" i="1" a="1"/>
  <c r="AK897" i="1" a="1"/>
  <c r="AK898" i="1" a="1"/>
  <c r="AK899" i="1" a="1"/>
  <c r="AK900" i="1" a="1"/>
  <c r="AK901" i="1" a="1"/>
  <c r="AK902" i="1" a="1"/>
  <c r="AK903" i="1" a="1"/>
  <c r="AK904" i="1" a="1"/>
  <c r="AK905" i="1" a="1"/>
  <c r="AK906" i="1" a="1"/>
  <c r="AK907" i="1" a="1"/>
  <c r="AK908" i="1" a="1"/>
  <c r="AK909" i="1" a="1"/>
  <c r="AK910" i="1" a="1"/>
  <c r="AK911" i="1" a="1"/>
  <c r="AK912" i="1" a="1"/>
  <c r="AK913" i="1" a="1"/>
  <c r="AK914" i="1" a="1"/>
  <c r="AK915" i="1" a="1"/>
  <c r="AK916" i="1" a="1"/>
  <c r="AK917" i="1" a="1"/>
  <c r="AK918" i="1" a="1"/>
  <c r="AK919" i="1" a="1"/>
  <c r="AK920" i="1" a="1"/>
  <c r="AK921" i="1" a="1"/>
  <c r="AK922" i="1" a="1"/>
  <c r="AK923" i="1" a="1"/>
  <c r="AK924" i="1" a="1"/>
  <c r="AK925" i="1" a="1"/>
  <c r="AK926" i="1" a="1"/>
  <c r="AK927" i="1" a="1"/>
  <c r="AK928" i="1" a="1"/>
  <c r="AK929" i="1" a="1"/>
  <c r="AK930" i="1" a="1"/>
  <c r="AK931" i="1" a="1"/>
  <c r="AK932" i="1" a="1"/>
  <c r="AK933" i="1" a="1"/>
  <c r="AK934" i="1" a="1"/>
  <c r="AK935" i="1" a="1"/>
  <c r="AK936" i="1" a="1"/>
  <c r="AK937" i="1" a="1"/>
  <c r="AK938" i="1" a="1"/>
  <c r="AK939" i="1" a="1"/>
  <c r="AK940" i="1" a="1"/>
  <c r="AK941" i="1" a="1"/>
  <c r="AK942" i="1" a="1"/>
  <c r="AK943" i="1" a="1"/>
  <c r="AK944" i="1" a="1"/>
  <c r="AK945" i="1" a="1"/>
  <c r="AK946" i="1" a="1"/>
  <c r="AK947" i="1" a="1"/>
  <c r="AK948" i="1" a="1"/>
  <c r="AK949" i="1" a="1"/>
  <c r="AK950" i="1" a="1"/>
  <c r="AK951" i="1" a="1"/>
  <c r="AK952" i="1" a="1"/>
  <c r="AK953" i="1" a="1"/>
  <c r="AK954" i="1" a="1"/>
  <c r="AK955" i="1" a="1"/>
  <c r="AK956" i="1" a="1"/>
  <c r="AK957" i="1" a="1"/>
  <c r="AK958" i="1" a="1"/>
  <c r="AK959" i="1" a="1"/>
  <c r="AK960" i="1" a="1"/>
  <c r="AK961" i="1" a="1"/>
  <c r="AK962" i="1" a="1"/>
  <c r="AK963" i="1" a="1"/>
  <c r="AK964" i="1" a="1"/>
  <c r="AK965" i="1" a="1"/>
  <c r="AK966" i="1" a="1"/>
  <c r="AK967" i="1" a="1"/>
  <c r="AK968" i="1" a="1"/>
  <c r="AK969" i="1" a="1"/>
  <c r="AK970" i="1" a="1"/>
  <c r="AK971" i="1" a="1"/>
  <c r="AK972" i="1" a="1"/>
  <c r="AK973" i="1" a="1"/>
  <c r="AK974" i="1" a="1"/>
  <c r="AK975" i="1" a="1"/>
  <c r="AK976" i="1" a="1"/>
  <c r="AK977" i="1" a="1"/>
  <c r="AK978" i="1" a="1"/>
  <c r="AK979" i="1" a="1"/>
  <c r="AK980" i="1" a="1"/>
  <c r="AK981" i="1" a="1"/>
  <c r="AK982" i="1" a="1"/>
  <c r="AK983" i="1" a="1"/>
  <c r="AK984" i="1" a="1"/>
  <c r="AK985" i="1" a="1"/>
  <c r="AK986" i="1" a="1"/>
  <c r="AK987" i="1" a="1"/>
  <c r="AK988" i="1" a="1"/>
  <c r="AK989" i="1" a="1"/>
  <c r="AK990" i="1" a="1"/>
  <c r="AK991" i="1" a="1"/>
  <c r="AK992" i="1" a="1"/>
  <c r="AK993" i="1" a="1"/>
  <c r="AK994" i="1" a="1"/>
  <c r="AK995" i="1" a="1"/>
  <c r="AK996" i="1" a="1"/>
  <c r="AK997" i="1" a="1"/>
  <c r="AK998" i="1" a="1"/>
  <c r="AK999" i="1" a="1"/>
  <c r="AK1000" i="1" a="1"/>
  <c r="AK1001" i="1" a="1"/>
  <c r="AK1002" i="1" a="1"/>
  <c r="AK1003" i="1" a="1"/>
  <c r="AK1004" i="1" a="1"/>
  <c r="AK1005" i="1" a="1"/>
  <c r="AK1006" i="1" a="1"/>
  <c r="AK1007" i="1" a="1"/>
  <c r="AK1008" i="1" a="1"/>
  <c r="AK1009" i="1" a="1"/>
  <c r="AK1010" i="1" a="1"/>
  <c r="AK1011" i="1" a="1"/>
  <c r="AK1012" i="1" a="1"/>
  <c r="AK1013" i="1" a="1"/>
  <c r="AK1014" i="1" a="1"/>
  <c r="AK1015" i="1" a="1"/>
  <c r="AK1016" i="1" a="1"/>
  <c r="AK1017" i="1" a="1"/>
  <c r="AK1018" i="1" a="1"/>
  <c r="AK1019" i="1" a="1"/>
  <c r="AK1020" i="1" a="1"/>
  <c r="AK1021" i="1" a="1"/>
  <c r="AK1022" i="1" a="1"/>
  <c r="AK1023" i="1" a="1"/>
  <c r="AK1024" i="1" a="1"/>
  <c r="AK1025" i="1" a="1"/>
  <c r="AK1026" i="1" a="1"/>
  <c r="AK1027" i="1" a="1"/>
  <c r="AK1028" i="1" a="1"/>
  <c r="AK1029" i="1" a="1"/>
  <c r="AK1030" i="1" a="1"/>
  <c r="AK1031" i="1" a="1"/>
  <c r="AK1032" i="1" a="1"/>
  <c r="AK1033" i="1" a="1"/>
  <c r="AK1034" i="1" a="1"/>
  <c r="AK1035" i="1" a="1"/>
  <c r="AK1036" i="1" a="1"/>
  <c r="AK1037" i="1" a="1"/>
  <c r="AK1038" i="1" a="1"/>
  <c r="AK1039" i="1" a="1"/>
  <c r="AK1040" i="1" a="1"/>
  <c r="AK1041" i="1" a="1"/>
  <c r="AK1042" i="1" a="1"/>
  <c r="AK1043" i="1" a="1"/>
  <c r="AK1044" i="1" a="1"/>
  <c r="AK1045" i="1" a="1"/>
  <c r="AK1046" i="1" a="1"/>
  <c r="AK1047" i="1" a="1"/>
  <c r="AK1048" i="1" a="1"/>
  <c r="AK1049" i="1" a="1"/>
  <c r="AK1050" i="1" a="1"/>
  <c r="AK1051" i="1" a="1"/>
  <c r="AK1052" i="1" a="1"/>
  <c r="AK1053" i="1" a="1"/>
  <c r="AK1054" i="1" a="1"/>
  <c r="AK1055" i="1" a="1"/>
  <c r="AK1056" i="1" a="1"/>
  <c r="AK1057" i="1" a="1"/>
  <c r="AK1058" i="1" a="1"/>
  <c r="AK1059" i="1" a="1"/>
  <c r="AK1060" i="1" a="1"/>
  <c r="AK1061" i="1" a="1"/>
  <c r="AK1062" i="1" a="1"/>
  <c r="AK1063" i="1" a="1"/>
  <c r="AK1064" i="1" a="1"/>
  <c r="AK1065" i="1" a="1"/>
  <c r="AK1066" i="1" a="1"/>
  <c r="AK1067" i="1" a="1"/>
  <c r="AK1068" i="1" a="1"/>
  <c r="AK1069" i="1" a="1"/>
  <c r="AK1070" i="1" a="1"/>
  <c r="AK1071" i="1" a="1"/>
  <c r="AK1072" i="1" a="1"/>
  <c r="AK1073" i="1" a="1"/>
  <c r="AK1074" i="1" a="1"/>
  <c r="AK1075" i="1" a="1"/>
  <c r="AK1076" i="1" a="1"/>
  <c r="AK1077" i="1" a="1"/>
  <c r="AK1078" i="1" a="1"/>
  <c r="AK1079" i="1" a="1"/>
  <c r="AK1080" i="1" a="1"/>
  <c r="AK1081" i="1" a="1"/>
  <c r="AK1082" i="1" a="1"/>
  <c r="AK1083" i="1" a="1"/>
  <c r="AK1084" i="1" a="1"/>
  <c r="AK1085" i="1" a="1"/>
  <c r="AK1086" i="1" a="1"/>
  <c r="AK1087" i="1" a="1"/>
  <c r="AK1088" i="1" a="1"/>
  <c r="AK1089" i="1" a="1"/>
  <c r="AK1090" i="1" a="1"/>
  <c r="AK1091" i="1" a="1"/>
  <c r="AK1092" i="1" a="1"/>
  <c r="AK1093" i="1" a="1"/>
  <c r="AK1094" i="1" a="1"/>
  <c r="AK1095" i="1" a="1"/>
  <c r="AK1096" i="1" a="1"/>
  <c r="AK1097" i="1" a="1"/>
  <c r="AK1098" i="1" a="1"/>
  <c r="AK1099" i="1" a="1"/>
  <c r="AK1100" i="1" a="1"/>
  <c r="AK1101" i="1" a="1"/>
  <c r="AK1102" i="1" a="1"/>
  <c r="AK1103" i="1" a="1"/>
  <c r="AK1104" i="1" a="1"/>
  <c r="AK1105" i="1" a="1"/>
  <c r="AK1106" i="1" a="1"/>
  <c r="AK1107" i="1" a="1"/>
  <c r="AK1108" i="1" a="1"/>
  <c r="AK1109" i="1" a="1"/>
  <c r="AK1110" i="1" a="1"/>
  <c r="AK1111" i="1" a="1"/>
  <c r="AK1112" i="1" a="1"/>
  <c r="AK1113" i="1" a="1"/>
  <c r="AK1114" i="1" a="1"/>
  <c r="AK1115" i="1" a="1"/>
  <c r="AK1116" i="1" a="1"/>
  <c r="AK1117" i="1" a="1"/>
  <c r="AK1118" i="1" a="1"/>
  <c r="AK1119" i="1" a="1"/>
  <c r="AK1120" i="1" a="1"/>
  <c r="AK1121" i="1" a="1"/>
  <c r="AK1122" i="1" a="1"/>
  <c r="AK1123" i="1" a="1"/>
  <c r="AK1124" i="1" a="1"/>
  <c r="AK1125" i="1" a="1"/>
  <c r="AK1126" i="1" a="1"/>
  <c r="AK1127" i="1" a="1"/>
  <c r="AK1128" i="1" a="1"/>
  <c r="AK1129" i="1" a="1"/>
  <c r="AK1130" i="1" a="1"/>
  <c r="AK1131" i="1" a="1"/>
  <c r="AK1132" i="1" a="1"/>
  <c r="AK1133" i="1" a="1"/>
  <c r="AK1134" i="1" a="1"/>
  <c r="AK1135" i="1" a="1"/>
  <c r="AK1136" i="1" a="1"/>
  <c r="AK1137" i="1" a="1"/>
  <c r="AK1138" i="1" a="1"/>
  <c r="AK1139" i="1" a="1"/>
  <c r="AK1140" i="1" a="1"/>
  <c r="AK1141" i="1" a="1"/>
  <c r="AK1142" i="1" a="1"/>
  <c r="AK1143" i="1" a="1"/>
  <c r="AK1144" i="1" a="1"/>
  <c r="AK1145" i="1" a="1"/>
  <c r="AK1146" i="1" a="1"/>
  <c r="AK1147" i="1" a="1"/>
  <c r="AK1148" i="1" a="1"/>
  <c r="AK1149" i="1" a="1"/>
  <c r="AK1150" i="1" a="1"/>
  <c r="AK1151" i="1" a="1"/>
  <c r="AK1152" i="1" a="1"/>
  <c r="AK1153" i="1" a="1"/>
  <c r="AK1154" i="1" a="1"/>
  <c r="AK1155" i="1" a="1"/>
  <c r="AK1156" i="1" a="1"/>
  <c r="AK1157" i="1" a="1"/>
  <c r="AK1158" i="1" a="1"/>
  <c r="AK1159" i="1" a="1"/>
  <c r="AK1160" i="1" a="1"/>
  <c r="AK1161" i="1" a="1"/>
  <c r="AK1162" i="1" a="1"/>
  <c r="AK1163" i="1" a="1"/>
  <c r="AK1164" i="1" a="1"/>
  <c r="AK1165" i="1" a="1"/>
  <c r="AK1166" i="1" a="1"/>
  <c r="AK1167" i="1" a="1"/>
  <c r="AK1168" i="1" a="1"/>
  <c r="AK1169" i="1" a="1"/>
  <c r="AK1170" i="1" a="1"/>
  <c r="AK1171" i="1" a="1"/>
  <c r="AK1172" i="1" a="1"/>
  <c r="AK1173" i="1" a="1"/>
  <c r="AK1174" i="1" a="1"/>
  <c r="AK1175" i="1" a="1"/>
  <c r="AK1176" i="1" a="1"/>
  <c r="AK1177" i="1" a="1"/>
  <c r="AK1178" i="1" a="1"/>
  <c r="AK1179" i="1" a="1"/>
  <c r="AK1180" i="1" a="1"/>
  <c r="AK1181" i="1" a="1"/>
  <c r="AK1182" i="1" a="1"/>
  <c r="AK1183" i="1" a="1"/>
  <c r="AK1184" i="1" a="1"/>
  <c r="AK1185" i="1" a="1"/>
  <c r="AK1186" i="1" a="1"/>
  <c r="AK1187" i="1" a="1"/>
  <c r="AK1188" i="1" a="1"/>
  <c r="AK1189" i="1" a="1"/>
  <c r="AK1190" i="1" a="1"/>
  <c r="AK1191" i="1" a="1"/>
  <c r="AK1192" i="1" a="1"/>
  <c r="AK1193" i="1" a="1"/>
  <c r="AK1194" i="1" a="1"/>
  <c r="AK1195" i="1" a="1"/>
  <c r="AK1196" i="1" a="1"/>
  <c r="AK1197" i="1" a="1"/>
  <c r="AK1198" i="1" a="1"/>
  <c r="AK1199" i="1" a="1"/>
  <c r="AK1200" i="1" a="1"/>
  <c r="AK1201" i="1" a="1"/>
  <c r="AK1202" i="1" a="1"/>
  <c r="AK1203" i="1" a="1"/>
  <c r="AK1204" i="1" a="1"/>
  <c r="AK1205" i="1" a="1"/>
  <c r="AK1206" i="1" a="1"/>
  <c r="AK1207" i="1" a="1"/>
  <c r="AK1208" i="1" a="1"/>
  <c r="AK1209" i="1" a="1"/>
  <c r="AK1210" i="1" a="1"/>
  <c r="AK1211" i="1" a="1"/>
  <c r="AK1212" i="1" a="1"/>
  <c r="AK1213" i="1" a="1"/>
  <c r="AK1214" i="1" a="1"/>
  <c r="AK1215" i="1" a="1"/>
  <c r="AK1216" i="1" a="1"/>
  <c r="AK1217" i="1" a="1"/>
  <c r="AK1218" i="1" a="1"/>
  <c r="AK1219" i="1" a="1"/>
  <c r="AK1220" i="1" a="1"/>
  <c r="AK1221" i="1" a="1"/>
  <c r="AK1222" i="1" a="1"/>
  <c r="AK1223" i="1" a="1"/>
  <c r="AK1224" i="1" a="1"/>
  <c r="AK1225" i="1" a="1"/>
  <c r="AK1226" i="1" a="1"/>
  <c r="AK1227" i="1" a="1"/>
  <c r="AK1228" i="1" a="1"/>
  <c r="AK1229" i="1" a="1"/>
  <c r="AK1230" i="1" a="1"/>
  <c r="AK1231" i="1" a="1"/>
  <c r="AK1232" i="1" a="1"/>
  <c r="AK1233" i="1" a="1"/>
  <c r="AK1234" i="1" a="1"/>
  <c r="AK1235" i="1" a="1"/>
  <c r="AK1236" i="1" a="1"/>
  <c r="AK1237" i="1" a="1"/>
  <c r="AK1238" i="1" a="1"/>
  <c r="AK1239" i="1" a="1"/>
  <c r="AK1240" i="1" a="1"/>
  <c r="AK1241" i="1" a="1"/>
  <c r="AK1242" i="1" a="1"/>
  <c r="AK1243" i="1" a="1"/>
  <c r="AK1244" i="1" a="1"/>
  <c r="AK1245" i="1" a="1"/>
  <c r="AK1246" i="1" a="1"/>
  <c r="AK1247" i="1" a="1"/>
  <c r="AK1248" i="1" a="1"/>
  <c r="AK1249" i="1" a="1"/>
  <c r="AK1250" i="1" a="1"/>
  <c r="AK1251" i="1" a="1"/>
  <c r="AK1252" i="1" a="1"/>
  <c r="AK1253" i="1" a="1"/>
  <c r="AK1254" i="1" a="1"/>
  <c r="AK1255" i="1" a="1"/>
  <c r="AK1256" i="1" a="1"/>
  <c r="AK1257" i="1" a="1"/>
  <c r="AK1258" i="1" a="1"/>
  <c r="AK1259" i="1" a="1"/>
  <c r="AK1260" i="1" a="1"/>
  <c r="AK1261" i="1" a="1"/>
  <c r="AK1262" i="1" a="1"/>
  <c r="AK1263" i="1" a="1"/>
  <c r="AK1264" i="1" a="1"/>
  <c r="AK1265" i="1" a="1"/>
  <c r="AK1266" i="1" a="1"/>
  <c r="AK1267" i="1" a="1"/>
  <c r="AK1268" i="1" a="1"/>
  <c r="AK1269" i="1" a="1"/>
  <c r="AK1270" i="1" a="1"/>
  <c r="AK1271" i="1" a="1"/>
  <c r="AK1272" i="1" a="1"/>
  <c r="AK1273" i="1" a="1"/>
  <c r="AK1274" i="1" a="1"/>
  <c r="AK1275" i="1" a="1"/>
  <c r="AK1276" i="1" a="1"/>
  <c r="AK1277" i="1" a="1"/>
  <c r="AK1278" i="1" a="1"/>
  <c r="AK1279" i="1" a="1"/>
  <c r="AK1280" i="1" a="1"/>
  <c r="AK1281" i="1" a="1"/>
  <c r="AK1282" i="1" a="1"/>
  <c r="AK1283" i="1" a="1"/>
  <c r="AK1284" i="1" a="1"/>
  <c r="AK1285" i="1" a="1"/>
  <c r="AK1286" i="1" a="1"/>
  <c r="AK1287" i="1" a="1"/>
  <c r="AK1288" i="1" a="1"/>
  <c r="AK1289" i="1" a="1"/>
  <c r="AK1290" i="1" a="1"/>
  <c r="AK1291" i="1" a="1"/>
  <c r="AK1292" i="1" a="1"/>
  <c r="AK1293" i="1" a="1"/>
  <c r="AK1294" i="1" a="1"/>
  <c r="AK1295" i="1" a="1"/>
  <c r="AK1296" i="1" a="1"/>
  <c r="AK1297" i="1" a="1"/>
  <c r="AK1298" i="1" a="1"/>
  <c r="AK1299" i="1" a="1"/>
  <c r="AK1300" i="1" a="1"/>
  <c r="AK1301" i="1" a="1"/>
  <c r="AK1302" i="1" a="1"/>
  <c r="AK1303" i="1" a="1"/>
  <c r="AK1304" i="1" a="1"/>
  <c r="AK1305" i="1" a="1"/>
  <c r="AK1306" i="1" a="1"/>
  <c r="AK1307" i="1" a="1"/>
  <c r="AK1308" i="1" a="1"/>
  <c r="AK1309" i="1" a="1"/>
  <c r="AK1310" i="1" a="1"/>
  <c r="AK1311" i="1" a="1"/>
  <c r="AK1312" i="1" a="1"/>
  <c r="AK1313" i="1" a="1"/>
  <c r="AK1314" i="1" a="1"/>
  <c r="AK1315" i="1" a="1"/>
  <c r="AK1316" i="1" a="1"/>
  <c r="AK1317" i="1" a="1"/>
  <c r="AK1318" i="1" a="1"/>
  <c r="AK1319" i="1" a="1"/>
  <c r="AK1320" i="1" a="1"/>
  <c r="AK1321" i="1" a="1"/>
  <c r="AK1322" i="1" a="1"/>
  <c r="AK1323" i="1" a="1"/>
  <c r="AK1324" i="1" a="1"/>
  <c r="AK1325" i="1" a="1"/>
  <c r="AK1326" i="1" a="1"/>
  <c r="AK1327" i="1" a="1"/>
  <c r="AK1328" i="1" a="1"/>
  <c r="AK1329" i="1" a="1"/>
  <c r="AK1330" i="1" a="1"/>
  <c r="AK1331" i="1" a="1"/>
  <c r="AK1332" i="1" a="1"/>
  <c r="AK1333" i="1" a="1"/>
  <c r="AK1334" i="1" a="1"/>
  <c r="AK1335" i="1" a="1"/>
  <c r="AK1336" i="1" a="1"/>
  <c r="AK1337" i="1" a="1"/>
  <c r="AK1338" i="1" a="1"/>
  <c r="AK1339" i="1" a="1"/>
  <c r="AK1340" i="1" a="1"/>
  <c r="AK1341" i="1" a="1"/>
  <c r="AK1342" i="1" a="1"/>
  <c r="AK1343" i="1" a="1"/>
  <c r="AK1344" i="1" a="1"/>
  <c r="AK1345" i="1" a="1"/>
  <c r="AK1346" i="1" a="1"/>
  <c r="AK1347" i="1" a="1"/>
  <c r="AK1348" i="1" a="1"/>
  <c r="AK1349" i="1" a="1"/>
  <c r="AK1350" i="1" a="1"/>
  <c r="AK1351" i="1" a="1"/>
  <c r="AK1352" i="1" a="1"/>
  <c r="AK1353" i="1" a="1"/>
  <c r="AK1354" i="1" a="1"/>
  <c r="AK1355" i="1" a="1"/>
  <c r="AK1356" i="1" a="1"/>
  <c r="AK1357" i="1" a="1"/>
  <c r="AK1358" i="1" a="1"/>
  <c r="AK1359" i="1" a="1"/>
  <c r="AK1360" i="1" a="1"/>
  <c r="AK1361" i="1" a="1"/>
  <c r="AK1362" i="1" a="1"/>
  <c r="AK1363" i="1" a="1"/>
  <c r="AK1364" i="1" a="1"/>
  <c r="AK1365" i="1" a="1"/>
  <c r="AK1366" i="1" a="1"/>
  <c r="AK1367" i="1" a="1"/>
  <c r="AK1368" i="1" a="1"/>
  <c r="AK1369" i="1" a="1"/>
  <c r="AK1370" i="1" a="1"/>
  <c r="AK1371" i="1" a="1"/>
  <c r="AK1372" i="1" a="1"/>
  <c r="AK1373" i="1" a="1"/>
  <c r="AK1374" i="1" a="1"/>
  <c r="AK1375" i="1" a="1"/>
  <c r="AK1376" i="1" a="1"/>
  <c r="AK1377" i="1" a="1"/>
  <c r="AK1378" i="1" a="1"/>
  <c r="AK1379" i="1" a="1"/>
  <c r="AK1380" i="1" a="1"/>
  <c r="AK1381" i="1" a="1"/>
  <c r="AK1382" i="1" a="1"/>
  <c r="AK1383" i="1" a="1"/>
  <c r="AK1384" i="1" a="1"/>
  <c r="AK1385" i="1" a="1"/>
  <c r="AK1386" i="1" a="1"/>
  <c r="AK1387" i="1" a="1"/>
  <c r="AK1388" i="1" a="1"/>
  <c r="AK1389" i="1" a="1"/>
  <c r="AK1390" i="1" a="1"/>
  <c r="AK1391" i="1" a="1"/>
  <c r="AK1392" i="1" a="1"/>
  <c r="AK1393" i="1" a="1"/>
  <c r="AK1394" i="1" a="1"/>
  <c r="AK1395" i="1" a="1"/>
  <c r="AK1396" i="1" a="1"/>
  <c r="AK1397" i="1" a="1"/>
  <c r="AK1398" i="1" a="1"/>
  <c r="AK1399" i="1" a="1"/>
  <c r="AK1400" i="1" a="1"/>
  <c r="AK1401" i="1" a="1"/>
  <c r="AK1402" i="1" a="1"/>
  <c r="AK1403" i="1" a="1"/>
  <c r="AK1404" i="1" a="1"/>
  <c r="AK1405" i="1" a="1"/>
  <c r="AK1406" i="1" a="1"/>
  <c r="AK1407" i="1" a="1"/>
  <c r="AK1408" i="1" a="1"/>
  <c r="AK1409" i="1" a="1"/>
  <c r="AK1410" i="1" a="1"/>
  <c r="AK1411" i="1" a="1"/>
  <c r="AK1412" i="1" a="1"/>
  <c r="AK1413" i="1" a="1"/>
  <c r="AK1414" i="1" a="1"/>
  <c r="AK1415" i="1" a="1"/>
  <c r="AK1416" i="1" a="1"/>
  <c r="AK1417" i="1" a="1"/>
  <c r="AK1418" i="1" a="1"/>
  <c r="AK1419" i="1" a="1"/>
  <c r="AK1420" i="1" a="1"/>
  <c r="AK1421" i="1" a="1"/>
  <c r="AK1422" i="1" a="1"/>
  <c r="AK1423" i="1" a="1"/>
  <c r="AK1424" i="1" a="1"/>
  <c r="AK1425" i="1" a="1"/>
  <c r="AK1426" i="1" a="1"/>
  <c r="AK1427" i="1" a="1"/>
  <c r="AK1428" i="1" a="1"/>
  <c r="AK1429" i="1" a="1"/>
  <c r="AK1430" i="1" a="1"/>
  <c r="AK1431" i="1" a="1"/>
  <c r="AK1432" i="1" a="1"/>
  <c r="AK1433" i="1" a="1"/>
  <c r="AK1434" i="1" a="1"/>
  <c r="AK1435" i="1" a="1"/>
  <c r="AK1436" i="1" a="1"/>
  <c r="AK1437" i="1" a="1"/>
  <c r="AK1438" i="1" a="1"/>
  <c r="AK1439" i="1" a="1"/>
  <c r="AK1440" i="1" a="1"/>
  <c r="AK1441" i="1" a="1"/>
  <c r="AK1442" i="1" a="1"/>
  <c r="AK1443" i="1" a="1"/>
  <c r="AK1444" i="1" a="1"/>
  <c r="AK1445" i="1" a="1"/>
  <c r="AK1446" i="1" a="1"/>
  <c r="AK1447" i="1" a="1"/>
  <c r="AK1448" i="1" a="1"/>
  <c r="AK1449" i="1" a="1"/>
  <c r="AK1450" i="1" a="1"/>
  <c r="AK1451" i="1" a="1"/>
  <c r="AK1452" i="1" a="1"/>
  <c r="AK1453" i="1" a="1"/>
  <c r="AK1454" i="1" a="1"/>
  <c r="AK1455" i="1" a="1"/>
  <c r="AK1456" i="1" a="1"/>
  <c r="AK1457" i="1" a="1"/>
  <c r="AK1458" i="1" a="1"/>
  <c r="AK1459" i="1" a="1"/>
  <c r="AK1460" i="1" a="1"/>
  <c r="AK1461" i="1" a="1"/>
  <c r="AK1462" i="1" a="1"/>
  <c r="AK1463" i="1" a="1"/>
  <c r="AK1464" i="1" a="1"/>
  <c r="AK1465" i="1" a="1"/>
  <c r="AK1466" i="1" a="1"/>
  <c r="AK1467" i="1" a="1"/>
  <c r="AK1468" i="1" a="1"/>
  <c r="AK1469" i="1" a="1"/>
  <c r="AK1470" i="1" a="1"/>
  <c r="AK1471" i="1" a="1"/>
  <c r="AJ2" i="1" a="1"/>
  <c r="AJ3" i="1" a="1"/>
  <c r="AJ4" i="1" a="1"/>
  <c r="AJ5" i="1" a="1"/>
  <c r="AJ6" i="1" a="1"/>
  <c r="AJ7" i="1" a="1"/>
  <c r="AJ8" i="1" a="1"/>
  <c r="AJ9" i="1" a="1"/>
  <c r="AJ10" i="1" a="1"/>
  <c r="AJ11" i="1" a="1"/>
  <c r="AJ12" i="1" a="1"/>
  <c r="AJ13" i="1" a="1"/>
  <c r="AJ14" i="1" a="1"/>
  <c r="AJ15" i="1" a="1"/>
  <c r="AJ16" i="1" a="1"/>
  <c r="AJ17" i="1" a="1"/>
  <c r="AJ18" i="1" a="1"/>
  <c r="AJ19" i="1" a="1"/>
  <c r="AJ20" i="1" a="1"/>
  <c r="AJ21" i="1" a="1"/>
  <c r="AJ22" i="1" a="1"/>
  <c r="AJ23" i="1" a="1"/>
  <c r="AJ24" i="1" a="1"/>
  <c r="AJ25" i="1" a="1"/>
  <c r="AJ26" i="1" a="1"/>
  <c r="AJ27" i="1" a="1"/>
  <c r="AJ28" i="1" a="1"/>
  <c r="AJ29" i="1" a="1"/>
  <c r="AJ30" i="1" a="1"/>
  <c r="AJ31" i="1" a="1"/>
  <c r="AJ32" i="1" a="1"/>
  <c r="AJ33" i="1" a="1"/>
  <c r="AJ34" i="1" a="1"/>
  <c r="AJ35" i="1" a="1"/>
  <c r="AJ36" i="1" a="1"/>
  <c r="AJ37" i="1" a="1"/>
  <c r="AJ38" i="1" a="1"/>
  <c r="AJ39" i="1" a="1"/>
  <c r="AJ40" i="1" a="1"/>
  <c r="AJ41" i="1" a="1"/>
  <c r="AJ42" i="1" a="1"/>
  <c r="AJ43" i="1" a="1"/>
  <c r="AJ44" i="1" a="1"/>
  <c r="AJ45" i="1" a="1"/>
  <c r="AJ46" i="1" a="1"/>
  <c r="AJ47" i="1" a="1"/>
  <c r="AJ48" i="1" a="1"/>
  <c r="AJ49" i="1" a="1"/>
  <c r="AJ50" i="1" a="1"/>
  <c r="AJ51" i="1" a="1"/>
  <c r="AJ52" i="1" a="1"/>
  <c r="AJ53" i="1" a="1"/>
  <c r="AJ54" i="1" a="1"/>
  <c r="AJ55" i="1" a="1"/>
  <c r="AJ56" i="1" a="1"/>
  <c r="AJ57" i="1" a="1"/>
  <c r="AJ58" i="1" a="1"/>
  <c r="AJ59" i="1" a="1"/>
  <c r="AJ60" i="1" a="1"/>
  <c r="AJ61" i="1" a="1"/>
  <c r="AJ62" i="1" a="1"/>
  <c r="AJ63" i="1" a="1"/>
  <c r="AJ64" i="1" a="1"/>
  <c r="AJ65" i="1" a="1"/>
  <c r="AJ66" i="1" a="1"/>
  <c r="AJ67" i="1" a="1"/>
  <c r="AJ68" i="1" a="1"/>
  <c r="AJ69" i="1" a="1"/>
  <c r="AJ70" i="1" a="1"/>
  <c r="AJ71" i="1" a="1"/>
  <c r="AJ72" i="1" a="1"/>
  <c r="AJ73" i="1" a="1"/>
  <c r="AJ74" i="1" a="1"/>
  <c r="AJ75" i="1" a="1"/>
  <c r="AJ76" i="1" a="1"/>
  <c r="AJ77" i="1" a="1"/>
  <c r="AJ78" i="1" a="1"/>
  <c r="AJ79" i="1" a="1"/>
  <c r="AJ80" i="1" a="1"/>
  <c r="AJ81" i="1" a="1"/>
  <c r="AJ82" i="1" a="1"/>
  <c r="AJ83" i="1" a="1"/>
  <c r="AJ84" i="1" a="1"/>
  <c r="AJ85" i="1" a="1"/>
  <c r="AJ86" i="1" a="1"/>
  <c r="AJ87" i="1" a="1"/>
  <c r="AJ88" i="1" a="1"/>
  <c r="AJ89" i="1" a="1"/>
  <c r="AJ90" i="1" a="1"/>
  <c r="AJ91" i="1" a="1"/>
  <c r="AJ92" i="1" a="1"/>
  <c r="AJ93" i="1" a="1"/>
  <c r="AJ94" i="1" a="1"/>
  <c r="AJ95" i="1" a="1"/>
  <c r="AJ96" i="1" a="1"/>
  <c r="AJ97" i="1" a="1"/>
  <c r="AJ98" i="1" a="1"/>
  <c r="AJ99" i="1" a="1"/>
  <c r="AJ100" i="1" a="1"/>
  <c r="AJ101" i="1" a="1"/>
  <c r="AJ102" i="1" a="1"/>
  <c r="AJ103" i="1" a="1"/>
  <c r="AJ104" i="1" a="1"/>
  <c r="AJ105" i="1" a="1"/>
  <c r="AJ106" i="1" a="1"/>
  <c r="AJ107" i="1" a="1"/>
  <c r="AJ108" i="1" a="1"/>
  <c r="AJ109" i="1" a="1"/>
  <c r="AJ110" i="1" a="1"/>
  <c r="AJ111" i="1" a="1"/>
  <c r="AJ112" i="1" a="1"/>
  <c r="AJ113" i="1" a="1"/>
  <c r="AJ114" i="1" a="1"/>
  <c r="AJ115" i="1" a="1"/>
  <c r="AJ116" i="1" a="1"/>
  <c r="AJ117" i="1" a="1"/>
  <c r="AJ118" i="1" a="1"/>
  <c r="AJ119" i="1" a="1"/>
  <c r="AJ120" i="1" a="1"/>
  <c r="AJ121" i="1" a="1"/>
  <c r="AJ122" i="1" a="1"/>
  <c r="AJ123" i="1" a="1"/>
  <c r="AJ124" i="1" a="1"/>
  <c r="AJ125" i="1" a="1"/>
  <c r="AJ126" i="1" a="1"/>
  <c r="AJ127" i="1" a="1"/>
  <c r="AJ128" i="1" a="1"/>
  <c r="AJ129" i="1" a="1"/>
  <c r="AJ130" i="1" a="1"/>
  <c r="AJ131" i="1" a="1"/>
  <c r="AJ132" i="1" a="1"/>
  <c r="AJ133" i="1" a="1"/>
  <c r="AJ134" i="1" a="1"/>
  <c r="AJ135" i="1" a="1"/>
  <c r="AJ136" i="1" a="1"/>
  <c r="AJ137" i="1" a="1"/>
  <c r="AJ138" i="1" a="1"/>
  <c r="AJ139" i="1" a="1"/>
  <c r="AJ140" i="1" a="1"/>
  <c r="AJ141" i="1" a="1"/>
  <c r="AJ142" i="1" a="1"/>
  <c r="AJ143" i="1" a="1"/>
  <c r="AJ144" i="1" a="1"/>
  <c r="AJ145" i="1" a="1"/>
  <c r="AJ146" i="1" a="1"/>
  <c r="AJ147" i="1" a="1"/>
  <c r="AJ148" i="1" a="1"/>
  <c r="AJ149" i="1" a="1"/>
  <c r="AJ150" i="1" a="1"/>
  <c r="AJ151" i="1" a="1"/>
  <c r="AJ152" i="1" a="1"/>
  <c r="AJ153" i="1" a="1"/>
  <c r="AJ154" i="1" a="1"/>
  <c r="AJ155" i="1" a="1"/>
  <c r="AJ156" i="1" a="1"/>
  <c r="AJ157" i="1" a="1"/>
  <c r="AJ158" i="1" a="1"/>
  <c r="AJ159" i="1" a="1"/>
  <c r="AJ160" i="1" a="1"/>
  <c r="AJ161" i="1" a="1"/>
  <c r="AJ162" i="1" a="1"/>
  <c r="AJ163" i="1" a="1"/>
  <c r="AJ164" i="1" a="1"/>
  <c r="AJ165" i="1" a="1"/>
  <c r="AJ166" i="1" a="1"/>
  <c r="AJ167" i="1" a="1"/>
  <c r="AJ168" i="1" a="1"/>
  <c r="AJ169" i="1" a="1"/>
  <c r="AJ170" i="1" a="1"/>
  <c r="AJ171" i="1" a="1"/>
  <c r="AJ172" i="1" a="1"/>
  <c r="AJ173" i="1" a="1"/>
  <c r="AJ174" i="1" a="1"/>
  <c r="AJ175" i="1" a="1"/>
  <c r="AJ176" i="1" a="1"/>
  <c r="AJ177" i="1" a="1"/>
  <c r="AJ178" i="1" a="1"/>
  <c r="AJ179" i="1" a="1"/>
  <c r="AJ180" i="1" a="1"/>
  <c r="AJ181" i="1" a="1"/>
  <c r="AJ182" i="1" a="1"/>
  <c r="AJ183" i="1" a="1"/>
  <c r="AJ184" i="1" a="1"/>
  <c r="AJ185" i="1" a="1"/>
  <c r="AJ186" i="1" a="1"/>
  <c r="AJ187" i="1" a="1"/>
  <c r="AJ188" i="1" a="1"/>
  <c r="AJ189" i="1" a="1"/>
  <c r="AJ190" i="1" a="1"/>
  <c r="AJ191" i="1" a="1"/>
  <c r="AJ192" i="1" a="1"/>
  <c r="AJ193" i="1" a="1"/>
  <c r="AJ194" i="1" a="1"/>
  <c r="AJ195" i="1" a="1"/>
  <c r="AJ196" i="1" a="1"/>
  <c r="AJ197" i="1" a="1"/>
  <c r="AJ198" i="1" a="1"/>
  <c r="AJ199" i="1" a="1"/>
  <c r="AJ200" i="1" a="1"/>
  <c r="AJ201" i="1" a="1"/>
  <c r="AJ202" i="1" a="1"/>
  <c r="AJ203" i="1" a="1"/>
  <c r="AJ204" i="1" a="1"/>
  <c r="AJ205" i="1" a="1"/>
  <c r="AJ206" i="1" a="1"/>
  <c r="AJ207" i="1" a="1"/>
  <c r="AJ208" i="1" a="1"/>
  <c r="AJ209" i="1" a="1"/>
  <c r="AJ210" i="1" a="1"/>
  <c r="AJ211" i="1" a="1"/>
  <c r="AJ212" i="1" a="1"/>
  <c r="AJ213" i="1" a="1"/>
  <c r="AJ214" i="1" a="1"/>
  <c r="AJ215" i="1" a="1"/>
  <c r="AJ216" i="1" a="1"/>
  <c r="AJ217" i="1" a="1"/>
  <c r="AJ218" i="1" a="1"/>
  <c r="AJ219" i="1" a="1"/>
  <c r="AJ220" i="1" a="1"/>
  <c r="AJ221" i="1" a="1"/>
  <c r="AJ222" i="1" a="1"/>
  <c r="AJ223" i="1" a="1"/>
  <c r="AJ224" i="1" a="1"/>
  <c r="AJ225" i="1" a="1"/>
  <c r="AJ226" i="1" a="1"/>
  <c r="AJ227" i="1" a="1"/>
  <c r="AJ228" i="1" a="1"/>
  <c r="AJ229" i="1" a="1"/>
  <c r="AJ230" i="1" a="1"/>
  <c r="AJ231" i="1" a="1"/>
  <c r="AJ232" i="1" a="1"/>
  <c r="AJ233" i="1" a="1"/>
  <c r="AJ234" i="1" a="1"/>
  <c r="AJ235" i="1" a="1"/>
  <c r="AJ236" i="1" a="1"/>
  <c r="AJ237" i="1" a="1"/>
  <c r="AJ238" i="1" a="1"/>
  <c r="AJ239" i="1" a="1"/>
  <c r="AJ240" i="1" a="1"/>
  <c r="AJ241" i="1" a="1"/>
  <c r="AJ242" i="1" a="1"/>
  <c r="AJ243" i="1" a="1"/>
  <c r="AJ244" i="1" a="1"/>
  <c r="AJ245" i="1" a="1"/>
  <c r="AJ246" i="1" a="1"/>
  <c r="AJ247" i="1" a="1"/>
  <c r="AJ248" i="1" a="1"/>
  <c r="AJ249" i="1" a="1"/>
  <c r="AJ250" i="1" a="1"/>
  <c r="AJ251" i="1" a="1"/>
  <c r="AJ252" i="1" a="1"/>
  <c r="AJ253" i="1" a="1"/>
  <c r="AJ254" i="1" a="1"/>
  <c r="AJ255" i="1" a="1"/>
  <c r="AJ256" i="1" a="1"/>
  <c r="AJ257" i="1" a="1"/>
  <c r="AJ258" i="1" a="1"/>
  <c r="AJ259" i="1" a="1"/>
  <c r="AJ260" i="1" a="1"/>
  <c r="AJ261" i="1" a="1"/>
  <c r="AJ262" i="1" a="1"/>
  <c r="AJ263" i="1" a="1"/>
  <c r="AJ264" i="1" a="1"/>
  <c r="AJ265" i="1" a="1"/>
  <c r="AJ266" i="1" a="1"/>
  <c r="AJ267" i="1" a="1"/>
  <c r="AJ268" i="1" a="1"/>
  <c r="AJ269" i="1" a="1"/>
  <c r="AJ270" i="1" a="1"/>
  <c r="AJ271" i="1" a="1"/>
  <c r="AJ272" i="1" a="1"/>
  <c r="AJ273" i="1" a="1"/>
  <c r="AJ274" i="1" a="1"/>
  <c r="AJ275" i="1" a="1"/>
  <c r="AJ276" i="1" a="1"/>
  <c r="AJ277" i="1" a="1"/>
  <c r="AJ278" i="1" a="1"/>
  <c r="AJ279" i="1" a="1"/>
  <c r="AJ280" i="1" a="1"/>
  <c r="AJ281" i="1" a="1"/>
  <c r="AJ282" i="1" a="1"/>
  <c r="AJ283" i="1" a="1"/>
  <c r="AJ284" i="1" a="1"/>
  <c r="AJ285" i="1" a="1"/>
  <c r="AJ286" i="1" a="1"/>
  <c r="AJ287" i="1" a="1"/>
  <c r="AJ288" i="1" a="1"/>
  <c r="AJ289" i="1" a="1"/>
  <c r="AJ290" i="1" a="1"/>
  <c r="AJ291" i="1" a="1"/>
  <c r="AJ292" i="1" a="1"/>
  <c r="AJ293" i="1" a="1"/>
  <c r="AJ294" i="1" a="1"/>
  <c r="AJ295" i="1" a="1"/>
  <c r="AJ296" i="1" a="1"/>
  <c r="AJ297" i="1" a="1"/>
  <c r="AJ298" i="1" a="1"/>
  <c r="AJ299" i="1" a="1"/>
  <c r="AJ300" i="1" a="1"/>
  <c r="AJ301" i="1" a="1"/>
  <c r="AJ302" i="1" a="1"/>
  <c r="AJ303" i="1" a="1"/>
  <c r="AJ304" i="1" a="1"/>
  <c r="AJ305" i="1" a="1"/>
  <c r="AJ306" i="1" a="1"/>
  <c r="AJ307" i="1" a="1"/>
  <c r="AJ308" i="1" a="1"/>
  <c r="AJ309" i="1" a="1"/>
  <c r="AJ310" i="1" a="1"/>
  <c r="AJ311" i="1" a="1"/>
  <c r="AJ312" i="1" a="1"/>
  <c r="AJ313" i="1" a="1"/>
  <c r="AJ314" i="1" a="1"/>
  <c r="AJ315" i="1" a="1"/>
  <c r="AJ316" i="1" a="1"/>
  <c r="AJ317" i="1" a="1"/>
  <c r="AJ318" i="1" a="1"/>
  <c r="AJ319" i="1" a="1"/>
  <c r="AJ320" i="1" a="1"/>
  <c r="AJ321" i="1" a="1"/>
  <c r="AJ322" i="1" a="1"/>
  <c r="AJ323" i="1" a="1"/>
  <c r="AJ324" i="1" a="1"/>
  <c r="AJ325" i="1" a="1"/>
  <c r="AJ326" i="1" a="1"/>
  <c r="AJ327" i="1" a="1"/>
  <c r="AJ328" i="1" a="1"/>
  <c r="AJ329" i="1" a="1"/>
  <c r="AJ330" i="1" a="1"/>
  <c r="AJ331" i="1" a="1"/>
  <c r="AJ332" i="1" a="1"/>
  <c r="AJ333" i="1" a="1"/>
  <c r="AJ334" i="1" a="1"/>
  <c r="AJ335" i="1" a="1"/>
  <c r="AJ336" i="1" a="1"/>
  <c r="AJ337" i="1" a="1"/>
  <c r="AJ338" i="1" a="1"/>
  <c r="AJ339" i="1" a="1"/>
  <c r="AJ340" i="1" a="1"/>
  <c r="AJ341" i="1" a="1"/>
  <c r="AJ342" i="1" a="1"/>
  <c r="AJ343" i="1" a="1"/>
  <c r="AJ344" i="1" a="1"/>
  <c r="AJ345" i="1" a="1"/>
  <c r="AJ346" i="1" a="1"/>
  <c r="AJ347" i="1" a="1"/>
  <c r="AJ348" i="1" a="1"/>
  <c r="AJ349" i="1" a="1"/>
  <c r="AJ350" i="1" a="1"/>
  <c r="AJ351" i="1" a="1"/>
  <c r="AJ352" i="1" a="1"/>
  <c r="AJ353" i="1" a="1"/>
  <c r="AJ354" i="1" a="1"/>
  <c r="AJ355" i="1" a="1"/>
  <c r="AJ356" i="1" a="1"/>
  <c r="AJ357" i="1" a="1"/>
  <c r="AJ358" i="1" a="1"/>
  <c r="AJ359" i="1" a="1"/>
  <c r="AJ360" i="1" a="1"/>
  <c r="AJ361" i="1" a="1"/>
  <c r="AJ362" i="1" a="1"/>
  <c r="AJ363" i="1" a="1"/>
  <c r="AJ364" i="1" a="1"/>
  <c r="AJ365" i="1" a="1"/>
  <c r="AJ366" i="1" a="1"/>
  <c r="AJ367" i="1" a="1"/>
  <c r="AJ368" i="1" a="1"/>
  <c r="AJ369" i="1" a="1"/>
  <c r="AJ370" i="1" a="1"/>
  <c r="AJ371" i="1" a="1"/>
  <c r="AJ372" i="1" a="1"/>
  <c r="AJ373" i="1" a="1"/>
  <c r="AJ374" i="1" a="1"/>
  <c r="AJ375" i="1" a="1"/>
  <c r="AJ376" i="1" a="1"/>
  <c r="AJ377" i="1" a="1"/>
  <c r="AJ378" i="1" a="1"/>
  <c r="AJ379" i="1" a="1"/>
  <c r="AJ380" i="1" a="1"/>
  <c r="AJ381" i="1" a="1"/>
  <c r="AJ382" i="1" a="1"/>
  <c r="AJ383" i="1" a="1"/>
  <c r="AJ384" i="1" a="1"/>
  <c r="AJ385" i="1" a="1"/>
  <c r="AJ386" i="1" a="1"/>
  <c r="AJ387" i="1" a="1"/>
  <c r="AJ388" i="1" a="1"/>
  <c r="AJ389" i="1" a="1"/>
  <c r="AJ390" i="1" a="1"/>
  <c r="AJ391" i="1" a="1"/>
  <c r="AJ392" i="1" a="1"/>
  <c r="AJ393" i="1" a="1"/>
  <c r="AJ394" i="1" a="1"/>
  <c r="AJ395" i="1" a="1"/>
  <c r="AJ396" i="1" a="1"/>
  <c r="AJ397" i="1" a="1"/>
  <c r="AJ398" i="1" a="1"/>
  <c r="AJ399" i="1" a="1"/>
  <c r="AJ400" i="1" a="1"/>
  <c r="AJ401" i="1" a="1"/>
  <c r="AJ402" i="1" a="1"/>
  <c r="AJ403" i="1" a="1"/>
  <c r="AJ404" i="1" a="1"/>
  <c r="AJ405" i="1" a="1"/>
  <c r="AJ406" i="1" a="1"/>
  <c r="AJ407" i="1" a="1"/>
  <c r="AJ408" i="1" a="1"/>
  <c r="AJ409" i="1" a="1"/>
  <c r="AJ410" i="1" a="1"/>
  <c r="AJ411" i="1" a="1"/>
  <c r="AJ412" i="1" a="1"/>
  <c r="AJ413" i="1" a="1"/>
  <c r="AJ414" i="1" a="1"/>
  <c r="AJ415" i="1" a="1"/>
  <c r="AJ416" i="1" a="1"/>
  <c r="AJ417" i="1" a="1"/>
  <c r="AJ418" i="1" a="1"/>
  <c r="AJ419" i="1" a="1"/>
  <c r="AJ420" i="1" a="1"/>
  <c r="AJ421" i="1" a="1"/>
  <c r="AJ422" i="1" a="1"/>
  <c r="AJ423" i="1" a="1"/>
  <c r="AJ424" i="1" a="1"/>
  <c r="AJ425" i="1" a="1"/>
  <c r="AJ426" i="1" a="1"/>
  <c r="AJ427" i="1" a="1"/>
  <c r="AJ428" i="1" a="1"/>
  <c r="AJ429" i="1" a="1"/>
  <c r="AJ430" i="1" a="1"/>
  <c r="AJ431" i="1" a="1"/>
  <c r="AJ432" i="1" a="1"/>
  <c r="AJ433" i="1" a="1"/>
  <c r="AJ434" i="1" a="1"/>
  <c r="AJ435" i="1" a="1"/>
  <c r="AJ436" i="1" a="1"/>
  <c r="AJ437" i="1" a="1"/>
  <c r="AJ438" i="1" a="1"/>
  <c r="AJ439" i="1" a="1"/>
  <c r="AJ440" i="1" a="1"/>
  <c r="AJ441" i="1" a="1"/>
  <c r="AJ442" i="1" a="1"/>
  <c r="AJ443" i="1" a="1"/>
  <c r="AJ444" i="1" a="1"/>
  <c r="AJ445" i="1" a="1"/>
  <c r="AJ446" i="1" a="1"/>
  <c r="AJ447" i="1" a="1"/>
  <c r="AJ448" i="1" a="1"/>
  <c r="AJ449" i="1" a="1"/>
  <c r="AJ450" i="1" a="1"/>
  <c r="AJ451" i="1" a="1"/>
  <c r="AJ452" i="1" a="1"/>
  <c r="AJ453" i="1" a="1"/>
  <c r="AJ454" i="1" a="1"/>
  <c r="AJ455" i="1" a="1"/>
  <c r="AJ456" i="1" a="1"/>
  <c r="AJ457" i="1" a="1"/>
  <c r="AJ458" i="1" a="1"/>
  <c r="AJ459" i="1" a="1"/>
  <c r="AJ460" i="1" a="1"/>
  <c r="AJ461" i="1" a="1"/>
  <c r="AJ462" i="1" a="1"/>
  <c r="AJ463" i="1" a="1"/>
  <c r="AJ464" i="1" a="1"/>
  <c r="AJ465" i="1" a="1"/>
  <c r="AJ466" i="1" a="1"/>
  <c r="AJ467" i="1" a="1"/>
  <c r="AJ468" i="1" a="1"/>
  <c r="AJ469" i="1" a="1"/>
  <c r="AJ470" i="1" a="1"/>
  <c r="AJ471" i="1" a="1"/>
  <c r="AJ472" i="1" a="1"/>
  <c r="AJ473" i="1" a="1"/>
  <c r="AJ474" i="1" a="1"/>
  <c r="AJ475" i="1" a="1"/>
  <c r="AJ476" i="1" a="1"/>
  <c r="AJ477" i="1" a="1"/>
  <c r="AJ478" i="1" a="1"/>
  <c r="AJ479" i="1" a="1"/>
  <c r="AJ480" i="1" a="1"/>
  <c r="AJ481" i="1" a="1"/>
  <c r="AJ482" i="1" a="1"/>
  <c r="AJ483" i="1" a="1"/>
  <c r="AJ484" i="1" a="1"/>
  <c r="AJ485" i="1" a="1"/>
  <c r="AJ486" i="1" a="1"/>
  <c r="AJ487" i="1" a="1"/>
  <c r="AJ488" i="1" a="1"/>
  <c r="AJ489" i="1" a="1"/>
  <c r="AJ490" i="1" a="1"/>
  <c r="AJ491" i="1" a="1"/>
  <c r="AJ492" i="1" a="1"/>
  <c r="AJ493" i="1" a="1"/>
  <c r="AJ494" i="1" a="1"/>
  <c r="AJ495" i="1" a="1"/>
  <c r="AJ496" i="1" a="1"/>
  <c r="AJ497" i="1" a="1"/>
  <c r="AJ498" i="1" a="1"/>
  <c r="AJ499" i="1" a="1"/>
  <c r="AJ500" i="1" a="1"/>
  <c r="AJ501" i="1" a="1"/>
  <c r="AJ502" i="1" a="1"/>
  <c r="AJ503" i="1" a="1"/>
  <c r="AJ504" i="1" a="1"/>
  <c r="AJ505" i="1" a="1"/>
  <c r="AJ506" i="1" a="1"/>
  <c r="AJ507" i="1" a="1"/>
  <c r="AJ508" i="1" a="1"/>
  <c r="AJ509" i="1" a="1"/>
  <c r="AJ510" i="1" a="1"/>
  <c r="AJ511" i="1" a="1"/>
  <c r="AJ512" i="1" a="1"/>
  <c r="AJ513" i="1" a="1"/>
  <c r="AJ514" i="1" a="1"/>
  <c r="AJ515" i="1" a="1"/>
  <c r="AJ516" i="1" a="1"/>
  <c r="AJ517" i="1" a="1"/>
  <c r="AJ518" i="1" a="1"/>
  <c r="AJ519" i="1" a="1"/>
  <c r="AJ520" i="1" a="1"/>
  <c r="AJ521" i="1" a="1"/>
  <c r="AJ522" i="1" a="1"/>
  <c r="AJ523" i="1" a="1"/>
  <c r="AJ524" i="1" a="1"/>
  <c r="AJ525" i="1" a="1"/>
  <c r="AJ526" i="1" a="1"/>
  <c r="AJ527" i="1" a="1"/>
  <c r="AJ528" i="1" a="1"/>
  <c r="AJ529" i="1" a="1"/>
  <c r="AJ530" i="1" a="1"/>
  <c r="AJ531" i="1" a="1"/>
  <c r="AJ532" i="1" a="1"/>
  <c r="AJ533" i="1" a="1"/>
  <c r="AJ534" i="1" a="1"/>
  <c r="AJ535" i="1" a="1"/>
  <c r="AJ536" i="1" a="1"/>
  <c r="AJ537" i="1" a="1"/>
  <c r="AJ538" i="1" a="1"/>
  <c r="AJ539" i="1" a="1"/>
  <c r="AJ540" i="1" a="1"/>
  <c r="AJ541" i="1" a="1"/>
  <c r="AJ542" i="1" a="1"/>
  <c r="AJ543" i="1" a="1"/>
  <c r="AJ544" i="1" a="1"/>
  <c r="AJ545" i="1" a="1"/>
  <c r="AJ546" i="1" a="1"/>
  <c r="AJ547" i="1" a="1"/>
  <c r="AJ548" i="1" a="1"/>
  <c r="AJ549" i="1" a="1"/>
  <c r="AJ550" i="1" a="1"/>
  <c r="AJ551" i="1" a="1"/>
  <c r="AJ552" i="1" a="1"/>
  <c r="AJ553" i="1" a="1"/>
  <c r="AJ554" i="1" a="1"/>
  <c r="AJ555" i="1" a="1"/>
  <c r="AJ556" i="1" a="1"/>
  <c r="AJ557" i="1" a="1"/>
  <c r="AJ558" i="1" a="1"/>
  <c r="AJ559" i="1" a="1"/>
  <c r="AJ560" i="1" a="1"/>
  <c r="AJ561" i="1" a="1"/>
  <c r="AJ562" i="1" a="1"/>
  <c r="AJ563" i="1" a="1"/>
  <c r="AJ564" i="1" a="1"/>
  <c r="AJ565" i="1" a="1"/>
  <c r="AJ566" i="1" a="1"/>
  <c r="AJ567" i="1" a="1"/>
  <c r="AJ568" i="1" a="1"/>
  <c r="AJ569" i="1" a="1"/>
  <c r="AJ570" i="1" a="1"/>
  <c r="AJ571" i="1" a="1"/>
  <c r="AJ572" i="1" a="1"/>
  <c r="AJ573" i="1" a="1"/>
  <c r="AJ574" i="1" a="1"/>
  <c r="AJ575" i="1" a="1"/>
  <c r="AJ576" i="1" a="1"/>
  <c r="AJ577" i="1" a="1"/>
  <c r="AJ578" i="1" a="1"/>
  <c r="AJ579" i="1" a="1"/>
  <c r="AJ580" i="1" a="1"/>
  <c r="AJ581" i="1" a="1"/>
  <c r="AJ582" i="1" a="1"/>
  <c r="AJ583" i="1" a="1"/>
  <c r="AJ584" i="1" a="1"/>
  <c r="AJ585" i="1" a="1"/>
  <c r="AJ586" i="1" a="1"/>
  <c r="AJ587" i="1" a="1"/>
  <c r="AJ588" i="1" a="1"/>
  <c r="AJ589" i="1" a="1"/>
  <c r="AJ590" i="1" a="1"/>
  <c r="AJ591" i="1" a="1"/>
  <c r="AJ592" i="1" a="1"/>
  <c r="AJ593" i="1" a="1"/>
  <c r="AJ594" i="1" a="1"/>
  <c r="AJ595" i="1" a="1"/>
  <c r="AJ596" i="1" a="1"/>
  <c r="AJ597" i="1" a="1"/>
  <c r="AJ598" i="1" a="1"/>
  <c r="AJ599" i="1" a="1"/>
  <c r="AJ600" i="1" a="1"/>
  <c r="AJ601" i="1" a="1"/>
  <c r="AJ602" i="1" a="1"/>
  <c r="AJ603" i="1" a="1"/>
  <c r="AJ604" i="1" a="1"/>
  <c r="AJ605" i="1" a="1"/>
  <c r="AJ606" i="1" a="1"/>
  <c r="AJ607" i="1" a="1"/>
  <c r="AJ608" i="1" a="1"/>
  <c r="AJ609" i="1" a="1"/>
  <c r="AJ610" i="1" a="1"/>
  <c r="AJ611" i="1" a="1"/>
  <c r="AJ612" i="1" a="1"/>
  <c r="AJ613" i="1" a="1"/>
  <c r="AJ614" i="1" a="1"/>
  <c r="AJ615" i="1" a="1"/>
  <c r="AJ616" i="1" a="1"/>
  <c r="AJ617" i="1" a="1"/>
  <c r="AJ618" i="1" a="1"/>
  <c r="AJ619" i="1" a="1"/>
  <c r="AJ620" i="1" a="1"/>
  <c r="AJ621" i="1" a="1"/>
  <c r="AJ622" i="1" a="1"/>
  <c r="AJ623" i="1" a="1"/>
  <c r="AJ624" i="1" a="1"/>
  <c r="AJ625" i="1" a="1"/>
  <c r="AJ626" i="1" a="1"/>
  <c r="AJ627" i="1" a="1"/>
  <c r="AJ628" i="1" a="1"/>
  <c r="AJ629" i="1" a="1"/>
  <c r="AJ630" i="1" a="1"/>
  <c r="AJ631" i="1" a="1"/>
  <c r="AJ632" i="1" a="1"/>
  <c r="AJ633" i="1" a="1"/>
  <c r="AJ634" i="1" a="1"/>
  <c r="AJ635" i="1" a="1"/>
  <c r="AJ636" i="1" a="1"/>
  <c r="AJ637" i="1" a="1"/>
  <c r="AJ638" i="1" a="1"/>
  <c r="AJ639" i="1" a="1"/>
  <c r="AJ640" i="1" a="1"/>
  <c r="AJ641" i="1" a="1"/>
  <c r="AJ642" i="1" a="1"/>
  <c r="AJ643" i="1" a="1"/>
  <c r="AJ644" i="1" a="1"/>
  <c r="AJ645" i="1" a="1"/>
  <c r="AJ646" i="1" a="1"/>
  <c r="AJ647" i="1" a="1"/>
  <c r="AJ648" i="1" a="1"/>
  <c r="AJ649" i="1" a="1"/>
  <c r="AJ650" i="1" a="1"/>
  <c r="AJ651" i="1" a="1"/>
  <c r="AJ652" i="1" a="1"/>
  <c r="AJ653" i="1" a="1"/>
  <c r="AJ654" i="1" a="1"/>
  <c r="AJ655" i="1" a="1"/>
  <c r="AJ656" i="1" a="1"/>
  <c r="AJ657" i="1" a="1"/>
  <c r="AJ658" i="1" a="1"/>
  <c r="AJ659" i="1" a="1"/>
  <c r="AJ660" i="1" a="1"/>
  <c r="AJ661" i="1" a="1"/>
  <c r="AJ662" i="1" a="1"/>
  <c r="AJ663" i="1" a="1"/>
  <c r="AJ664" i="1" a="1"/>
  <c r="AJ665" i="1" a="1"/>
  <c r="AJ666" i="1" a="1"/>
  <c r="AJ667" i="1" a="1"/>
  <c r="AJ668" i="1" a="1"/>
  <c r="AJ669" i="1" a="1"/>
  <c r="AJ670" i="1" a="1"/>
  <c r="AJ671" i="1" a="1"/>
  <c r="AJ672" i="1" a="1"/>
  <c r="AJ673" i="1" a="1"/>
  <c r="AJ674" i="1" a="1"/>
  <c r="AJ675" i="1" a="1"/>
  <c r="AJ676" i="1" a="1"/>
  <c r="AJ677" i="1" a="1"/>
  <c r="AJ678" i="1" a="1"/>
  <c r="AJ679" i="1" a="1"/>
  <c r="AJ680" i="1" a="1"/>
  <c r="AJ681" i="1" a="1"/>
  <c r="AJ682" i="1" a="1"/>
  <c r="AJ683" i="1" a="1"/>
  <c r="AJ684" i="1" a="1"/>
  <c r="AJ685" i="1" a="1"/>
  <c r="AJ686" i="1" a="1"/>
  <c r="AJ687" i="1" a="1"/>
  <c r="AJ688" i="1" a="1"/>
  <c r="AJ689" i="1" a="1"/>
  <c r="AJ690" i="1" a="1"/>
  <c r="AJ691" i="1" a="1"/>
  <c r="AJ692" i="1" a="1"/>
  <c r="AJ693" i="1" a="1"/>
  <c r="AJ694" i="1" a="1"/>
  <c r="AJ695" i="1" a="1"/>
  <c r="AJ696" i="1" a="1"/>
  <c r="AJ697" i="1" a="1"/>
  <c r="AJ698" i="1" a="1"/>
  <c r="AJ699" i="1" a="1"/>
  <c r="AJ700" i="1" a="1"/>
  <c r="AJ701" i="1" a="1"/>
  <c r="AJ702" i="1" a="1"/>
  <c r="AJ703" i="1" a="1"/>
  <c r="AJ704" i="1" a="1"/>
  <c r="AJ705" i="1" a="1"/>
  <c r="AJ706" i="1" a="1"/>
  <c r="AJ707" i="1" a="1"/>
  <c r="AJ708" i="1" a="1"/>
  <c r="AJ709" i="1" a="1"/>
  <c r="AJ710" i="1" a="1"/>
  <c r="AJ711" i="1" a="1"/>
  <c r="AJ712" i="1" a="1"/>
  <c r="AJ713" i="1" a="1"/>
  <c r="AJ714" i="1" a="1"/>
  <c r="AJ715" i="1" a="1"/>
  <c r="AJ716" i="1" a="1"/>
  <c r="AJ717" i="1" a="1"/>
  <c r="AJ718" i="1" a="1"/>
  <c r="AJ719" i="1" a="1"/>
  <c r="AJ720" i="1" a="1"/>
  <c r="AJ721" i="1" a="1"/>
  <c r="AJ722" i="1" a="1"/>
  <c r="AJ723" i="1" a="1"/>
  <c r="AJ724" i="1" a="1"/>
  <c r="AJ725" i="1" a="1"/>
  <c r="AJ726" i="1" a="1"/>
  <c r="AJ727" i="1" a="1"/>
  <c r="AJ728" i="1" a="1"/>
  <c r="AJ729" i="1" a="1"/>
  <c r="AJ730" i="1" a="1"/>
  <c r="AJ731" i="1" a="1"/>
  <c r="AJ732" i="1" a="1"/>
  <c r="AJ733" i="1" a="1"/>
  <c r="AJ734" i="1" a="1"/>
  <c r="AJ735" i="1" a="1"/>
  <c r="AJ736" i="1" a="1"/>
  <c r="AJ737" i="1" a="1"/>
  <c r="AJ738" i="1" a="1"/>
  <c r="AJ739" i="1" a="1"/>
  <c r="AJ740" i="1" a="1"/>
  <c r="AJ741" i="1" a="1"/>
  <c r="AJ742" i="1" a="1"/>
  <c r="AJ743" i="1" a="1"/>
  <c r="AJ744" i="1" a="1"/>
  <c r="AJ745" i="1" a="1"/>
  <c r="AJ746" i="1" a="1"/>
  <c r="AJ747" i="1" a="1"/>
  <c r="AJ748" i="1" a="1"/>
  <c r="AJ749" i="1" a="1"/>
  <c r="AJ750" i="1" a="1"/>
  <c r="AJ751" i="1" a="1"/>
  <c r="AJ752" i="1" a="1"/>
  <c r="AJ753" i="1" a="1"/>
  <c r="AJ754" i="1" a="1"/>
  <c r="AJ755" i="1" a="1"/>
  <c r="AJ756" i="1" a="1"/>
  <c r="AJ757" i="1" a="1"/>
  <c r="AJ758" i="1" a="1"/>
  <c r="AJ759" i="1" a="1"/>
  <c r="AJ760" i="1" a="1"/>
  <c r="AJ761" i="1" a="1"/>
  <c r="AJ762" i="1" a="1"/>
  <c r="AJ763" i="1" a="1"/>
  <c r="AJ764" i="1" a="1"/>
  <c r="AJ765" i="1" a="1"/>
  <c r="AJ766" i="1" a="1"/>
  <c r="AJ767" i="1" a="1"/>
  <c r="AJ768" i="1" a="1"/>
  <c r="AJ769" i="1" a="1"/>
  <c r="AJ770" i="1" a="1"/>
  <c r="AJ771" i="1" a="1"/>
  <c r="AJ772" i="1" a="1"/>
  <c r="AJ773" i="1" a="1"/>
  <c r="AJ774" i="1" a="1"/>
  <c r="AJ775" i="1" a="1"/>
  <c r="AJ776" i="1" a="1"/>
  <c r="AJ777" i="1" a="1"/>
  <c r="AJ778" i="1" a="1"/>
  <c r="AJ779" i="1" a="1"/>
  <c r="AJ780" i="1" a="1"/>
  <c r="AJ781" i="1" a="1"/>
  <c r="AJ782" i="1" a="1"/>
  <c r="AJ783" i="1" a="1"/>
  <c r="AJ784" i="1" a="1"/>
  <c r="AJ785" i="1" a="1"/>
  <c r="AJ786" i="1" a="1"/>
  <c r="AJ787" i="1" a="1"/>
  <c r="AJ788" i="1" a="1"/>
  <c r="AJ789" i="1" a="1"/>
  <c r="AJ790" i="1" a="1"/>
  <c r="AJ791" i="1" a="1"/>
  <c r="AJ792" i="1" a="1"/>
  <c r="AJ793" i="1" a="1"/>
  <c r="AJ794" i="1" a="1"/>
  <c r="AJ795" i="1" a="1"/>
  <c r="AJ796" i="1" a="1"/>
  <c r="AJ797" i="1" a="1"/>
  <c r="AJ798" i="1" a="1"/>
  <c r="AJ799" i="1" a="1"/>
  <c r="AJ800" i="1" a="1"/>
  <c r="AJ801" i="1" a="1"/>
  <c r="AJ802" i="1" a="1"/>
  <c r="AJ803" i="1" a="1"/>
  <c r="AJ804" i="1" a="1"/>
  <c r="AJ805" i="1" a="1"/>
  <c r="AJ806" i="1" a="1"/>
  <c r="AJ807" i="1" a="1"/>
  <c r="AJ808" i="1" a="1"/>
  <c r="AJ809" i="1" a="1"/>
  <c r="AJ810" i="1" a="1"/>
  <c r="AJ811" i="1" a="1"/>
  <c r="AJ812" i="1" a="1"/>
  <c r="AJ813" i="1" a="1"/>
  <c r="AJ814" i="1" a="1"/>
  <c r="AJ815" i="1" a="1"/>
  <c r="AJ816" i="1" a="1"/>
  <c r="AJ817" i="1" a="1"/>
  <c r="AJ818" i="1" a="1"/>
  <c r="AJ819" i="1" a="1"/>
  <c r="AJ820" i="1" a="1"/>
  <c r="AJ821" i="1" a="1"/>
  <c r="AJ822" i="1" a="1"/>
  <c r="AJ823" i="1" a="1"/>
  <c r="AJ824" i="1" a="1"/>
  <c r="AJ825" i="1" a="1"/>
  <c r="AJ826" i="1" a="1"/>
  <c r="AJ827" i="1" a="1"/>
  <c r="AJ828" i="1" a="1"/>
  <c r="AJ829" i="1" a="1"/>
  <c r="AJ830" i="1" a="1"/>
  <c r="AJ831" i="1" a="1"/>
  <c r="AJ832" i="1" a="1"/>
  <c r="AJ833" i="1" a="1"/>
  <c r="AJ834" i="1" a="1"/>
  <c r="AJ835" i="1" a="1"/>
  <c r="AJ836" i="1" a="1"/>
  <c r="AJ837" i="1" a="1"/>
  <c r="AJ838" i="1" a="1"/>
  <c r="AJ839" i="1" a="1"/>
  <c r="AJ840" i="1" a="1"/>
  <c r="AJ841" i="1" a="1"/>
  <c r="AJ842" i="1" a="1"/>
  <c r="AJ843" i="1" a="1"/>
  <c r="AJ844" i="1" a="1"/>
  <c r="AJ845" i="1" a="1"/>
  <c r="AJ846" i="1" a="1"/>
  <c r="AJ847" i="1" a="1"/>
  <c r="AJ848" i="1" a="1"/>
  <c r="AJ849" i="1" a="1"/>
  <c r="AJ850" i="1" a="1"/>
  <c r="AJ851" i="1" a="1"/>
  <c r="AJ852" i="1" a="1"/>
  <c r="AJ853" i="1" a="1"/>
  <c r="AJ854" i="1" a="1"/>
  <c r="AJ855" i="1" a="1"/>
  <c r="AJ856" i="1" a="1"/>
  <c r="AJ857" i="1" a="1"/>
  <c r="AJ858" i="1" a="1"/>
  <c r="AJ859" i="1" a="1"/>
  <c r="AJ860" i="1" a="1"/>
  <c r="AJ861" i="1" a="1"/>
  <c r="AJ862" i="1" a="1"/>
  <c r="AJ863" i="1" a="1"/>
  <c r="AJ864" i="1" a="1"/>
  <c r="AJ865" i="1" a="1"/>
  <c r="AJ866" i="1" a="1"/>
  <c r="AJ867" i="1" a="1"/>
  <c r="AJ868" i="1" a="1"/>
  <c r="AJ869" i="1" a="1"/>
  <c r="AJ870" i="1" a="1"/>
  <c r="AJ871" i="1" a="1"/>
  <c r="AJ872" i="1" a="1"/>
  <c r="AJ873" i="1" a="1"/>
  <c r="AJ874" i="1" a="1"/>
  <c r="AJ875" i="1" a="1"/>
  <c r="AJ876" i="1" a="1"/>
  <c r="AJ877" i="1" a="1"/>
  <c r="AJ878" i="1" a="1"/>
  <c r="AJ879" i="1" a="1"/>
  <c r="AJ880" i="1" a="1"/>
  <c r="AJ881" i="1" a="1"/>
  <c r="AJ882" i="1" a="1"/>
  <c r="AJ883" i="1" a="1"/>
  <c r="AJ884" i="1" a="1"/>
  <c r="AJ885" i="1" a="1"/>
  <c r="AJ886" i="1" a="1"/>
  <c r="AJ887" i="1" a="1"/>
  <c r="AJ888" i="1" a="1"/>
  <c r="AJ889" i="1" a="1"/>
  <c r="AJ890" i="1" a="1"/>
  <c r="AJ891" i="1" a="1"/>
  <c r="AJ892" i="1" a="1"/>
  <c r="AJ893" i="1" a="1"/>
  <c r="AJ894" i="1" a="1"/>
  <c r="AJ895" i="1" a="1"/>
  <c r="AJ896" i="1" a="1"/>
  <c r="AJ897" i="1" a="1"/>
  <c r="AJ898" i="1" a="1"/>
  <c r="AJ899" i="1" a="1"/>
  <c r="AJ900" i="1" a="1"/>
  <c r="AJ901" i="1" a="1"/>
  <c r="AJ902" i="1" a="1"/>
  <c r="AJ903" i="1" a="1"/>
  <c r="AJ904" i="1" a="1"/>
  <c r="AJ905" i="1" a="1"/>
  <c r="AJ906" i="1" a="1"/>
  <c r="AJ907" i="1" a="1"/>
  <c r="AJ908" i="1" a="1"/>
  <c r="AJ909" i="1" a="1"/>
  <c r="AJ910" i="1" a="1"/>
  <c r="AJ911" i="1" a="1"/>
  <c r="AJ912" i="1" a="1"/>
  <c r="AJ913" i="1" a="1"/>
  <c r="AJ914" i="1" a="1"/>
  <c r="AJ915" i="1" a="1"/>
  <c r="AJ916" i="1" a="1"/>
  <c r="AJ917" i="1" a="1"/>
  <c r="AJ918" i="1" a="1"/>
  <c r="AJ919" i="1" a="1"/>
  <c r="AJ920" i="1" a="1"/>
  <c r="AJ921" i="1" a="1"/>
  <c r="AJ922" i="1" a="1"/>
  <c r="AJ923" i="1" a="1"/>
  <c r="AJ924" i="1" a="1"/>
  <c r="AJ925" i="1" a="1"/>
  <c r="AJ926" i="1" a="1"/>
  <c r="AJ927" i="1" a="1"/>
  <c r="AJ928" i="1" a="1"/>
  <c r="AJ929" i="1" a="1"/>
  <c r="AJ930" i="1" a="1"/>
  <c r="AJ931" i="1" a="1"/>
  <c r="AJ932" i="1" a="1"/>
  <c r="AJ933" i="1" a="1"/>
  <c r="AJ934" i="1" a="1"/>
  <c r="AJ935" i="1" a="1"/>
  <c r="AJ936" i="1" a="1"/>
  <c r="AJ937" i="1" a="1"/>
  <c r="AJ938" i="1" a="1"/>
  <c r="AJ939" i="1" a="1"/>
  <c r="AJ940" i="1" a="1"/>
  <c r="AJ941" i="1" a="1"/>
  <c r="AJ942" i="1" a="1"/>
  <c r="AJ943" i="1" a="1"/>
  <c r="AJ944" i="1" a="1"/>
  <c r="AJ945" i="1" a="1"/>
  <c r="AJ946" i="1" a="1"/>
  <c r="AJ947" i="1" a="1"/>
  <c r="AJ948" i="1" a="1"/>
  <c r="AJ949" i="1" a="1"/>
  <c r="AJ950" i="1" a="1"/>
  <c r="AJ951" i="1" a="1"/>
  <c r="AJ952" i="1" a="1"/>
  <c r="AJ953" i="1" a="1"/>
  <c r="AJ954" i="1" a="1"/>
  <c r="AJ955" i="1" a="1"/>
  <c r="AJ956" i="1" a="1"/>
  <c r="AJ957" i="1" a="1"/>
  <c r="AJ958" i="1" a="1"/>
  <c r="AJ959" i="1" a="1"/>
  <c r="AJ960" i="1" a="1"/>
  <c r="AJ961" i="1" a="1"/>
  <c r="AJ962" i="1" a="1"/>
  <c r="AJ963" i="1" a="1"/>
  <c r="AJ964" i="1" a="1"/>
  <c r="AJ965" i="1" a="1"/>
  <c r="AJ966" i="1" a="1"/>
  <c r="AJ967" i="1" a="1"/>
  <c r="AJ968" i="1" a="1"/>
  <c r="AJ969" i="1" a="1"/>
  <c r="AJ970" i="1" a="1"/>
  <c r="AJ971" i="1" a="1"/>
  <c r="AJ972" i="1" a="1"/>
  <c r="AJ973" i="1" a="1"/>
  <c r="AJ974" i="1" a="1"/>
  <c r="AJ975" i="1" a="1"/>
  <c r="AJ976" i="1" a="1"/>
  <c r="AJ977" i="1" a="1"/>
  <c r="AJ978" i="1" a="1"/>
  <c r="AJ979" i="1" a="1"/>
  <c r="AJ980" i="1" a="1"/>
  <c r="AJ981" i="1" a="1"/>
  <c r="AJ982" i="1" a="1"/>
  <c r="AJ983" i="1" a="1"/>
  <c r="AJ984" i="1" a="1"/>
  <c r="AJ985" i="1" a="1"/>
  <c r="AJ986" i="1" a="1"/>
  <c r="AJ987" i="1" a="1"/>
  <c r="AJ988" i="1" a="1"/>
  <c r="AJ989" i="1" a="1"/>
  <c r="AJ990" i="1" a="1"/>
  <c r="AJ991" i="1" a="1"/>
  <c r="AJ992" i="1" a="1"/>
  <c r="AJ993" i="1" a="1"/>
  <c r="AJ994" i="1" a="1"/>
  <c r="AJ995" i="1" a="1"/>
  <c r="AJ996" i="1" a="1"/>
  <c r="AJ997" i="1" a="1"/>
  <c r="AJ998" i="1" a="1"/>
  <c r="AJ999" i="1" a="1"/>
  <c r="AJ1000" i="1" a="1"/>
  <c r="AJ1001" i="1" a="1"/>
  <c r="AJ1002" i="1" a="1"/>
  <c r="AJ1003" i="1" a="1"/>
  <c r="AJ1004" i="1" a="1"/>
  <c r="AJ1005" i="1" a="1"/>
  <c r="AJ1006" i="1" a="1"/>
  <c r="AJ1007" i="1" a="1"/>
  <c r="AJ1008" i="1" a="1"/>
  <c r="AJ1009" i="1" a="1"/>
  <c r="AJ1010" i="1" a="1"/>
  <c r="AJ1011" i="1" a="1"/>
  <c r="AJ1012" i="1" a="1"/>
  <c r="AJ1013" i="1" a="1"/>
  <c r="AJ1014" i="1" a="1"/>
  <c r="AJ1015" i="1" a="1"/>
  <c r="AJ1016" i="1" a="1"/>
  <c r="AJ1017" i="1" a="1"/>
  <c r="AJ1018" i="1" a="1"/>
  <c r="AJ1019" i="1" a="1"/>
  <c r="AJ1020" i="1" a="1"/>
  <c r="AJ1021" i="1" a="1"/>
  <c r="AJ1022" i="1" a="1"/>
  <c r="AJ1023" i="1" a="1"/>
  <c r="AJ1024" i="1" a="1"/>
  <c r="AJ1025" i="1" a="1"/>
  <c r="AJ1026" i="1" a="1"/>
  <c r="AJ1027" i="1" a="1"/>
  <c r="AJ1028" i="1" a="1"/>
  <c r="AJ1029" i="1" a="1"/>
  <c r="AJ1030" i="1" a="1"/>
  <c r="AJ1031" i="1" a="1"/>
  <c r="AJ1032" i="1" a="1"/>
  <c r="AJ1033" i="1" a="1"/>
  <c r="AJ1034" i="1" a="1"/>
  <c r="AJ1035" i="1" a="1"/>
  <c r="AJ1036" i="1" a="1"/>
  <c r="AJ1037" i="1" a="1"/>
  <c r="AJ1038" i="1" a="1"/>
  <c r="AJ1039" i="1" a="1"/>
  <c r="AJ1040" i="1" a="1"/>
  <c r="AJ1041" i="1" a="1"/>
  <c r="AJ1042" i="1" a="1"/>
  <c r="AJ1043" i="1" a="1"/>
  <c r="AJ1044" i="1" a="1"/>
  <c r="AJ1045" i="1" a="1"/>
  <c r="AJ1046" i="1" a="1"/>
  <c r="AJ1047" i="1" a="1"/>
  <c r="AJ1048" i="1" a="1"/>
  <c r="AJ1049" i="1" a="1"/>
  <c r="AJ1050" i="1" a="1"/>
  <c r="AJ1051" i="1" a="1"/>
  <c r="AJ1052" i="1" a="1"/>
  <c r="AJ1053" i="1" a="1"/>
  <c r="AJ1054" i="1" a="1"/>
  <c r="AJ1055" i="1" a="1"/>
  <c r="AJ1056" i="1" a="1"/>
  <c r="AJ1057" i="1" a="1"/>
  <c r="AJ1058" i="1" a="1"/>
  <c r="AJ1059" i="1" a="1"/>
  <c r="AJ1060" i="1" a="1"/>
  <c r="AJ1061" i="1" a="1"/>
  <c r="AJ1062" i="1" a="1"/>
  <c r="AJ1063" i="1" a="1"/>
  <c r="AJ1064" i="1" a="1"/>
  <c r="AJ1065" i="1" a="1"/>
  <c r="AJ1066" i="1" a="1"/>
  <c r="AJ1067" i="1" a="1"/>
  <c r="AJ1068" i="1" a="1"/>
  <c r="AJ1069" i="1" a="1"/>
  <c r="AJ1070" i="1" a="1"/>
  <c r="AJ1071" i="1" a="1"/>
  <c r="AJ1072" i="1" a="1"/>
  <c r="AJ1073" i="1" a="1"/>
  <c r="AJ1074" i="1" a="1"/>
  <c r="AJ1075" i="1" a="1"/>
  <c r="AJ1076" i="1" a="1"/>
  <c r="AJ1077" i="1" a="1"/>
  <c r="AJ1078" i="1" a="1"/>
  <c r="AJ1079" i="1" a="1"/>
  <c r="AJ1080" i="1" a="1"/>
  <c r="AJ1081" i="1" a="1"/>
  <c r="AJ1082" i="1" a="1"/>
  <c r="AJ1083" i="1" a="1"/>
  <c r="AJ1084" i="1" a="1"/>
  <c r="AJ1085" i="1" a="1"/>
  <c r="AJ1086" i="1" a="1"/>
  <c r="AJ1087" i="1" a="1"/>
  <c r="AJ1088" i="1" a="1"/>
  <c r="AJ1089" i="1" a="1"/>
  <c r="AJ1090" i="1" a="1"/>
  <c r="AJ1091" i="1" a="1"/>
  <c r="AJ1092" i="1" a="1"/>
  <c r="AJ1093" i="1" a="1"/>
  <c r="AJ1094" i="1" a="1"/>
  <c r="AJ1095" i="1" a="1"/>
  <c r="AJ1096" i="1" a="1"/>
  <c r="AJ1097" i="1" a="1"/>
  <c r="AJ1098" i="1" a="1"/>
  <c r="AJ1099" i="1" a="1"/>
  <c r="AJ1100" i="1" a="1"/>
  <c r="AJ1101" i="1" a="1"/>
  <c r="AJ1102" i="1" a="1"/>
  <c r="AJ1103" i="1" a="1"/>
  <c r="AJ1104" i="1" a="1"/>
  <c r="AJ1105" i="1" a="1"/>
  <c r="AJ1106" i="1" a="1"/>
  <c r="AJ1107" i="1" a="1"/>
  <c r="AJ1108" i="1" a="1"/>
  <c r="AJ1109" i="1" a="1"/>
  <c r="AJ1110" i="1" a="1"/>
  <c r="AJ1111" i="1" a="1"/>
  <c r="AJ1112" i="1" a="1"/>
  <c r="AJ1113" i="1" a="1"/>
  <c r="AJ1114" i="1" a="1"/>
  <c r="AJ1115" i="1" a="1"/>
  <c r="AJ1116" i="1" a="1"/>
  <c r="AJ1117" i="1" a="1"/>
  <c r="AJ1118" i="1" a="1"/>
  <c r="AJ1119" i="1" a="1"/>
  <c r="AJ1120" i="1" a="1"/>
  <c r="AJ1121" i="1" a="1"/>
  <c r="AJ1122" i="1" a="1"/>
  <c r="AJ1123" i="1" a="1"/>
  <c r="AJ1124" i="1" a="1"/>
  <c r="AJ1125" i="1" a="1"/>
  <c r="AJ1126" i="1" a="1"/>
  <c r="AJ1127" i="1" a="1"/>
  <c r="AJ1128" i="1" a="1"/>
  <c r="AJ1129" i="1" a="1"/>
  <c r="AJ1130" i="1" a="1"/>
  <c r="AJ1131" i="1" a="1"/>
  <c r="AJ1132" i="1" a="1"/>
  <c r="AJ1133" i="1" a="1"/>
  <c r="AJ1134" i="1" a="1"/>
  <c r="AJ1135" i="1" a="1"/>
  <c r="AJ1136" i="1" a="1"/>
  <c r="AJ1137" i="1" a="1"/>
  <c r="AJ1138" i="1" a="1"/>
  <c r="AJ1139" i="1" a="1"/>
  <c r="AJ1140" i="1" a="1"/>
  <c r="AJ1141" i="1" a="1"/>
  <c r="AJ1142" i="1" a="1"/>
  <c r="AJ1143" i="1" a="1"/>
  <c r="AJ1144" i="1" a="1"/>
  <c r="AJ1145" i="1" a="1"/>
  <c r="AJ1146" i="1" a="1"/>
  <c r="AJ1147" i="1" a="1"/>
  <c r="AJ1148" i="1" a="1"/>
  <c r="AJ1149" i="1" a="1"/>
  <c r="AJ1150" i="1" a="1"/>
  <c r="AJ1151" i="1" a="1"/>
  <c r="AJ1152" i="1" a="1"/>
  <c r="AJ1153" i="1" a="1"/>
  <c r="AJ1154" i="1" a="1"/>
  <c r="AJ1155" i="1" a="1"/>
  <c r="AJ1156" i="1" a="1"/>
  <c r="AJ1157" i="1" a="1"/>
  <c r="AJ1158" i="1" a="1"/>
  <c r="AJ1159" i="1" a="1"/>
  <c r="AJ1160" i="1" a="1"/>
  <c r="AJ1161" i="1" a="1"/>
  <c r="AJ1162" i="1" a="1"/>
  <c r="AJ1163" i="1" a="1"/>
  <c r="AJ1164" i="1" a="1"/>
  <c r="AJ1165" i="1" a="1"/>
  <c r="AJ1166" i="1" a="1"/>
  <c r="AJ1167" i="1" a="1"/>
  <c r="AJ1168" i="1" a="1"/>
  <c r="AJ1169" i="1" a="1"/>
  <c r="AJ1170" i="1" a="1"/>
  <c r="AJ1171" i="1" a="1"/>
  <c r="AJ1172" i="1" a="1"/>
  <c r="AJ1173" i="1" a="1"/>
  <c r="AJ1174" i="1" a="1"/>
  <c r="AJ1175" i="1" a="1"/>
  <c r="AJ1176" i="1" a="1"/>
  <c r="AJ1177" i="1" a="1"/>
  <c r="AJ1178" i="1" a="1"/>
  <c r="AJ1179" i="1" a="1"/>
  <c r="AJ1180" i="1" a="1"/>
  <c r="AJ1181" i="1" a="1"/>
  <c r="AJ1182" i="1" a="1"/>
  <c r="AJ1183" i="1" a="1"/>
  <c r="AJ1184" i="1" a="1"/>
  <c r="AJ1185" i="1" a="1"/>
  <c r="AJ1186" i="1" a="1"/>
  <c r="AJ1187" i="1" a="1"/>
  <c r="AJ1188" i="1" a="1"/>
  <c r="AJ1189" i="1" a="1"/>
  <c r="AJ1190" i="1" a="1"/>
  <c r="AJ1191" i="1" a="1"/>
  <c r="AJ1192" i="1" a="1"/>
  <c r="AJ1193" i="1" a="1"/>
  <c r="AJ1194" i="1" a="1"/>
  <c r="AJ1195" i="1" a="1"/>
  <c r="AJ1196" i="1" a="1"/>
  <c r="AJ1197" i="1" a="1"/>
  <c r="AJ1198" i="1" a="1"/>
  <c r="AJ1199" i="1" a="1"/>
  <c r="AJ1200" i="1" a="1"/>
  <c r="AJ1201" i="1" a="1"/>
  <c r="AJ1202" i="1" a="1"/>
  <c r="AJ1203" i="1" a="1"/>
  <c r="AJ1204" i="1" a="1"/>
  <c r="AJ1205" i="1" a="1"/>
  <c r="AJ1206" i="1" a="1"/>
  <c r="AJ1207" i="1" a="1"/>
  <c r="AJ1208" i="1" a="1"/>
  <c r="AJ1209" i="1" a="1"/>
  <c r="AJ1210" i="1" a="1"/>
  <c r="AJ1211" i="1" a="1"/>
  <c r="AJ1212" i="1" a="1"/>
  <c r="AJ1213" i="1" a="1"/>
  <c r="AJ1214" i="1" a="1"/>
  <c r="AJ1215" i="1" a="1"/>
  <c r="AJ1216" i="1" a="1"/>
  <c r="AJ1217" i="1" a="1"/>
  <c r="AJ1218" i="1" a="1"/>
  <c r="AJ1219" i="1" a="1"/>
  <c r="AJ1220" i="1" a="1"/>
  <c r="AJ1221" i="1" a="1"/>
  <c r="AJ1222" i="1" a="1"/>
  <c r="AJ1223" i="1" a="1"/>
  <c r="AJ1224" i="1" a="1"/>
  <c r="AJ1225" i="1" a="1"/>
  <c r="AJ1226" i="1" a="1"/>
  <c r="AJ1227" i="1" a="1"/>
  <c r="AJ1228" i="1" a="1"/>
  <c r="AJ1229" i="1" a="1"/>
  <c r="AJ1230" i="1" a="1"/>
  <c r="AJ1231" i="1" a="1"/>
  <c r="AJ1232" i="1" a="1"/>
  <c r="AJ1233" i="1" a="1"/>
  <c r="AJ1234" i="1" a="1"/>
  <c r="AJ1235" i="1" a="1"/>
  <c r="AJ1236" i="1" a="1"/>
  <c r="AJ1237" i="1" a="1"/>
  <c r="AJ1238" i="1" a="1"/>
  <c r="AJ1239" i="1" a="1"/>
  <c r="AJ1240" i="1" a="1"/>
  <c r="AJ1241" i="1" a="1"/>
  <c r="AJ1242" i="1" a="1"/>
  <c r="AJ1243" i="1" a="1"/>
  <c r="AJ1244" i="1" a="1"/>
  <c r="AJ1245" i="1" a="1"/>
  <c r="AJ1246" i="1" a="1"/>
  <c r="AJ1247" i="1" a="1"/>
  <c r="AJ1248" i="1" a="1"/>
  <c r="AJ1249" i="1" a="1"/>
  <c r="AJ1250" i="1" a="1"/>
  <c r="AJ1251" i="1" a="1"/>
  <c r="AJ1252" i="1" a="1"/>
  <c r="AJ1253" i="1" a="1"/>
  <c r="AJ1254" i="1" a="1"/>
  <c r="AJ1255" i="1" a="1"/>
  <c r="AJ1256" i="1" a="1"/>
  <c r="AJ1257" i="1" a="1"/>
  <c r="AJ1258" i="1" a="1"/>
  <c r="AJ1259" i="1" a="1"/>
  <c r="AJ1260" i="1" a="1"/>
  <c r="AJ1261" i="1" a="1"/>
  <c r="AJ1262" i="1" a="1"/>
  <c r="AJ1263" i="1" a="1"/>
  <c r="AJ1264" i="1" a="1"/>
  <c r="AJ1265" i="1" a="1"/>
  <c r="AJ1266" i="1" a="1"/>
  <c r="AJ1267" i="1" a="1"/>
  <c r="AJ1268" i="1" a="1"/>
  <c r="AJ1269" i="1" a="1"/>
  <c r="AJ1270" i="1" a="1"/>
  <c r="AJ1271" i="1" a="1"/>
  <c r="AJ1272" i="1" a="1"/>
  <c r="AJ1273" i="1" a="1"/>
  <c r="AJ1274" i="1" a="1"/>
  <c r="AJ1275" i="1" a="1"/>
  <c r="AJ1276" i="1" a="1"/>
  <c r="AJ1277" i="1" a="1"/>
  <c r="AJ1278" i="1" a="1"/>
  <c r="AJ1279" i="1" a="1"/>
  <c r="AJ1280" i="1" a="1"/>
  <c r="AJ1281" i="1" a="1"/>
  <c r="AJ1282" i="1" a="1"/>
  <c r="AJ1283" i="1" a="1"/>
  <c r="AJ1284" i="1" a="1"/>
  <c r="AJ1285" i="1" a="1"/>
  <c r="AJ1286" i="1" a="1"/>
  <c r="AJ1287" i="1" a="1"/>
  <c r="AJ1288" i="1" a="1"/>
  <c r="AJ1289" i="1" a="1"/>
  <c r="AJ1290" i="1" a="1"/>
  <c r="AJ1291" i="1" a="1"/>
  <c r="AJ1292" i="1" a="1"/>
  <c r="AJ1293" i="1" a="1"/>
  <c r="AJ1294" i="1" a="1"/>
  <c r="AJ1295" i="1" a="1"/>
  <c r="AJ1296" i="1" a="1"/>
  <c r="AJ1297" i="1" a="1"/>
  <c r="AJ1298" i="1" a="1"/>
  <c r="AJ1299" i="1" a="1"/>
  <c r="AJ1300" i="1" a="1"/>
  <c r="AJ1301" i="1" a="1"/>
  <c r="AJ1302" i="1" a="1"/>
  <c r="AJ1303" i="1" a="1"/>
  <c r="AJ1304" i="1" a="1"/>
  <c r="AJ1305" i="1" a="1"/>
  <c r="AJ1306" i="1" a="1"/>
  <c r="AJ1307" i="1" a="1"/>
  <c r="AJ1308" i="1" a="1"/>
  <c r="AJ1309" i="1" a="1"/>
  <c r="AJ1310" i="1" a="1"/>
  <c r="AJ1311" i="1" a="1"/>
  <c r="AJ1312" i="1" a="1"/>
  <c r="AJ1313" i="1" a="1"/>
  <c r="AJ1314" i="1" a="1"/>
  <c r="AJ1315" i="1" a="1"/>
  <c r="AJ1316" i="1" a="1"/>
  <c r="AJ1317" i="1" a="1"/>
  <c r="AJ1318" i="1" a="1"/>
  <c r="AJ1319" i="1" a="1"/>
  <c r="AJ1320" i="1" a="1"/>
  <c r="AJ1321" i="1" a="1"/>
  <c r="AJ1322" i="1" a="1"/>
  <c r="AJ1323" i="1" a="1"/>
  <c r="AJ1324" i="1" a="1"/>
  <c r="AJ1325" i="1" a="1"/>
  <c r="AJ1326" i="1" a="1"/>
  <c r="AJ1327" i="1" a="1"/>
  <c r="AJ1328" i="1" a="1"/>
  <c r="AJ1329" i="1" a="1"/>
  <c r="AJ1330" i="1" a="1"/>
  <c r="AJ1331" i="1" a="1"/>
  <c r="AJ1332" i="1" a="1"/>
  <c r="AJ1333" i="1" a="1"/>
  <c r="AJ1334" i="1" a="1"/>
  <c r="AJ1335" i="1" a="1"/>
  <c r="AJ1336" i="1" a="1"/>
  <c r="AJ1337" i="1" a="1"/>
  <c r="AJ1338" i="1" a="1"/>
  <c r="AJ1339" i="1" a="1"/>
  <c r="AJ1340" i="1" a="1"/>
  <c r="AJ1341" i="1" a="1"/>
  <c r="AJ1342" i="1" a="1"/>
  <c r="AJ1343" i="1" a="1"/>
  <c r="AJ1344" i="1" a="1"/>
  <c r="AJ1345" i="1" a="1"/>
  <c r="AJ1346" i="1" a="1"/>
  <c r="AJ1347" i="1" a="1"/>
  <c r="AJ1348" i="1" a="1"/>
  <c r="AJ1349" i="1" a="1"/>
  <c r="AJ1350" i="1" a="1"/>
  <c r="AJ1351" i="1" a="1"/>
  <c r="AJ1352" i="1" a="1"/>
  <c r="AJ1353" i="1" a="1"/>
  <c r="AJ1354" i="1" a="1"/>
  <c r="AJ1355" i="1" a="1"/>
  <c r="AJ1356" i="1" a="1"/>
  <c r="AJ1357" i="1" a="1"/>
  <c r="AJ1358" i="1" a="1"/>
  <c r="AJ1359" i="1" a="1"/>
  <c r="AJ1360" i="1" a="1"/>
  <c r="AJ1361" i="1" a="1"/>
  <c r="AJ1362" i="1" a="1"/>
  <c r="AJ1363" i="1" a="1"/>
  <c r="AJ1364" i="1" a="1"/>
  <c r="AJ1365" i="1" a="1"/>
  <c r="AJ1366" i="1" a="1"/>
  <c r="AJ1367" i="1" a="1"/>
  <c r="AJ1368" i="1" a="1"/>
  <c r="AJ1369" i="1" a="1"/>
  <c r="AJ1370" i="1" a="1"/>
  <c r="AJ1371" i="1" a="1"/>
  <c r="AJ1372" i="1" a="1"/>
  <c r="AJ1373" i="1" a="1"/>
  <c r="AJ1374" i="1" a="1"/>
  <c r="AJ1375" i="1" a="1"/>
  <c r="AJ1376" i="1" a="1"/>
  <c r="AJ1377" i="1" a="1"/>
  <c r="AJ1378" i="1" a="1"/>
  <c r="AJ1379" i="1" a="1"/>
  <c r="AJ1380" i="1" a="1"/>
  <c r="AJ1381" i="1" a="1"/>
  <c r="AJ1382" i="1" a="1"/>
  <c r="AJ1383" i="1" a="1"/>
  <c r="AJ1384" i="1" a="1"/>
  <c r="AJ1385" i="1" a="1"/>
  <c r="AJ1386" i="1" a="1"/>
  <c r="AJ1387" i="1" a="1"/>
  <c r="AJ1388" i="1" a="1"/>
  <c r="AJ1389" i="1" a="1"/>
  <c r="AJ1390" i="1" a="1"/>
  <c r="AJ1391" i="1" a="1"/>
  <c r="AJ1392" i="1" a="1"/>
  <c r="AJ1393" i="1" a="1"/>
  <c r="AJ1394" i="1" a="1"/>
  <c r="AJ1395" i="1" a="1"/>
  <c r="AJ1396" i="1" a="1"/>
  <c r="AJ1397" i="1" a="1"/>
  <c r="AJ1398" i="1" a="1"/>
  <c r="AJ1399" i="1" a="1"/>
  <c r="AJ1400" i="1" a="1"/>
  <c r="AJ1401" i="1" a="1"/>
  <c r="AJ1402" i="1" a="1"/>
  <c r="AJ1403" i="1" a="1"/>
  <c r="AJ1404" i="1" a="1"/>
  <c r="AJ1405" i="1" a="1"/>
  <c r="AJ1406" i="1" a="1"/>
  <c r="AJ1407" i="1" a="1"/>
  <c r="AJ1408" i="1" a="1"/>
  <c r="AJ1409" i="1" a="1"/>
  <c r="AJ1410" i="1" a="1"/>
  <c r="AJ1411" i="1" a="1"/>
  <c r="AJ1412" i="1" a="1"/>
  <c r="AJ1413" i="1" a="1"/>
  <c r="AJ1414" i="1" a="1"/>
  <c r="AJ1415" i="1" a="1"/>
  <c r="AJ1416" i="1" a="1"/>
  <c r="AJ1417" i="1" a="1"/>
  <c r="AJ1418" i="1" a="1"/>
  <c r="AJ1419" i="1" a="1"/>
  <c r="AJ1420" i="1" a="1"/>
  <c r="AJ1421" i="1" a="1"/>
  <c r="AJ1422" i="1" a="1"/>
  <c r="AJ1423" i="1" a="1"/>
  <c r="AJ1424" i="1" a="1"/>
  <c r="AJ1425" i="1" a="1"/>
  <c r="AJ1426" i="1" a="1"/>
  <c r="AJ1427" i="1" a="1"/>
  <c r="AJ1428" i="1" a="1"/>
  <c r="AJ1429" i="1" a="1"/>
  <c r="AJ1430" i="1" a="1"/>
  <c r="AJ1431" i="1" a="1"/>
  <c r="AJ1432" i="1" a="1"/>
  <c r="AJ1433" i="1" a="1"/>
  <c r="AJ1434" i="1" a="1"/>
  <c r="AJ1435" i="1" a="1"/>
  <c r="AJ1436" i="1" a="1"/>
  <c r="AJ1437" i="1" a="1"/>
  <c r="AJ1438" i="1" a="1"/>
  <c r="AJ1439" i="1" a="1"/>
  <c r="AJ1440" i="1" a="1"/>
  <c r="AJ1441" i="1" a="1"/>
  <c r="AJ1442" i="1" a="1"/>
  <c r="AJ1443" i="1" a="1"/>
  <c r="AJ1444" i="1" a="1"/>
  <c r="AJ1445" i="1" a="1"/>
  <c r="AJ1446" i="1" a="1"/>
  <c r="AJ1447" i="1" a="1"/>
  <c r="AJ1448" i="1" a="1"/>
  <c r="AJ1449" i="1" a="1"/>
  <c r="AJ1450" i="1" a="1"/>
  <c r="AJ1451" i="1" a="1"/>
  <c r="AJ1452" i="1" a="1"/>
  <c r="AJ1453" i="1" a="1"/>
  <c r="AJ1454" i="1" a="1"/>
  <c r="AJ1455" i="1" a="1"/>
  <c r="AJ1456" i="1" a="1"/>
  <c r="AJ1457" i="1" a="1"/>
  <c r="AJ1458" i="1" a="1"/>
  <c r="AJ1459" i="1" a="1"/>
  <c r="AJ1460" i="1" a="1"/>
  <c r="AJ1461" i="1" a="1"/>
  <c r="AJ1462" i="1" a="1"/>
  <c r="AJ1463" i="1" a="1"/>
  <c r="AJ1464" i="1" a="1"/>
  <c r="AJ1465" i="1" a="1"/>
  <c r="AJ1466" i="1" a="1"/>
  <c r="AJ1467" i="1" a="1"/>
  <c r="AJ1468" i="1" a="1"/>
  <c r="AJ1469" i="1" a="1"/>
  <c r="AJ1470" i="1" a="1"/>
  <c r="AJ1471" i="1" a="1"/>
  <c r="H71" i="7" l="1"/>
  <c r="H72" i="7"/>
  <c r="H73" i="7"/>
  <c r="G71" i="7"/>
  <c r="G72" i="7"/>
  <c r="G73" i="7"/>
  <c r="H70" i="7"/>
  <c r="G70" i="7"/>
  <c r="C71" i="7"/>
  <c r="C72" i="7"/>
  <c r="C73" i="7"/>
  <c r="C70" i="7"/>
  <c r="B71" i="7"/>
  <c r="B72" i="7"/>
  <c r="B73" i="7"/>
  <c r="B70" i="7"/>
  <c r="C62" i="7"/>
  <c r="C63" i="7"/>
  <c r="C64" i="7"/>
  <c r="C65" i="7"/>
  <c r="B63" i="7"/>
  <c r="B64" i="7"/>
  <c r="B65" i="7"/>
  <c r="B62" i="7"/>
  <c r="C55" i="7"/>
  <c r="C56" i="7"/>
  <c r="C57" i="7"/>
  <c r="B55" i="7"/>
  <c r="B56" i="7"/>
  <c r="B57" i="7"/>
  <c r="B54" i="7"/>
  <c r="C54" i="7"/>
  <c r="C47" i="7"/>
  <c r="C48" i="7"/>
  <c r="C49" i="7"/>
  <c r="B47" i="7"/>
  <c r="B48" i="7"/>
  <c r="B49" i="7"/>
  <c r="C46" i="7"/>
  <c r="B46" i="7"/>
  <c r="H38" i="7"/>
  <c r="H39" i="7"/>
  <c r="H40" i="7"/>
  <c r="H41" i="7"/>
  <c r="G41" i="7"/>
  <c r="G38" i="7"/>
  <c r="G39" i="7"/>
  <c r="G40" i="7"/>
  <c r="H37" i="7"/>
  <c r="G37" i="7"/>
  <c r="C38" i="7"/>
  <c r="C39" i="7"/>
  <c r="C40" i="7"/>
  <c r="C41" i="7"/>
  <c r="B38" i="7"/>
  <c r="B39" i="7"/>
  <c r="B40" i="7"/>
  <c r="B41" i="7"/>
  <c r="C37" i="7"/>
  <c r="B37" i="7"/>
  <c r="I72" i="7" l="1"/>
  <c r="I73" i="7"/>
  <c r="I71" i="7"/>
  <c r="I70" i="7"/>
  <c r="D73" i="7"/>
  <c r="D72" i="7"/>
  <c r="D71" i="7"/>
  <c r="D70" i="7"/>
  <c r="D65" i="7"/>
  <c r="D64" i="7"/>
  <c r="D63" i="7"/>
  <c r="D62" i="7"/>
  <c r="D57" i="7"/>
  <c r="D56" i="7"/>
  <c r="D55" i="7"/>
  <c r="D54" i="7"/>
  <c r="D49" i="7"/>
  <c r="D48" i="7"/>
  <c r="D47" i="7"/>
  <c r="D46" i="7"/>
  <c r="D41" i="7"/>
  <c r="D40" i="7"/>
  <c r="D39" i="7"/>
  <c r="D38" i="7"/>
  <c r="D3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6E2D59-4CF9-4E67-AC94-DDC2B8DC26A0}"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D833F88E-76FC-4566-B8F1-627CBAE8D774}" keepAlive="1" name="Query - WA_Fn-UseC_-HR-Employee-Attrition (2)" description="Connection to the 'WA_Fn-UseC_-HR-Employee-Attrition (2)' query in the workbook." type="5" refreshedVersion="8" background="1" saveData="1">
    <dbPr connection="Provider=Microsoft.Mashup.OleDb.1;Data Source=$Workbook$;Location=&quot;WA_Fn-UseC_-HR-Employee-Attrition (2)&quot;;Extended Properties=&quot;&quot;" command="SELECT * FROM [WA_Fn-UseC_-HR-Employee-Attrition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<sst xmlns="http://schemas.openxmlformats.org/spreadsheetml/2006/main" count="27295" uniqueCount="544">
  <si>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</si>
  <si>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</si>
  <si>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</si>
  <si>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</si>
  <si>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</si>
  <si>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</si>
  <si>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</si>
  <si>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</si>
  <si>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</si>
  <si>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</si>
  <si>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</si>
  <si>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</si>
  <si>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</si>
  <si>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</si>
  <si>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</si>
  <si>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</si>
  <si>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</si>
  <si>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</si>
  <si>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</si>
  <si>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</si>
  <si>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</si>
  <si>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</si>
  <si>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</si>
  <si>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</si>
  <si>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</si>
  <si>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</si>
  <si>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</si>
  <si>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</si>
  <si>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</si>
  <si>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</si>
  <si>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</si>
  <si>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</si>
  <si>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</si>
  <si>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</si>
  <si>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</si>
  <si>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</si>
  <si>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</si>
  <si>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</si>
  <si>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</si>
  <si>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</si>
  <si>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</si>
  <si>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</si>
  <si>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</si>
  <si>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</si>
  <si>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</si>
  <si>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</si>
  <si>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</si>
  <si>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</si>
  <si>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</si>
  <si>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</si>
  <si>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</si>
  <si>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</si>
  <si>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</si>
  <si>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</si>
  <si>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</si>
  <si>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</si>
  <si>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</si>
  <si>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</si>
  <si>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</si>
  <si>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</si>
  <si>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</si>
  <si>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</si>
  <si>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Education_Label</t>
  </si>
  <si>
    <t>EnvironmentSatisfaction_Label</t>
  </si>
  <si>
    <t>JobInvolvement_Label</t>
  </si>
  <si>
    <t>JobSatisfaction_Label</t>
  </si>
  <si>
    <t>WorkLifeBalance_Label</t>
  </si>
  <si>
    <t>Attrition_Flag</t>
  </si>
  <si>
    <t>Income_Band</t>
  </si>
  <si>
    <t>Distance_Band</t>
  </si>
  <si>
    <t>Tenure_Board</t>
  </si>
  <si>
    <t>PerformanceRating_Label</t>
  </si>
  <si>
    <t>Data Quality Checks</t>
  </si>
  <si>
    <t>Check</t>
  </si>
  <si>
    <t>Result</t>
  </si>
  <si>
    <t>Expected Result</t>
  </si>
  <si>
    <t>Status</t>
  </si>
  <si>
    <t>Total Employee Records</t>
  </si>
  <si>
    <t>Unique Employee Number</t>
  </si>
  <si>
    <t>Missing Value in Raw Data</t>
  </si>
  <si>
    <t>Duplicate Employee Numbers</t>
  </si>
  <si>
    <t>Distinct Employee Count Values</t>
  </si>
  <si>
    <t>Distincty StandardHours Values</t>
  </si>
  <si>
    <t>HR Employee Attrition - KPI Summary</t>
  </si>
  <si>
    <t>Metric</t>
  </si>
  <si>
    <t>Value</t>
  </si>
  <si>
    <t>Total Employees</t>
  </si>
  <si>
    <t>Employees Who Stayed</t>
  </si>
  <si>
    <t>Employees Who Left</t>
  </si>
  <si>
    <t>Overall Atrrition Rate</t>
  </si>
  <si>
    <t>Average Monthly Income</t>
  </si>
  <si>
    <t>Average Age</t>
  </si>
  <si>
    <t>Average Years at Company</t>
  </si>
  <si>
    <t>Employess Working Overtime</t>
  </si>
  <si>
    <t>Overtime Attrition Rate</t>
  </si>
  <si>
    <t>Non-Overtime Attrition Rate</t>
  </si>
  <si>
    <t>Attrition by department</t>
  </si>
  <si>
    <t>Employees</t>
  </si>
  <si>
    <t>Attrition Count</t>
  </si>
  <si>
    <t>Attrition Rate</t>
  </si>
  <si>
    <t>Attrition by Job Role</t>
  </si>
  <si>
    <t>Job Role</t>
  </si>
  <si>
    <t>Attrition by Overtime</t>
  </si>
  <si>
    <t>Overtime</t>
  </si>
  <si>
    <t>Attrition by Education</t>
  </si>
  <si>
    <t>Below College</t>
  </si>
  <si>
    <t>College</t>
  </si>
  <si>
    <t>Bachelor</t>
  </si>
  <si>
    <t>Master</t>
  </si>
  <si>
    <t>Doctor</t>
  </si>
  <si>
    <t>Average monthly income by education and attrition</t>
  </si>
  <si>
    <t>Average monthly income by Education and Attrition</t>
  </si>
  <si>
    <t>Stayed — Average Income</t>
  </si>
  <si>
    <t>Left — Average Income</t>
  </si>
  <si>
    <t>Work-Life Balance</t>
  </si>
  <si>
    <t>Bad</t>
  </si>
  <si>
    <t>Good</t>
  </si>
  <si>
    <t>Better</t>
  </si>
  <si>
    <t>Best</t>
  </si>
  <si>
    <t>Attrition by Distance Band</t>
  </si>
  <si>
    <t>Group</t>
  </si>
  <si>
    <t>0–5 miles</t>
  </si>
  <si>
    <t>6–10 miles</t>
  </si>
  <si>
    <t>11–15 miles</t>
  </si>
  <si>
    <t>16+ miles</t>
  </si>
  <si>
    <t>Attrition by Income Band</t>
  </si>
  <si>
    <t>0–3,000</t>
  </si>
  <si>
    <t>3,001–6,000</t>
  </si>
  <si>
    <t>6,001–10,000</t>
  </si>
  <si>
    <t>10,001+</t>
  </si>
  <si>
    <t>Compare Job Satisfaction by Attrition</t>
  </si>
  <si>
    <t>Job Satisfaction</t>
  </si>
  <si>
    <t>Low</t>
  </si>
  <si>
    <t>Medium</t>
  </si>
  <si>
    <t>High</t>
  </si>
  <si>
    <t>Very High</t>
  </si>
  <si>
    <t>Compare Environment Satisfaction by Attrition</t>
  </si>
  <si>
    <t>Environment Satisfaction</t>
  </si>
  <si>
    <t>Compare Employee Tenure</t>
  </si>
  <si>
    <t>Average years at company</t>
  </si>
  <si>
    <t>Average years in current role</t>
  </si>
  <si>
    <t>Average years with current manager</t>
  </si>
  <si>
    <t>Average years since last promotion</t>
  </si>
  <si>
    <t>Attrition by Work-Life Balance</t>
  </si>
  <si>
    <t>Row Labels</t>
  </si>
  <si>
    <t>Grand Total</t>
  </si>
  <si>
    <t>Column Labels</t>
  </si>
  <si>
    <t>Total Count of EmployeeNumber</t>
  </si>
  <si>
    <t>Count of EmployeeNumber</t>
  </si>
  <si>
    <t>Total Percentage of EmployeeNumber</t>
  </si>
  <si>
    <t>Percentage of EmployeeNumber</t>
  </si>
  <si>
    <t>Average of DistanceFromHome</t>
  </si>
  <si>
    <t>Total Average of DistanceFromHome</t>
  </si>
  <si>
    <t>Average of MonthlyIncome</t>
  </si>
  <si>
    <t>Job Statisfaction</t>
  </si>
  <si>
    <t>Education Label</t>
  </si>
  <si>
    <t>Department &amp; Job Roles</t>
  </si>
  <si>
    <t>Attrition by Department &amp; Job Role</t>
  </si>
  <si>
    <t>Distance from home by Job Role &amp; Attrition</t>
  </si>
  <si>
    <t>Average monthly income by Education &amp; Attrition</t>
  </si>
  <si>
    <t>Overtime &amp; Attrition</t>
  </si>
  <si>
    <t>Satisfaction &amp; Attrition</t>
  </si>
  <si>
    <t>TOTAL EMPLOYEES</t>
  </si>
  <si>
    <t>EMPLOYEES WHO LEFT</t>
  </si>
  <si>
    <t>OVERALL ATTRITION RATE</t>
  </si>
  <si>
    <t>AVERAGE MONTHLY INCOME</t>
  </si>
  <si>
    <t>HR ATTRITION DASHBOARD</t>
  </si>
  <si>
    <t>IBM fictional HR dataset | Explore attrition patterns; use the detailed tables and PivotTables for deeper analysis.</t>
  </si>
  <si>
    <t>HR Employee Attrition Analysis</t>
  </si>
  <si>
    <t>Excel Data Analyst Portfolio Project</t>
  </si>
  <si>
    <t>1. PROJECT OVERVIEW</t>
  </si>
  <si>
    <t>This project analyzes the IBM HR Employee Attrition dataset using Microsoft Excel. The purpose is to investigate patterns associated with employee attrition and explore how employee departures vary across departments, job roles, income, education, overtime, job satisfaction, work-life balance, distance from home, and length of service.</t>
  </si>
  <si>
    <t>The project demonstrates an end-to-end Excel data analysis workflow, including data preparation, data quality validation, formula-based calculations, exploratory data analysis, PivotTables, PivotCharts, slicers, dashboard development, and business recommendations.</t>
  </si>
  <si>
    <t>The dataset is fictional and was created by IBM data scientists for analytics practice.</t>
  </si>
  <si>
    <t>2. BUSINESS PROBLEM</t>
  </si>
  <si>
    <t>Employee attrition can affect organizational stability, recruitment costs, productivity, and employee morale. HR stakeholders need to understand where employee departures are concentrated and which employee or workplace characteristics are associated with differences in attrition rates.</t>
  </si>
  <si>
    <t>The goal of this project is to transform employee-level data into understandable summaries and visualizations that help stakeholders investigate retention patterns.</t>
  </si>
  <si>
    <t>This analysis is descriptive. It identifies associations in the dataset and does not establish that any particular factor causes an employee to leave.</t>
  </si>
  <si>
    <t>3. PROJECT OBJECTIVES</t>
  </si>
  <si>
    <t>1. Calculate the total number of employees, the number who left, the number who stayed, and the overall attrition rate.</t>
  </si>
  <si>
    <t>2. Compare attrition counts and rates across departments and job roles.</t>
  </si>
  <si>
    <t>3. Investigate the relationship between overtime status and attrition.</t>
  </si>
  <si>
    <t>4. Compare average monthly income by education level and attrition status.</t>
  </si>
  <si>
    <t>5. Analyze distance from home by job role and attrition status.</t>
  </si>
  <si>
    <t>6. Explore how job satisfaction, environment satisfaction, relationship satisfaction, and work-life balance vary by attrition.</t>
  </si>
  <si>
    <t>7. Compare employee tenure measures between employees who left and those who stayed.</t>
  </si>
  <si>
    <t>8. Build a professional Excel dashboard with interactive filters.</t>
  </si>
  <si>
    <t>9. Document findings and develop evidence-based recommendations for further HR investigation.</t>
  </si>
  <si>
    <t>4. DATASET INFORMATION</t>
  </si>
  <si>
    <t>Dataset name: IBM HR Employee Attrition</t>
  </si>
  <si>
    <t>Source file: WA_Fn-UseC_-HR-Employee-Attrition.csv</t>
  </si>
  <si>
    <t>Number of employee records: 1,470</t>
  </si>
  <si>
    <t>Number of original columns: 35</t>
  </si>
  <si>
    <t>Data type: Fictional employee-level HR data</t>
  </si>
  <si>
    <t>The dataset contains demographic, employment, compensation, satisfaction, and tenure-related information. The target field for this descriptive analysis is Attrition, which indicates whether an employee left the organization.</t>
  </si>
  <si>
    <t>Initial data inspection identified zero missing cells and zero exact duplicate rows in the supplied CSV. These checks should be repeated when validating the workbook.</t>
  </si>
  <si>
    <t>5. TOOLS AND EXCEL FEATURES</t>
  </si>
  <si>
    <t>Microsoft Excel is the primary analytical tool used in this project.</t>
  </si>
  <si>
    <t>Features used or planned include:</t>
  </si>
  <si>
    <t>Excel Tables</t>
  </si>
  <si>
    <t>Structured references</t>
  </si>
  <si>
    <t>IF, IFS, SWITCH, COUNTIF, COUNTIFS, AVERAGE, and AVERAGEIFS formulas</t>
  </si>
  <si>
    <t>UNIQUE and other dynamic-array functions where supported</t>
  </si>
  <si>
    <t>Data validation and quality checks</t>
  </si>
  <si>
    <t>PivotTables</t>
  </si>
  <si>
    <t>PivotCharts</t>
  </si>
  <si>
    <t>Slicers and Report Connections</t>
  </si>
  <si>
    <t>Conditional formatting</t>
  </si>
  <si>
    <t>Number formatting and chart formatting</t>
  </si>
  <si>
    <t>Dashboard layout and data visualization</t>
  </si>
  <si>
    <t>No Python or SQL is required to complete this project.</t>
  </si>
  <si>
    <t>6. WORKBOOK STRUCTURE</t>
  </si>
  <si>
    <t>Read_Me</t>
  </si>
  <si>
    <t>Provides the project overview, objectives, workflow, and instructions.</t>
  </si>
  <si>
    <t>Raw_Data</t>
  </si>
  <si>
    <t>Contains the original dataset imported from the CSV file. This sheet should remain unchanged after import.</t>
  </si>
  <si>
    <t>Cleaned_Data</t>
  </si>
  <si>
    <t>Contains the 35 original fields plus additional analytical columns, including readable category labels, Attrition_Flag, Income_Band, Distance_Band, and Tenure_Band.</t>
  </si>
  <si>
    <t>Data_Dictionary</t>
  </si>
  <si>
    <t>Documents the original dataset fields, their meanings, expected values, and analytical handling.</t>
  </si>
  <si>
    <t>Data_Quality</t>
  </si>
  <si>
    <t>Contains validation checks for record counts, unique employee identifiers, missing values, duplicate identifiers, and constant fields.</t>
  </si>
  <si>
    <t>KPI_Summary</t>
  </si>
  <si>
    <t>Contains formula-driven headline metrics and grouped analysis tables for attrition, department, job role, overtime, education, income, distance, work-life balance, and satisfaction.</t>
  </si>
  <si>
    <t>Contains the detailed PivotTables used to investigate business questions. These tables support further exploration and the dashboard.</t>
  </si>
  <si>
    <t>Dashboard</t>
  </si>
  <si>
    <t>Presents headline KPIs, charts, and interactive slicers connected to compatible PivotTables and PivotCharts.</t>
  </si>
  <si>
    <t>Analysis_Plan</t>
  </si>
  <si>
    <t>Documents the business questions, analytical methods, expected outputs, and interpretation cautions.</t>
  </si>
  <si>
    <t>7. DATA PREPARATION WORKFLOW</t>
  </si>
  <si>
    <t>1. Import the original CSV into Raw_Data.</t>
  </si>
  <si>
    <t>2. Preserve the source data without modifying its original values.</t>
  </si>
  <si>
    <t>3. Convert the raw dataset into an Excel Table named RawEmployeeData.</t>
  </si>
  <si>
    <t>4. Copy the source records into Cleaned_Data.</t>
  </si>
  <si>
    <t>5. Convert the cleaned dataset into an Excel Table named CleanEmployeeData.</t>
  </si>
  <si>
    <t>6. Retain all 35 original columns.</t>
  </si>
  <si>
    <t>7. Add readable labels for coded education, satisfaction, involvement, and performance fields.</t>
  </si>
  <si>
    <t>8. Add Attrition_Flag, Income_Band, Distance_Band, and Tenure_Band.</t>
  </si>
  <si>
    <t>9. Validate record counts, missing values, employee identifiers, and constant fields.</t>
  </si>
  <si>
    <t>10. Use the cleaned table as the source for formula-driven summaries and PivotTables.</t>
  </si>
  <si>
    <t>Derived categories are analytical conveniences. They must not replace the original numerical values.</t>
  </si>
  <si>
    <t>8. KEY PERFORMANCE INDICATORS</t>
  </si>
  <si>
    <t>The number of unique employee records represented in the dataset.</t>
  </si>
  <si>
    <t>The number of records where Attrition equals Yes.</t>
  </si>
  <si>
    <t>The number of records where Attrition equals No.</t>
  </si>
  <si>
    <t>Overall Attrition Rate</t>
  </si>
  <si>
    <t>Employees who left divided by the total employee count.</t>
  </si>
  <si>
    <t>The average value of MonthlyIncome across the selected employee records.</t>
  </si>
  <si>
    <t>The number of overtime employees who left divided by the total number of employees who work overtime.</t>
  </si>
  <si>
    <t>Group Attrition Rate</t>
  </si>
  <si>
    <t>The number of employees who left within a particular group divided by the total number of employees in that group.</t>
  </si>
  <si>
    <t>Counts and rates should be reported together where appropriate. Counts describe volume, while rates allow comparisons between groups of different sizes.</t>
  </si>
  <si>
    <t>9. DASHBOARD DESIGN</t>
  </si>
  <si>
    <t>The dashboard should include four headline KPI cards:</t>
  </si>
  <si>
    <t>Recommended visualizations:</t>
  </si>
  <si>
    <t>Attrition count by department</t>
  </si>
  <si>
    <t>Attrition rate by job role</t>
  </si>
  <si>
    <t>Attrition rate by overtime status</t>
  </si>
  <si>
    <t>Attrition by satisfaction or work-life balance</t>
  </si>
  <si>
    <t>Employee tenure comparisons</t>
  </si>
  <si>
    <t>Recommended slicers:</t>
  </si>
  <si>
    <t>Slicers should be connected through Report Connections to all compatible PivotTables. PivotTables must share a compatible data source and PivotCache to be controlled by the same slicer.</t>
  </si>
  <si>
    <t>10. ANALYTICAL APPROACH</t>
  </si>
  <si>
    <t>The analysis uses descriptive statistics and grouped comparisons.</t>
  </si>
  <si>
    <t>PivotTables summarize employee counts, attrition counts, percentages, average income, average distance from home, and tenure measures.</t>
  </si>
  <si>
    <t>PivotCharts communicate the results visually. Slicers allow the user to filter the analysis by selected employee characteristics.</t>
  </si>
  <si>
    <t>Formula-based summary tables provide additional calculations and can be used to validate selected PivotTable results.</t>
  </si>
  <si>
    <t>No predictive model is built as part of this project.</t>
  </si>
  <si>
    <t>11. LIMITATIONS AND RESPONSIBLE INTERPRETATION</t>
  </si>
  <si>
    <t>The dataset is fictional and does not represent a verified real-world employer.</t>
  </si>
  <si>
    <t>The analysis is observational and descriptive.</t>
  </si>
  <si>
    <t>Associations do not establish causation.</t>
  </si>
  <si>
    <t>Group sizes differ, so rates for small groups may be unstable.</t>
  </si>
  <si>
    <t>Average values can conceal differences in distributions and outliers.</t>
  </si>
  <si>
    <t>Coded ordinal ratings represent ordered categories; they should not automatically be treated as precise numerical measurements.</t>
  </si>
  <si>
    <t>Demographic characteristics should be handled responsibly and must not be used to justify discriminatory employment decisions.</t>
  </si>
  <si>
    <t>Results should not be treated as an employee-level prediction or risk score.</t>
  </si>
  <si>
    <t>12. PROJECT DELIVERABLES</t>
  </si>
  <si>
    <t>Preserved source dataset</t>
  </si>
  <si>
    <t>Analysis-ready Excel Table</t>
  </si>
  <si>
    <t>Data dictionary</t>
  </si>
  <si>
    <t>Data quality checks</t>
  </si>
  <si>
    <t>Formula-driven KPI summary</t>
  </si>
  <si>
    <t>Grouped attrition analysis tables</t>
  </si>
  <si>
    <t>PivotTables for the main business questions</t>
  </si>
  <si>
    <t>PivotCharts and interactive slicers</t>
  </si>
  <si>
    <t>Final Excel dashboard</t>
  </si>
  <si>
    <t>README documentation</t>
  </si>
  <si>
    <t>Dashboard screenshots</t>
  </si>
  <si>
    <t>Verified findings and recommendations</t>
  </si>
  <si>
    <t>13. COMPLETION CHECKLIST</t>
  </si>
  <si>
    <t>[ ] Preserve the original dataset.</t>
  </si>
  <si>
    <t>[ ] Complete the calculated columns in Cleaned_Data.</t>
  </si>
  <si>
    <t>[ ] Verify all data quality checks.</t>
  </si>
  <si>
    <t>[ ] Complete the KPI_Summary formulas.</t>
  </si>
  <si>
    <t>[ ] Complete the grouped analysis tables.</t>
  </si>
  <si>
    <t>[ ] Build the five main PivotTables.</t>
  </si>
  <si>
    <t>[ ] Connect slicers to compatible PivotTables.</t>
  </si>
  <si>
    <t>[ ] Build and format the dashboard.</t>
  </si>
  <si>
    <t>[ ] Test slicers and refresh the PivotTables.</t>
  </si>
  <si>
    <t>[ ] Record verified findings and recommendations.</t>
  </si>
  <si>
    <t>[ ] Capture dashboard screenshots.</t>
  </si>
  <si>
    <t>[ ] Finalize the GitHub repository and README.</t>
  </si>
  <si>
    <t>14. FINAL PROJECT GOAL</t>
  </si>
  <si>
    <t>The completed project should demonstrate the ability to prepare data, validate data quality, calculate business metrics, analyze grouped employee data, build interactive Excel reports, and communicate findings clearly.</t>
  </si>
  <si>
    <t>The final deliverable should be understandable to a recruiter, hiring manager, or business stakeholder without requiring them to inspect every individual employee record.</t>
  </si>
  <si>
    <t>Column Name</t>
  </si>
  <si>
    <t>Category / Data Type</t>
  </si>
  <si>
    <t>Definition</t>
  </si>
  <si>
    <t>Expected Values / Format</t>
  </si>
  <si>
    <t>Analytical Handling</t>
  </si>
  <si>
    <t>Demographic / Whole Number</t>
  </si>
  <si>
    <t>Employee's age in years</t>
  </si>
  <si>
    <t>Numeric</t>
  </si>
  <si>
    <t>Used for age-group and attrition analysis</t>
  </si>
  <si>
    <t>Outcome / Text</t>
  </si>
  <si>
    <t>Indicates whether the employee left the company</t>
  </si>
  <si>
    <t>Yes / No</t>
  </si>
  <si>
    <t>Primary outcome variable</t>
  </si>
  <si>
    <t>Employment / Text</t>
  </si>
  <si>
    <t>Frequency of business travel</t>
  </si>
  <si>
    <t>Non-Travel, Travel_Rarely, Travel_Frequently</t>
  </si>
  <si>
    <t>Used to compare attrition by travel frequency</t>
  </si>
  <si>
    <t>Compensation / Whole Number</t>
  </si>
  <si>
    <t>Daily rate value associated with the employee</t>
  </si>
  <si>
    <t>Used for exploratory analysis</t>
  </si>
  <si>
    <t>Department where the employee works</t>
  </si>
  <si>
    <t>Human Resources, Research &amp; Development, Sales</t>
  </si>
  <si>
    <t>Used for department-level comparisons</t>
  </si>
  <si>
    <t>Distance from home to work, in miles</t>
  </si>
  <si>
    <t>Used to analyze commuting distance and attrition</t>
  </si>
  <si>
    <t>Demographic / Ordinal Number</t>
  </si>
  <si>
    <t>Employee's education level</t>
  </si>
  <si>
    <t>1–5</t>
  </si>
  <si>
    <t>Demographic / Text</t>
  </si>
  <si>
    <t>Employee's field of education</t>
  </si>
  <si>
    <t>Life Sciences, Medical, Marketing, Technical Degree, Human Resources, Other</t>
  </si>
  <si>
    <t>Used to compare attrition by education field</t>
  </si>
  <si>
    <t>Data Quality / Whole Number</t>
  </si>
  <si>
    <t>Employee count field included in the dataset</t>
  </si>
  <si>
    <t>Expected constant value: 1</t>
  </si>
  <si>
    <t>Checked for variation; not used as a main KPI</t>
  </si>
  <si>
    <t>Identifier / Whole Number</t>
  </si>
  <si>
    <t>Unique employee identification number</t>
  </si>
  <si>
    <t>Numeric identifier</t>
  </si>
  <si>
    <t>Used for record counts and duplicate checks</t>
  </si>
  <si>
    <t>Satisfaction / Ordinal Number</t>
  </si>
  <si>
    <t>Employee's satisfaction with the work environment</t>
  </si>
  <si>
    <t>1–4</t>
  </si>
  <si>
    <t>Employee's recorded gender</t>
  </si>
  <si>
    <t>Female, Male</t>
  </si>
  <si>
    <t>Used for descriptive comparisons</t>
  </si>
  <si>
    <t>Hourly rate value associated with the employee</t>
  </si>
  <si>
    <t>Employee's level of job involvement</t>
  </si>
  <si>
    <t>Employment / Ordinal Number</t>
  </si>
  <si>
    <t>Employee's job level within the organization</t>
  </si>
  <si>
    <t>Used to compare attrition by job level</t>
  </si>
  <si>
    <t>Employee's job role</t>
  </si>
  <si>
    <t>Nine job-role categories</t>
  </si>
  <si>
    <t>Used for job-role attrition analysis</t>
  </si>
  <si>
    <t>Employee's job satisfaction level</t>
  </si>
  <si>
    <t>Employee's marital status</t>
  </si>
  <si>
    <t>Single, Married, Divorced</t>
  </si>
  <si>
    <t>Employee's monthly income</t>
  </si>
  <si>
    <t>Monthly rate value associated with the employee</t>
  </si>
  <si>
    <t>Employment / Whole Number</t>
  </si>
  <si>
    <t>Number of companies the employee has worked for</t>
  </si>
  <si>
    <t>Used to explore work history and attrition</t>
  </si>
  <si>
    <t>Indicates whether the employee is over 18</t>
  </si>
  <si>
    <t>Expected value: Y</t>
  </si>
  <si>
    <t>Checked for consistency; limited analytical use</t>
  </si>
  <si>
    <t>Indicates whether the employee works overtime</t>
  </si>
  <si>
    <t>Used to compare attrition rates for overtime and non-overtime employees</t>
  </si>
  <si>
    <t>Percentage salary increase</t>
  </si>
  <si>
    <t>Numeric percentage value</t>
  </si>
  <si>
    <t>Performance / Ordinal Number</t>
  </si>
  <si>
    <t>Employee's performance rating</t>
  </si>
  <si>
    <t>Employee's satisfaction with workplace relationships</t>
  </si>
  <si>
    <t>Standard-hours field included in the dataset</t>
  </si>
  <si>
    <t>Expected constant value: 80</t>
  </si>
  <si>
    <t>Compensation / Ordinal Number</t>
  </si>
  <si>
    <t>Employee's stock option level</t>
  </si>
  <si>
    <t>0–3</t>
  </si>
  <si>
    <t>Total years of work experience</t>
  </si>
  <si>
    <t>Used to compare experience and attrition</t>
  </si>
  <si>
    <t>Training / Whole Number</t>
  </si>
  <si>
    <t>Number of training sessions attended in the previous year</t>
  </si>
  <si>
    <t>Used to explore training and attrition</t>
  </si>
  <si>
    <t>Employee's work-life balance rating</t>
  </si>
  <si>
    <t>Number of years the employee has worked at the company</t>
  </si>
  <si>
    <t>Used for tenure analysis</t>
  </si>
  <si>
    <t>Number of years in the current role</t>
  </si>
  <si>
    <t>Used to compare role tenure by attrition status</t>
  </si>
  <si>
    <t>Years since the employee's last promotion</t>
  </si>
  <si>
    <t>Used to explore promotion history and attrition</t>
  </si>
  <si>
    <t>Number of years working with the current manager</t>
  </si>
  <si>
    <t>Used to compare manager tenure by attrition status</t>
  </si>
  <si>
    <t>Derived / Text</t>
  </si>
  <si>
    <t>Text description of the education level</t>
  </si>
  <si>
    <t>Below College, College, Bachelor, Master, Doctor</t>
  </si>
  <si>
    <t>Used in readable summaries and PivotTables</t>
  </si>
  <si>
    <t>Text description of environment satisfaction</t>
  </si>
  <si>
    <t>Low, Medium, High, Very High</t>
  </si>
  <si>
    <t>Used in satisfaction comparisons</t>
  </si>
  <si>
    <t>Text description of job involvement</t>
  </si>
  <si>
    <t>Used in involvement comparisons</t>
  </si>
  <si>
    <t>Text description of job satisfaction</t>
  </si>
  <si>
    <t>Used in satisfaction summaries</t>
  </si>
  <si>
    <t>Text description of performance rating</t>
  </si>
  <si>
    <t>Low, Good, Excellent, Outstanding</t>
  </si>
  <si>
    <t>Used in readable performance summaries</t>
  </si>
  <si>
    <t>RelationshipSatisfaction_Label</t>
  </si>
  <si>
    <t>Text description of relationship satisfaction</t>
  </si>
  <si>
    <t>Text description of work-life balance rating</t>
  </si>
  <si>
    <t>Bad, Good, Better, Best</t>
  </si>
  <si>
    <t>Used in work-life balance analysis</t>
  </si>
  <si>
    <t>Derived / Whole Number</t>
  </si>
  <si>
    <t>Numeric version of the attrition outcome</t>
  </si>
  <si>
    <t>1 = Yes; 0 = No</t>
  </si>
  <si>
    <t>Used for numeric calculations where appropriate</t>
  </si>
  <si>
    <t>Groups employees by monthly income</t>
  </si>
  <si>
    <t>0–3,000; 3,001–6,000; 6,001–10,000; 10,001+</t>
  </si>
  <si>
    <t>Used to compare attrition across income ranges</t>
  </si>
  <si>
    <t>Groups employees by distance from home</t>
  </si>
  <si>
    <t>0–5 miles; 6–10 miles; 11–15 miles; 16+ miles</t>
  </si>
  <si>
    <t>Used to compare attrition across commuting distances</t>
  </si>
  <si>
    <t>Tenure_Band</t>
  </si>
  <si>
    <t>Groups employees by years at the company</t>
  </si>
  <si>
    <t>0–1 years; 2–5 years; 6–10 years; 11+ years</t>
  </si>
  <si>
    <t>Used to compare attrition by company tenure</t>
  </si>
  <si>
    <t>Employee Attrition Dataset — Data Dictionary</t>
  </si>
  <si>
    <r>
      <t xml:space="preserve">Converted into </t>
    </r>
    <r>
      <rPr>
        <sz val="10"/>
        <color theme="1"/>
        <rFont val="Aptos Serif"/>
        <family val="1"/>
      </rPr>
      <t>Education_Label</t>
    </r>
  </si>
  <si>
    <r>
      <t xml:space="preserve">Converted into </t>
    </r>
    <r>
      <rPr>
        <sz val="10"/>
        <color theme="1"/>
        <rFont val="Aptos Serif"/>
        <family val="1"/>
      </rPr>
      <t>EnvironmentSatisfaction_Label</t>
    </r>
  </si>
  <si>
    <r>
      <t xml:space="preserve">Converted into </t>
    </r>
    <r>
      <rPr>
        <sz val="10"/>
        <color theme="1"/>
        <rFont val="Aptos Serif"/>
        <family val="1"/>
      </rPr>
      <t>JobInvolvement_Label</t>
    </r>
  </si>
  <si>
    <r>
      <t xml:space="preserve">Converted into </t>
    </r>
    <r>
      <rPr>
        <sz val="10"/>
        <color theme="1"/>
        <rFont val="Aptos Serif"/>
        <family val="1"/>
      </rPr>
      <t>JobSatisfaction_Label</t>
    </r>
  </si>
  <si>
    <r>
      <t xml:space="preserve">Used to calculate average income and </t>
    </r>
    <r>
      <rPr>
        <sz val="10"/>
        <color theme="1"/>
        <rFont val="Aptos Serif"/>
        <family val="1"/>
      </rPr>
      <t>Income_Band</t>
    </r>
  </si>
  <si>
    <r>
      <t xml:space="preserve">Converted into </t>
    </r>
    <r>
      <rPr>
        <sz val="10"/>
        <color theme="1"/>
        <rFont val="Aptos Serif"/>
        <family val="1"/>
      </rPr>
      <t>PerformanceRating_Label</t>
    </r>
  </si>
  <si>
    <r>
      <t xml:space="preserve">Converted into </t>
    </r>
    <r>
      <rPr>
        <sz val="10"/>
        <color theme="1"/>
        <rFont val="Aptos Serif"/>
        <family val="1"/>
      </rPr>
      <t>RelationshipSatisfaction_Label</t>
    </r>
  </si>
  <si>
    <r>
      <t xml:space="preserve">Converted into </t>
    </r>
    <r>
      <rPr>
        <sz val="10"/>
        <color theme="1"/>
        <rFont val="Aptos Serif"/>
        <family val="1"/>
      </rPr>
      <t>WorkLifeBalance_Label</t>
    </r>
  </si>
  <si>
    <t>Employee Attrition Analysis — Business Questions and Excel Methods</t>
  </si>
  <si>
    <t>Business Question</t>
  </si>
  <si>
    <t>Objective</t>
  </si>
  <si>
    <t>Excel Method</t>
  </si>
  <si>
    <t>Rows / Categories</t>
  </si>
  <si>
    <t>Columns</t>
  </si>
  <si>
    <t>Values / Calculation</t>
  </si>
  <si>
    <t>Recommended Visualization</t>
  </si>
  <si>
    <t>Analytical Consideration</t>
  </si>
  <si>
    <t>How many employees are in the dataset?</t>
  </si>
  <si>
    <t>Establish the size of the workforce represented</t>
  </si>
  <si>
    <t>COUNTA or PivotTable count</t>
  </si>
  <si>
    <t>Overall</t>
  </si>
  <si>
    <t>None</t>
  </si>
  <si>
    <t>KPI card</t>
  </si>
  <si>
    <t>Confirms the population covered by the analysis</t>
  </si>
  <si>
    <t>How many employees left the company?</t>
  </si>
  <si>
    <t>Quantify employee exits</t>
  </si>
  <si>
    <t>COUNTIF or PivotTable</t>
  </si>
  <si>
    <t>Shows the number of employees who left</t>
  </si>
  <si>
    <t>What is the overall attrition rate?</t>
  </si>
  <si>
    <t>Measure the proportion of employees who left</t>
  </si>
  <si>
    <t>COUNTIF divided by total employees</t>
  </si>
  <si>
    <t>KPI card or doughnut chart</t>
  </si>
  <si>
    <t>Provides the baseline for comparing groups</t>
  </si>
  <si>
    <t>Which departments have the highest attrition?</t>
  </si>
  <si>
    <t>Identify departments that may need further investigation</t>
  </si>
  <si>
    <t>PivotTable with count and row percentages</t>
  </si>
  <si>
    <t>Clustered bar chart</t>
  </si>
  <si>
    <t>Compare rates as well as counts because department sizes differ</t>
  </si>
  <si>
    <t>Which job roles have the highest attrition?</t>
  </si>
  <si>
    <t>Identify roles with comparatively high employee exits</t>
  </si>
  <si>
    <t>PivotTable with count and attrition rate</t>
  </si>
  <si>
    <t>Horizontal bar chart</t>
  </si>
  <si>
    <t>Consider both the number leaving and the proportion leaving</t>
  </si>
  <si>
    <t>Is attrition different for employees who work overtime?</t>
  </si>
  <si>
    <t>Explore the relationship between overtime and employee exits</t>
  </si>
  <si>
    <t>COUNTIFS or PivotTable</t>
  </si>
  <si>
    <t>Clustered column chart</t>
  </si>
  <si>
    <t>Compare the rate for Yes against the rate for No</t>
  </si>
  <si>
    <t>Does distance from home relate to attrition?</t>
  </si>
  <si>
    <t>Examine whether commuting distance is associated with employee exits</t>
  </si>
  <si>
    <t>PivotTable or COUNTIFS</t>
  </si>
  <si>
    <t>Employee count and attrition rate</t>
  </si>
  <si>
    <t>Column chart</t>
  </si>
  <si>
    <t>Look for differences across distance bands; do not assume causation</t>
  </si>
  <si>
    <t>Does monthly income differ between employees who leave and stay?</t>
  </si>
  <si>
    <t>Compare income across attrition groups</t>
  </si>
  <si>
    <t>PivotTable</t>
  </si>
  <si>
    <t>Clustered bar or column chart</t>
  </si>
  <si>
    <t>Compare average income while considering job-role and job-level differences</t>
  </si>
  <si>
    <t>Does education level relate to attrition?</t>
  </si>
  <si>
    <t>Compare attrition across education categories</t>
  </si>
  <si>
    <t>Identify differences across education groups</t>
  </si>
  <si>
    <t>Does job satisfaction relate to attrition?</t>
  </si>
  <si>
    <t>Explore whether reported satisfaction differs by attrition status</t>
  </si>
  <si>
    <t>Employee count and % of row total</t>
  </si>
  <si>
    <t>100% stacked column chart</t>
  </si>
  <si>
    <t>Compare the attrition share within each satisfaction group</t>
  </si>
  <si>
    <t>Does work-life balance relate to attrition?</t>
  </si>
  <si>
    <t>Examine attrition across work-life balance ratings</t>
  </si>
  <si>
    <t>Highlight categories with higher observed attrition rates</t>
  </si>
  <si>
    <t>At what tenure do employees leave most often?</t>
  </si>
  <si>
    <t>Explore the relationship between company tenure and attrition</t>
  </si>
  <si>
    <t>Identify tenure groups that may warrant closer review</t>
  </si>
  <si>
    <t>Do employees who leave have shorter tenure in their current role?</t>
  </si>
  <si>
    <t>Compare role tenure between leavers and stayers</t>
  </si>
  <si>
    <t>AVERAGEIFS or PivotTable</t>
  </si>
  <si>
    <t>Compare group averages; averages alone do not explain individual decisions</t>
  </si>
  <si>
    <t>Do employees who leave have less time with their current manager?</t>
  </si>
  <si>
    <t>Compare manager tenure between leavers and stayers</t>
  </si>
  <si>
    <t>Explore whether manager tenure differs between groups</t>
  </si>
  <si>
    <t>Does time since last promotion differ by attrition status?</t>
  </si>
  <si>
    <t>Explore promotion history and employee exits</t>
  </si>
  <si>
    <t>Treat any difference as an association, not proof that promotion timing caused attrition</t>
  </si>
  <si>
    <t>Does total work experience differ by attrition status?</t>
  </si>
  <si>
    <t>Compare employee experience across attrition groups</t>
  </si>
  <si>
    <t>Consider whether experience patterns differ between groups</t>
  </si>
  <si>
    <t>Are the source records consistent and usable?</t>
  </si>
  <si>
    <t>Validate the dataset before interpreting results</t>
  </si>
  <si>
    <t>COUNTA, UNIQUE, COUNTBLANK, duplicate checks</t>
  </si>
  <si>
    <t>Quality check</t>
  </si>
  <si>
    <t>Record count, unique IDs, blank cells, constant fields</t>
  </si>
  <si>
    <t>Data-quality table with status</t>
  </si>
  <si>
    <t>Investigate unexpected results before finalizing the dashboard</t>
  </si>
  <si>
    <t>Can users explore attrition by different employee groups?</t>
  </si>
  <si>
    <t>Enable interactive analysis of attrition across employee characteristics</t>
  </si>
  <si>
    <t>PivotTables, PivotCharts, slicers, and timelines where applicable</t>
  </si>
  <si>
    <t>Employee count, attrition rate, or average income, depending on the selected analysis</t>
  </si>
  <si>
    <t>Interactive dashboard with KPI cards and PivotCharts</t>
  </si>
  <si>
    <t>Ensure filters update the relevant visuals consistently and allow users to compare groups</t>
  </si>
  <si>
    <r>
      <t xml:space="preserve">Count of </t>
    </r>
    <r>
      <rPr>
        <sz val="10"/>
        <color theme="1"/>
        <rFont val="Aptos Serif"/>
        <family val="1"/>
      </rPr>
      <t>EmployeeNumber</t>
    </r>
  </si>
  <si>
    <r>
      <t xml:space="preserve">Count where </t>
    </r>
    <r>
      <rPr>
        <sz val="10"/>
        <color theme="1"/>
        <rFont val="Aptos Serif"/>
        <family val="1"/>
      </rPr>
      <t>Attrition</t>
    </r>
    <r>
      <rPr>
        <sz val="11"/>
        <color theme="1"/>
        <rFont val="Aptos Serif"/>
        <family val="1"/>
      </rPr>
      <t xml:space="preserve"> = Yes</t>
    </r>
  </si>
  <si>
    <r>
      <t xml:space="preserve">Employees with </t>
    </r>
    <r>
      <rPr>
        <sz val="10"/>
        <color theme="1"/>
        <rFont val="Aptos Serif"/>
        <family val="1"/>
      </rPr>
      <t>Attrition</t>
    </r>
    <r>
      <rPr>
        <sz val="11"/>
        <color theme="1"/>
        <rFont val="Aptos Serif"/>
        <family val="1"/>
      </rPr>
      <t xml:space="preserve"> = Yes ÷ Total employees</t>
    </r>
  </si>
  <si>
    <r>
      <t xml:space="preserve">Count of </t>
    </r>
    <r>
      <rPr>
        <sz val="10"/>
        <color theme="1"/>
        <rFont val="Aptos Serif"/>
        <family val="1"/>
      </rPr>
      <t>EmployeeNumber</t>
    </r>
    <r>
      <rPr>
        <sz val="11"/>
        <color theme="1"/>
        <rFont val="Aptos Serif"/>
        <family val="1"/>
      </rPr>
      <t xml:space="preserve"> and % of row total</t>
    </r>
  </si>
  <si>
    <r>
      <t xml:space="preserve">Count of </t>
    </r>
    <r>
      <rPr>
        <sz val="10"/>
        <color theme="1"/>
        <rFont val="Aptos Serif"/>
        <family val="1"/>
      </rPr>
      <t>EmployeeNumber</t>
    </r>
    <r>
      <rPr>
        <sz val="11"/>
        <color theme="1"/>
        <rFont val="Aptos Serif"/>
        <family val="1"/>
      </rPr>
      <t>; calculate attrition rate</t>
    </r>
  </si>
  <si>
    <r>
      <t xml:space="preserve">Count of </t>
    </r>
    <r>
      <rPr>
        <sz val="10"/>
        <color theme="1"/>
        <rFont val="Aptos Serif"/>
        <family val="1"/>
      </rPr>
      <t>EmployeeNumber</t>
    </r>
    <r>
      <rPr>
        <sz val="11"/>
        <color theme="1"/>
        <rFont val="Aptos Serif"/>
        <family val="1"/>
      </rPr>
      <t>; attrition rate by overtime group</t>
    </r>
  </si>
  <si>
    <r>
      <t xml:space="preserve">Overall or </t>
    </r>
    <r>
      <rPr>
        <sz val="10"/>
        <color theme="1"/>
        <rFont val="Aptos Serif"/>
        <family val="1"/>
      </rPr>
      <t>JobRole</t>
    </r>
  </si>
  <si>
    <r>
      <t xml:space="preserve">Average </t>
    </r>
    <r>
      <rPr>
        <sz val="10"/>
        <color theme="1"/>
        <rFont val="Aptos Serif"/>
        <family val="1"/>
      </rPr>
      <t>MonthlyIncome</t>
    </r>
  </si>
  <si>
    <r>
      <t xml:space="preserve">Average </t>
    </r>
    <r>
      <rPr>
        <sz val="10"/>
        <color theme="1"/>
        <rFont val="Aptos Serif"/>
        <family val="1"/>
      </rPr>
      <t>YearsInCurrentRole</t>
    </r>
  </si>
  <si>
    <r>
      <t xml:space="preserve">Average </t>
    </r>
    <r>
      <rPr>
        <sz val="10"/>
        <color theme="1"/>
        <rFont val="Aptos Serif"/>
        <family val="1"/>
      </rPr>
      <t>YearsWithCurrManager</t>
    </r>
  </si>
  <si>
    <r>
      <t xml:space="preserve">Average </t>
    </r>
    <r>
      <rPr>
        <sz val="10"/>
        <color theme="1"/>
        <rFont val="Aptos Serif"/>
        <family val="1"/>
      </rPr>
      <t>YearsSinceLastPromotion</t>
    </r>
  </si>
  <si>
    <r>
      <t xml:space="preserve">Average </t>
    </r>
    <r>
      <rPr>
        <sz val="10"/>
        <color theme="1"/>
        <rFont val="Aptos Serif"/>
        <family val="1"/>
      </rPr>
      <t>TotalWorkingYears</t>
    </r>
  </si>
  <si>
    <r>
      <t xml:space="preserve">Selected employee groups, such as </t>
    </r>
    <r>
      <rPr>
        <sz val="10"/>
        <color theme="1"/>
        <rFont val="Aptos Serif"/>
        <family val="1"/>
      </rPr>
      <t>Department</t>
    </r>
    <r>
      <rPr>
        <sz val="11"/>
        <color theme="1"/>
        <rFont val="Aptos Serif"/>
        <family val="1"/>
      </rPr>
      <t xml:space="preserve">, </t>
    </r>
    <r>
      <rPr>
        <sz val="10"/>
        <color theme="1"/>
        <rFont val="Aptos Serif"/>
        <family val="1"/>
      </rPr>
      <t>JobRole</t>
    </r>
    <r>
      <rPr>
        <sz val="11"/>
        <color theme="1"/>
        <rFont val="Aptos Serif"/>
        <family val="1"/>
      </rPr>
      <t xml:space="preserve">, </t>
    </r>
    <r>
      <rPr>
        <sz val="10"/>
        <color theme="1"/>
        <rFont val="Aptos Serif"/>
        <family val="1"/>
      </rPr>
      <t>Gender</t>
    </r>
    <r>
      <rPr>
        <sz val="11"/>
        <color theme="1"/>
        <rFont val="Aptos Serif"/>
        <family val="1"/>
      </rPr>
      <t xml:space="preserve">, and </t>
    </r>
    <r>
      <rPr>
        <sz val="10"/>
        <color theme="1"/>
        <rFont val="Aptos Serif"/>
        <family val="1"/>
      </rPr>
      <t>OverTime</t>
    </r>
  </si>
  <si>
    <r>
      <t>Attrition</t>
    </r>
    <r>
      <rPr>
        <sz val="11"/>
        <color theme="1"/>
        <rFont val="Aptos Serif"/>
        <family val="1"/>
      </rPr>
      <t xml:space="preserve"> or selected metric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</si>
</sst>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quot;$&quot;#,##0.00"/>
  </numFmts>
  <fonts count="19" x14ac:knownFonts="1">
    <font>
      <sz val="11"/>
      <color theme="1"/>
      <name val="Aptos Narrow"/>
      <family val="2"/>
      <scheme val="minor"/>
    </font>
    <font>
      <sz val="11"/>
      <color theme="1"/>
      <name val="Aptos Narrow"/>
      <family val="2"/>
      <scheme val="minor"/>
    </font>
    <font>
      <sz val="11"/>
      <color theme="0"/>
      <name val="Aptos Narrow"/>
      <family val="2"/>
      <scheme val="minor"/>
    </font>
    <font>
      <sz val="11"/>
      <color theme="1"/>
      <name val="Aptos Serif"/>
      <family val="1"/>
    </font>
    <font>
      <b/>
      <sz val="11"/>
      <color theme="1"/>
      <name val="Aptos Serif"/>
      <family val="1"/>
    </font>
    <font>
      <sz val="12"/>
      <color theme="1"/>
      <name val="Aptos Serif"/>
      <family val="1"/>
    </font>
    <font>
      <sz val="14"/>
      <color theme="1"/>
      <name val="Aptos Serif"/>
      <family val="1"/>
    </font>
    <font>
      <sz val="11"/>
      <color theme="0"/>
      <name val="Aptos Serif"/>
      <family val="1"/>
    </font>
    <font>
      <b/>
      <sz val="12"/>
      <color theme="1"/>
      <name val="Aptos Serif"/>
      <family val="1"/>
    </font>
    <font>
      <sz val="14"/>
      <color theme="1"/>
      <name val="Amasis MT Pro Medium"/>
      <family val="1"/>
    </font>
    <font>
      <sz val="16"/>
      <color theme="1"/>
      <name val="Amasis MT Pro Medium"/>
      <family val="1"/>
    </font>
    <font>
      <sz val="14"/>
      <color theme="0"/>
      <name val="Amasis MT Pro Medium"/>
      <family val="1"/>
    </font>
    <font>
      <sz val="18"/>
      <color theme="1"/>
      <name val="Aptos Serif"/>
      <family val="1"/>
    </font>
    <font>
      <b/>
      <sz val="18"/>
      <color rgb="FFFFFFFF"/>
      <name val="Aptos Display"/>
    </font>
    <font>
      <i/>
      <sz val="11"/>
      <color rgb="FF666666"/>
      <name val="Calibri"/>
    </font>
    <font>
      <b/>
      <sz val="24"/>
      <color theme="1"/>
      <name val="Aptos Serif"/>
      <family val="1"/>
    </font>
    <font>
      <b/>
      <sz val="18"/>
      <color theme="1"/>
      <name val="Aptos Serif"/>
      <family val="1"/>
    </font>
    <font>
      <b/>
      <sz val="13.5"/>
      <color theme="1"/>
      <name val="Aptos Serif"/>
      <family val="1"/>
    </font>
    <font>
      <sz val="10"/>
      <color theme="1"/>
      <name val="Aptos Serif"/>
      <family val="1"/>
    </font>
  </fonts>
  <fills count="6">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rgb="FF17365D"/>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95">
    <xf numFmtId="0" fontId="0" fillId="0" borderId="0" xfId="0"/>
    <xf numFmtId="0" fontId="3" fillId="0" borderId="0" xfId="0" applyFont="1"/>
    <xf numFmtId="0" fontId="4" fillId="0" borderId="0" xfId="0" applyFont="1" applyAlignment="1">
      <alignment horizontal="center"/>
    </xf>
    <xf numFmtId="0" fontId="3" fillId="0" borderId="0" xfId="0" applyFont="1" applyAlignment="1">
      <alignment vertical="center" wrapText="1"/>
    </xf>
    <xf numFmtId="0" fontId="4" fillId="0" borderId="0" xfId="0" applyFont="1" applyAlignment="1">
      <alignment horizontal="right" vertical="center" wrapText="1"/>
    </xf>
    <xf numFmtId="0" fontId="3" fillId="0" borderId="0" xfId="0" applyFont="1" applyAlignment="1">
      <alignment horizontal="right" vertical="center" wrapText="1"/>
    </xf>
    <xf numFmtId="9" fontId="3" fillId="0" borderId="0" xfId="2" applyFont="1" applyAlignment="1">
      <alignment horizontal="right" vertical="center" wrapText="1"/>
    </xf>
    <xf numFmtId="0" fontId="6" fillId="0" borderId="0" xfId="0" applyFont="1"/>
    <xf numFmtId="0" fontId="3" fillId="0" borderId="1" xfId="0" applyFont="1" applyBorder="1"/>
    <xf numFmtId="0" fontId="3" fillId="0" borderId="1" xfId="0" pivotButton="1" applyFont="1" applyBorder="1"/>
    <xf numFmtId="0" fontId="3" fillId="0" borderId="1" xfId="0" applyFont="1" applyBorder="1" applyAlignment="1">
      <alignment horizontal="left"/>
    </xf>
    <xf numFmtId="0" fontId="5" fillId="0" borderId="1" xfId="0" applyFont="1" applyBorder="1"/>
    <xf numFmtId="0" fontId="5" fillId="0" borderId="1" xfId="0" pivotButton="1" applyFont="1" applyBorder="1"/>
    <xf numFmtId="0" fontId="5" fillId="0" borderId="1" xfId="0" applyFont="1" applyBorder="1" applyAlignment="1">
      <alignment horizontal="left"/>
    </xf>
    <xf numFmtId="10" fontId="5" fillId="0" borderId="1" xfId="0" applyNumberFormat="1" applyFont="1" applyBorder="1"/>
    <xf numFmtId="0" fontId="5" fillId="0" borderId="1" xfId="0" applyFont="1" applyBorder="1" applyAlignment="1">
      <alignment horizontal="left" indent="1"/>
    </xf>
    <xf numFmtId="0" fontId="11" fillId="2" borderId="0" xfId="3" applyFont="1"/>
    <xf numFmtId="2" fontId="3" fillId="0" borderId="1" xfId="0" applyNumberFormat="1" applyFont="1" applyBorder="1"/>
    <xf numFmtId="2" fontId="5" fillId="0" borderId="1" xfId="0" applyNumberFormat="1" applyFont="1" applyBorder="1"/>
    <xf numFmtId="165" fontId="5" fillId="0" borderId="1" xfId="0" applyNumberFormat="1" applyFont="1" applyBorder="1"/>
    <xf numFmtId="0" fontId="5" fillId="0" borderId="2" xfId="0" applyFont="1" applyBorder="1"/>
    <xf numFmtId="0" fontId="5" fillId="0" borderId="3" xfId="0" applyFont="1" applyBorder="1"/>
    <xf numFmtId="0" fontId="5" fillId="0" borderId="0" xfId="0" applyFont="1"/>
    <xf numFmtId="9" fontId="5" fillId="0" borderId="1" xfId="0" applyNumberFormat="1" applyFont="1" applyBorder="1"/>
    <xf numFmtId="0" fontId="8" fillId="0" borderId="4" xfId="0" applyFont="1" applyBorder="1" applyAlignment="1">
      <alignment horizontal="center"/>
    </xf>
    <xf numFmtId="0" fontId="8" fillId="0" borderId="5" xfId="0" applyFont="1" applyBorder="1" applyAlignment="1">
      <alignment horizontal="center"/>
    </xf>
    <xf numFmtId="164" fontId="5" fillId="0" borderId="2" xfId="0" applyNumberFormat="1" applyFont="1" applyBorder="1"/>
    <xf numFmtId="43" fontId="5" fillId="0" borderId="2" xfId="1" applyFont="1" applyBorder="1"/>
    <xf numFmtId="9" fontId="5" fillId="0" borderId="2" xfId="2" applyFont="1" applyBorder="1"/>
    <xf numFmtId="0" fontId="5" fillId="0" borderId="6" xfId="0" applyFont="1" applyBorder="1"/>
    <xf numFmtId="9" fontId="5" fillId="0" borderId="7" xfId="2" applyFont="1" applyBorder="1"/>
    <xf numFmtId="0" fontId="0" fillId="0" borderId="8" xfId="0" applyBorder="1"/>
    <xf numFmtId="0" fontId="0" fillId="0" borderId="9" xfId="0" applyBorder="1"/>
    <xf numFmtId="0" fontId="0" fillId="0" borderId="5" xfId="0" applyBorder="1"/>
    <xf numFmtId="0" fontId="0" fillId="0" borderId="4" xfId="0" applyBorder="1"/>
    <xf numFmtId="0" fontId="8" fillId="0" borderId="1" xfId="0" applyFont="1" applyBorder="1" applyAlignment="1">
      <alignment horizontal="center"/>
    </xf>
    <xf numFmtId="9" fontId="5" fillId="0" borderId="1" xfId="2" applyFont="1" applyBorder="1"/>
    <xf numFmtId="0" fontId="8" fillId="0" borderId="1" xfId="0" applyFont="1" applyBorder="1" applyAlignment="1">
      <alignment horizontal="center" vertical="center" wrapText="1"/>
    </xf>
    <xf numFmtId="0" fontId="5" fillId="0" borderId="1" xfId="0" applyFont="1" applyBorder="1" applyAlignment="1">
      <alignment vertical="center" wrapText="1"/>
    </xf>
    <xf numFmtId="9" fontId="5" fillId="0" borderId="1" xfId="2"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right" vertical="center" wrapText="1"/>
    </xf>
    <xf numFmtId="43" fontId="5" fillId="0" borderId="1" xfId="1" applyFont="1" applyBorder="1" applyAlignment="1">
      <alignment horizontal="right" vertical="center" wrapText="1"/>
    </xf>
    <xf numFmtId="0" fontId="8" fillId="0" borderId="1" xfId="0" applyFont="1" applyBorder="1" applyAlignment="1">
      <alignment horizontal="right" vertical="center" wrapText="1"/>
    </xf>
    <xf numFmtId="0" fontId="5" fillId="0" borderId="1" xfId="0" applyFont="1" applyBorder="1" applyAlignment="1">
      <alignment horizontal="right" vertical="center" wrapText="1"/>
    </xf>
    <xf numFmtId="9" fontId="5" fillId="0" borderId="1" xfId="2" applyFont="1" applyBorder="1" applyAlignment="1">
      <alignment horizontal="right" vertical="center" wrapText="1"/>
    </xf>
    <xf numFmtId="0" fontId="5" fillId="0" borderId="1" xfId="0" applyFont="1" applyBorder="1" applyAlignment="1">
      <alignment vertical="center"/>
    </xf>
    <xf numFmtId="0" fontId="8" fillId="0" borderId="1" xfId="0" applyFont="1" applyBorder="1" applyAlignment="1">
      <alignment horizontal="center" vertical="center"/>
    </xf>
    <xf numFmtId="0" fontId="0" fillId="0" borderId="12" xfId="0" applyBorder="1"/>
    <xf numFmtId="0" fontId="7" fillId="2" borderId="1" xfId="3" applyFont="1" applyBorder="1" applyAlignment="1">
      <alignment horizontal="center"/>
    </xf>
    <xf numFmtId="10" fontId="5" fillId="0" borderId="2" xfId="0" applyNumberFormat="1" applyFont="1" applyBorder="1"/>
    <xf numFmtId="165" fontId="12" fillId="4" borderId="11" xfId="5" applyNumberFormat="1" applyFont="1" applyBorder="1" applyAlignment="1">
      <alignment horizontal="center" vertical="center"/>
    </xf>
    <xf numFmtId="165" fontId="12" fillId="4" borderId="10" xfId="5" applyNumberFormat="1" applyFont="1" applyBorder="1" applyAlignment="1">
      <alignment horizontal="center" vertical="center"/>
    </xf>
    <xf numFmtId="9" fontId="12" fillId="4" borderId="11" xfId="5" applyNumberFormat="1" applyFont="1" applyBorder="1" applyAlignment="1">
      <alignment horizontal="center" vertical="center"/>
    </xf>
    <xf numFmtId="9" fontId="12" fillId="4" borderId="10" xfId="5" applyNumberFormat="1" applyFont="1" applyBorder="1" applyAlignment="1">
      <alignment horizontal="center" vertical="center"/>
    </xf>
    <xf numFmtId="0" fontId="16" fillId="0" borderId="0" xfId="0" applyFont="1" applyAlignment="1">
      <alignment vertical="center"/>
    </xf>
    <xf numFmtId="0" fontId="17" fillId="0" borderId="0" xfId="0" applyFont="1" applyAlignment="1">
      <alignment vertical="center"/>
    </xf>
    <xf numFmtId="0" fontId="3" fillId="0" borderId="0" xfId="0" applyFont="1" applyAlignment="1">
      <alignment horizontal="left" vertical="center" inden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5" xfId="0" applyFont="1" applyBorder="1" applyAlignment="1">
      <alignment horizontal="center" vertical="center" wrapText="1"/>
    </xf>
    <xf numFmtId="0" fontId="3" fillId="0" borderId="3"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6" xfId="0" applyFont="1" applyBorder="1" applyAlignment="1">
      <alignment vertical="center" wrapText="1"/>
    </xf>
    <xf numFmtId="0" fontId="3" fillId="0" borderId="11" xfId="0" applyFont="1" applyBorder="1" applyAlignment="1">
      <alignment vertical="center" wrapText="1"/>
    </xf>
    <xf numFmtId="0" fontId="3" fillId="0" borderId="7" xfId="0" applyFont="1" applyBorder="1" applyAlignment="1">
      <alignment vertical="center" wrapText="1"/>
    </xf>
    <xf numFmtId="0" fontId="18" fillId="0" borderId="1" xfId="0" applyFont="1" applyBorder="1" applyAlignment="1">
      <alignment vertical="center" wrapText="1"/>
    </xf>
    <xf numFmtId="0" fontId="18" fillId="0" borderId="11" xfId="0" applyFont="1" applyBorder="1" applyAlignment="1">
      <alignment vertical="center" wrapText="1"/>
    </xf>
    <xf numFmtId="0" fontId="3" fillId="0" borderId="4" xfId="0" applyFont="1" applyBorder="1"/>
    <xf numFmtId="0" fontId="3" fillId="0" borderId="10" xfId="0" applyFont="1" applyBorder="1"/>
    <xf numFmtId="0" fontId="3" fillId="0" borderId="5" xfId="0" applyFont="1" applyBorder="1"/>
    <xf numFmtId="0" fontId="3" fillId="0" borderId="3" xfId="0" applyFont="1" applyBorder="1"/>
    <xf numFmtId="0" fontId="3" fillId="0" borderId="2" xfId="0" applyFont="1" applyBorder="1"/>
    <xf numFmtId="0" fontId="3" fillId="0" borderId="6" xfId="0" applyFont="1" applyBorder="1"/>
    <xf numFmtId="0" fontId="3" fillId="0" borderId="11" xfId="0" applyFont="1" applyBorder="1"/>
    <xf numFmtId="0" fontId="3" fillId="0" borderId="7" xfId="0" applyFont="1" applyBorder="1"/>
    <xf numFmtId="0" fontId="16" fillId="3" borderId="0" xfId="4" applyFont="1" applyAlignment="1">
      <alignment horizontal="center" vertical="center"/>
    </xf>
    <xf numFmtId="0" fontId="15" fillId="0" borderId="0" xfId="0" applyFont="1" applyAlignment="1">
      <alignment horizontal="center" vertical="center"/>
    </xf>
    <xf numFmtId="0" fontId="12" fillId="4" borderId="11" xfId="5" applyFont="1" applyBorder="1" applyAlignment="1">
      <alignment horizontal="center" vertical="center"/>
    </xf>
    <xf numFmtId="0" fontId="12" fillId="4" borderId="10" xfId="5" applyFont="1" applyBorder="1" applyAlignment="1">
      <alignment horizontal="center" vertical="center"/>
    </xf>
    <xf numFmtId="0" fontId="13" fillId="5" borderId="7" xfId="0" applyFont="1" applyFill="1" applyBorder="1" applyAlignment="1">
      <alignment horizontal="center" vertical="center"/>
    </xf>
    <xf numFmtId="0" fontId="0" fillId="0" borderId="13" xfId="0" applyBorder="1" applyAlignment="1">
      <alignment horizontal="center"/>
    </xf>
    <xf numFmtId="0" fontId="0" fillId="0" borderId="6" xfId="0" applyBorder="1" applyAlignment="1">
      <alignment horizontal="center"/>
    </xf>
    <xf numFmtId="0" fontId="14" fillId="0" borderId="8" xfId="0" applyFont="1" applyBorder="1" applyAlignment="1">
      <alignment horizontal="center" vertical="center"/>
    </xf>
    <xf numFmtId="0" fontId="0" fillId="0" borderId="0" xfId="0" applyAlignment="1">
      <alignment horizontal="center"/>
    </xf>
    <xf numFmtId="0" fontId="0" fillId="0" borderId="9" xfId="0" applyBorder="1" applyAlignment="1">
      <alignment horizontal="center"/>
    </xf>
    <xf numFmtId="0" fontId="16" fillId="4" borderId="0" xfId="5" applyFont="1" applyAlignment="1">
      <alignment horizontal="center"/>
    </xf>
    <xf numFmtId="0" fontId="9" fillId="4" borderId="1" xfId="5" applyFont="1" applyBorder="1" applyAlignment="1">
      <alignment horizontal="center"/>
    </xf>
    <xf numFmtId="0" fontId="10" fillId="4" borderId="0" xfId="5" applyFont="1" applyAlignment="1">
      <alignment horizontal="center"/>
    </xf>
    <xf numFmtId="0" fontId="1" fillId="4" borderId="1" xfId="5" applyBorder="1" applyAlignment="1">
      <alignment horizontal="center"/>
    </xf>
    <xf numFmtId="0" fontId="9" fillId="4" borderId="1" xfId="5" applyFont="1" applyBorder="1" applyAlignment="1">
      <alignment horizontal="center" vertical="center" wrapText="1"/>
    </xf>
    <xf numFmtId="0" fontId="9" fillId="4" borderId="1" xfId="5" applyFont="1" applyBorder="1" applyAlignment="1">
      <alignment horizontal="center" vertical="center"/>
    </xf>
    <xf numFmtId="0" fontId="11" fillId="2" borderId="0" xfId="3" applyFont="1" applyAlignment="1">
      <alignment horizontal="center"/>
    </xf>
    <xf numFmtId="0" fontId="11" fillId="2" borderId="12" xfId="3" applyFont="1" applyBorder="1" applyAlignment="1">
      <alignment horizontal="center"/>
    </xf>
  </cellXfs>
  <cellStyles count="6">
    <cellStyle name="40% - Accent1" xfId="4" builtinId="31"/>
    <cellStyle name="60% - Accent1" xfId="5" builtinId="32"/>
    <cellStyle name="Accent1" xfId="3" builtinId="29"/>
    <cellStyle name="Comma" xfId="1" builtinId="3"/>
    <cellStyle name="Normal" xfId="0" builtinId="0"/>
    <cellStyle name="Percent" xfId="2" builtinId="5"/>
  </cellStyles>
  <dxfs count="252">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Aptos Serif"/>
        <family val="1"/>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z val="12"/>
      </font>
    </dxf>
    <dxf>
      <font>
        <name val="Aptos Serif"/>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ptos Serif"/>
        <family val="1"/>
        <scheme val="none"/>
      </font>
    </dxf>
    <dxf>
      <numFmt numFmtId="13" formatCode="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font>
        <name val="Aptos Serif"/>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font>
        <b val="0"/>
        <i val="0"/>
        <strike val="0"/>
        <condense val="0"/>
        <extend val="0"/>
        <outline val="0"/>
        <shadow val="0"/>
        <u val="none"/>
        <vertAlign val="baseline"/>
        <sz val="12"/>
        <color theme="1"/>
        <name val="Aptos Serif"/>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dxf>
    <dxf>
      <font>
        <b/>
        <i val="0"/>
        <strike val="0"/>
        <condense val="0"/>
        <extend val="0"/>
        <outline val="0"/>
        <shadow val="0"/>
        <u val="none"/>
        <vertAlign val="baseline"/>
        <sz val="12"/>
        <color theme="1"/>
        <name val="Aptos Serif"/>
        <family val="1"/>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Serif"/>
        <family val="1"/>
        <scheme val="none"/>
      </font>
    </dxf>
    <dxf>
      <font>
        <strike val="0"/>
        <outline val="0"/>
        <shadow val="0"/>
        <u val="none"/>
        <vertAlign val="baseline"/>
        <sz val="12"/>
        <color theme="1"/>
        <name val="Aptos Serif"/>
        <family val="1"/>
        <scheme val="none"/>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Serif"/>
        <family val="1"/>
        <scheme val="none"/>
      </font>
    </dxf>
    <dxf>
      <font>
        <b/>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Serif"/>
        <family val="1"/>
        <scheme val="none"/>
      </font>
    </dxf>
    <dxf>
      <font>
        <b/>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Serif"/>
        <family val="1"/>
        <scheme val="none"/>
      </font>
    </dxf>
    <dxf>
      <font>
        <b/>
        <i val="0"/>
        <strike val="0"/>
        <condense val="0"/>
        <extend val="0"/>
        <outline val="0"/>
        <shadow val="0"/>
        <u val="none"/>
        <vertAlign val="baseline"/>
        <sz val="12"/>
        <color theme="1"/>
        <name val="Aptos Serif"/>
        <family val="1"/>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Serif"/>
        <family val="1"/>
        <scheme val="none"/>
      </font>
    </dxf>
    <dxf>
      <font>
        <b/>
        <i val="0"/>
        <strike val="0"/>
        <condense val="0"/>
        <extend val="0"/>
        <outline val="0"/>
        <shadow val="0"/>
        <u val="none"/>
        <vertAlign val="baseline"/>
        <sz val="12"/>
        <color theme="1"/>
        <name val="Aptos Serif"/>
        <family val="1"/>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Serif"/>
        <family val="1"/>
        <scheme val="none"/>
      </font>
    </dxf>
    <dxf>
      <font>
        <b/>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Aptos Serif"/>
        <family val="1"/>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Serif"/>
        <family val="1"/>
        <scheme val="none"/>
      </font>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dxf>
    <dxf>
      <font>
        <b/>
        <i val="0"/>
        <strike val="0"/>
        <condense val="0"/>
        <extend val="0"/>
        <outline val="0"/>
        <shadow val="0"/>
        <u val="none"/>
        <vertAlign val="baseline"/>
        <sz val="12"/>
        <color theme="1"/>
        <name val="Aptos Serif"/>
        <family val="1"/>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dxf>
    <dxf>
      <font>
        <b/>
        <i val="0"/>
        <strike val="0"/>
        <condense val="0"/>
        <extend val="0"/>
        <outline val="0"/>
        <shadow val="0"/>
        <u val="none"/>
        <vertAlign val="baseline"/>
        <sz val="12"/>
        <color theme="1"/>
        <name val="Aptos Serif"/>
        <family val="1"/>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Serif"/>
        <family val="1"/>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Aptos Serif"/>
        <family val="1"/>
        <scheme val="none"/>
      </font>
    </dxf>
    <dxf>
      <border>
        <bottom style="thin">
          <color indexed="64"/>
        </bottom>
      </border>
    </dxf>
    <dxf>
      <font>
        <b/>
        <i val="0"/>
        <strike val="0"/>
        <condense val="0"/>
        <extend val="0"/>
        <outline val="0"/>
        <shadow val="0"/>
        <u val="none"/>
        <vertAlign val="baseline"/>
        <sz val="12"/>
        <color theme="1"/>
        <name val="Aptos Serif"/>
        <family val="1"/>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Aptos Serif"/>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1"/>
        <color theme="1"/>
        <name val="Aptos Serif"/>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Serif"/>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Serif"/>
        <family val="1"/>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Serif"/>
        <family val="1"/>
        <scheme val="none"/>
      </font>
    </dxf>
    <dxf>
      <border outline="0">
        <bottom style="thin">
          <color indexed="64"/>
        </bottom>
      </border>
    </dxf>
    <dxf>
      <font>
        <strike val="0"/>
        <outline val="0"/>
        <shadow val="0"/>
        <u val="none"/>
        <vertAlign val="baseline"/>
        <sz val="11"/>
        <color theme="1"/>
        <name val="Aptos Serif"/>
        <family val="1"/>
        <scheme val="none"/>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Serif"/>
        <family val="1"/>
        <scheme val="none"/>
      </font>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Aptos Serif"/>
        <family val="1"/>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sz="1100" b="1" i="0" u="none" strike="noStrike" baseline="0">
                <a:latin typeface="Aptos Serif" panose="02020604070405020304" pitchFamily="18" charset="0"/>
                <a:cs typeface="Aptos Serif" panose="02020604070405020304" pitchFamily="18" charset="0"/>
              </a:rPr>
              <a:t>Employees Leaving by Department</a:t>
            </a:r>
            <a:endParaRPr lang="en-US" sz="1100">
              <a:latin typeface="Aptos Serif" panose="02020604070405020304" pitchFamily="18" charset="0"/>
              <a:cs typeface="Aptos Serif" panose="0202060407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KPI_Summary!$A$18</c:f>
              <c:strCache>
                <c:ptCount val="1"/>
                <c:pt idx="0">
                  <c:v>Human Resources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KPI_Summary!$C$17</c:f>
              <c:strCache>
                <c:ptCount val="1"/>
                <c:pt idx="0">
                  <c:v>Attrition Count</c:v>
                </c:pt>
              </c:strCache>
            </c:strRef>
          </c:cat>
          <c:val>
            <c:numRef>
              <c:f>KPI_Summary!$C$18</c:f>
              <c:numCache>
                <c:formatCode>General</c:formatCode>
                <c:ptCount val="1"/>
                <c:pt idx="0">
                  <c:v>12</c:v>
                </c:pt>
              </c:numCache>
            </c:numRef>
          </c:val>
          <c:extLst>
            <c:ext xmlns:c16="http://schemas.microsoft.com/office/drawing/2014/chart" uri="{C3380CC4-5D6E-409C-BE32-E72D297353CC}">
              <c16:uniqueId val="{00000000-7E05-4449-8AB0-C0BA566DF868}"/>
            </c:ext>
          </c:extLst>
        </c:ser>
        <c:ser>
          <c:idx val="1"/>
          <c:order val="1"/>
          <c:tx>
            <c:strRef>
              <c:f>KPI_Summary!$A$19</c:f>
              <c:strCache>
                <c:ptCount val="1"/>
                <c:pt idx="0">
                  <c:v>Research &amp; Development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KPI_Summary!$C$17</c:f>
              <c:strCache>
                <c:ptCount val="1"/>
                <c:pt idx="0">
                  <c:v>Attrition Count</c:v>
                </c:pt>
              </c:strCache>
            </c:strRef>
          </c:cat>
          <c:val>
            <c:numRef>
              <c:f>KPI_Summary!$C$19</c:f>
              <c:numCache>
                <c:formatCode>General</c:formatCode>
                <c:ptCount val="1"/>
                <c:pt idx="0">
                  <c:v>133</c:v>
                </c:pt>
              </c:numCache>
            </c:numRef>
          </c:val>
          <c:extLst>
            <c:ext xmlns:c16="http://schemas.microsoft.com/office/drawing/2014/chart" uri="{C3380CC4-5D6E-409C-BE32-E72D297353CC}">
              <c16:uniqueId val="{00000001-7E05-4449-8AB0-C0BA566DF868}"/>
            </c:ext>
          </c:extLst>
        </c:ser>
        <c:ser>
          <c:idx val="2"/>
          <c:order val="2"/>
          <c:tx>
            <c:strRef>
              <c:f>KPI_Summary!$A$20</c:f>
              <c:strCache>
                <c:ptCount val="1"/>
                <c:pt idx="0">
                  <c:v>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KPI_Summary!$C$17</c:f>
              <c:strCache>
                <c:ptCount val="1"/>
                <c:pt idx="0">
                  <c:v>Attrition Count</c:v>
                </c:pt>
              </c:strCache>
            </c:strRef>
          </c:cat>
          <c:val>
            <c:numRef>
              <c:f>KPI_Summary!$C$20</c:f>
              <c:numCache>
                <c:formatCode>General</c:formatCode>
                <c:ptCount val="1"/>
                <c:pt idx="0">
                  <c:v>92</c:v>
                </c:pt>
              </c:numCache>
            </c:numRef>
          </c:val>
          <c:extLst>
            <c:ext xmlns:c16="http://schemas.microsoft.com/office/drawing/2014/chart" uri="{C3380CC4-5D6E-409C-BE32-E72D297353CC}">
              <c16:uniqueId val="{00000002-7E05-4449-8AB0-C0BA566DF868}"/>
            </c:ext>
          </c:extLst>
        </c:ser>
        <c:dLbls>
          <c:dLblPos val="inEnd"/>
          <c:showLegendKey val="0"/>
          <c:showVal val="1"/>
          <c:showCatName val="0"/>
          <c:showSerName val="0"/>
          <c:showPercent val="0"/>
          <c:showBubbleSize val="0"/>
        </c:dLbls>
        <c:gapWidth val="100"/>
        <c:overlap val="-24"/>
        <c:axId val="627321167"/>
        <c:axId val="627321647"/>
      </c:barChart>
      <c:catAx>
        <c:axId val="627321167"/>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CA">
                    <a:latin typeface="Aptos Serif" panose="02020604070405020304" pitchFamily="18" charset="0"/>
                    <a:cs typeface="Aptos Serif" panose="02020604070405020304" pitchFamily="18" charset="0"/>
                  </a:rPr>
                  <a:t>Department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27321647"/>
        <c:crosses val="autoZero"/>
        <c:auto val="1"/>
        <c:lblAlgn val="ctr"/>
        <c:lblOffset val="100"/>
        <c:noMultiLvlLbl val="0"/>
      </c:catAx>
      <c:valAx>
        <c:axId val="627321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CA" b="1">
                    <a:latin typeface="Aptos Serif" panose="02020604070405020304" pitchFamily="18" charset="0"/>
                    <a:cs typeface="Aptos Serif" panose="02020604070405020304" pitchFamily="18" charset="0"/>
                  </a:rPr>
                  <a:t>Attrition 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21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sz="1000">
                <a:latin typeface="Aptos Serif" panose="02020604070405020304" pitchFamily="18" charset="0"/>
                <a:cs typeface="Aptos Serif" panose="02020604070405020304" pitchFamily="18" charset="0"/>
              </a:rPr>
              <a:t>Average Monthly Income by Education and Attrition</a:t>
            </a:r>
          </a:p>
        </c:rich>
      </c:tx>
      <c:layout>
        <c:manualLayout>
          <c:xMode val="edge"/>
          <c:yMode val="edge"/>
          <c:x val="0.14711547819121659"/>
          <c:y val="1.68224249547648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212703480646648"/>
          <c:y val="0.18058895265613287"/>
          <c:w val="0.7362785078772135"/>
          <c:h val="0.51681226968510718"/>
        </c:manualLayout>
      </c:layout>
      <c:barChart>
        <c:barDir val="col"/>
        <c:grouping val="clustered"/>
        <c:varyColors val="0"/>
        <c:ser>
          <c:idx val="0"/>
          <c:order val="0"/>
          <c:tx>
            <c:strRef>
              <c:f>KPI_Summary!$G$36</c:f>
              <c:strCache>
                <c:ptCount val="1"/>
                <c:pt idx="0">
                  <c:v>Stayed — Average Income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KPI_Summary!$F$37:$F$41</c:f>
              <c:strCache>
                <c:ptCount val="5"/>
                <c:pt idx="0">
                  <c:v>Below College</c:v>
                </c:pt>
                <c:pt idx="1">
                  <c:v>College</c:v>
                </c:pt>
                <c:pt idx="2">
                  <c:v>Bachelor</c:v>
                </c:pt>
                <c:pt idx="3">
                  <c:v>Master</c:v>
                </c:pt>
                <c:pt idx="4">
                  <c:v>Doctor</c:v>
                </c:pt>
              </c:strCache>
            </c:strRef>
          </c:cat>
          <c:val>
            <c:numRef>
              <c:f>KPI_Summary!$G$37:$G$41</c:f>
              <c:numCache>
                <c:formatCode>_(* #,##0.00_);_(* \(#,##0.00\);_(* "-"??_);_(@_)</c:formatCode>
                <c:ptCount val="5"/>
                <c:pt idx="0">
                  <c:v>5926.1294964028775</c:v>
                </c:pt>
                <c:pt idx="1">
                  <c:v>6586.0588235294117</c:v>
                </c:pt>
                <c:pt idx="2">
                  <c:v>6882.9196617336156</c:v>
                </c:pt>
                <c:pt idx="3">
                  <c:v>7087.8147058823533</c:v>
                </c:pt>
                <c:pt idx="4">
                  <c:v>8559.9069767441852</c:v>
                </c:pt>
              </c:numCache>
            </c:numRef>
          </c:val>
          <c:extLst>
            <c:ext xmlns:c16="http://schemas.microsoft.com/office/drawing/2014/chart" uri="{C3380CC4-5D6E-409C-BE32-E72D297353CC}">
              <c16:uniqueId val="{00000000-2805-4086-9BB5-A71FA6107E8D}"/>
            </c:ext>
          </c:extLst>
        </c:ser>
        <c:ser>
          <c:idx val="1"/>
          <c:order val="1"/>
          <c:tx>
            <c:strRef>
              <c:f>KPI_Summary!$H$36</c:f>
              <c:strCache>
                <c:ptCount val="1"/>
                <c:pt idx="0">
                  <c:v>Left — Average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KPI_Summary!$F$37:$F$41</c:f>
              <c:strCache>
                <c:ptCount val="5"/>
                <c:pt idx="0">
                  <c:v>Below College</c:v>
                </c:pt>
                <c:pt idx="1">
                  <c:v>College</c:v>
                </c:pt>
                <c:pt idx="2">
                  <c:v>Bachelor</c:v>
                </c:pt>
                <c:pt idx="3">
                  <c:v>Master</c:v>
                </c:pt>
                <c:pt idx="4">
                  <c:v>Doctor</c:v>
                </c:pt>
              </c:strCache>
            </c:strRef>
          </c:cat>
          <c:val>
            <c:numRef>
              <c:f>KPI_Summary!$H$37:$H$41</c:f>
              <c:numCache>
                <c:formatCode>_(* #,##0.00_);_(* \(#,##0.00\);_(* "-"??_);_(@_)</c:formatCode>
                <c:ptCount val="5"/>
                <c:pt idx="0">
                  <c:v>4360.1612903225805</c:v>
                </c:pt>
                <c:pt idx="1">
                  <c:v>4282.545454545455</c:v>
                </c:pt>
                <c:pt idx="2">
                  <c:v>4770.242424242424</c:v>
                </c:pt>
                <c:pt idx="3">
                  <c:v>5335.1551724137935</c:v>
                </c:pt>
                <c:pt idx="4">
                  <c:v>5850.2</c:v>
                </c:pt>
              </c:numCache>
            </c:numRef>
          </c:val>
          <c:extLst>
            <c:ext xmlns:c16="http://schemas.microsoft.com/office/drawing/2014/chart" uri="{C3380CC4-5D6E-409C-BE32-E72D297353CC}">
              <c16:uniqueId val="{00000001-2805-4086-9BB5-A71FA6107E8D}"/>
            </c:ext>
          </c:extLst>
        </c:ser>
        <c:dLbls>
          <c:showLegendKey val="0"/>
          <c:showVal val="0"/>
          <c:showCatName val="0"/>
          <c:showSerName val="0"/>
          <c:showPercent val="0"/>
          <c:showBubbleSize val="0"/>
        </c:dLbls>
        <c:gapWidth val="100"/>
        <c:overlap val="-24"/>
        <c:axId val="627341807"/>
        <c:axId val="627336527"/>
      </c:barChart>
      <c:catAx>
        <c:axId val="6273418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CA">
                    <a:latin typeface="Aptos Serif" panose="02020604070405020304" pitchFamily="18" charset="0"/>
                    <a:cs typeface="Aptos Serif" panose="02020604070405020304" pitchFamily="18" charset="0"/>
                  </a:rPr>
                  <a:t>Average Attrition</a:t>
                </a:r>
              </a:p>
            </c:rich>
          </c:tx>
          <c:layout>
            <c:manualLayout>
              <c:xMode val="edge"/>
              <c:yMode val="edge"/>
              <c:x val="0.4303206282307056"/>
              <c:y val="0.79891506397378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36527"/>
        <c:crosses val="autoZero"/>
        <c:auto val="1"/>
        <c:lblAlgn val="ctr"/>
        <c:lblOffset val="100"/>
        <c:noMultiLvlLbl val="0"/>
      </c:catAx>
      <c:valAx>
        <c:axId val="62733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CA">
                    <a:latin typeface="Aptos Serif" panose="02020604070405020304" pitchFamily="18" charset="0"/>
                    <a:cs typeface="Aptos Serif" panose="02020604070405020304" pitchFamily="18" charset="0"/>
                  </a:rPr>
                  <a:t>Education Level</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41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sz="1100" b="1" i="0" u="none" strike="noStrike" baseline="0">
                <a:latin typeface="Aptos Serif" panose="02020604070405020304" pitchFamily="18" charset="0"/>
                <a:cs typeface="Aptos Serif" panose="02020604070405020304" pitchFamily="18" charset="0"/>
              </a:rPr>
              <a:t>Attrition Rate by Job Role</a:t>
            </a:r>
            <a:endParaRPr lang="en-US" sz="1100">
              <a:latin typeface="Aptos Serif" panose="02020604070405020304" pitchFamily="18" charset="0"/>
              <a:cs typeface="Aptos Serif" panose="0202060407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33707685379046"/>
          <c:y val="0.16834238101450075"/>
          <c:w val="0.65939550829774796"/>
          <c:h val="0.72027736617910565"/>
        </c:manualLayout>
      </c:layout>
      <c:barChart>
        <c:barDir val="bar"/>
        <c:grouping val="clustered"/>
        <c:varyColors val="0"/>
        <c:ser>
          <c:idx val="0"/>
          <c:order val="0"/>
          <c:tx>
            <c:strRef>
              <c:f>KPI_Summary!$F$18</c:f>
              <c:strCache>
                <c:ptCount val="1"/>
                <c:pt idx="0">
                  <c:v>Healthcare Representative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KPI_Summary!$I$17</c:f>
              <c:strCache>
                <c:ptCount val="1"/>
                <c:pt idx="0">
                  <c:v>Attrition Rate</c:v>
                </c:pt>
              </c:strCache>
            </c:strRef>
          </c:cat>
          <c:val>
            <c:numRef>
              <c:f>KPI_Summary!$I$18</c:f>
              <c:numCache>
                <c:formatCode>0%</c:formatCode>
                <c:ptCount val="1"/>
                <c:pt idx="0">
                  <c:v>6.8702290076335881E-2</c:v>
                </c:pt>
              </c:numCache>
            </c:numRef>
          </c:val>
          <c:extLst>
            <c:ext xmlns:c16="http://schemas.microsoft.com/office/drawing/2014/chart" uri="{C3380CC4-5D6E-409C-BE32-E72D297353CC}">
              <c16:uniqueId val="{00000000-FD82-40B4-866A-B806A8827BE3}"/>
            </c:ext>
          </c:extLst>
        </c:ser>
        <c:ser>
          <c:idx val="1"/>
          <c:order val="1"/>
          <c:tx>
            <c:strRef>
              <c:f>KPI_Summary!$F$19</c:f>
              <c:strCache>
                <c:ptCount val="1"/>
                <c:pt idx="0">
                  <c:v>Human Resources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KPI_Summary!$I$17</c:f>
              <c:strCache>
                <c:ptCount val="1"/>
                <c:pt idx="0">
                  <c:v>Attrition Rate</c:v>
                </c:pt>
              </c:strCache>
            </c:strRef>
          </c:cat>
          <c:val>
            <c:numRef>
              <c:f>KPI_Summary!$I$19</c:f>
              <c:numCache>
                <c:formatCode>0%</c:formatCode>
                <c:ptCount val="1"/>
                <c:pt idx="0">
                  <c:v>0.23076923076923078</c:v>
                </c:pt>
              </c:numCache>
            </c:numRef>
          </c:val>
          <c:extLst>
            <c:ext xmlns:c16="http://schemas.microsoft.com/office/drawing/2014/chart" uri="{C3380CC4-5D6E-409C-BE32-E72D297353CC}">
              <c16:uniqueId val="{00000009-FD82-40B4-866A-B806A8827BE3}"/>
            </c:ext>
          </c:extLst>
        </c:ser>
        <c:ser>
          <c:idx val="2"/>
          <c:order val="2"/>
          <c:tx>
            <c:strRef>
              <c:f>KPI_Summary!$F$20</c:f>
              <c:strCache>
                <c:ptCount val="1"/>
                <c:pt idx="0">
                  <c:v>Laboratory Technician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KPI_Summary!$I$17</c:f>
              <c:strCache>
                <c:ptCount val="1"/>
                <c:pt idx="0">
                  <c:v>Attrition Rate</c:v>
                </c:pt>
              </c:strCache>
            </c:strRef>
          </c:cat>
          <c:val>
            <c:numRef>
              <c:f>KPI_Summary!$I$20</c:f>
              <c:numCache>
                <c:formatCode>0%</c:formatCode>
                <c:ptCount val="1"/>
                <c:pt idx="0">
                  <c:v>0.23938223938223938</c:v>
                </c:pt>
              </c:numCache>
            </c:numRef>
          </c:val>
          <c:extLst>
            <c:ext xmlns:c16="http://schemas.microsoft.com/office/drawing/2014/chart" uri="{C3380CC4-5D6E-409C-BE32-E72D297353CC}">
              <c16:uniqueId val="{0000000A-FD82-40B4-866A-B806A8827BE3}"/>
            </c:ext>
          </c:extLst>
        </c:ser>
        <c:ser>
          <c:idx val="3"/>
          <c:order val="3"/>
          <c:tx>
            <c:strRef>
              <c:f>KPI_Summary!$F$21</c:f>
              <c:strCache>
                <c:ptCount val="1"/>
                <c:pt idx="0">
                  <c:v>Manager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KPI_Summary!$I$17</c:f>
              <c:strCache>
                <c:ptCount val="1"/>
                <c:pt idx="0">
                  <c:v>Attrition Rate</c:v>
                </c:pt>
              </c:strCache>
            </c:strRef>
          </c:cat>
          <c:val>
            <c:numRef>
              <c:f>KPI_Summary!$I$21</c:f>
              <c:numCache>
                <c:formatCode>0%</c:formatCode>
                <c:ptCount val="1"/>
                <c:pt idx="0">
                  <c:v>4.9019607843137254E-2</c:v>
                </c:pt>
              </c:numCache>
            </c:numRef>
          </c:val>
          <c:extLst>
            <c:ext xmlns:c16="http://schemas.microsoft.com/office/drawing/2014/chart" uri="{C3380CC4-5D6E-409C-BE32-E72D297353CC}">
              <c16:uniqueId val="{0000000B-FD82-40B4-866A-B806A8827BE3}"/>
            </c:ext>
          </c:extLst>
        </c:ser>
        <c:ser>
          <c:idx val="4"/>
          <c:order val="4"/>
          <c:tx>
            <c:strRef>
              <c:f>KPI_Summary!$F$22</c:f>
              <c:strCache>
                <c:ptCount val="1"/>
                <c:pt idx="0">
                  <c:v>Manufacturing Director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KPI_Summary!$I$17</c:f>
              <c:strCache>
                <c:ptCount val="1"/>
                <c:pt idx="0">
                  <c:v>Attrition Rate</c:v>
                </c:pt>
              </c:strCache>
            </c:strRef>
          </c:cat>
          <c:val>
            <c:numRef>
              <c:f>KPI_Summary!$I$22</c:f>
              <c:numCache>
                <c:formatCode>0%</c:formatCode>
                <c:ptCount val="1"/>
                <c:pt idx="0">
                  <c:v>6.8965517241379309E-2</c:v>
                </c:pt>
              </c:numCache>
            </c:numRef>
          </c:val>
          <c:extLst>
            <c:ext xmlns:c16="http://schemas.microsoft.com/office/drawing/2014/chart" uri="{C3380CC4-5D6E-409C-BE32-E72D297353CC}">
              <c16:uniqueId val="{0000000C-FD82-40B4-866A-B806A8827BE3}"/>
            </c:ext>
          </c:extLst>
        </c:ser>
        <c:ser>
          <c:idx val="5"/>
          <c:order val="5"/>
          <c:tx>
            <c:strRef>
              <c:f>KPI_Summary!$F$23</c:f>
              <c:strCache>
                <c:ptCount val="1"/>
                <c:pt idx="0">
                  <c:v>Research Director</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KPI_Summary!$I$17</c:f>
              <c:strCache>
                <c:ptCount val="1"/>
                <c:pt idx="0">
                  <c:v>Attrition Rate</c:v>
                </c:pt>
              </c:strCache>
            </c:strRef>
          </c:cat>
          <c:val>
            <c:numRef>
              <c:f>KPI_Summary!$I$23</c:f>
              <c:numCache>
                <c:formatCode>0%</c:formatCode>
                <c:ptCount val="1"/>
                <c:pt idx="0">
                  <c:v>2.5000000000000001E-2</c:v>
                </c:pt>
              </c:numCache>
            </c:numRef>
          </c:val>
          <c:extLst>
            <c:ext xmlns:c16="http://schemas.microsoft.com/office/drawing/2014/chart" uri="{C3380CC4-5D6E-409C-BE32-E72D297353CC}">
              <c16:uniqueId val="{0000000D-FD82-40B4-866A-B806A8827BE3}"/>
            </c:ext>
          </c:extLst>
        </c:ser>
        <c:ser>
          <c:idx val="6"/>
          <c:order val="6"/>
          <c:tx>
            <c:strRef>
              <c:f>KPI_Summary!$F$24</c:f>
              <c:strCache>
                <c:ptCount val="1"/>
                <c:pt idx="0">
                  <c:v>Research Scientist</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KPI_Summary!$I$17</c:f>
              <c:strCache>
                <c:ptCount val="1"/>
                <c:pt idx="0">
                  <c:v>Attrition Rate</c:v>
                </c:pt>
              </c:strCache>
            </c:strRef>
          </c:cat>
          <c:val>
            <c:numRef>
              <c:f>KPI_Summary!$I$24</c:f>
              <c:numCache>
                <c:formatCode>0%</c:formatCode>
                <c:ptCount val="1"/>
                <c:pt idx="0">
                  <c:v>0.16095890410958905</c:v>
                </c:pt>
              </c:numCache>
            </c:numRef>
          </c:val>
          <c:extLst>
            <c:ext xmlns:c16="http://schemas.microsoft.com/office/drawing/2014/chart" uri="{C3380CC4-5D6E-409C-BE32-E72D297353CC}">
              <c16:uniqueId val="{0000000E-FD82-40B4-866A-B806A8827BE3}"/>
            </c:ext>
          </c:extLst>
        </c:ser>
        <c:ser>
          <c:idx val="7"/>
          <c:order val="7"/>
          <c:tx>
            <c:strRef>
              <c:f>KPI_Summary!$F$25</c:f>
              <c:strCache>
                <c:ptCount val="1"/>
                <c:pt idx="0">
                  <c:v>Sales Executive</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KPI_Summary!$I$17</c:f>
              <c:strCache>
                <c:ptCount val="1"/>
                <c:pt idx="0">
                  <c:v>Attrition Rate</c:v>
                </c:pt>
              </c:strCache>
            </c:strRef>
          </c:cat>
          <c:val>
            <c:numRef>
              <c:f>KPI_Summary!$I$25</c:f>
              <c:numCache>
                <c:formatCode>0%</c:formatCode>
                <c:ptCount val="1"/>
                <c:pt idx="0">
                  <c:v>0.17484662576687116</c:v>
                </c:pt>
              </c:numCache>
            </c:numRef>
          </c:val>
          <c:extLst>
            <c:ext xmlns:c16="http://schemas.microsoft.com/office/drawing/2014/chart" uri="{C3380CC4-5D6E-409C-BE32-E72D297353CC}">
              <c16:uniqueId val="{0000000F-FD82-40B4-866A-B806A8827BE3}"/>
            </c:ext>
          </c:extLst>
        </c:ser>
        <c:ser>
          <c:idx val="8"/>
          <c:order val="8"/>
          <c:tx>
            <c:strRef>
              <c:f>KPI_Summary!$F$26</c:f>
              <c:strCache>
                <c:ptCount val="1"/>
                <c:pt idx="0">
                  <c:v>Sales Representative</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KPI_Summary!$I$17</c:f>
              <c:strCache>
                <c:ptCount val="1"/>
                <c:pt idx="0">
                  <c:v>Attrition Rate</c:v>
                </c:pt>
              </c:strCache>
            </c:strRef>
          </c:cat>
          <c:val>
            <c:numRef>
              <c:f>KPI_Summary!$I$26</c:f>
              <c:numCache>
                <c:formatCode>0%</c:formatCode>
                <c:ptCount val="1"/>
                <c:pt idx="0">
                  <c:v>0.39759036144578314</c:v>
                </c:pt>
              </c:numCache>
            </c:numRef>
          </c:val>
          <c:extLst>
            <c:ext xmlns:c16="http://schemas.microsoft.com/office/drawing/2014/chart" uri="{C3380CC4-5D6E-409C-BE32-E72D297353CC}">
              <c16:uniqueId val="{00000010-FD82-40B4-866A-B806A8827BE3}"/>
            </c:ext>
          </c:extLst>
        </c:ser>
        <c:dLbls>
          <c:showLegendKey val="0"/>
          <c:showVal val="0"/>
          <c:showCatName val="0"/>
          <c:showSerName val="0"/>
          <c:showPercent val="0"/>
          <c:showBubbleSize val="0"/>
        </c:dLbls>
        <c:gapWidth val="115"/>
        <c:overlap val="-20"/>
        <c:axId val="627301487"/>
        <c:axId val="627302927"/>
      </c:barChart>
      <c:catAx>
        <c:axId val="627301487"/>
        <c:scaling>
          <c:orientation val="minMax"/>
        </c:scaling>
        <c:delete val="1"/>
        <c:axPos val="l"/>
        <c:numFmt formatCode="General" sourceLinked="1"/>
        <c:majorTickMark val="none"/>
        <c:minorTickMark val="none"/>
        <c:tickLblPos val="nextTo"/>
        <c:crossAx val="627302927"/>
        <c:crosses val="autoZero"/>
        <c:auto val="1"/>
        <c:lblAlgn val="ctr"/>
        <c:lblOffset val="100"/>
        <c:noMultiLvlLbl val="0"/>
      </c:catAx>
      <c:valAx>
        <c:axId val="6273029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01487"/>
        <c:crosses val="autoZero"/>
        <c:crossBetween val="between"/>
      </c:valAx>
      <c:spPr>
        <a:noFill/>
        <a:ln>
          <a:noFill/>
        </a:ln>
        <a:effectLst/>
      </c:spPr>
    </c:plotArea>
    <c:legend>
      <c:legendPos val="l"/>
      <c:layout>
        <c:manualLayout>
          <c:xMode val="edge"/>
          <c:yMode val="edge"/>
          <c:x val="1.8090450829703571E-2"/>
          <c:y val="0.17407630186886724"/>
          <c:w val="0.26014709293339983"/>
          <c:h val="0.699333745438656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459317</xdr:colOff>
      <xdr:row>9</xdr:row>
      <xdr:rowOff>5290</xdr:rowOff>
    </xdr:from>
    <xdr:to>
      <xdr:col>2</xdr:col>
      <xdr:colOff>1362075</xdr:colOff>
      <xdr:row>23</xdr:row>
      <xdr:rowOff>38100</xdr:rowOff>
    </xdr:to>
    <xdr:graphicFrame macro="">
      <xdr:nvGraphicFramePr>
        <xdr:cNvPr id="2" name="Chart 3">
          <a:extLst>
            <a:ext uri="{FF2B5EF4-FFF2-40B4-BE49-F238E27FC236}">
              <a16:creationId xmlns:a16="http://schemas.microsoft.com/office/drawing/2014/main" id="{D13D0ECB-E107-85D1-7897-2DE96B479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9</xdr:row>
      <xdr:rowOff>2114</xdr:rowOff>
    </xdr:from>
    <xdr:to>
      <xdr:col>8</xdr:col>
      <xdr:colOff>285750</xdr:colOff>
      <xdr:row>22</xdr:row>
      <xdr:rowOff>161925</xdr:rowOff>
    </xdr:to>
    <xdr:graphicFrame macro="">
      <xdr:nvGraphicFramePr>
        <xdr:cNvPr id="3" name="Chart 4">
          <a:extLst>
            <a:ext uri="{FF2B5EF4-FFF2-40B4-BE49-F238E27FC236}">
              <a16:creationId xmlns:a16="http://schemas.microsoft.com/office/drawing/2014/main" id="{3917826C-B71D-333E-BB3F-70B076456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702733</xdr:colOff>
      <xdr:row>24</xdr:row>
      <xdr:rowOff>135466</xdr:rowOff>
    </xdr:from>
    <xdr:to>
      <xdr:col>4</xdr:col>
      <xdr:colOff>1019175</xdr:colOff>
      <xdr:row>37</xdr:row>
      <xdr:rowOff>180975</xdr:rowOff>
    </xdr:to>
    <xdr:graphicFrame macro="">
      <xdr:nvGraphicFramePr>
        <xdr:cNvPr id="4" name="Chart 5">
          <a:extLst>
            <a:ext uri="{FF2B5EF4-FFF2-40B4-BE49-F238E27FC236}">
              <a16:creationId xmlns:a16="http://schemas.microsoft.com/office/drawing/2014/main" id="{4AB9C7DB-F286-3786-09D2-D1ECB952B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47626</xdr:colOff>
      <xdr:row>0</xdr:row>
      <xdr:rowOff>52915</xdr:rowOff>
    </xdr:from>
    <xdr:to>
      <xdr:col>0</xdr:col>
      <xdr:colOff>1915584</xdr:colOff>
      <xdr:row>7</xdr:row>
      <xdr:rowOff>158748</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5AF215C6-1924-54D1-017F-280530DCF6E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626" y="52915"/>
              <a:ext cx="1867958" cy="143933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243415</xdr:colOff>
      <xdr:row>0</xdr:row>
      <xdr:rowOff>58208</xdr:rowOff>
    </xdr:from>
    <xdr:to>
      <xdr:col>3</xdr:col>
      <xdr:colOff>433916</xdr:colOff>
      <xdr:row>6</xdr:row>
      <xdr:rowOff>95250</xdr:rowOff>
    </xdr:to>
    <mc:AlternateContent xmlns:mc="http://schemas.openxmlformats.org/markup-compatibility/2006" xmlns:a14="http://schemas.microsoft.com/office/drawing/2010/main">
      <mc:Choice Requires="a14">
        <xdr:graphicFrame macro="">
          <xdr:nvGraphicFramePr>
            <xdr:cNvPr id="7" name="OverTime">
              <a:extLst>
                <a:ext uri="{FF2B5EF4-FFF2-40B4-BE49-F238E27FC236}">
                  <a16:creationId xmlns:a16="http://schemas.microsoft.com/office/drawing/2014/main" id="{57048A6F-E227-8B5F-9EF7-42E67D789B35}"/>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2317748" y="58208"/>
              <a:ext cx="1841501" cy="118004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878417</xdr:colOff>
      <xdr:row>0</xdr:row>
      <xdr:rowOff>47625</xdr:rowOff>
    </xdr:from>
    <xdr:to>
      <xdr:col>4</xdr:col>
      <xdr:colOff>1725084</xdr:colOff>
      <xdr:row>9</xdr:row>
      <xdr:rowOff>148167</xdr:rowOff>
    </xdr:to>
    <mc:AlternateContent xmlns:mc="http://schemas.openxmlformats.org/markup-compatibility/2006">
      <mc:Choice xmlns:a14="http://schemas.microsoft.com/office/drawing/2010/main" Requires="a14">
        <xdr:graphicFrame macro="">
          <xdr:nvGraphicFramePr>
            <xdr:cNvPr id="8" name="Education_Label">
              <a:extLst>
                <a:ext uri="{FF2B5EF4-FFF2-40B4-BE49-F238E27FC236}">
                  <a16:creationId xmlns:a16="http://schemas.microsoft.com/office/drawing/2014/main" id="{A454FCB8-50EF-ED07-E606-4940263BEBA3}"/>
                </a:ext>
              </a:extLst>
            </xdr:cNvPr>
            <xdr:cNvGraphicFramePr/>
          </xdr:nvGraphicFramePr>
          <xdr:xfrm>
            <a:off x="0" y="0"/>
            <a:ext cx="0" cy="0"/>
          </xdr:xfrm>
          <a:graphic>
            <a:graphicData uri="http://schemas.microsoft.com/office/drawing/2010/slicer">
              <sle:slicer xmlns:sle="http://schemas.microsoft.com/office/drawing/2010/slicer" name="Education_Label"/>
            </a:graphicData>
          </a:graphic>
        </xdr:graphicFrame>
      </mc:Choice>
      <mc:Fallback>
        <xdr:sp macro="" textlink="">
          <xdr:nvSpPr>
            <xdr:cNvPr id="0" name=""/>
            <xdr:cNvSpPr>
              <a:spLocks noTextEdit="1"/>
            </xdr:cNvSpPr>
          </xdr:nvSpPr>
          <xdr:spPr>
            <a:xfrm>
              <a:off x="4599120" y="47625"/>
              <a:ext cx="1819011" cy="179718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hiel Collins" refreshedDate="46314.844838888886" createdVersion="8" refreshedVersion="8" minRefreshableVersion="3" recordCount="1470" xr:uid="{796AD365-D4A7-4FF9-B382-092C623607BC}">
  <cacheSource type="worksheet">
    <worksheetSource name="CleanEmployeeData"/>
  </cacheSource>
  <cacheFields count="4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Education_Label" numFmtId="0">
      <sharedItems count="5">
        <s v="College"/>
        <s v="Below College"/>
        <s v="Master"/>
        <s v="Bachelor"/>
        <s v="Doctor"/>
      </sharedItems>
    </cacheField>
    <cacheField name="EnvironmentSatisfaction_Label" numFmtId="0">
      <sharedItems count="4">
        <s v="Medium"/>
        <s v="High"/>
        <s v="Very High"/>
        <s v="Low"/>
      </sharedItems>
    </cacheField>
    <cacheField name="JobInvolvement_Label" numFmtId="0">
      <sharedItems/>
    </cacheField>
    <cacheField name="JobSatisfaction_Label" numFmtId="0">
      <sharedItems count="4">
        <s v="Very High"/>
        <s v="Medium"/>
        <s v="High"/>
        <s v="Low"/>
      </sharedItems>
    </cacheField>
    <cacheField name="PerformanceRating_Label" numFmtId="0">
      <sharedItems/>
    </cacheField>
    <cacheField name="WorkLifeBalance_Label" numFmtId="0">
      <sharedItems/>
    </cacheField>
    <cacheField name="Attrition_Flag" numFmtId="0">
      <sharedItems containsSemiMixedTypes="0" containsString="0" containsNumber="1" containsInteger="1" minValue="0" maxValue="1"/>
    </cacheField>
    <cacheField name="Income_Band" numFmtId="0">
      <sharedItems/>
    </cacheField>
    <cacheField name="Distance_Band" numFmtId="0">
      <sharedItems/>
    </cacheField>
    <cacheField name="Tenure_Board" numFmtId="0">
      <sharedItems/>
    </cacheField>
  </cacheFields>
  <extLst>
    <ext xmlns:x14="http://schemas.microsoft.com/office/spreadsheetml/2009/9/main" uri="{725AE2AE-9491-48be-B2B4-4EB974FC3084}">
      <x14:pivotCacheDefinition pivotCacheId="1046320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x v="0"/>
    <s v="Life Sciences"/>
    <n v="1"/>
    <n v="1"/>
    <n v="2"/>
    <s v="Female"/>
    <n v="94"/>
    <n v="3"/>
    <n v="2"/>
    <x v="0"/>
    <x v="0"/>
    <s v="Single"/>
    <n v="5993"/>
    <n v="19479"/>
    <n v="8"/>
    <s v="Y"/>
    <x v="0"/>
    <n v="11"/>
    <n v="3"/>
    <n v="1"/>
    <n v="80"/>
    <n v="0"/>
    <n v="8"/>
    <n v="0"/>
    <n v="1"/>
    <n v="6"/>
    <n v="4"/>
    <n v="0"/>
    <n v="5"/>
    <x v="0"/>
    <x v="0"/>
    <s v="High"/>
    <x v="0"/>
    <s v="Excellent"/>
    <s v="Bad"/>
    <n v="1"/>
    <s v="3,001–6,000"/>
    <s v="0–5 miles"/>
    <s v="6–10 years"/>
  </r>
  <r>
    <n v="49"/>
    <x v="1"/>
    <s v="Travel_Frequently"/>
    <n v="279"/>
    <x v="1"/>
    <n v="8"/>
    <x v="1"/>
    <s v="Life Sciences"/>
    <n v="1"/>
    <n v="2"/>
    <n v="3"/>
    <s v="Male"/>
    <n v="61"/>
    <n v="2"/>
    <n v="2"/>
    <x v="1"/>
    <x v="1"/>
    <s v="Married"/>
    <n v="5130"/>
    <n v="24907"/>
    <n v="1"/>
    <s v="Y"/>
    <x v="1"/>
    <n v="23"/>
    <n v="4"/>
    <n v="4"/>
    <n v="80"/>
    <n v="1"/>
    <n v="10"/>
    <n v="3"/>
    <n v="3"/>
    <n v="10"/>
    <n v="7"/>
    <n v="1"/>
    <n v="7"/>
    <x v="1"/>
    <x v="1"/>
    <s v="Medium"/>
    <x v="1"/>
    <s v="Outstanding"/>
    <s v="Better"/>
    <n v="0"/>
    <s v="3,001–6,000"/>
    <s v="6–10 miles"/>
    <s v="6–10 years"/>
  </r>
  <r>
    <n v="37"/>
    <x v="0"/>
    <s v="Travel_Rarely"/>
    <n v="1373"/>
    <x v="1"/>
    <n v="2"/>
    <x v="0"/>
    <s v="Other"/>
    <n v="1"/>
    <n v="4"/>
    <n v="4"/>
    <s v="Male"/>
    <n v="92"/>
    <n v="2"/>
    <n v="1"/>
    <x v="2"/>
    <x v="2"/>
    <s v="Single"/>
    <n v="2090"/>
    <n v="2396"/>
    <n v="6"/>
    <s v="Y"/>
    <x v="0"/>
    <n v="15"/>
    <n v="3"/>
    <n v="2"/>
    <n v="80"/>
    <n v="0"/>
    <n v="7"/>
    <n v="3"/>
    <n v="3"/>
    <n v="0"/>
    <n v="0"/>
    <n v="0"/>
    <n v="0"/>
    <x v="0"/>
    <x v="2"/>
    <s v="Medium"/>
    <x v="2"/>
    <s v="Excellent"/>
    <s v="Better"/>
    <n v="1"/>
    <s v="0–3,000"/>
    <s v="0–5 miles"/>
    <s v="0–1 years"/>
  </r>
  <r>
    <n v="33"/>
    <x v="1"/>
    <s v="Travel_Frequently"/>
    <n v="1392"/>
    <x v="1"/>
    <n v="3"/>
    <x v="2"/>
    <s v="Life Sciences"/>
    <n v="1"/>
    <n v="5"/>
    <n v="4"/>
    <s v="Female"/>
    <n v="56"/>
    <n v="3"/>
    <n v="1"/>
    <x v="1"/>
    <x v="2"/>
    <s v="Married"/>
    <n v="2909"/>
    <n v="23159"/>
    <n v="1"/>
    <s v="Y"/>
    <x v="0"/>
    <n v="11"/>
    <n v="3"/>
    <n v="3"/>
    <n v="80"/>
    <n v="0"/>
    <n v="8"/>
    <n v="3"/>
    <n v="3"/>
    <n v="8"/>
    <n v="7"/>
    <n v="3"/>
    <n v="0"/>
    <x v="2"/>
    <x v="2"/>
    <s v="High"/>
    <x v="2"/>
    <s v="Excellent"/>
    <s v="Better"/>
    <n v="0"/>
    <s v="0–3,000"/>
    <s v="0–5 miles"/>
    <s v="6–10 years"/>
  </r>
  <r>
    <n v="27"/>
    <x v="1"/>
    <s v="Travel_Rarely"/>
    <n v="591"/>
    <x v="1"/>
    <n v="2"/>
    <x v="1"/>
    <s v="Medical"/>
    <n v="1"/>
    <n v="7"/>
    <n v="1"/>
    <s v="Male"/>
    <n v="40"/>
    <n v="3"/>
    <n v="1"/>
    <x v="2"/>
    <x v="1"/>
    <s v="Married"/>
    <n v="3468"/>
    <n v="16632"/>
    <n v="9"/>
    <s v="Y"/>
    <x v="1"/>
    <n v="12"/>
    <n v="3"/>
    <n v="4"/>
    <n v="80"/>
    <n v="1"/>
    <n v="6"/>
    <n v="3"/>
    <n v="3"/>
    <n v="2"/>
    <n v="2"/>
    <n v="2"/>
    <n v="2"/>
    <x v="1"/>
    <x v="3"/>
    <s v="High"/>
    <x v="1"/>
    <s v="Excellent"/>
    <s v="Better"/>
    <n v="0"/>
    <s v="3,001–6,000"/>
    <s v="0–5 miles"/>
    <s v="2–5 years"/>
  </r>
  <r>
    <n v="32"/>
    <x v="1"/>
    <s v="Travel_Frequently"/>
    <n v="1005"/>
    <x v="1"/>
    <n v="2"/>
    <x v="0"/>
    <s v="Life Sciences"/>
    <n v="1"/>
    <n v="8"/>
    <n v="4"/>
    <s v="Male"/>
    <n v="79"/>
    <n v="3"/>
    <n v="1"/>
    <x v="2"/>
    <x v="0"/>
    <s v="Single"/>
    <n v="3068"/>
    <n v="11864"/>
    <n v="0"/>
    <s v="Y"/>
    <x v="1"/>
    <n v="13"/>
    <n v="3"/>
    <n v="3"/>
    <n v="80"/>
    <n v="0"/>
    <n v="8"/>
    <n v="2"/>
    <n v="2"/>
    <n v="7"/>
    <n v="7"/>
    <n v="3"/>
    <n v="6"/>
    <x v="0"/>
    <x v="2"/>
    <s v="High"/>
    <x v="0"/>
    <s v="Excellent"/>
    <s v="Good"/>
    <n v="0"/>
    <s v="3,001–6,000"/>
    <s v="0–5 miles"/>
    <s v="6–10 years"/>
  </r>
  <r>
    <n v="59"/>
    <x v="1"/>
    <s v="Travel_Rarely"/>
    <n v="1324"/>
    <x v="1"/>
    <n v="3"/>
    <x v="3"/>
    <s v="Medical"/>
    <n v="1"/>
    <n v="10"/>
    <n v="3"/>
    <s v="Female"/>
    <n v="81"/>
    <n v="4"/>
    <n v="1"/>
    <x v="2"/>
    <x v="3"/>
    <s v="Married"/>
    <n v="2670"/>
    <n v="9964"/>
    <n v="4"/>
    <s v="Y"/>
    <x v="0"/>
    <n v="20"/>
    <n v="4"/>
    <n v="1"/>
    <n v="80"/>
    <n v="3"/>
    <n v="12"/>
    <n v="3"/>
    <n v="2"/>
    <n v="1"/>
    <n v="0"/>
    <n v="0"/>
    <n v="0"/>
    <x v="3"/>
    <x v="1"/>
    <s v="Very High"/>
    <x v="3"/>
    <s v="Outstanding"/>
    <s v="Good"/>
    <n v="0"/>
    <s v="0–3,000"/>
    <s v="0–5 miles"/>
    <s v="0–1 years"/>
  </r>
  <r>
    <n v="30"/>
    <x v="1"/>
    <s v="Travel_Rarely"/>
    <n v="1358"/>
    <x v="1"/>
    <n v="24"/>
    <x v="1"/>
    <s v="Life Sciences"/>
    <n v="1"/>
    <n v="11"/>
    <n v="4"/>
    <s v="Male"/>
    <n v="67"/>
    <n v="3"/>
    <n v="1"/>
    <x v="2"/>
    <x v="2"/>
    <s v="Divorced"/>
    <n v="2693"/>
    <n v="13335"/>
    <n v="1"/>
    <s v="Y"/>
    <x v="1"/>
    <n v="22"/>
    <n v="4"/>
    <n v="2"/>
    <n v="80"/>
    <n v="1"/>
    <n v="1"/>
    <n v="2"/>
    <n v="3"/>
    <n v="1"/>
    <n v="0"/>
    <n v="0"/>
    <n v="0"/>
    <x v="1"/>
    <x v="2"/>
    <s v="High"/>
    <x v="2"/>
    <s v="Outstanding"/>
    <s v="Better"/>
    <n v="0"/>
    <s v="0–3,000"/>
    <s v="16+ miles"/>
    <s v="0–1 years"/>
  </r>
  <r>
    <n v="38"/>
    <x v="1"/>
    <s v="Travel_Frequently"/>
    <n v="216"/>
    <x v="1"/>
    <n v="23"/>
    <x v="3"/>
    <s v="Life Sciences"/>
    <n v="1"/>
    <n v="12"/>
    <n v="4"/>
    <s v="Male"/>
    <n v="44"/>
    <n v="2"/>
    <n v="3"/>
    <x v="3"/>
    <x v="2"/>
    <s v="Single"/>
    <n v="9526"/>
    <n v="8787"/>
    <n v="0"/>
    <s v="Y"/>
    <x v="1"/>
    <n v="21"/>
    <n v="4"/>
    <n v="2"/>
    <n v="80"/>
    <n v="0"/>
    <n v="10"/>
    <n v="2"/>
    <n v="3"/>
    <n v="9"/>
    <n v="7"/>
    <n v="1"/>
    <n v="8"/>
    <x v="3"/>
    <x v="2"/>
    <s v="Medium"/>
    <x v="2"/>
    <s v="Outstanding"/>
    <s v="Better"/>
    <n v="0"/>
    <s v="6,001–10,000"/>
    <s v="16+ miles"/>
    <s v="6–10 years"/>
  </r>
  <r>
    <n v="36"/>
    <x v="1"/>
    <s v="Travel_Rarely"/>
    <n v="1299"/>
    <x v="1"/>
    <n v="27"/>
    <x v="3"/>
    <s v="Medical"/>
    <n v="1"/>
    <n v="13"/>
    <n v="3"/>
    <s v="Male"/>
    <n v="94"/>
    <n v="3"/>
    <n v="2"/>
    <x v="4"/>
    <x v="2"/>
    <s v="Married"/>
    <n v="5237"/>
    <n v="16577"/>
    <n v="6"/>
    <s v="Y"/>
    <x v="1"/>
    <n v="13"/>
    <n v="3"/>
    <n v="2"/>
    <n v="80"/>
    <n v="2"/>
    <n v="17"/>
    <n v="3"/>
    <n v="2"/>
    <n v="7"/>
    <n v="7"/>
    <n v="7"/>
    <n v="7"/>
    <x v="3"/>
    <x v="1"/>
    <s v="High"/>
    <x v="2"/>
    <s v="Excellent"/>
    <s v="Good"/>
    <n v="0"/>
    <s v="3,001–6,000"/>
    <s v="16+ miles"/>
    <s v="6–10 years"/>
  </r>
  <r>
    <n v="35"/>
    <x v="1"/>
    <s v="Travel_Rarely"/>
    <n v="809"/>
    <x v="1"/>
    <n v="16"/>
    <x v="3"/>
    <s v="Medical"/>
    <n v="1"/>
    <n v="14"/>
    <n v="1"/>
    <s v="Male"/>
    <n v="84"/>
    <n v="4"/>
    <n v="1"/>
    <x v="2"/>
    <x v="1"/>
    <s v="Married"/>
    <n v="2426"/>
    <n v="16479"/>
    <n v="0"/>
    <s v="Y"/>
    <x v="1"/>
    <n v="13"/>
    <n v="3"/>
    <n v="3"/>
    <n v="80"/>
    <n v="1"/>
    <n v="6"/>
    <n v="5"/>
    <n v="3"/>
    <n v="5"/>
    <n v="4"/>
    <n v="0"/>
    <n v="3"/>
    <x v="3"/>
    <x v="3"/>
    <s v="Very High"/>
    <x v="1"/>
    <s v="Excellent"/>
    <s v="Better"/>
    <n v="0"/>
    <s v="0–3,000"/>
    <s v="16+ miles"/>
    <s v="2–5 years"/>
  </r>
  <r>
    <n v="29"/>
    <x v="1"/>
    <s v="Travel_Rarely"/>
    <n v="153"/>
    <x v="1"/>
    <n v="15"/>
    <x v="0"/>
    <s v="Life Sciences"/>
    <n v="1"/>
    <n v="15"/>
    <n v="4"/>
    <s v="Female"/>
    <n v="49"/>
    <n v="2"/>
    <n v="2"/>
    <x v="2"/>
    <x v="2"/>
    <s v="Single"/>
    <n v="4193"/>
    <n v="12682"/>
    <n v="0"/>
    <s v="Y"/>
    <x v="0"/>
    <n v="12"/>
    <n v="3"/>
    <n v="4"/>
    <n v="80"/>
    <n v="0"/>
    <n v="10"/>
    <n v="3"/>
    <n v="3"/>
    <n v="9"/>
    <n v="5"/>
    <n v="0"/>
    <n v="8"/>
    <x v="0"/>
    <x v="2"/>
    <s v="Medium"/>
    <x v="2"/>
    <s v="Excellent"/>
    <s v="Better"/>
    <n v="0"/>
    <s v="3,001–6,000"/>
    <s v="11–15 miles"/>
    <s v="6–10 years"/>
  </r>
  <r>
    <n v="31"/>
    <x v="1"/>
    <s v="Travel_Rarely"/>
    <n v="670"/>
    <x v="1"/>
    <n v="26"/>
    <x v="1"/>
    <s v="Life Sciences"/>
    <n v="1"/>
    <n v="16"/>
    <n v="1"/>
    <s v="Male"/>
    <n v="31"/>
    <n v="3"/>
    <n v="1"/>
    <x v="1"/>
    <x v="2"/>
    <s v="Divorced"/>
    <n v="2911"/>
    <n v="15170"/>
    <n v="1"/>
    <s v="Y"/>
    <x v="1"/>
    <n v="17"/>
    <n v="3"/>
    <n v="4"/>
    <n v="80"/>
    <n v="1"/>
    <n v="5"/>
    <n v="1"/>
    <n v="2"/>
    <n v="5"/>
    <n v="2"/>
    <n v="4"/>
    <n v="3"/>
    <x v="1"/>
    <x v="3"/>
    <s v="High"/>
    <x v="2"/>
    <s v="Excellent"/>
    <s v="Good"/>
    <n v="0"/>
    <s v="0–3,000"/>
    <s v="16+ miles"/>
    <s v="2–5 years"/>
  </r>
  <r>
    <n v="34"/>
    <x v="1"/>
    <s v="Travel_Rarely"/>
    <n v="1346"/>
    <x v="1"/>
    <n v="19"/>
    <x v="0"/>
    <s v="Medical"/>
    <n v="1"/>
    <n v="18"/>
    <n v="2"/>
    <s v="Male"/>
    <n v="93"/>
    <n v="3"/>
    <n v="1"/>
    <x v="2"/>
    <x v="0"/>
    <s v="Divorced"/>
    <n v="2661"/>
    <n v="8758"/>
    <n v="0"/>
    <s v="Y"/>
    <x v="1"/>
    <n v="11"/>
    <n v="3"/>
    <n v="3"/>
    <n v="80"/>
    <n v="1"/>
    <n v="3"/>
    <n v="2"/>
    <n v="3"/>
    <n v="2"/>
    <n v="2"/>
    <n v="1"/>
    <n v="2"/>
    <x v="0"/>
    <x v="0"/>
    <s v="High"/>
    <x v="0"/>
    <s v="Excellent"/>
    <s v="Better"/>
    <n v="0"/>
    <s v="0–3,000"/>
    <s v="16+ miles"/>
    <s v="2–5 years"/>
  </r>
  <r>
    <n v="28"/>
    <x v="0"/>
    <s v="Travel_Rarely"/>
    <n v="103"/>
    <x v="1"/>
    <n v="24"/>
    <x v="3"/>
    <s v="Life Sciences"/>
    <n v="1"/>
    <n v="19"/>
    <n v="3"/>
    <s v="Male"/>
    <n v="50"/>
    <n v="2"/>
    <n v="1"/>
    <x v="2"/>
    <x v="2"/>
    <s v="Single"/>
    <n v="2028"/>
    <n v="12947"/>
    <n v="5"/>
    <s v="Y"/>
    <x v="0"/>
    <n v="14"/>
    <n v="3"/>
    <n v="2"/>
    <n v="80"/>
    <n v="0"/>
    <n v="6"/>
    <n v="4"/>
    <n v="3"/>
    <n v="4"/>
    <n v="2"/>
    <n v="0"/>
    <n v="3"/>
    <x v="3"/>
    <x v="1"/>
    <s v="Medium"/>
    <x v="2"/>
    <s v="Excellent"/>
    <s v="Better"/>
    <n v="1"/>
    <s v="0–3,000"/>
    <s v="16+ miles"/>
    <s v="2–5 years"/>
  </r>
  <r>
    <n v="29"/>
    <x v="1"/>
    <s v="Travel_Rarely"/>
    <n v="1389"/>
    <x v="1"/>
    <n v="21"/>
    <x v="2"/>
    <s v="Life Sciences"/>
    <n v="1"/>
    <n v="20"/>
    <n v="2"/>
    <s v="Female"/>
    <n v="51"/>
    <n v="4"/>
    <n v="3"/>
    <x v="3"/>
    <x v="3"/>
    <s v="Divorced"/>
    <n v="9980"/>
    <n v="10195"/>
    <n v="1"/>
    <s v="Y"/>
    <x v="1"/>
    <n v="11"/>
    <n v="3"/>
    <n v="3"/>
    <n v="80"/>
    <n v="1"/>
    <n v="10"/>
    <n v="1"/>
    <n v="3"/>
    <n v="10"/>
    <n v="9"/>
    <n v="8"/>
    <n v="8"/>
    <x v="2"/>
    <x v="0"/>
    <s v="Very High"/>
    <x v="3"/>
    <s v="Excellent"/>
    <s v="Better"/>
    <n v="0"/>
    <s v="6,001–10,000"/>
    <s v="16+ miles"/>
    <s v="6–10 years"/>
  </r>
  <r>
    <n v="32"/>
    <x v="1"/>
    <s v="Travel_Rarely"/>
    <n v="334"/>
    <x v="1"/>
    <n v="5"/>
    <x v="0"/>
    <s v="Life Sciences"/>
    <n v="1"/>
    <n v="21"/>
    <n v="1"/>
    <s v="Male"/>
    <n v="80"/>
    <n v="4"/>
    <n v="1"/>
    <x v="1"/>
    <x v="1"/>
    <s v="Divorced"/>
    <n v="3298"/>
    <n v="15053"/>
    <n v="0"/>
    <s v="Y"/>
    <x v="0"/>
    <n v="12"/>
    <n v="3"/>
    <n v="4"/>
    <n v="80"/>
    <n v="2"/>
    <n v="7"/>
    <n v="5"/>
    <n v="2"/>
    <n v="6"/>
    <n v="2"/>
    <n v="0"/>
    <n v="5"/>
    <x v="0"/>
    <x v="3"/>
    <s v="Very High"/>
    <x v="1"/>
    <s v="Excellent"/>
    <s v="Good"/>
    <n v="0"/>
    <s v="3,001–6,000"/>
    <s v="0–5 miles"/>
    <s v="6–10 years"/>
  </r>
  <r>
    <n v="22"/>
    <x v="1"/>
    <s v="Non-Travel"/>
    <n v="1123"/>
    <x v="1"/>
    <n v="16"/>
    <x v="0"/>
    <s v="Medical"/>
    <n v="1"/>
    <n v="22"/>
    <n v="4"/>
    <s v="Male"/>
    <n v="96"/>
    <n v="4"/>
    <n v="1"/>
    <x v="2"/>
    <x v="0"/>
    <s v="Divorced"/>
    <n v="2935"/>
    <n v="7324"/>
    <n v="1"/>
    <s v="Y"/>
    <x v="0"/>
    <n v="13"/>
    <n v="3"/>
    <n v="2"/>
    <n v="80"/>
    <n v="2"/>
    <n v="1"/>
    <n v="2"/>
    <n v="2"/>
    <n v="1"/>
    <n v="0"/>
    <n v="0"/>
    <n v="0"/>
    <x v="0"/>
    <x v="2"/>
    <s v="Very High"/>
    <x v="0"/>
    <s v="Excellent"/>
    <s v="Good"/>
    <n v="0"/>
    <s v="0–3,000"/>
    <s v="16+ miles"/>
    <s v="0–1 years"/>
  </r>
  <r>
    <n v="53"/>
    <x v="1"/>
    <s v="Travel_Rarely"/>
    <n v="1219"/>
    <x v="0"/>
    <n v="2"/>
    <x v="2"/>
    <s v="Life Sciences"/>
    <n v="1"/>
    <n v="23"/>
    <n v="1"/>
    <s v="Female"/>
    <n v="78"/>
    <n v="2"/>
    <n v="4"/>
    <x v="5"/>
    <x v="0"/>
    <s v="Married"/>
    <n v="15427"/>
    <n v="22021"/>
    <n v="2"/>
    <s v="Y"/>
    <x v="1"/>
    <n v="16"/>
    <n v="3"/>
    <n v="3"/>
    <n v="80"/>
    <n v="0"/>
    <n v="31"/>
    <n v="3"/>
    <n v="3"/>
    <n v="25"/>
    <n v="8"/>
    <n v="3"/>
    <n v="7"/>
    <x v="2"/>
    <x v="3"/>
    <s v="Medium"/>
    <x v="0"/>
    <s v="Excellent"/>
    <s v="Better"/>
    <n v="0"/>
    <s v="10,001+"/>
    <s v="0–5 miles"/>
    <s v="11+ years"/>
  </r>
  <r>
    <n v="38"/>
    <x v="1"/>
    <s v="Travel_Rarely"/>
    <n v="371"/>
    <x v="1"/>
    <n v="2"/>
    <x v="3"/>
    <s v="Life Sciences"/>
    <n v="1"/>
    <n v="24"/>
    <n v="4"/>
    <s v="Male"/>
    <n v="45"/>
    <n v="3"/>
    <n v="1"/>
    <x v="1"/>
    <x v="0"/>
    <s v="Single"/>
    <n v="3944"/>
    <n v="4306"/>
    <n v="5"/>
    <s v="Y"/>
    <x v="0"/>
    <n v="11"/>
    <n v="3"/>
    <n v="3"/>
    <n v="80"/>
    <n v="0"/>
    <n v="6"/>
    <n v="3"/>
    <n v="3"/>
    <n v="3"/>
    <n v="2"/>
    <n v="1"/>
    <n v="2"/>
    <x v="3"/>
    <x v="2"/>
    <s v="High"/>
    <x v="0"/>
    <s v="Excellent"/>
    <s v="Better"/>
    <n v="0"/>
    <s v="3,001–6,000"/>
    <s v="0–5 miles"/>
    <s v="2–5 years"/>
  </r>
  <r>
    <n v="24"/>
    <x v="1"/>
    <s v="Non-Travel"/>
    <n v="673"/>
    <x v="1"/>
    <n v="11"/>
    <x v="0"/>
    <s v="Other"/>
    <n v="1"/>
    <n v="26"/>
    <n v="1"/>
    <s v="Female"/>
    <n v="96"/>
    <n v="4"/>
    <n v="2"/>
    <x v="3"/>
    <x v="2"/>
    <s v="Divorced"/>
    <n v="4011"/>
    <n v="8232"/>
    <n v="0"/>
    <s v="Y"/>
    <x v="1"/>
    <n v="18"/>
    <n v="3"/>
    <n v="4"/>
    <n v="80"/>
    <n v="1"/>
    <n v="5"/>
    <n v="5"/>
    <n v="2"/>
    <n v="4"/>
    <n v="2"/>
    <n v="1"/>
    <n v="3"/>
    <x v="0"/>
    <x v="3"/>
    <s v="Very High"/>
    <x v="2"/>
    <s v="Excellent"/>
    <s v="Good"/>
    <n v="0"/>
    <s v="3,001–6,000"/>
    <s v="11–15 miles"/>
    <s v="2–5 years"/>
  </r>
  <r>
    <n v="36"/>
    <x v="0"/>
    <s v="Travel_Rarely"/>
    <n v="1218"/>
    <x v="0"/>
    <n v="9"/>
    <x v="2"/>
    <s v="Life Sciences"/>
    <n v="1"/>
    <n v="27"/>
    <n v="3"/>
    <s v="Male"/>
    <n v="82"/>
    <n v="2"/>
    <n v="1"/>
    <x v="6"/>
    <x v="3"/>
    <s v="Single"/>
    <n v="3407"/>
    <n v="6986"/>
    <n v="7"/>
    <s v="Y"/>
    <x v="1"/>
    <n v="23"/>
    <n v="4"/>
    <n v="2"/>
    <n v="80"/>
    <n v="0"/>
    <n v="10"/>
    <n v="4"/>
    <n v="3"/>
    <n v="5"/>
    <n v="3"/>
    <n v="0"/>
    <n v="3"/>
    <x v="2"/>
    <x v="1"/>
    <s v="Medium"/>
    <x v="3"/>
    <s v="Outstanding"/>
    <s v="Better"/>
    <n v="1"/>
    <s v="3,001–6,000"/>
    <s v="6–10 miles"/>
    <s v="2–5 years"/>
  </r>
  <r>
    <n v="34"/>
    <x v="1"/>
    <s v="Travel_Rarely"/>
    <n v="419"/>
    <x v="1"/>
    <n v="7"/>
    <x v="2"/>
    <s v="Life Sciences"/>
    <n v="1"/>
    <n v="28"/>
    <n v="1"/>
    <s v="Female"/>
    <n v="53"/>
    <n v="3"/>
    <n v="3"/>
    <x v="7"/>
    <x v="1"/>
    <s v="Single"/>
    <n v="11994"/>
    <n v="21293"/>
    <n v="0"/>
    <s v="Y"/>
    <x v="1"/>
    <n v="11"/>
    <n v="3"/>
    <n v="3"/>
    <n v="80"/>
    <n v="0"/>
    <n v="13"/>
    <n v="4"/>
    <n v="3"/>
    <n v="12"/>
    <n v="6"/>
    <n v="2"/>
    <n v="11"/>
    <x v="2"/>
    <x v="3"/>
    <s v="High"/>
    <x v="1"/>
    <s v="Excellent"/>
    <s v="Better"/>
    <n v="0"/>
    <s v="10,001+"/>
    <s v="6–10 miles"/>
    <s v="11+ years"/>
  </r>
  <r>
    <n v="21"/>
    <x v="1"/>
    <s v="Travel_Rarely"/>
    <n v="391"/>
    <x v="1"/>
    <n v="15"/>
    <x v="0"/>
    <s v="Life Sciences"/>
    <n v="1"/>
    <n v="30"/>
    <n v="3"/>
    <s v="Male"/>
    <n v="96"/>
    <n v="3"/>
    <n v="1"/>
    <x v="1"/>
    <x v="0"/>
    <s v="Single"/>
    <n v="1232"/>
    <n v="19281"/>
    <n v="1"/>
    <s v="Y"/>
    <x v="1"/>
    <n v="14"/>
    <n v="3"/>
    <n v="4"/>
    <n v="80"/>
    <n v="0"/>
    <n v="0"/>
    <n v="6"/>
    <n v="3"/>
    <n v="0"/>
    <n v="0"/>
    <n v="0"/>
    <n v="0"/>
    <x v="0"/>
    <x v="1"/>
    <s v="High"/>
    <x v="0"/>
    <s v="Excellent"/>
    <s v="Better"/>
    <n v="0"/>
    <s v="0–3,000"/>
    <s v="11–15 miles"/>
    <s v="0–1 years"/>
  </r>
  <r>
    <n v="34"/>
    <x v="0"/>
    <s v="Travel_Rarely"/>
    <n v="699"/>
    <x v="1"/>
    <n v="6"/>
    <x v="1"/>
    <s v="Medical"/>
    <n v="1"/>
    <n v="31"/>
    <n v="2"/>
    <s v="Male"/>
    <n v="83"/>
    <n v="3"/>
    <n v="1"/>
    <x v="1"/>
    <x v="3"/>
    <s v="Single"/>
    <n v="2960"/>
    <n v="17102"/>
    <n v="2"/>
    <s v="Y"/>
    <x v="1"/>
    <n v="11"/>
    <n v="3"/>
    <n v="3"/>
    <n v="80"/>
    <n v="0"/>
    <n v="8"/>
    <n v="2"/>
    <n v="3"/>
    <n v="4"/>
    <n v="2"/>
    <n v="1"/>
    <n v="3"/>
    <x v="1"/>
    <x v="0"/>
    <s v="High"/>
    <x v="3"/>
    <s v="Excellent"/>
    <s v="Better"/>
    <n v="1"/>
    <s v="0–3,000"/>
    <s v="6–10 miles"/>
    <s v="2–5 years"/>
  </r>
  <r>
    <n v="53"/>
    <x v="1"/>
    <s v="Travel_Rarely"/>
    <n v="1282"/>
    <x v="1"/>
    <n v="5"/>
    <x v="3"/>
    <s v="Other"/>
    <n v="1"/>
    <n v="32"/>
    <n v="3"/>
    <s v="Female"/>
    <n v="58"/>
    <n v="3"/>
    <n v="5"/>
    <x v="5"/>
    <x v="2"/>
    <s v="Divorced"/>
    <n v="19094"/>
    <n v="10735"/>
    <n v="4"/>
    <s v="Y"/>
    <x v="1"/>
    <n v="11"/>
    <n v="3"/>
    <n v="4"/>
    <n v="80"/>
    <n v="1"/>
    <n v="26"/>
    <n v="3"/>
    <n v="2"/>
    <n v="14"/>
    <n v="13"/>
    <n v="4"/>
    <n v="8"/>
    <x v="3"/>
    <x v="1"/>
    <s v="High"/>
    <x v="2"/>
    <s v="Excellent"/>
    <s v="Good"/>
    <n v="0"/>
    <s v="10,001+"/>
    <s v="0–5 miles"/>
    <s v="11+ years"/>
  </r>
  <r>
    <n v="32"/>
    <x v="0"/>
    <s v="Travel_Frequently"/>
    <n v="1125"/>
    <x v="1"/>
    <n v="16"/>
    <x v="1"/>
    <s v="Life Sciences"/>
    <n v="1"/>
    <n v="33"/>
    <n v="2"/>
    <s v="Female"/>
    <n v="72"/>
    <n v="1"/>
    <n v="1"/>
    <x v="1"/>
    <x v="3"/>
    <s v="Single"/>
    <n v="3919"/>
    <n v="4681"/>
    <n v="1"/>
    <s v="Y"/>
    <x v="0"/>
    <n v="22"/>
    <n v="4"/>
    <n v="2"/>
    <n v="80"/>
    <n v="0"/>
    <n v="10"/>
    <n v="5"/>
    <n v="3"/>
    <n v="10"/>
    <n v="2"/>
    <n v="6"/>
    <n v="7"/>
    <x v="1"/>
    <x v="0"/>
    <s v="Low"/>
    <x v="3"/>
    <s v="Outstanding"/>
    <s v="Better"/>
    <n v="1"/>
    <s v="3,001–6,000"/>
    <s v="16+ miles"/>
    <s v="6–10 years"/>
  </r>
  <r>
    <n v="42"/>
    <x v="1"/>
    <s v="Travel_Rarely"/>
    <n v="691"/>
    <x v="0"/>
    <n v="8"/>
    <x v="2"/>
    <s v="Marketing"/>
    <n v="1"/>
    <n v="35"/>
    <n v="3"/>
    <s v="Male"/>
    <n v="48"/>
    <n v="3"/>
    <n v="2"/>
    <x v="0"/>
    <x v="1"/>
    <s v="Married"/>
    <n v="6825"/>
    <n v="21173"/>
    <n v="0"/>
    <s v="Y"/>
    <x v="1"/>
    <n v="11"/>
    <n v="3"/>
    <n v="4"/>
    <n v="80"/>
    <n v="1"/>
    <n v="10"/>
    <n v="2"/>
    <n v="3"/>
    <n v="9"/>
    <n v="7"/>
    <n v="4"/>
    <n v="2"/>
    <x v="2"/>
    <x v="1"/>
    <s v="High"/>
    <x v="1"/>
    <s v="Excellent"/>
    <s v="Better"/>
    <n v="0"/>
    <s v="6,001–10,000"/>
    <s v="6–10 miles"/>
    <s v="6–10 years"/>
  </r>
  <r>
    <n v="44"/>
    <x v="1"/>
    <s v="Travel_Rarely"/>
    <n v="477"/>
    <x v="1"/>
    <n v="7"/>
    <x v="2"/>
    <s v="Medical"/>
    <n v="1"/>
    <n v="36"/>
    <n v="1"/>
    <s v="Female"/>
    <n v="42"/>
    <n v="2"/>
    <n v="3"/>
    <x v="4"/>
    <x v="0"/>
    <s v="Married"/>
    <n v="10248"/>
    <n v="2094"/>
    <n v="3"/>
    <s v="Y"/>
    <x v="1"/>
    <n v="14"/>
    <n v="3"/>
    <n v="4"/>
    <n v="80"/>
    <n v="1"/>
    <n v="24"/>
    <n v="4"/>
    <n v="3"/>
    <n v="22"/>
    <n v="6"/>
    <n v="5"/>
    <n v="17"/>
    <x v="2"/>
    <x v="3"/>
    <s v="Medium"/>
    <x v="0"/>
    <s v="Excellent"/>
    <s v="Better"/>
    <n v="0"/>
    <s v="10,001+"/>
    <s v="6–10 miles"/>
    <s v="11+ years"/>
  </r>
  <r>
    <n v="46"/>
    <x v="1"/>
    <s v="Travel_Rarely"/>
    <n v="705"/>
    <x v="0"/>
    <n v="2"/>
    <x v="2"/>
    <s v="Marketing"/>
    <n v="1"/>
    <n v="38"/>
    <n v="2"/>
    <s v="Female"/>
    <n v="83"/>
    <n v="3"/>
    <n v="5"/>
    <x v="5"/>
    <x v="3"/>
    <s v="Single"/>
    <n v="18947"/>
    <n v="22822"/>
    <n v="3"/>
    <s v="Y"/>
    <x v="1"/>
    <n v="12"/>
    <n v="3"/>
    <n v="4"/>
    <n v="80"/>
    <n v="0"/>
    <n v="22"/>
    <n v="2"/>
    <n v="2"/>
    <n v="2"/>
    <n v="2"/>
    <n v="2"/>
    <n v="1"/>
    <x v="2"/>
    <x v="0"/>
    <s v="High"/>
    <x v="3"/>
    <s v="Excellent"/>
    <s v="Good"/>
    <n v="0"/>
    <s v="10,001+"/>
    <s v="0–5 miles"/>
    <s v="2–5 years"/>
  </r>
  <r>
    <n v="33"/>
    <x v="1"/>
    <s v="Travel_Rarely"/>
    <n v="924"/>
    <x v="1"/>
    <n v="2"/>
    <x v="3"/>
    <s v="Medical"/>
    <n v="1"/>
    <n v="39"/>
    <n v="3"/>
    <s v="Male"/>
    <n v="78"/>
    <n v="3"/>
    <n v="1"/>
    <x v="2"/>
    <x v="0"/>
    <s v="Single"/>
    <n v="2496"/>
    <n v="6670"/>
    <n v="4"/>
    <s v="Y"/>
    <x v="1"/>
    <n v="11"/>
    <n v="3"/>
    <n v="4"/>
    <n v="80"/>
    <n v="0"/>
    <n v="7"/>
    <n v="3"/>
    <n v="3"/>
    <n v="1"/>
    <n v="1"/>
    <n v="0"/>
    <n v="0"/>
    <x v="3"/>
    <x v="1"/>
    <s v="High"/>
    <x v="0"/>
    <s v="Excellent"/>
    <s v="Better"/>
    <n v="0"/>
    <s v="0–3,000"/>
    <s v="0–5 miles"/>
    <s v="0–1 years"/>
  </r>
  <r>
    <n v="44"/>
    <x v="1"/>
    <s v="Travel_Rarely"/>
    <n v="1459"/>
    <x v="1"/>
    <n v="10"/>
    <x v="2"/>
    <s v="Other"/>
    <n v="1"/>
    <n v="40"/>
    <n v="4"/>
    <s v="Male"/>
    <n v="41"/>
    <n v="3"/>
    <n v="2"/>
    <x v="4"/>
    <x v="0"/>
    <s v="Married"/>
    <n v="6465"/>
    <n v="19121"/>
    <n v="2"/>
    <s v="Y"/>
    <x v="0"/>
    <n v="13"/>
    <n v="3"/>
    <n v="4"/>
    <n v="80"/>
    <n v="0"/>
    <n v="9"/>
    <n v="5"/>
    <n v="4"/>
    <n v="4"/>
    <n v="2"/>
    <n v="1"/>
    <n v="3"/>
    <x v="2"/>
    <x v="2"/>
    <s v="High"/>
    <x v="0"/>
    <s v="Excellent"/>
    <s v="Best"/>
    <n v="0"/>
    <s v="6,001–10,000"/>
    <s v="6–10 miles"/>
    <s v="2–5 years"/>
  </r>
  <r>
    <n v="30"/>
    <x v="1"/>
    <s v="Travel_Rarely"/>
    <n v="125"/>
    <x v="1"/>
    <n v="9"/>
    <x v="0"/>
    <s v="Medical"/>
    <n v="1"/>
    <n v="41"/>
    <n v="4"/>
    <s v="Male"/>
    <n v="83"/>
    <n v="2"/>
    <n v="1"/>
    <x v="2"/>
    <x v="2"/>
    <s v="Single"/>
    <n v="2206"/>
    <n v="16117"/>
    <n v="1"/>
    <s v="Y"/>
    <x v="1"/>
    <n v="13"/>
    <n v="3"/>
    <n v="1"/>
    <n v="80"/>
    <n v="0"/>
    <n v="10"/>
    <n v="5"/>
    <n v="3"/>
    <n v="10"/>
    <n v="0"/>
    <n v="1"/>
    <n v="8"/>
    <x v="0"/>
    <x v="2"/>
    <s v="Medium"/>
    <x v="2"/>
    <s v="Excellent"/>
    <s v="Better"/>
    <n v="0"/>
    <s v="0–3,000"/>
    <s v="6–10 miles"/>
    <s v="6–10 years"/>
  </r>
  <r>
    <n v="39"/>
    <x v="0"/>
    <s v="Travel_Rarely"/>
    <n v="895"/>
    <x v="0"/>
    <n v="5"/>
    <x v="3"/>
    <s v="Technical Degree"/>
    <n v="1"/>
    <n v="42"/>
    <n v="4"/>
    <s v="Male"/>
    <n v="56"/>
    <n v="3"/>
    <n v="2"/>
    <x v="6"/>
    <x v="0"/>
    <s v="Married"/>
    <n v="2086"/>
    <n v="3335"/>
    <n v="3"/>
    <s v="Y"/>
    <x v="1"/>
    <n v="14"/>
    <n v="3"/>
    <n v="3"/>
    <n v="80"/>
    <n v="1"/>
    <n v="19"/>
    <n v="6"/>
    <n v="4"/>
    <n v="1"/>
    <n v="0"/>
    <n v="0"/>
    <n v="0"/>
    <x v="3"/>
    <x v="2"/>
    <s v="High"/>
    <x v="0"/>
    <s v="Excellent"/>
    <s v="Best"/>
    <n v="1"/>
    <s v="0–3,000"/>
    <s v="0–5 miles"/>
    <s v="0–1 years"/>
  </r>
  <r>
    <n v="24"/>
    <x v="0"/>
    <s v="Travel_Rarely"/>
    <n v="813"/>
    <x v="1"/>
    <n v="1"/>
    <x v="3"/>
    <s v="Medical"/>
    <n v="1"/>
    <n v="45"/>
    <n v="2"/>
    <s v="Male"/>
    <n v="61"/>
    <n v="3"/>
    <n v="1"/>
    <x v="1"/>
    <x v="0"/>
    <s v="Married"/>
    <n v="2293"/>
    <n v="3020"/>
    <n v="2"/>
    <s v="Y"/>
    <x v="0"/>
    <n v="16"/>
    <n v="3"/>
    <n v="1"/>
    <n v="80"/>
    <n v="1"/>
    <n v="6"/>
    <n v="2"/>
    <n v="2"/>
    <n v="2"/>
    <n v="0"/>
    <n v="2"/>
    <n v="0"/>
    <x v="3"/>
    <x v="0"/>
    <s v="High"/>
    <x v="0"/>
    <s v="Excellent"/>
    <s v="Good"/>
    <n v="1"/>
    <s v="0–3,000"/>
    <s v="0–5 miles"/>
    <s v="2–5 years"/>
  </r>
  <r>
    <n v="43"/>
    <x v="1"/>
    <s v="Travel_Rarely"/>
    <n v="1273"/>
    <x v="1"/>
    <n v="2"/>
    <x v="0"/>
    <s v="Medical"/>
    <n v="1"/>
    <n v="46"/>
    <n v="4"/>
    <s v="Female"/>
    <n v="72"/>
    <n v="4"/>
    <n v="1"/>
    <x v="1"/>
    <x v="2"/>
    <s v="Divorced"/>
    <n v="2645"/>
    <n v="21923"/>
    <n v="1"/>
    <s v="Y"/>
    <x v="1"/>
    <n v="12"/>
    <n v="3"/>
    <n v="4"/>
    <n v="80"/>
    <n v="2"/>
    <n v="6"/>
    <n v="3"/>
    <n v="2"/>
    <n v="5"/>
    <n v="3"/>
    <n v="1"/>
    <n v="4"/>
    <x v="0"/>
    <x v="2"/>
    <s v="Very High"/>
    <x v="2"/>
    <s v="Excellent"/>
    <s v="Good"/>
    <n v="0"/>
    <s v="0–3,000"/>
    <s v="0–5 miles"/>
    <s v="2–5 years"/>
  </r>
  <r>
    <n v="50"/>
    <x v="0"/>
    <s v="Travel_Rarely"/>
    <n v="869"/>
    <x v="0"/>
    <n v="3"/>
    <x v="0"/>
    <s v="Marketing"/>
    <n v="1"/>
    <n v="47"/>
    <n v="1"/>
    <s v="Male"/>
    <n v="86"/>
    <n v="2"/>
    <n v="1"/>
    <x v="6"/>
    <x v="2"/>
    <s v="Married"/>
    <n v="2683"/>
    <n v="3810"/>
    <n v="1"/>
    <s v="Y"/>
    <x v="0"/>
    <n v="14"/>
    <n v="3"/>
    <n v="3"/>
    <n v="80"/>
    <n v="0"/>
    <n v="3"/>
    <n v="2"/>
    <n v="3"/>
    <n v="3"/>
    <n v="2"/>
    <n v="0"/>
    <n v="2"/>
    <x v="0"/>
    <x v="3"/>
    <s v="Medium"/>
    <x v="2"/>
    <s v="Excellent"/>
    <s v="Better"/>
    <n v="1"/>
    <s v="0–3,000"/>
    <s v="0–5 miles"/>
    <s v="2–5 years"/>
  </r>
  <r>
    <n v="35"/>
    <x v="1"/>
    <s v="Travel_Rarely"/>
    <n v="890"/>
    <x v="0"/>
    <n v="2"/>
    <x v="3"/>
    <s v="Marketing"/>
    <n v="1"/>
    <n v="49"/>
    <n v="4"/>
    <s v="Female"/>
    <n v="97"/>
    <n v="3"/>
    <n v="1"/>
    <x v="6"/>
    <x v="0"/>
    <s v="Married"/>
    <n v="2014"/>
    <n v="9687"/>
    <n v="1"/>
    <s v="Y"/>
    <x v="1"/>
    <n v="13"/>
    <n v="3"/>
    <n v="1"/>
    <n v="80"/>
    <n v="0"/>
    <n v="2"/>
    <n v="3"/>
    <n v="3"/>
    <n v="2"/>
    <n v="2"/>
    <n v="2"/>
    <n v="2"/>
    <x v="3"/>
    <x v="2"/>
    <s v="High"/>
    <x v="0"/>
    <s v="Excellent"/>
    <s v="Better"/>
    <n v="0"/>
    <s v="0–3,000"/>
    <s v="0–5 miles"/>
    <s v="2–5 years"/>
  </r>
  <r>
    <n v="36"/>
    <x v="1"/>
    <s v="Travel_Rarely"/>
    <n v="852"/>
    <x v="1"/>
    <n v="5"/>
    <x v="2"/>
    <s v="Life Sciences"/>
    <n v="1"/>
    <n v="51"/>
    <n v="2"/>
    <s v="Female"/>
    <n v="82"/>
    <n v="2"/>
    <n v="1"/>
    <x v="1"/>
    <x v="3"/>
    <s v="Married"/>
    <n v="3419"/>
    <n v="13072"/>
    <n v="9"/>
    <s v="Y"/>
    <x v="0"/>
    <n v="14"/>
    <n v="3"/>
    <n v="4"/>
    <n v="80"/>
    <n v="1"/>
    <n v="6"/>
    <n v="3"/>
    <n v="4"/>
    <n v="1"/>
    <n v="1"/>
    <n v="0"/>
    <n v="0"/>
    <x v="2"/>
    <x v="0"/>
    <s v="Medium"/>
    <x v="3"/>
    <s v="Excellent"/>
    <s v="Best"/>
    <n v="0"/>
    <s v="3,001–6,000"/>
    <s v="0–5 miles"/>
    <s v="0–1 years"/>
  </r>
  <r>
    <n v="33"/>
    <x v="1"/>
    <s v="Travel_Frequently"/>
    <n v="1141"/>
    <x v="0"/>
    <n v="1"/>
    <x v="3"/>
    <s v="Life Sciences"/>
    <n v="1"/>
    <n v="52"/>
    <n v="3"/>
    <s v="Female"/>
    <n v="42"/>
    <n v="4"/>
    <n v="2"/>
    <x v="0"/>
    <x v="3"/>
    <s v="Married"/>
    <n v="5376"/>
    <n v="3193"/>
    <n v="2"/>
    <s v="Y"/>
    <x v="1"/>
    <n v="19"/>
    <n v="3"/>
    <n v="1"/>
    <n v="80"/>
    <n v="2"/>
    <n v="10"/>
    <n v="3"/>
    <n v="3"/>
    <n v="5"/>
    <n v="3"/>
    <n v="1"/>
    <n v="3"/>
    <x v="3"/>
    <x v="1"/>
    <s v="Very High"/>
    <x v="3"/>
    <s v="Excellent"/>
    <s v="Better"/>
    <n v="0"/>
    <s v="3,001–6,000"/>
    <s v="0–5 miles"/>
    <s v="2–5 years"/>
  </r>
  <r>
    <n v="35"/>
    <x v="1"/>
    <s v="Travel_Rarely"/>
    <n v="464"/>
    <x v="1"/>
    <n v="4"/>
    <x v="0"/>
    <s v="Other"/>
    <n v="1"/>
    <n v="53"/>
    <n v="3"/>
    <s v="Male"/>
    <n v="75"/>
    <n v="3"/>
    <n v="1"/>
    <x v="2"/>
    <x v="0"/>
    <s v="Divorced"/>
    <n v="1951"/>
    <n v="10910"/>
    <n v="1"/>
    <s v="Y"/>
    <x v="1"/>
    <n v="12"/>
    <n v="3"/>
    <n v="3"/>
    <n v="80"/>
    <n v="1"/>
    <n v="1"/>
    <n v="3"/>
    <n v="3"/>
    <n v="1"/>
    <n v="0"/>
    <n v="0"/>
    <n v="0"/>
    <x v="0"/>
    <x v="1"/>
    <s v="High"/>
    <x v="0"/>
    <s v="Excellent"/>
    <s v="Better"/>
    <n v="0"/>
    <s v="0–3,000"/>
    <s v="0–5 miles"/>
    <s v="0–1 years"/>
  </r>
  <r>
    <n v="27"/>
    <x v="1"/>
    <s v="Travel_Rarely"/>
    <n v="1240"/>
    <x v="1"/>
    <n v="2"/>
    <x v="2"/>
    <s v="Life Sciences"/>
    <n v="1"/>
    <n v="54"/>
    <n v="4"/>
    <s v="Female"/>
    <n v="33"/>
    <n v="3"/>
    <n v="1"/>
    <x v="2"/>
    <x v="3"/>
    <s v="Divorced"/>
    <n v="2341"/>
    <n v="19715"/>
    <n v="1"/>
    <s v="Y"/>
    <x v="1"/>
    <n v="13"/>
    <n v="3"/>
    <n v="4"/>
    <n v="80"/>
    <n v="1"/>
    <n v="1"/>
    <n v="6"/>
    <n v="3"/>
    <n v="1"/>
    <n v="0"/>
    <n v="0"/>
    <n v="0"/>
    <x v="2"/>
    <x v="2"/>
    <s v="High"/>
    <x v="3"/>
    <s v="Excellent"/>
    <s v="Better"/>
    <n v="0"/>
    <s v="0–3,000"/>
    <s v="0–5 miles"/>
    <s v="0–1 years"/>
  </r>
  <r>
    <n v="26"/>
    <x v="0"/>
    <s v="Travel_Rarely"/>
    <n v="1357"/>
    <x v="1"/>
    <n v="25"/>
    <x v="3"/>
    <s v="Life Sciences"/>
    <n v="1"/>
    <n v="55"/>
    <n v="1"/>
    <s v="Male"/>
    <n v="48"/>
    <n v="1"/>
    <n v="1"/>
    <x v="2"/>
    <x v="2"/>
    <s v="Single"/>
    <n v="2293"/>
    <n v="10558"/>
    <n v="1"/>
    <s v="Y"/>
    <x v="1"/>
    <n v="12"/>
    <n v="3"/>
    <n v="3"/>
    <n v="80"/>
    <n v="0"/>
    <n v="1"/>
    <n v="2"/>
    <n v="2"/>
    <n v="1"/>
    <n v="0"/>
    <n v="0"/>
    <n v="1"/>
    <x v="3"/>
    <x v="3"/>
    <s v="Low"/>
    <x v="2"/>
    <s v="Excellent"/>
    <s v="Good"/>
    <n v="1"/>
    <s v="0–3,000"/>
    <s v="16+ miles"/>
    <s v="0–1 years"/>
  </r>
  <r>
    <n v="27"/>
    <x v="1"/>
    <s v="Travel_Frequently"/>
    <n v="994"/>
    <x v="0"/>
    <n v="8"/>
    <x v="3"/>
    <s v="Life Sciences"/>
    <n v="1"/>
    <n v="56"/>
    <n v="4"/>
    <s v="Male"/>
    <n v="37"/>
    <n v="3"/>
    <n v="3"/>
    <x v="0"/>
    <x v="2"/>
    <s v="Single"/>
    <n v="8726"/>
    <n v="2975"/>
    <n v="1"/>
    <s v="Y"/>
    <x v="1"/>
    <n v="15"/>
    <n v="3"/>
    <n v="4"/>
    <n v="80"/>
    <n v="0"/>
    <n v="9"/>
    <n v="0"/>
    <n v="3"/>
    <n v="9"/>
    <n v="8"/>
    <n v="1"/>
    <n v="7"/>
    <x v="3"/>
    <x v="2"/>
    <s v="High"/>
    <x v="2"/>
    <s v="Excellent"/>
    <s v="Better"/>
    <n v="0"/>
    <s v="6,001–10,000"/>
    <s v="6–10 miles"/>
    <s v="6–10 years"/>
  </r>
  <r>
    <n v="30"/>
    <x v="1"/>
    <s v="Travel_Frequently"/>
    <n v="721"/>
    <x v="1"/>
    <n v="1"/>
    <x v="0"/>
    <s v="Medical"/>
    <n v="1"/>
    <n v="57"/>
    <n v="3"/>
    <s v="Female"/>
    <n v="58"/>
    <n v="3"/>
    <n v="2"/>
    <x v="2"/>
    <x v="0"/>
    <s v="Single"/>
    <n v="4011"/>
    <n v="10781"/>
    <n v="1"/>
    <s v="Y"/>
    <x v="1"/>
    <n v="23"/>
    <n v="4"/>
    <n v="4"/>
    <n v="80"/>
    <n v="0"/>
    <n v="12"/>
    <n v="2"/>
    <n v="3"/>
    <n v="12"/>
    <n v="8"/>
    <n v="3"/>
    <n v="7"/>
    <x v="0"/>
    <x v="1"/>
    <s v="High"/>
    <x v="0"/>
    <s v="Outstanding"/>
    <s v="Better"/>
    <n v="0"/>
    <s v="3,001–6,000"/>
    <s v="0–5 miles"/>
    <s v="11+ years"/>
  </r>
  <r>
    <n v="41"/>
    <x v="0"/>
    <s v="Travel_Rarely"/>
    <n v="1360"/>
    <x v="1"/>
    <n v="12"/>
    <x v="3"/>
    <s v="Technical Degree"/>
    <n v="1"/>
    <n v="58"/>
    <n v="2"/>
    <s v="Female"/>
    <n v="49"/>
    <n v="3"/>
    <n v="5"/>
    <x v="7"/>
    <x v="2"/>
    <s v="Married"/>
    <n v="19545"/>
    <n v="16280"/>
    <n v="1"/>
    <s v="Y"/>
    <x v="1"/>
    <n v="12"/>
    <n v="3"/>
    <n v="4"/>
    <n v="80"/>
    <n v="0"/>
    <n v="23"/>
    <n v="0"/>
    <n v="3"/>
    <n v="22"/>
    <n v="15"/>
    <n v="15"/>
    <n v="8"/>
    <x v="3"/>
    <x v="0"/>
    <s v="High"/>
    <x v="2"/>
    <s v="Excellent"/>
    <s v="Better"/>
    <n v="1"/>
    <s v="10,001+"/>
    <s v="11–15 miles"/>
    <s v="11+ years"/>
  </r>
  <r>
    <n v="34"/>
    <x v="1"/>
    <s v="Non-Travel"/>
    <n v="1065"/>
    <x v="0"/>
    <n v="23"/>
    <x v="2"/>
    <s v="Marketing"/>
    <n v="1"/>
    <n v="60"/>
    <n v="2"/>
    <s v="Male"/>
    <n v="72"/>
    <n v="3"/>
    <n v="2"/>
    <x v="0"/>
    <x v="2"/>
    <s v="Single"/>
    <n v="4568"/>
    <n v="10034"/>
    <n v="0"/>
    <s v="Y"/>
    <x v="1"/>
    <n v="20"/>
    <n v="4"/>
    <n v="3"/>
    <n v="80"/>
    <n v="0"/>
    <n v="10"/>
    <n v="2"/>
    <n v="3"/>
    <n v="9"/>
    <n v="5"/>
    <n v="8"/>
    <n v="7"/>
    <x v="2"/>
    <x v="0"/>
    <s v="High"/>
    <x v="2"/>
    <s v="Outstanding"/>
    <s v="Better"/>
    <n v="0"/>
    <s v="3,001–6,000"/>
    <s v="16+ miles"/>
    <s v="6–10 years"/>
  </r>
  <r>
    <n v="37"/>
    <x v="1"/>
    <s v="Travel_Rarely"/>
    <n v="408"/>
    <x v="1"/>
    <n v="19"/>
    <x v="0"/>
    <s v="Life Sciences"/>
    <n v="1"/>
    <n v="61"/>
    <n v="2"/>
    <s v="Male"/>
    <n v="73"/>
    <n v="3"/>
    <n v="1"/>
    <x v="1"/>
    <x v="1"/>
    <s v="Married"/>
    <n v="3022"/>
    <n v="10227"/>
    <n v="4"/>
    <s v="Y"/>
    <x v="1"/>
    <n v="21"/>
    <n v="4"/>
    <n v="1"/>
    <n v="80"/>
    <n v="0"/>
    <n v="8"/>
    <n v="1"/>
    <n v="3"/>
    <n v="1"/>
    <n v="0"/>
    <n v="0"/>
    <n v="0"/>
    <x v="0"/>
    <x v="0"/>
    <s v="High"/>
    <x v="1"/>
    <s v="Outstanding"/>
    <s v="Better"/>
    <n v="0"/>
    <s v="3,001–6,000"/>
    <s v="16+ miles"/>
    <s v="0–1 years"/>
  </r>
  <r>
    <n v="46"/>
    <x v="1"/>
    <s v="Travel_Frequently"/>
    <n v="1211"/>
    <x v="0"/>
    <n v="5"/>
    <x v="2"/>
    <s v="Marketing"/>
    <n v="1"/>
    <n v="62"/>
    <n v="1"/>
    <s v="Male"/>
    <n v="98"/>
    <n v="3"/>
    <n v="2"/>
    <x v="0"/>
    <x v="0"/>
    <s v="Single"/>
    <n v="5772"/>
    <n v="20445"/>
    <n v="4"/>
    <s v="Y"/>
    <x v="0"/>
    <n v="21"/>
    <n v="4"/>
    <n v="3"/>
    <n v="80"/>
    <n v="0"/>
    <n v="14"/>
    <n v="4"/>
    <n v="3"/>
    <n v="9"/>
    <n v="6"/>
    <n v="0"/>
    <n v="8"/>
    <x v="2"/>
    <x v="3"/>
    <s v="High"/>
    <x v="0"/>
    <s v="Outstanding"/>
    <s v="Better"/>
    <n v="0"/>
    <s v="3,001–6,000"/>
    <s v="0–5 miles"/>
    <s v="6–10 years"/>
  </r>
  <r>
    <n v="35"/>
    <x v="1"/>
    <s v="Travel_Rarely"/>
    <n v="1229"/>
    <x v="1"/>
    <n v="8"/>
    <x v="1"/>
    <s v="Life Sciences"/>
    <n v="1"/>
    <n v="63"/>
    <n v="4"/>
    <s v="Male"/>
    <n v="36"/>
    <n v="4"/>
    <n v="1"/>
    <x v="2"/>
    <x v="0"/>
    <s v="Married"/>
    <n v="2269"/>
    <n v="4892"/>
    <n v="1"/>
    <s v="Y"/>
    <x v="1"/>
    <n v="19"/>
    <n v="3"/>
    <n v="4"/>
    <n v="80"/>
    <n v="0"/>
    <n v="1"/>
    <n v="2"/>
    <n v="3"/>
    <n v="1"/>
    <n v="0"/>
    <n v="0"/>
    <n v="1"/>
    <x v="1"/>
    <x v="2"/>
    <s v="Very High"/>
    <x v="0"/>
    <s v="Excellent"/>
    <s v="Better"/>
    <n v="0"/>
    <s v="0–3,000"/>
    <s v="6–10 miles"/>
    <s v="0–1 years"/>
  </r>
  <r>
    <n v="48"/>
    <x v="0"/>
    <s v="Travel_Rarely"/>
    <n v="626"/>
    <x v="1"/>
    <n v="1"/>
    <x v="0"/>
    <s v="Life Sciences"/>
    <n v="1"/>
    <n v="64"/>
    <n v="1"/>
    <s v="Male"/>
    <n v="98"/>
    <n v="2"/>
    <n v="3"/>
    <x v="2"/>
    <x v="2"/>
    <s v="Single"/>
    <n v="5381"/>
    <n v="19294"/>
    <n v="9"/>
    <s v="Y"/>
    <x v="0"/>
    <n v="13"/>
    <n v="3"/>
    <n v="4"/>
    <n v="80"/>
    <n v="0"/>
    <n v="23"/>
    <n v="2"/>
    <n v="3"/>
    <n v="1"/>
    <n v="0"/>
    <n v="0"/>
    <n v="0"/>
    <x v="0"/>
    <x v="3"/>
    <s v="Medium"/>
    <x v="2"/>
    <s v="Excellent"/>
    <s v="Better"/>
    <n v="1"/>
    <s v="3,001–6,000"/>
    <s v="0–5 miles"/>
    <s v="0–1 years"/>
  </r>
  <r>
    <n v="28"/>
    <x v="0"/>
    <s v="Travel_Rarely"/>
    <n v="1434"/>
    <x v="1"/>
    <n v="5"/>
    <x v="2"/>
    <s v="Technical Degree"/>
    <n v="1"/>
    <n v="65"/>
    <n v="3"/>
    <s v="Male"/>
    <n v="50"/>
    <n v="3"/>
    <n v="1"/>
    <x v="2"/>
    <x v="2"/>
    <s v="Single"/>
    <n v="3441"/>
    <n v="11179"/>
    <n v="1"/>
    <s v="Y"/>
    <x v="0"/>
    <n v="13"/>
    <n v="3"/>
    <n v="3"/>
    <n v="80"/>
    <n v="0"/>
    <n v="2"/>
    <n v="3"/>
    <n v="2"/>
    <n v="2"/>
    <n v="2"/>
    <n v="2"/>
    <n v="2"/>
    <x v="2"/>
    <x v="1"/>
    <s v="High"/>
    <x v="2"/>
    <s v="Excellent"/>
    <s v="Good"/>
    <n v="1"/>
    <s v="3,001–6,000"/>
    <s v="0–5 miles"/>
    <s v="2–5 years"/>
  </r>
  <r>
    <n v="44"/>
    <x v="1"/>
    <s v="Travel_Rarely"/>
    <n v="1488"/>
    <x v="0"/>
    <n v="1"/>
    <x v="4"/>
    <s v="Marketing"/>
    <n v="1"/>
    <n v="68"/>
    <n v="2"/>
    <s v="Female"/>
    <n v="75"/>
    <n v="3"/>
    <n v="2"/>
    <x v="0"/>
    <x v="3"/>
    <s v="Divorced"/>
    <n v="5454"/>
    <n v="4009"/>
    <n v="5"/>
    <s v="Y"/>
    <x v="0"/>
    <n v="21"/>
    <n v="4"/>
    <n v="3"/>
    <n v="80"/>
    <n v="1"/>
    <n v="9"/>
    <n v="2"/>
    <n v="2"/>
    <n v="4"/>
    <n v="3"/>
    <n v="1"/>
    <n v="3"/>
    <x v="4"/>
    <x v="0"/>
    <s v="High"/>
    <x v="3"/>
    <s v="Outstanding"/>
    <s v="Good"/>
    <n v="0"/>
    <s v="3,001–6,000"/>
    <s v="0–5 miles"/>
    <s v="2–5 years"/>
  </r>
  <r>
    <n v="35"/>
    <x v="1"/>
    <s v="Non-Travel"/>
    <n v="1097"/>
    <x v="1"/>
    <n v="11"/>
    <x v="0"/>
    <s v="Medical"/>
    <n v="1"/>
    <n v="70"/>
    <n v="3"/>
    <s v="Male"/>
    <n v="79"/>
    <n v="2"/>
    <n v="3"/>
    <x v="4"/>
    <x v="3"/>
    <s v="Married"/>
    <n v="9884"/>
    <n v="8302"/>
    <n v="2"/>
    <s v="Y"/>
    <x v="0"/>
    <n v="13"/>
    <n v="3"/>
    <n v="3"/>
    <n v="80"/>
    <n v="1"/>
    <n v="10"/>
    <n v="3"/>
    <n v="3"/>
    <n v="4"/>
    <n v="0"/>
    <n v="2"/>
    <n v="3"/>
    <x v="0"/>
    <x v="1"/>
    <s v="Medium"/>
    <x v="3"/>
    <s v="Excellent"/>
    <s v="Better"/>
    <n v="0"/>
    <s v="6,001–10,000"/>
    <s v="11–15 miles"/>
    <s v="2–5 years"/>
  </r>
  <r>
    <n v="26"/>
    <x v="1"/>
    <s v="Travel_Rarely"/>
    <n v="1443"/>
    <x v="0"/>
    <n v="23"/>
    <x v="3"/>
    <s v="Marketing"/>
    <n v="1"/>
    <n v="72"/>
    <n v="3"/>
    <s v="Female"/>
    <n v="47"/>
    <n v="2"/>
    <n v="2"/>
    <x v="0"/>
    <x v="0"/>
    <s v="Married"/>
    <n v="4157"/>
    <n v="21436"/>
    <n v="7"/>
    <s v="Y"/>
    <x v="0"/>
    <n v="19"/>
    <n v="3"/>
    <n v="3"/>
    <n v="80"/>
    <n v="1"/>
    <n v="5"/>
    <n v="2"/>
    <n v="2"/>
    <n v="2"/>
    <n v="2"/>
    <n v="0"/>
    <n v="0"/>
    <x v="3"/>
    <x v="1"/>
    <s v="Medium"/>
    <x v="0"/>
    <s v="Excellent"/>
    <s v="Good"/>
    <n v="0"/>
    <s v="3,001–6,000"/>
    <s v="16+ miles"/>
    <s v="2–5 years"/>
  </r>
  <r>
    <n v="33"/>
    <x v="1"/>
    <s v="Travel_Frequently"/>
    <n v="515"/>
    <x v="1"/>
    <n v="1"/>
    <x v="0"/>
    <s v="Life Sciences"/>
    <n v="1"/>
    <n v="73"/>
    <n v="1"/>
    <s v="Female"/>
    <n v="98"/>
    <n v="3"/>
    <n v="3"/>
    <x v="7"/>
    <x v="0"/>
    <s v="Single"/>
    <n v="13458"/>
    <n v="15146"/>
    <n v="1"/>
    <s v="Y"/>
    <x v="0"/>
    <n v="12"/>
    <n v="3"/>
    <n v="3"/>
    <n v="80"/>
    <n v="0"/>
    <n v="15"/>
    <n v="1"/>
    <n v="3"/>
    <n v="15"/>
    <n v="14"/>
    <n v="8"/>
    <n v="12"/>
    <x v="0"/>
    <x v="3"/>
    <s v="High"/>
    <x v="0"/>
    <s v="Excellent"/>
    <s v="Better"/>
    <n v="0"/>
    <s v="10,001+"/>
    <s v="0–5 miles"/>
    <s v="11+ years"/>
  </r>
  <r>
    <n v="35"/>
    <x v="1"/>
    <s v="Travel_Frequently"/>
    <n v="853"/>
    <x v="0"/>
    <n v="18"/>
    <x v="4"/>
    <s v="Life Sciences"/>
    <n v="1"/>
    <n v="74"/>
    <n v="2"/>
    <s v="Male"/>
    <n v="71"/>
    <n v="3"/>
    <n v="3"/>
    <x v="0"/>
    <x v="3"/>
    <s v="Married"/>
    <n v="9069"/>
    <n v="11031"/>
    <n v="1"/>
    <s v="Y"/>
    <x v="1"/>
    <n v="22"/>
    <n v="4"/>
    <n v="4"/>
    <n v="80"/>
    <n v="1"/>
    <n v="9"/>
    <n v="3"/>
    <n v="2"/>
    <n v="9"/>
    <n v="8"/>
    <n v="1"/>
    <n v="8"/>
    <x v="4"/>
    <x v="0"/>
    <s v="High"/>
    <x v="3"/>
    <s v="Outstanding"/>
    <s v="Good"/>
    <n v="0"/>
    <s v="6,001–10,000"/>
    <s v="16+ miles"/>
    <s v="6–10 years"/>
  </r>
  <r>
    <n v="35"/>
    <x v="1"/>
    <s v="Travel_Rarely"/>
    <n v="1142"/>
    <x v="1"/>
    <n v="23"/>
    <x v="2"/>
    <s v="Medical"/>
    <n v="1"/>
    <n v="75"/>
    <n v="3"/>
    <s v="Female"/>
    <n v="30"/>
    <n v="3"/>
    <n v="1"/>
    <x v="2"/>
    <x v="3"/>
    <s v="Married"/>
    <n v="4014"/>
    <n v="16002"/>
    <n v="3"/>
    <s v="Y"/>
    <x v="0"/>
    <n v="15"/>
    <n v="3"/>
    <n v="3"/>
    <n v="80"/>
    <n v="1"/>
    <n v="4"/>
    <n v="3"/>
    <n v="3"/>
    <n v="2"/>
    <n v="2"/>
    <n v="2"/>
    <n v="2"/>
    <x v="2"/>
    <x v="1"/>
    <s v="High"/>
    <x v="3"/>
    <s v="Excellent"/>
    <s v="Better"/>
    <n v="0"/>
    <s v="3,001–6,000"/>
    <s v="16+ miles"/>
    <s v="2–5 years"/>
  </r>
  <r>
    <n v="31"/>
    <x v="1"/>
    <s v="Travel_Rarely"/>
    <n v="655"/>
    <x v="1"/>
    <n v="7"/>
    <x v="2"/>
    <s v="Life Sciences"/>
    <n v="1"/>
    <n v="76"/>
    <n v="4"/>
    <s v="Male"/>
    <n v="48"/>
    <n v="3"/>
    <n v="2"/>
    <x v="2"/>
    <x v="0"/>
    <s v="Divorced"/>
    <n v="5915"/>
    <n v="9528"/>
    <n v="3"/>
    <s v="Y"/>
    <x v="1"/>
    <n v="22"/>
    <n v="4"/>
    <n v="4"/>
    <n v="80"/>
    <n v="1"/>
    <n v="10"/>
    <n v="3"/>
    <n v="2"/>
    <n v="7"/>
    <n v="7"/>
    <n v="1"/>
    <n v="7"/>
    <x v="2"/>
    <x v="2"/>
    <s v="High"/>
    <x v="0"/>
    <s v="Outstanding"/>
    <s v="Good"/>
    <n v="0"/>
    <s v="3,001–6,000"/>
    <s v="6–10 miles"/>
    <s v="6–10 years"/>
  </r>
  <r>
    <n v="37"/>
    <x v="1"/>
    <s v="Travel_Rarely"/>
    <n v="1115"/>
    <x v="1"/>
    <n v="1"/>
    <x v="2"/>
    <s v="Life Sciences"/>
    <n v="1"/>
    <n v="77"/>
    <n v="1"/>
    <s v="Male"/>
    <n v="51"/>
    <n v="2"/>
    <n v="2"/>
    <x v="3"/>
    <x v="2"/>
    <s v="Divorced"/>
    <n v="5993"/>
    <n v="2689"/>
    <n v="1"/>
    <s v="Y"/>
    <x v="1"/>
    <n v="18"/>
    <n v="3"/>
    <n v="3"/>
    <n v="80"/>
    <n v="1"/>
    <n v="7"/>
    <n v="2"/>
    <n v="4"/>
    <n v="7"/>
    <n v="5"/>
    <n v="0"/>
    <n v="7"/>
    <x v="2"/>
    <x v="3"/>
    <s v="Medium"/>
    <x v="2"/>
    <s v="Excellent"/>
    <s v="Best"/>
    <n v="0"/>
    <s v="3,001–6,000"/>
    <s v="0–5 miles"/>
    <s v="6–10 years"/>
  </r>
  <r>
    <n v="32"/>
    <x v="1"/>
    <s v="Travel_Rarely"/>
    <n v="427"/>
    <x v="1"/>
    <n v="1"/>
    <x v="3"/>
    <s v="Medical"/>
    <n v="1"/>
    <n v="78"/>
    <n v="1"/>
    <s v="Male"/>
    <n v="33"/>
    <n v="3"/>
    <n v="2"/>
    <x v="3"/>
    <x v="0"/>
    <s v="Married"/>
    <n v="6162"/>
    <n v="10877"/>
    <n v="1"/>
    <s v="Y"/>
    <x v="0"/>
    <n v="22"/>
    <n v="4"/>
    <n v="2"/>
    <n v="80"/>
    <n v="1"/>
    <n v="9"/>
    <n v="3"/>
    <n v="3"/>
    <n v="9"/>
    <n v="8"/>
    <n v="7"/>
    <n v="8"/>
    <x v="3"/>
    <x v="3"/>
    <s v="High"/>
    <x v="0"/>
    <s v="Outstanding"/>
    <s v="Better"/>
    <n v="0"/>
    <s v="6,001–10,000"/>
    <s v="0–5 miles"/>
    <s v="6–10 years"/>
  </r>
  <r>
    <n v="38"/>
    <x v="1"/>
    <s v="Travel_Frequently"/>
    <n v="653"/>
    <x v="1"/>
    <n v="29"/>
    <x v="4"/>
    <s v="Life Sciences"/>
    <n v="1"/>
    <n v="79"/>
    <n v="4"/>
    <s v="Female"/>
    <n v="50"/>
    <n v="3"/>
    <n v="2"/>
    <x v="2"/>
    <x v="0"/>
    <s v="Single"/>
    <n v="2406"/>
    <n v="5456"/>
    <n v="1"/>
    <s v="Y"/>
    <x v="1"/>
    <n v="11"/>
    <n v="3"/>
    <n v="4"/>
    <n v="80"/>
    <n v="0"/>
    <n v="10"/>
    <n v="2"/>
    <n v="3"/>
    <n v="10"/>
    <n v="3"/>
    <n v="9"/>
    <n v="9"/>
    <x v="4"/>
    <x v="2"/>
    <s v="High"/>
    <x v="0"/>
    <s v="Excellent"/>
    <s v="Better"/>
    <n v="0"/>
    <s v="0–3,000"/>
    <s v="16+ miles"/>
    <s v="6–10 years"/>
  </r>
  <r>
    <n v="50"/>
    <x v="1"/>
    <s v="Travel_Rarely"/>
    <n v="989"/>
    <x v="1"/>
    <n v="7"/>
    <x v="0"/>
    <s v="Medical"/>
    <n v="1"/>
    <n v="80"/>
    <n v="2"/>
    <s v="Female"/>
    <n v="43"/>
    <n v="2"/>
    <n v="5"/>
    <x v="7"/>
    <x v="2"/>
    <s v="Divorced"/>
    <n v="18740"/>
    <n v="16701"/>
    <n v="5"/>
    <s v="Y"/>
    <x v="0"/>
    <n v="12"/>
    <n v="3"/>
    <n v="4"/>
    <n v="80"/>
    <n v="1"/>
    <n v="29"/>
    <n v="2"/>
    <n v="2"/>
    <n v="27"/>
    <n v="3"/>
    <n v="13"/>
    <n v="8"/>
    <x v="0"/>
    <x v="0"/>
    <s v="Medium"/>
    <x v="2"/>
    <s v="Excellent"/>
    <s v="Good"/>
    <n v="0"/>
    <s v="10,001+"/>
    <s v="6–10 miles"/>
    <s v="11+ years"/>
  </r>
  <r>
    <n v="59"/>
    <x v="1"/>
    <s v="Travel_Rarely"/>
    <n v="1435"/>
    <x v="0"/>
    <n v="25"/>
    <x v="3"/>
    <s v="Life Sciences"/>
    <n v="1"/>
    <n v="81"/>
    <n v="1"/>
    <s v="Female"/>
    <n v="99"/>
    <n v="3"/>
    <n v="3"/>
    <x v="0"/>
    <x v="3"/>
    <s v="Single"/>
    <n v="7637"/>
    <n v="2354"/>
    <n v="7"/>
    <s v="Y"/>
    <x v="1"/>
    <n v="11"/>
    <n v="3"/>
    <n v="4"/>
    <n v="80"/>
    <n v="0"/>
    <n v="28"/>
    <n v="3"/>
    <n v="2"/>
    <n v="21"/>
    <n v="16"/>
    <n v="7"/>
    <n v="9"/>
    <x v="3"/>
    <x v="3"/>
    <s v="High"/>
    <x v="3"/>
    <s v="Excellent"/>
    <s v="Good"/>
    <n v="0"/>
    <s v="6,001–10,000"/>
    <s v="16+ miles"/>
    <s v="11+ years"/>
  </r>
  <r>
    <n v="36"/>
    <x v="1"/>
    <s v="Travel_Rarely"/>
    <n v="1223"/>
    <x v="1"/>
    <n v="8"/>
    <x v="3"/>
    <s v="Technical Degree"/>
    <n v="1"/>
    <n v="83"/>
    <n v="3"/>
    <s v="Female"/>
    <n v="59"/>
    <n v="3"/>
    <n v="3"/>
    <x v="4"/>
    <x v="2"/>
    <s v="Divorced"/>
    <n v="10096"/>
    <n v="8202"/>
    <n v="1"/>
    <s v="Y"/>
    <x v="1"/>
    <n v="13"/>
    <n v="3"/>
    <n v="2"/>
    <n v="80"/>
    <n v="3"/>
    <n v="17"/>
    <n v="2"/>
    <n v="3"/>
    <n v="17"/>
    <n v="14"/>
    <n v="12"/>
    <n v="8"/>
    <x v="3"/>
    <x v="1"/>
    <s v="High"/>
    <x v="2"/>
    <s v="Excellent"/>
    <s v="Better"/>
    <n v="0"/>
    <s v="10,001+"/>
    <s v="6–10 miles"/>
    <s v="11+ years"/>
  </r>
  <r>
    <n v="55"/>
    <x v="1"/>
    <s v="Travel_Rarely"/>
    <n v="836"/>
    <x v="1"/>
    <n v="8"/>
    <x v="3"/>
    <s v="Medical"/>
    <n v="1"/>
    <n v="84"/>
    <n v="4"/>
    <s v="Female"/>
    <n v="33"/>
    <n v="3"/>
    <n v="4"/>
    <x v="5"/>
    <x v="2"/>
    <s v="Divorced"/>
    <n v="14756"/>
    <n v="19730"/>
    <n v="2"/>
    <s v="Y"/>
    <x v="0"/>
    <n v="14"/>
    <n v="3"/>
    <n v="3"/>
    <n v="80"/>
    <n v="3"/>
    <n v="21"/>
    <n v="2"/>
    <n v="3"/>
    <n v="5"/>
    <n v="0"/>
    <n v="0"/>
    <n v="2"/>
    <x v="3"/>
    <x v="2"/>
    <s v="High"/>
    <x v="2"/>
    <s v="Excellent"/>
    <s v="Better"/>
    <n v="0"/>
    <s v="10,001+"/>
    <s v="6–10 miles"/>
    <s v="2–5 years"/>
  </r>
  <r>
    <n v="36"/>
    <x v="1"/>
    <s v="Travel_Frequently"/>
    <n v="1195"/>
    <x v="1"/>
    <n v="11"/>
    <x v="3"/>
    <s v="Life Sciences"/>
    <n v="1"/>
    <n v="85"/>
    <n v="2"/>
    <s v="Male"/>
    <n v="95"/>
    <n v="2"/>
    <n v="2"/>
    <x v="3"/>
    <x v="1"/>
    <s v="Single"/>
    <n v="6499"/>
    <n v="22656"/>
    <n v="1"/>
    <s v="Y"/>
    <x v="1"/>
    <n v="13"/>
    <n v="3"/>
    <n v="3"/>
    <n v="80"/>
    <n v="0"/>
    <n v="6"/>
    <n v="3"/>
    <n v="3"/>
    <n v="6"/>
    <n v="5"/>
    <n v="0"/>
    <n v="3"/>
    <x v="3"/>
    <x v="0"/>
    <s v="Medium"/>
    <x v="1"/>
    <s v="Excellent"/>
    <s v="Better"/>
    <n v="0"/>
    <s v="6,001–10,000"/>
    <s v="11–15 miles"/>
    <s v="6–10 years"/>
  </r>
  <r>
    <n v="45"/>
    <x v="1"/>
    <s v="Travel_Rarely"/>
    <n v="1339"/>
    <x v="1"/>
    <n v="7"/>
    <x v="3"/>
    <s v="Life Sciences"/>
    <n v="1"/>
    <n v="86"/>
    <n v="2"/>
    <s v="Male"/>
    <n v="59"/>
    <n v="3"/>
    <n v="3"/>
    <x v="1"/>
    <x v="3"/>
    <s v="Divorced"/>
    <n v="9724"/>
    <n v="18787"/>
    <n v="2"/>
    <s v="Y"/>
    <x v="1"/>
    <n v="17"/>
    <n v="3"/>
    <n v="3"/>
    <n v="80"/>
    <n v="1"/>
    <n v="25"/>
    <n v="2"/>
    <n v="3"/>
    <n v="1"/>
    <n v="0"/>
    <n v="0"/>
    <n v="0"/>
    <x v="3"/>
    <x v="0"/>
    <s v="High"/>
    <x v="3"/>
    <s v="Excellent"/>
    <s v="Better"/>
    <n v="0"/>
    <s v="6,001–10,000"/>
    <s v="6–10 miles"/>
    <s v="0–1 years"/>
  </r>
  <r>
    <n v="35"/>
    <x v="1"/>
    <s v="Travel_Frequently"/>
    <n v="664"/>
    <x v="1"/>
    <n v="1"/>
    <x v="3"/>
    <s v="Medical"/>
    <n v="1"/>
    <n v="88"/>
    <n v="2"/>
    <s v="Male"/>
    <n v="79"/>
    <n v="3"/>
    <n v="1"/>
    <x v="1"/>
    <x v="3"/>
    <s v="Married"/>
    <n v="2194"/>
    <n v="5868"/>
    <n v="4"/>
    <s v="Y"/>
    <x v="1"/>
    <n v="13"/>
    <n v="3"/>
    <n v="4"/>
    <n v="80"/>
    <n v="1"/>
    <n v="5"/>
    <n v="2"/>
    <n v="2"/>
    <n v="3"/>
    <n v="2"/>
    <n v="1"/>
    <n v="2"/>
    <x v="3"/>
    <x v="0"/>
    <s v="High"/>
    <x v="3"/>
    <s v="Excellent"/>
    <s v="Good"/>
    <n v="0"/>
    <s v="0–3,000"/>
    <s v="0–5 miles"/>
    <s v="2–5 years"/>
  </r>
  <r>
    <n v="36"/>
    <x v="0"/>
    <s v="Travel_Rarely"/>
    <n v="318"/>
    <x v="1"/>
    <n v="9"/>
    <x v="3"/>
    <s v="Medical"/>
    <n v="1"/>
    <n v="90"/>
    <n v="4"/>
    <s v="Male"/>
    <n v="79"/>
    <n v="2"/>
    <n v="1"/>
    <x v="1"/>
    <x v="2"/>
    <s v="Married"/>
    <n v="3388"/>
    <n v="21777"/>
    <n v="0"/>
    <s v="Y"/>
    <x v="0"/>
    <n v="17"/>
    <n v="3"/>
    <n v="1"/>
    <n v="80"/>
    <n v="1"/>
    <n v="2"/>
    <n v="0"/>
    <n v="2"/>
    <n v="1"/>
    <n v="0"/>
    <n v="0"/>
    <n v="0"/>
    <x v="3"/>
    <x v="2"/>
    <s v="Medium"/>
    <x v="2"/>
    <s v="Excellent"/>
    <s v="Good"/>
    <n v="1"/>
    <s v="3,001–6,000"/>
    <s v="6–10 miles"/>
    <s v="0–1 years"/>
  </r>
  <r>
    <n v="59"/>
    <x v="1"/>
    <s v="Travel_Frequently"/>
    <n v="1225"/>
    <x v="0"/>
    <n v="1"/>
    <x v="1"/>
    <s v="Life Sciences"/>
    <n v="1"/>
    <n v="91"/>
    <n v="1"/>
    <s v="Female"/>
    <n v="57"/>
    <n v="2"/>
    <n v="2"/>
    <x v="0"/>
    <x v="2"/>
    <s v="Single"/>
    <n v="5473"/>
    <n v="24668"/>
    <n v="7"/>
    <s v="Y"/>
    <x v="1"/>
    <n v="11"/>
    <n v="3"/>
    <n v="4"/>
    <n v="80"/>
    <n v="0"/>
    <n v="20"/>
    <n v="2"/>
    <n v="2"/>
    <n v="4"/>
    <n v="3"/>
    <n v="1"/>
    <n v="3"/>
    <x v="1"/>
    <x v="3"/>
    <s v="Medium"/>
    <x v="2"/>
    <s v="Excellent"/>
    <s v="Good"/>
    <n v="0"/>
    <s v="3,001–6,000"/>
    <s v="0–5 miles"/>
    <s v="2–5 years"/>
  </r>
  <r>
    <n v="29"/>
    <x v="1"/>
    <s v="Travel_Rarely"/>
    <n v="1328"/>
    <x v="1"/>
    <n v="2"/>
    <x v="3"/>
    <s v="Life Sciences"/>
    <n v="1"/>
    <n v="94"/>
    <n v="3"/>
    <s v="Male"/>
    <n v="76"/>
    <n v="3"/>
    <n v="1"/>
    <x v="1"/>
    <x v="1"/>
    <s v="Married"/>
    <n v="2703"/>
    <n v="4956"/>
    <n v="0"/>
    <s v="Y"/>
    <x v="1"/>
    <n v="23"/>
    <n v="4"/>
    <n v="4"/>
    <n v="80"/>
    <n v="1"/>
    <n v="6"/>
    <n v="3"/>
    <n v="3"/>
    <n v="5"/>
    <n v="4"/>
    <n v="0"/>
    <n v="4"/>
    <x v="3"/>
    <x v="1"/>
    <s v="High"/>
    <x v="1"/>
    <s v="Outstanding"/>
    <s v="Better"/>
    <n v="0"/>
    <s v="0–3,000"/>
    <s v="0–5 miles"/>
    <s v="2–5 years"/>
  </r>
  <r>
    <n v="31"/>
    <x v="1"/>
    <s v="Travel_Rarely"/>
    <n v="1082"/>
    <x v="1"/>
    <n v="1"/>
    <x v="2"/>
    <s v="Medical"/>
    <n v="1"/>
    <n v="95"/>
    <n v="3"/>
    <s v="Male"/>
    <n v="87"/>
    <n v="3"/>
    <n v="1"/>
    <x v="1"/>
    <x v="1"/>
    <s v="Single"/>
    <n v="2501"/>
    <n v="18775"/>
    <n v="1"/>
    <s v="Y"/>
    <x v="1"/>
    <n v="17"/>
    <n v="3"/>
    <n v="2"/>
    <n v="80"/>
    <n v="0"/>
    <n v="1"/>
    <n v="4"/>
    <n v="3"/>
    <n v="1"/>
    <n v="1"/>
    <n v="1"/>
    <n v="0"/>
    <x v="2"/>
    <x v="1"/>
    <s v="High"/>
    <x v="1"/>
    <s v="Excellent"/>
    <s v="Better"/>
    <n v="0"/>
    <s v="0–3,000"/>
    <s v="0–5 miles"/>
    <s v="0–1 years"/>
  </r>
  <r>
    <n v="32"/>
    <x v="1"/>
    <s v="Travel_Rarely"/>
    <n v="548"/>
    <x v="1"/>
    <n v="1"/>
    <x v="3"/>
    <s v="Life Sciences"/>
    <n v="1"/>
    <n v="96"/>
    <n v="2"/>
    <s v="Male"/>
    <n v="66"/>
    <n v="3"/>
    <n v="2"/>
    <x v="1"/>
    <x v="1"/>
    <s v="Married"/>
    <n v="6220"/>
    <n v="7346"/>
    <n v="1"/>
    <s v="Y"/>
    <x v="1"/>
    <n v="17"/>
    <n v="3"/>
    <n v="2"/>
    <n v="80"/>
    <n v="2"/>
    <n v="10"/>
    <n v="3"/>
    <n v="3"/>
    <n v="10"/>
    <n v="4"/>
    <n v="0"/>
    <n v="9"/>
    <x v="3"/>
    <x v="0"/>
    <s v="High"/>
    <x v="1"/>
    <s v="Excellent"/>
    <s v="Better"/>
    <n v="0"/>
    <s v="6,001–10,000"/>
    <s v="0–5 miles"/>
    <s v="6–10 years"/>
  </r>
  <r>
    <n v="36"/>
    <x v="1"/>
    <s v="Travel_Rarely"/>
    <n v="132"/>
    <x v="1"/>
    <n v="6"/>
    <x v="3"/>
    <s v="Life Sciences"/>
    <n v="1"/>
    <n v="97"/>
    <n v="2"/>
    <s v="Female"/>
    <n v="55"/>
    <n v="4"/>
    <n v="1"/>
    <x v="2"/>
    <x v="0"/>
    <s v="Married"/>
    <n v="3038"/>
    <n v="22002"/>
    <n v="3"/>
    <s v="Y"/>
    <x v="1"/>
    <n v="12"/>
    <n v="3"/>
    <n v="2"/>
    <n v="80"/>
    <n v="0"/>
    <n v="5"/>
    <n v="3"/>
    <n v="3"/>
    <n v="1"/>
    <n v="0"/>
    <n v="0"/>
    <n v="0"/>
    <x v="3"/>
    <x v="0"/>
    <s v="Very High"/>
    <x v="0"/>
    <s v="Excellent"/>
    <s v="Better"/>
    <n v="0"/>
    <s v="3,001–6,000"/>
    <s v="6–10 miles"/>
    <s v="0–1 years"/>
  </r>
  <r>
    <n v="31"/>
    <x v="1"/>
    <s v="Travel_Rarely"/>
    <n v="746"/>
    <x v="1"/>
    <n v="8"/>
    <x v="2"/>
    <s v="Life Sciences"/>
    <n v="1"/>
    <n v="98"/>
    <n v="3"/>
    <s v="Female"/>
    <n v="61"/>
    <n v="3"/>
    <n v="2"/>
    <x v="3"/>
    <x v="0"/>
    <s v="Single"/>
    <n v="4424"/>
    <n v="20682"/>
    <n v="1"/>
    <s v="Y"/>
    <x v="1"/>
    <n v="23"/>
    <n v="4"/>
    <n v="4"/>
    <n v="80"/>
    <n v="0"/>
    <n v="11"/>
    <n v="2"/>
    <n v="3"/>
    <n v="11"/>
    <n v="7"/>
    <n v="1"/>
    <n v="8"/>
    <x v="2"/>
    <x v="1"/>
    <s v="High"/>
    <x v="0"/>
    <s v="Outstanding"/>
    <s v="Better"/>
    <n v="0"/>
    <s v="3,001–6,000"/>
    <s v="6–10 miles"/>
    <s v="11+ years"/>
  </r>
  <r>
    <n v="35"/>
    <x v="1"/>
    <s v="Travel_Rarely"/>
    <n v="776"/>
    <x v="0"/>
    <n v="1"/>
    <x v="2"/>
    <s v="Marketing"/>
    <n v="1"/>
    <n v="100"/>
    <n v="3"/>
    <s v="Male"/>
    <n v="32"/>
    <n v="2"/>
    <n v="2"/>
    <x v="0"/>
    <x v="3"/>
    <s v="Single"/>
    <n v="4312"/>
    <n v="23016"/>
    <n v="0"/>
    <s v="Y"/>
    <x v="1"/>
    <n v="14"/>
    <n v="3"/>
    <n v="2"/>
    <n v="80"/>
    <n v="0"/>
    <n v="16"/>
    <n v="2"/>
    <n v="3"/>
    <n v="15"/>
    <n v="13"/>
    <n v="2"/>
    <n v="8"/>
    <x v="2"/>
    <x v="1"/>
    <s v="Medium"/>
    <x v="3"/>
    <s v="Excellent"/>
    <s v="Better"/>
    <n v="0"/>
    <s v="3,001–6,000"/>
    <s v="0–5 miles"/>
    <s v="11+ years"/>
  </r>
  <r>
    <n v="45"/>
    <x v="1"/>
    <s v="Travel_Rarely"/>
    <n v="193"/>
    <x v="1"/>
    <n v="6"/>
    <x v="2"/>
    <s v="Other"/>
    <n v="1"/>
    <n v="101"/>
    <n v="4"/>
    <s v="Male"/>
    <n v="52"/>
    <n v="3"/>
    <n v="3"/>
    <x v="7"/>
    <x v="3"/>
    <s v="Married"/>
    <n v="13245"/>
    <n v="15067"/>
    <n v="4"/>
    <s v="Y"/>
    <x v="0"/>
    <n v="14"/>
    <n v="3"/>
    <n v="2"/>
    <n v="80"/>
    <n v="0"/>
    <n v="17"/>
    <n v="3"/>
    <n v="4"/>
    <n v="0"/>
    <n v="0"/>
    <n v="0"/>
    <n v="0"/>
    <x v="2"/>
    <x v="2"/>
    <s v="High"/>
    <x v="3"/>
    <s v="Excellent"/>
    <s v="Best"/>
    <n v="0"/>
    <s v="10,001+"/>
    <s v="6–10 miles"/>
    <s v="0–1 years"/>
  </r>
  <r>
    <n v="37"/>
    <x v="1"/>
    <s v="Travel_Rarely"/>
    <n v="397"/>
    <x v="1"/>
    <n v="7"/>
    <x v="2"/>
    <s v="Medical"/>
    <n v="1"/>
    <n v="102"/>
    <n v="1"/>
    <s v="Male"/>
    <n v="30"/>
    <n v="3"/>
    <n v="3"/>
    <x v="7"/>
    <x v="2"/>
    <s v="Single"/>
    <n v="13664"/>
    <n v="25258"/>
    <n v="4"/>
    <s v="Y"/>
    <x v="1"/>
    <n v="13"/>
    <n v="3"/>
    <n v="1"/>
    <n v="80"/>
    <n v="0"/>
    <n v="16"/>
    <n v="3"/>
    <n v="4"/>
    <n v="5"/>
    <n v="2"/>
    <n v="0"/>
    <n v="2"/>
    <x v="2"/>
    <x v="3"/>
    <s v="High"/>
    <x v="2"/>
    <s v="Excellent"/>
    <s v="Best"/>
    <n v="0"/>
    <s v="10,001+"/>
    <s v="6–10 miles"/>
    <s v="2–5 years"/>
  </r>
  <r>
    <n v="46"/>
    <x v="1"/>
    <s v="Travel_Rarely"/>
    <n v="945"/>
    <x v="2"/>
    <n v="5"/>
    <x v="0"/>
    <s v="Medical"/>
    <n v="1"/>
    <n v="103"/>
    <n v="2"/>
    <s v="Male"/>
    <n v="80"/>
    <n v="3"/>
    <n v="2"/>
    <x v="8"/>
    <x v="1"/>
    <s v="Divorced"/>
    <n v="5021"/>
    <n v="10425"/>
    <n v="8"/>
    <s v="Y"/>
    <x v="0"/>
    <n v="22"/>
    <n v="4"/>
    <n v="4"/>
    <n v="80"/>
    <n v="1"/>
    <n v="16"/>
    <n v="2"/>
    <n v="3"/>
    <n v="4"/>
    <n v="2"/>
    <n v="0"/>
    <n v="2"/>
    <x v="0"/>
    <x v="0"/>
    <s v="High"/>
    <x v="1"/>
    <s v="Outstanding"/>
    <s v="Better"/>
    <n v="0"/>
    <s v="3,001–6,000"/>
    <s v="0–5 miles"/>
    <s v="2–5 years"/>
  </r>
  <r>
    <n v="30"/>
    <x v="1"/>
    <s v="Travel_Rarely"/>
    <n v="852"/>
    <x v="1"/>
    <n v="1"/>
    <x v="1"/>
    <s v="Life Sciences"/>
    <n v="1"/>
    <n v="104"/>
    <n v="4"/>
    <s v="Male"/>
    <n v="55"/>
    <n v="2"/>
    <n v="2"/>
    <x v="2"/>
    <x v="0"/>
    <s v="Married"/>
    <n v="5126"/>
    <n v="15998"/>
    <n v="1"/>
    <s v="Y"/>
    <x v="0"/>
    <n v="12"/>
    <n v="3"/>
    <n v="3"/>
    <n v="80"/>
    <n v="2"/>
    <n v="10"/>
    <n v="1"/>
    <n v="2"/>
    <n v="10"/>
    <n v="8"/>
    <n v="3"/>
    <n v="0"/>
    <x v="1"/>
    <x v="2"/>
    <s v="Medium"/>
    <x v="0"/>
    <s v="Excellent"/>
    <s v="Good"/>
    <n v="0"/>
    <s v="3,001–6,000"/>
    <s v="0–5 miles"/>
    <s v="6–10 years"/>
  </r>
  <r>
    <n v="35"/>
    <x v="1"/>
    <s v="Travel_Rarely"/>
    <n v="1214"/>
    <x v="1"/>
    <n v="1"/>
    <x v="3"/>
    <s v="Medical"/>
    <n v="1"/>
    <n v="105"/>
    <n v="2"/>
    <s v="Male"/>
    <n v="30"/>
    <n v="2"/>
    <n v="1"/>
    <x v="1"/>
    <x v="2"/>
    <s v="Single"/>
    <n v="2859"/>
    <n v="26278"/>
    <n v="1"/>
    <s v="Y"/>
    <x v="1"/>
    <n v="18"/>
    <n v="3"/>
    <n v="1"/>
    <n v="80"/>
    <n v="0"/>
    <n v="6"/>
    <n v="3"/>
    <n v="3"/>
    <n v="6"/>
    <n v="4"/>
    <n v="0"/>
    <n v="4"/>
    <x v="3"/>
    <x v="0"/>
    <s v="Medium"/>
    <x v="2"/>
    <s v="Excellent"/>
    <s v="Better"/>
    <n v="0"/>
    <s v="0–3,000"/>
    <s v="0–5 miles"/>
    <s v="6–10 years"/>
  </r>
  <r>
    <n v="55"/>
    <x v="1"/>
    <s v="Travel_Rarely"/>
    <n v="111"/>
    <x v="0"/>
    <n v="1"/>
    <x v="0"/>
    <s v="Life Sciences"/>
    <n v="1"/>
    <n v="106"/>
    <n v="1"/>
    <s v="Male"/>
    <n v="70"/>
    <n v="3"/>
    <n v="3"/>
    <x v="0"/>
    <x v="0"/>
    <s v="Married"/>
    <n v="10239"/>
    <n v="18092"/>
    <n v="3"/>
    <s v="Y"/>
    <x v="1"/>
    <n v="14"/>
    <n v="3"/>
    <n v="4"/>
    <n v="80"/>
    <n v="1"/>
    <n v="24"/>
    <n v="4"/>
    <n v="3"/>
    <n v="1"/>
    <n v="0"/>
    <n v="1"/>
    <n v="0"/>
    <x v="0"/>
    <x v="3"/>
    <s v="High"/>
    <x v="0"/>
    <s v="Excellent"/>
    <s v="Better"/>
    <n v="0"/>
    <s v="10,001+"/>
    <s v="0–5 miles"/>
    <s v="0–1 years"/>
  </r>
  <r>
    <n v="38"/>
    <x v="1"/>
    <s v="Non-Travel"/>
    <n v="573"/>
    <x v="1"/>
    <n v="6"/>
    <x v="3"/>
    <s v="Medical"/>
    <n v="1"/>
    <n v="107"/>
    <n v="2"/>
    <s v="Female"/>
    <n v="79"/>
    <n v="1"/>
    <n v="2"/>
    <x v="1"/>
    <x v="0"/>
    <s v="Divorced"/>
    <n v="5329"/>
    <n v="15717"/>
    <n v="7"/>
    <s v="Y"/>
    <x v="0"/>
    <n v="12"/>
    <n v="3"/>
    <n v="4"/>
    <n v="80"/>
    <n v="3"/>
    <n v="17"/>
    <n v="3"/>
    <n v="3"/>
    <n v="13"/>
    <n v="11"/>
    <n v="1"/>
    <n v="9"/>
    <x v="3"/>
    <x v="0"/>
    <s v="Low"/>
    <x v="0"/>
    <s v="Excellent"/>
    <s v="Better"/>
    <n v="0"/>
    <s v="3,001–6,000"/>
    <s v="6–10 miles"/>
    <s v="11+ years"/>
  </r>
  <r>
    <n v="34"/>
    <x v="1"/>
    <s v="Travel_Rarely"/>
    <n v="1153"/>
    <x v="1"/>
    <n v="1"/>
    <x v="0"/>
    <s v="Medical"/>
    <n v="1"/>
    <n v="110"/>
    <n v="1"/>
    <s v="Male"/>
    <n v="94"/>
    <n v="3"/>
    <n v="2"/>
    <x v="3"/>
    <x v="1"/>
    <s v="Married"/>
    <n v="4325"/>
    <n v="17736"/>
    <n v="1"/>
    <s v="Y"/>
    <x v="1"/>
    <n v="15"/>
    <n v="3"/>
    <n v="3"/>
    <n v="80"/>
    <n v="0"/>
    <n v="5"/>
    <n v="2"/>
    <n v="3"/>
    <n v="5"/>
    <n v="2"/>
    <n v="1"/>
    <n v="3"/>
    <x v="0"/>
    <x v="3"/>
    <s v="High"/>
    <x v="1"/>
    <s v="Excellent"/>
    <s v="Better"/>
    <n v="0"/>
    <s v="3,001–6,000"/>
    <s v="0–5 miles"/>
    <s v="2–5 years"/>
  </r>
  <r>
    <n v="56"/>
    <x v="1"/>
    <s v="Travel_Rarely"/>
    <n v="1400"/>
    <x v="1"/>
    <n v="7"/>
    <x v="3"/>
    <s v="Life Sciences"/>
    <n v="1"/>
    <n v="112"/>
    <n v="4"/>
    <s v="Male"/>
    <n v="49"/>
    <n v="1"/>
    <n v="3"/>
    <x v="3"/>
    <x v="0"/>
    <s v="Single"/>
    <n v="7260"/>
    <n v="21698"/>
    <n v="4"/>
    <s v="Y"/>
    <x v="1"/>
    <n v="11"/>
    <n v="3"/>
    <n v="1"/>
    <n v="80"/>
    <n v="0"/>
    <n v="37"/>
    <n v="3"/>
    <n v="2"/>
    <n v="6"/>
    <n v="4"/>
    <n v="0"/>
    <n v="2"/>
    <x v="3"/>
    <x v="2"/>
    <s v="Low"/>
    <x v="0"/>
    <s v="Excellent"/>
    <s v="Good"/>
    <n v="0"/>
    <s v="6,001–10,000"/>
    <s v="6–10 miles"/>
    <s v="6–10 years"/>
  </r>
  <r>
    <n v="23"/>
    <x v="1"/>
    <s v="Travel_Rarely"/>
    <n v="541"/>
    <x v="0"/>
    <n v="2"/>
    <x v="1"/>
    <s v="Technical Degree"/>
    <n v="1"/>
    <n v="113"/>
    <n v="3"/>
    <s v="Male"/>
    <n v="62"/>
    <n v="3"/>
    <n v="1"/>
    <x v="6"/>
    <x v="3"/>
    <s v="Divorced"/>
    <n v="2322"/>
    <n v="9518"/>
    <n v="3"/>
    <s v="Y"/>
    <x v="1"/>
    <n v="13"/>
    <n v="3"/>
    <n v="3"/>
    <n v="80"/>
    <n v="1"/>
    <n v="3"/>
    <n v="3"/>
    <n v="3"/>
    <n v="0"/>
    <n v="0"/>
    <n v="0"/>
    <n v="0"/>
    <x v="1"/>
    <x v="1"/>
    <s v="High"/>
    <x v="3"/>
    <s v="Excellent"/>
    <s v="Better"/>
    <n v="0"/>
    <s v="0–3,000"/>
    <s v="0–5 miles"/>
    <s v="0–1 years"/>
  </r>
  <r>
    <n v="51"/>
    <x v="1"/>
    <s v="Travel_Rarely"/>
    <n v="432"/>
    <x v="1"/>
    <n v="9"/>
    <x v="2"/>
    <s v="Life Sciences"/>
    <n v="1"/>
    <n v="116"/>
    <n v="4"/>
    <s v="Male"/>
    <n v="96"/>
    <n v="3"/>
    <n v="1"/>
    <x v="2"/>
    <x v="0"/>
    <s v="Married"/>
    <n v="2075"/>
    <n v="18725"/>
    <n v="3"/>
    <s v="Y"/>
    <x v="1"/>
    <n v="23"/>
    <n v="4"/>
    <n v="2"/>
    <n v="80"/>
    <n v="2"/>
    <n v="10"/>
    <n v="4"/>
    <n v="3"/>
    <n v="4"/>
    <n v="2"/>
    <n v="0"/>
    <n v="3"/>
    <x v="2"/>
    <x v="2"/>
    <s v="High"/>
    <x v="0"/>
    <s v="Outstanding"/>
    <s v="Better"/>
    <n v="0"/>
    <s v="0–3,000"/>
    <s v="6–10 miles"/>
    <s v="2–5 years"/>
  </r>
  <r>
    <n v="30"/>
    <x v="1"/>
    <s v="Travel_Rarely"/>
    <n v="288"/>
    <x v="1"/>
    <n v="2"/>
    <x v="3"/>
    <s v="Life Sciences"/>
    <n v="1"/>
    <n v="117"/>
    <n v="3"/>
    <s v="Male"/>
    <n v="99"/>
    <n v="2"/>
    <n v="2"/>
    <x v="4"/>
    <x v="0"/>
    <s v="Married"/>
    <n v="4152"/>
    <n v="15830"/>
    <n v="1"/>
    <s v="Y"/>
    <x v="1"/>
    <n v="19"/>
    <n v="3"/>
    <n v="1"/>
    <n v="80"/>
    <n v="3"/>
    <n v="11"/>
    <n v="3"/>
    <n v="3"/>
    <n v="11"/>
    <n v="10"/>
    <n v="10"/>
    <n v="8"/>
    <x v="3"/>
    <x v="1"/>
    <s v="Medium"/>
    <x v="0"/>
    <s v="Excellent"/>
    <s v="Better"/>
    <n v="0"/>
    <s v="3,001–6,000"/>
    <s v="0–5 miles"/>
    <s v="11+ years"/>
  </r>
  <r>
    <n v="46"/>
    <x v="0"/>
    <s v="Travel_Rarely"/>
    <n v="669"/>
    <x v="0"/>
    <n v="9"/>
    <x v="0"/>
    <s v="Medical"/>
    <n v="1"/>
    <n v="118"/>
    <n v="3"/>
    <s v="Male"/>
    <n v="64"/>
    <n v="2"/>
    <n v="3"/>
    <x v="0"/>
    <x v="0"/>
    <s v="Single"/>
    <n v="9619"/>
    <n v="13596"/>
    <n v="1"/>
    <s v="Y"/>
    <x v="1"/>
    <n v="16"/>
    <n v="3"/>
    <n v="4"/>
    <n v="80"/>
    <n v="0"/>
    <n v="9"/>
    <n v="3"/>
    <n v="3"/>
    <n v="9"/>
    <n v="8"/>
    <n v="4"/>
    <n v="7"/>
    <x v="0"/>
    <x v="1"/>
    <s v="Medium"/>
    <x v="0"/>
    <s v="Excellent"/>
    <s v="Better"/>
    <n v="1"/>
    <s v="6,001–10,000"/>
    <s v="6–10 miles"/>
    <s v="6–10 years"/>
  </r>
  <r>
    <n v="40"/>
    <x v="1"/>
    <s v="Travel_Frequently"/>
    <n v="530"/>
    <x v="1"/>
    <n v="1"/>
    <x v="2"/>
    <s v="Life Sciences"/>
    <n v="1"/>
    <n v="119"/>
    <n v="3"/>
    <s v="Male"/>
    <n v="78"/>
    <n v="2"/>
    <n v="4"/>
    <x v="4"/>
    <x v="1"/>
    <s v="Married"/>
    <n v="13503"/>
    <n v="14115"/>
    <n v="1"/>
    <s v="Y"/>
    <x v="1"/>
    <n v="22"/>
    <n v="4"/>
    <n v="4"/>
    <n v="80"/>
    <n v="1"/>
    <n v="22"/>
    <n v="3"/>
    <n v="2"/>
    <n v="22"/>
    <n v="3"/>
    <n v="11"/>
    <n v="11"/>
    <x v="2"/>
    <x v="1"/>
    <s v="Medium"/>
    <x v="1"/>
    <s v="Outstanding"/>
    <s v="Good"/>
    <n v="0"/>
    <s v="10,001+"/>
    <s v="0–5 miles"/>
    <s v="11+ years"/>
  </r>
  <r>
    <n v="51"/>
    <x v="1"/>
    <s v="Travel_Rarely"/>
    <n v="632"/>
    <x v="0"/>
    <n v="21"/>
    <x v="2"/>
    <s v="Marketing"/>
    <n v="1"/>
    <n v="120"/>
    <n v="3"/>
    <s v="Male"/>
    <n v="71"/>
    <n v="3"/>
    <n v="2"/>
    <x v="0"/>
    <x v="0"/>
    <s v="Single"/>
    <n v="5441"/>
    <n v="8423"/>
    <n v="0"/>
    <s v="Y"/>
    <x v="0"/>
    <n v="22"/>
    <n v="4"/>
    <n v="4"/>
    <n v="80"/>
    <n v="0"/>
    <n v="11"/>
    <n v="2"/>
    <n v="1"/>
    <n v="10"/>
    <n v="7"/>
    <n v="1"/>
    <n v="0"/>
    <x v="2"/>
    <x v="1"/>
    <s v="High"/>
    <x v="0"/>
    <s v="Outstanding"/>
    <s v="Bad"/>
    <n v="0"/>
    <s v="3,001–6,000"/>
    <s v="16+ miles"/>
    <s v="6–10 years"/>
  </r>
  <r>
    <n v="30"/>
    <x v="1"/>
    <s v="Travel_Rarely"/>
    <n v="1334"/>
    <x v="0"/>
    <n v="4"/>
    <x v="0"/>
    <s v="Medical"/>
    <n v="1"/>
    <n v="121"/>
    <n v="3"/>
    <s v="Female"/>
    <n v="63"/>
    <n v="2"/>
    <n v="2"/>
    <x v="0"/>
    <x v="1"/>
    <s v="Divorced"/>
    <n v="5209"/>
    <n v="19760"/>
    <n v="1"/>
    <s v="Y"/>
    <x v="0"/>
    <n v="12"/>
    <n v="3"/>
    <n v="2"/>
    <n v="80"/>
    <n v="3"/>
    <n v="11"/>
    <n v="4"/>
    <n v="2"/>
    <n v="11"/>
    <n v="8"/>
    <n v="2"/>
    <n v="7"/>
    <x v="0"/>
    <x v="1"/>
    <s v="Medium"/>
    <x v="1"/>
    <s v="Excellent"/>
    <s v="Good"/>
    <n v="0"/>
    <s v="3,001–6,000"/>
    <s v="0–5 miles"/>
    <s v="11+ years"/>
  </r>
  <r>
    <n v="46"/>
    <x v="1"/>
    <s v="Travel_Frequently"/>
    <n v="638"/>
    <x v="1"/>
    <n v="1"/>
    <x v="3"/>
    <s v="Medical"/>
    <n v="1"/>
    <n v="124"/>
    <n v="3"/>
    <s v="Male"/>
    <n v="40"/>
    <n v="2"/>
    <n v="3"/>
    <x v="4"/>
    <x v="3"/>
    <s v="Married"/>
    <n v="10673"/>
    <n v="3142"/>
    <n v="2"/>
    <s v="Y"/>
    <x v="0"/>
    <n v="13"/>
    <n v="3"/>
    <n v="3"/>
    <n v="80"/>
    <n v="1"/>
    <n v="21"/>
    <n v="5"/>
    <n v="2"/>
    <n v="10"/>
    <n v="9"/>
    <n v="9"/>
    <n v="5"/>
    <x v="3"/>
    <x v="1"/>
    <s v="Medium"/>
    <x v="3"/>
    <s v="Excellent"/>
    <s v="Good"/>
    <n v="0"/>
    <s v="10,001+"/>
    <s v="0–5 miles"/>
    <s v="6–10 years"/>
  </r>
  <r>
    <n v="32"/>
    <x v="1"/>
    <s v="Travel_Rarely"/>
    <n v="1093"/>
    <x v="0"/>
    <n v="6"/>
    <x v="2"/>
    <s v="Medical"/>
    <n v="1"/>
    <n v="125"/>
    <n v="2"/>
    <s v="Male"/>
    <n v="87"/>
    <n v="3"/>
    <n v="2"/>
    <x v="0"/>
    <x v="2"/>
    <s v="Single"/>
    <n v="5010"/>
    <n v="24301"/>
    <n v="1"/>
    <s v="Y"/>
    <x v="1"/>
    <n v="16"/>
    <n v="3"/>
    <n v="1"/>
    <n v="80"/>
    <n v="0"/>
    <n v="12"/>
    <n v="0"/>
    <n v="3"/>
    <n v="11"/>
    <n v="8"/>
    <n v="5"/>
    <n v="7"/>
    <x v="2"/>
    <x v="0"/>
    <s v="High"/>
    <x v="2"/>
    <s v="Excellent"/>
    <s v="Better"/>
    <n v="0"/>
    <s v="3,001–6,000"/>
    <s v="6–10 miles"/>
    <s v="11+ years"/>
  </r>
  <r>
    <n v="54"/>
    <x v="1"/>
    <s v="Travel_Rarely"/>
    <n v="1217"/>
    <x v="1"/>
    <n v="2"/>
    <x v="2"/>
    <s v="Technical Degree"/>
    <n v="1"/>
    <n v="126"/>
    <n v="1"/>
    <s v="Female"/>
    <n v="60"/>
    <n v="3"/>
    <n v="3"/>
    <x v="7"/>
    <x v="2"/>
    <s v="Married"/>
    <n v="13549"/>
    <n v="24001"/>
    <n v="9"/>
    <s v="Y"/>
    <x v="1"/>
    <n v="12"/>
    <n v="3"/>
    <n v="1"/>
    <n v="80"/>
    <n v="1"/>
    <n v="16"/>
    <n v="5"/>
    <n v="1"/>
    <n v="4"/>
    <n v="3"/>
    <n v="0"/>
    <n v="3"/>
    <x v="2"/>
    <x v="3"/>
    <s v="High"/>
    <x v="2"/>
    <s v="Excellent"/>
    <s v="Bad"/>
    <n v="0"/>
    <s v="10,001+"/>
    <s v="0–5 miles"/>
    <s v="2–5 years"/>
  </r>
  <r>
    <n v="24"/>
    <x v="1"/>
    <s v="Travel_Rarely"/>
    <n v="1353"/>
    <x v="0"/>
    <n v="3"/>
    <x v="0"/>
    <s v="Other"/>
    <n v="1"/>
    <n v="128"/>
    <n v="1"/>
    <s v="Female"/>
    <n v="33"/>
    <n v="3"/>
    <n v="2"/>
    <x v="0"/>
    <x v="2"/>
    <s v="Married"/>
    <n v="4999"/>
    <n v="17519"/>
    <n v="0"/>
    <s v="Y"/>
    <x v="1"/>
    <n v="21"/>
    <n v="4"/>
    <n v="1"/>
    <n v="80"/>
    <n v="1"/>
    <n v="4"/>
    <n v="2"/>
    <n v="2"/>
    <n v="3"/>
    <n v="2"/>
    <n v="0"/>
    <n v="2"/>
    <x v="0"/>
    <x v="3"/>
    <s v="High"/>
    <x v="2"/>
    <s v="Outstanding"/>
    <s v="Good"/>
    <n v="0"/>
    <s v="3,001–6,000"/>
    <s v="0–5 miles"/>
    <s v="2–5 years"/>
  </r>
  <r>
    <n v="28"/>
    <x v="1"/>
    <s v="Non-Travel"/>
    <n v="120"/>
    <x v="0"/>
    <n v="4"/>
    <x v="3"/>
    <s v="Medical"/>
    <n v="1"/>
    <n v="129"/>
    <n v="2"/>
    <s v="Male"/>
    <n v="43"/>
    <n v="3"/>
    <n v="2"/>
    <x v="0"/>
    <x v="2"/>
    <s v="Married"/>
    <n v="4221"/>
    <n v="8863"/>
    <n v="1"/>
    <s v="Y"/>
    <x v="1"/>
    <n v="15"/>
    <n v="3"/>
    <n v="2"/>
    <n v="80"/>
    <n v="0"/>
    <n v="5"/>
    <n v="3"/>
    <n v="4"/>
    <n v="5"/>
    <n v="4"/>
    <n v="0"/>
    <n v="4"/>
    <x v="3"/>
    <x v="0"/>
    <s v="High"/>
    <x v="2"/>
    <s v="Excellent"/>
    <s v="Best"/>
    <n v="0"/>
    <s v="3,001–6,000"/>
    <s v="0–5 miles"/>
    <s v="2–5 years"/>
  </r>
  <r>
    <n v="58"/>
    <x v="1"/>
    <s v="Travel_Rarely"/>
    <n v="682"/>
    <x v="0"/>
    <n v="10"/>
    <x v="2"/>
    <s v="Medical"/>
    <n v="1"/>
    <n v="131"/>
    <n v="4"/>
    <s v="Male"/>
    <n v="37"/>
    <n v="3"/>
    <n v="4"/>
    <x v="0"/>
    <x v="2"/>
    <s v="Single"/>
    <n v="13872"/>
    <n v="24409"/>
    <n v="0"/>
    <s v="Y"/>
    <x v="1"/>
    <n v="13"/>
    <n v="3"/>
    <n v="3"/>
    <n v="80"/>
    <n v="0"/>
    <n v="38"/>
    <n v="1"/>
    <n v="2"/>
    <n v="37"/>
    <n v="10"/>
    <n v="1"/>
    <n v="8"/>
    <x v="2"/>
    <x v="2"/>
    <s v="High"/>
    <x v="2"/>
    <s v="Excellent"/>
    <s v="Good"/>
    <n v="0"/>
    <s v="10,001+"/>
    <s v="6–10 miles"/>
    <s v="11+ years"/>
  </r>
  <r>
    <n v="44"/>
    <x v="1"/>
    <s v="Non-Travel"/>
    <n v="489"/>
    <x v="1"/>
    <n v="23"/>
    <x v="3"/>
    <s v="Medical"/>
    <n v="1"/>
    <n v="132"/>
    <n v="2"/>
    <s v="Male"/>
    <n v="67"/>
    <n v="3"/>
    <n v="2"/>
    <x v="2"/>
    <x v="1"/>
    <s v="Married"/>
    <n v="2042"/>
    <n v="25043"/>
    <n v="4"/>
    <s v="Y"/>
    <x v="1"/>
    <n v="12"/>
    <n v="3"/>
    <n v="3"/>
    <n v="80"/>
    <n v="1"/>
    <n v="17"/>
    <n v="3"/>
    <n v="4"/>
    <n v="3"/>
    <n v="2"/>
    <n v="1"/>
    <n v="2"/>
    <x v="3"/>
    <x v="0"/>
    <s v="High"/>
    <x v="1"/>
    <s v="Excellent"/>
    <s v="Best"/>
    <n v="0"/>
    <s v="0–3,000"/>
    <s v="16+ miles"/>
    <s v="2–5 years"/>
  </r>
  <r>
    <n v="37"/>
    <x v="0"/>
    <s v="Travel_Rarely"/>
    <n v="807"/>
    <x v="2"/>
    <n v="6"/>
    <x v="2"/>
    <s v="Human Resources"/>
    <n v="1"/>
    <n v="133"/>
    <n v="3"/>
    <s v="Male"/>
    <n v="63"/>
    <n v="3"/>
    <n v="1"/>
    <x v="8"/>
    <x v="3"/>
    <s v="Divorced"/>
    <n v="2073"/>
    <n v="23648"/>
    <n v="4"/>
    <s v="Y"/>
    <x v="0"/>
    <n v="22"/>
    <n v="4"/>
    <n v="4"/>
    <n v="80"/>
    <n v="0"/>
    <n v="7"/>
    <n v="3"/>
    <n v="3"/>
    <n v="3"/>
    <n v="2"/>
    <n v="0"/>
    <n v="2"/>
    <x v="2"/>
    <x v="1"/>
    <s v="High"/>
    <x v="3"/>
    <s v="Outstanding"/>
    <s v="Better"/>
    <n v="1"/>
    <s v="0–3,000"/>
    <s v="6–10 miles"/>
    <s v="2–5 years"/>
  </r>
  <r>
    <n v="32"/>
    <x v="1"/>
    <s v="Travel_Rarely"/>
    <n v="827"/>
    <x v="1"/>
    <n v="1"/>
    <x v="1"/>
    <s v="Life Sciences"/>
    <n v="1"/>
    <n v="134"/>
    <n v="4"/>
    <s v="Male"/>
    <n v="71"/>
    <n v="3"/>
    <n v="1"/>
    <x v="1"/>
    <x v="3"/>
    <s v="Single"/>
    <n v="2956"/>
    <n v="15178"/>
    <n v="1"/>
    <s v="Y"/>
    <x v="1"/>
    <n v="13"/>
    <n v="3"/>
    <n v="4"/>
    <n v="80"/>
    <n v="0"/>
    <n v="1"/>
    <n v="2"/>
    <n v="3"/>
    <n v="1"/>
    <n v="0"/>
    <n v="0"/>
    <n v="0"/>
    <x v="1"/>
    <x v="2"/>
    <s v="High"/>
    <x v="3"/>
    <s v="Excellent"/>
    <s v="Better"/>
    <n v="0"/>
    <s v="0–3,000"/>
    <s v="0–5 miles"/>
    <s v="0–1 years"/>
  </r>
  <r>
    <n v="20"/>
    <x v="0"/>
    <s v="Travel_Frequently"/>
    <n v="871"/>
    <x v="1"/>
    <n v="6"/>
    <x v="3"/>
    <s v="Life Sciences"/>
    <n v="1"/>
    <n v="137"/>
    <n v="4"/>
    <s v="Female"/>
    <n v="66"/>
    <n v="2"/>
    <n v="1"/>
    <x v="2"/>
    <x v="0"/>
    <s v="Single"/>
    <n v="2926"/>
    <n v="19783"/>
    <n v="1"/>
    <s v="Y"/>
    <x v="0"/>
    <n v="18"/>
    <n v="3"/>
    <n v="2"/>
    <n v="80"/>
    <n v="0"/>
    <n v="1"/>
    <n v="5"/>
    <n v="3"/>
    <n v="1"/>
    <n v="0"/>
    <n v="1"/>
    <n v="0"/>
    <x v="3"/>
    <x v="2"/>
    <s v="Medium"/>
    <x v="0"/>
    <s v="Excellent"/>
    <s v="Better"/>
    <n v="1"/>
    <s v="0–3,000"/>
    <s v="6–10 miles"/>
    <s v="0–1 years"/>
  </r>
  <r>
    <n v="34"/>
    <x v="1"/>
    <s v="Travel_Rarely"/>
    <n v="665"/>
    <x v="1"/>
    <n v="6"/>
    <x v="2"/>
    <s v="Other"/>
    <n v="1"/>
    <n v="138"/>
    <n v="1"/>
    <s v="Female"/>
    <n v="41"/>
    <n v="3"/>
    <n v="2"/>
    <x v="1"/>
    <x v="2"/>
    <s v="Single"/>
    <n v="4809"/>
    <n v="12482"/>
    <n v="1"/>
    <s v="Y"/>
    <x v="1"/>
    <n v="14"/>
    <n v="3"/>
    <n v="3"/>
    <n v="80"/>
    <n v="0"/>
    <n v="16"/>
    <n v="3"/>
    <n v="3"/>
    <n v="16"/>
    <n v="13"/>
    <n v="2"/>
    <n v="10"/>
    <x v="2"/>
    <x v="3"/>
    <s v="High"/>
    <x v="2"/>
    <s v="Excellent"/>
    <s v="Better"/>
    <n v="0"/>
    <s v="3,001–6,000"/>
    <s v="6–10 miles"/>
    <s v="11+ years"/>
  </r>
  <r>
    <n v="37"/>
    <x v="1"/>
    <s v="Non-Travel"/>
    <n v="1040"/>
    <x v="1"/>
    <n v="2"/>
    <x v="0"/>
    <s v="Life Sciences"/>
    <n v="1"/>
    <n v="139"/>
    <n v="3"/>
    <s v="Male"/>
    <n v="100"/>
    <n v="2"/>
    <n v="2"/>
    <x v="4"/>
    <x v="0"/>
    <s v="Divorced"/>
    <n v="5163"/>
    <n v="15850"/>
    <n v="5"/>
    <s v="Y"/>
    <x v="1"/>
    <n v="14"/>
    <n v="3"/>
    <n v="4"/>
    <n v="80"/>
    <n v="1"/>
    <n v="17"/>
    <n v="2"/>
    <n v="4"/>
    <n v="1"/>
    <n v="0"/>
    <n v="0"/>
    <n v="0"/>
    <x v="0"/>
    <x v="1"/>
    <s v="Medium"/>
    <x v="0"/>
    <s v="Excellent"/>
    <s v="Best"/>
    <n v="0"/>
    <s v="3,001–6,000"/>
    <s v="0–5 miles"/>
    <s v="0–1 years"/>
  </r>
  <r>
    <n v="59"/>
    <x v="1"/>
    <s v="Non-Travel"/>
    <n v="1420"/>
    <x v="2"/>
    <n v="2"/>
    <x v="2"/>
    <s v="Human Resources"/>
    <n v="1"/>
    <n v="140"/>
    <n v="3"/>
    <s v="Female"/>
    <n v="32"/>
    <n v="2"/>
    <n v="5"/>
    <x v="5"/>
    <x v="0"/>
    <s v="Married"/>
    <n v="18844"/>
    <n v="21922"/>
    <n v="9"/>
    <s v="Y"/>
    <x v="1"/>
    <n v="21"/>
    <n v="4"/>
    <n v="4"/>
    <n v="80"/>
    <n v="1"/>
    <n v="30"/>
    <n v="3"/>
    <n v="3"/>
    <n v="3"/>
    <n v="2"/>
    <n v="2"/>
    <n v="2"/>
    <x v="2"/>
    <x v="1"/>
    <s v="Medium"/>
    <x v="0"/>
    <s v="Outstanding"/>
    <s v="Better"/>
    <n v="0"/>
    <s v="10,001+"/>
    <s v="0–5 miles"/>
    <s v="2–5 years"/>
  </r>
  <r>
    <n v="50"/>
    <x v="1"/>
    <s v="Travel_Frequently"/>
    <n v="1115"/>
    <x v="1"/>
    <n v="1"/>
    <x v="3"/>
    <s v="Life Sciences"/>
    <n v="1"/>
    <n v="141"/>
    <n v="1"/>
    <s v="Female"/>
    <n v="73"/>
    <n v="3"/>
    <n v="5"/>
    <x v="7"/>
    <x v="1"/>
    <s v="Married"/>
    <n v="18172"/>
    <n v="9755"/>
    <n v="3"/>
    <s v="Y"/>
    <x v="0"/>
    <n v="19"/>
    <n v="3"/>
    <n v="1"/>
    <n v="80"/>
    <n v="0"/>
    <n v="28"/>
    <n v="1"/>
    <n v="2"/>
    <n v="8"/>
    <n v="3"/>
    <n v="0"/>
    <n v="7"/>
    <x v="3"/>
    <x v="3"/>
    <s v="High"/>
    <x v="1"/>
    <s v="Excellent"/>
    <s v="Good"/>
    <n v="0"/>
    <s v="10,001+"/>
    <s v="0–5 miles"/>
    <s v="6–10 years"/>
  </r>
  <r>
    <n v="25"/>
    <x v="0"/>
    <s v="Travel_Rarely"/>
    <n v="240"/>
    <x v="0"/>
    <n v="5"/>
    <x v="3"/>
    <s v="Marketing"/>
    <n v="1"/>
    <n v="142"/>
    <n v="3"/>
    <s v="Male"/>
    <n v="46"/>
    <n v="2"/>
    <n v="2"/>
    <x v="0"/>
    <x v="2"/>
    <s v="Single"/>
    <n v="5744"/>
    <n v="26959"/>
    <n v="1"/>
    <s v="Y"/>
    <x v="0"/>
    <n v="11"/>
    <n v="3"/>
    <n v="4"/>
    <n v="80"/>
    <n v="0"/>
    <n v="6"/>
    <n v="1"/>
    <n v="3"/>
    <n v="6"/>
    <n v="4"/>
    <n v="0"/>
    <n v="3"/>
    <x v="3"/>
    <x v="1"/>
    <s v="Medium"/>
    <x v="2"/>
    <s v="Excellent"/>
    <s v="Better"/>
    <n v="1"/>
    <s v="3,001–6,000"/>
    <s v="0–5 miles"/>
    <s v="6–10 years"/>
  </r>
  <r>
    <n v="25"/>
    <x v="1"/>
    <s v="Travel_Rarely"/>
    <n v="1280"/>
    <x v="1"/>
    <n v="7"/>
    <x v="1"/>
    <s v="Medical"/>
    <n v="1"/>
    <n v="143"/>
    <n v="4"/>
    <s v="Male"/>
    <n v="64"/>
    <n v="2"/>
    <n v="1"/>
    <x v="1"/>
    <x v="0"/>
    <s v="Married"/>
    <n v="2889"/>
    <n v="26897"/>
    <n v="1"/>
    <s v="Y"/>
    <x v="1"/>
    <n v="11"/>
    <n v="3"/>
    <n v="3"/>
    <n v="80"/>
    <n v="2"/>
    <n v="2"/>
    <n v="2"/>
    <n v="3"/>
    <n v="2"/>
    <n v="2"/>
    <n v="2"/>
    <n v="1"/>
    <x v="1"/>
    <x v="2"/>
    <s v="Medium"/>
    <x v="0"/>
    <s v="Excellent"/>
    <s v="Better"/>
    <n v="0"/>
    <s v="0–3,000"/>
    <s v="6–10 miles"/>
    <s v="2–5 years"/>
  </r>
  <r>
    <n v="22"/>
    <x v="1"/>
    <s v="Travel_Rarely"/>
    <n v="534"/>
    <x v="1"/>
    <n v="15"/>
    <x v="3"/>
    <s v="Medical"/>
    <n v="1"/>
    <n v="144"/>
    <n v="2"/>
    <s v="Female"/>
    <n v="59"/>
    <n v="3"/>
    <n v="1"/>
    <x v="2"/>
    <x v="0"/>
    <s v="Single"/>
    <n v="2871"/>
    <n v="23785"/>
    <n v="1"/>
    <s v="Y"/>
    <x v="1"/>
    <n v="15"/>
    <n v="3"/>
    <n v="3"/>
    <n v="80"/>
    <n v="0"/>
    <n v="1"/>
    <n v="5"/>
    <n v="3"/>
    <n v="0"/>
    <n v="0"/>
    <n v="0"/>
    <n v="0"/>
    <x v="3"/>
    <x v="0"/>
    <s v="High"/>
    <x v="0"/>
    <s v="Excellent"/>
    <s v="Better"/>
    <n v="0"/>
    <s v="0–3,000"/>
    <s v="11–15 miles"/>
    <s v="0–1 years"/>
  </r>
  <r>
    <n v="51"/>
    <x v="1"/>
    <s v="Travel_Frequently"/>
    <n v="1456"/>
    <x v="1"/>
    <n v="1"/>
    <x v="2"/>
    <s v="Medical"/>
    <n v="1"/>
    <n v="145"/>
    <n v="1"/>
    <s v="Female"/>
    <n v="30"/>
    <n v="2"/>
    <n v="3"/>
    <x v="4"/>
    <x v="3"/>
    <s v="Single"/>
    <n v="7484"/>
    <n v="25796"/>
    <n v="3"/>
    <s v="Y"/>
    <x v="1"/>
    <n v="20"/>
    <n v="4"/>
    <n v="3"/>
    <n v="80"/>
    <n v="0"/>
    <n v="23"/>
    <n v="1"/>
    <n v="2"/>
    <n v="13"/>
    <n v="12"/>
    <n v="12"/>
    <n v="8"/>
    <x v="2"/>
    <x v="3"/>
    <s v="Medium"/>
    <x v="3"/>
    <s v="Outstanding"/>
    <s v="Good"/>
    <n v="0"/>
    <s v="6,001–10,000"/>
    <s v="0–5 miles"/>
    <s v="11+ years"/>
  </r>
  <r>
    <n v="34"/>
    <x v="0"/>
    <s v="Travel_Frequently"/>
    <n v="658"/>
    <x v="1"/>
    <n v="7"/>
    <x v="3"/>
    <s v="Life Sciences"/>
    <n v="1"/>
    <n v="147"/>
    <n v="1"/>
    <s v="Male"/>
    <n v="66"/>
    <n v="1"/>
    <n v="2"/>
    <x v="2"/>
    <x v="2"/>
    <s v="Single"/>
    <n v="6074"/>
    <n v="22887"/>
    <n v="1"/>
    <s v="Y"/>
    <x v="0"/>
    <n v="24"/>
    <n v="4"/>
    <n v="4"/>
    <n v="80"/>
    <n v="0"/>
    <n v="9"/>
    <n v="3"/>
    <n v="3"/>
    <n v="9"/>
    <n v="7"/>
    <n v="0"/>
    <n v="6"/>
    <x v="3"/>
    <x v="3"/>
    <s v="Low"/>
    <x v="2"/>
    <s v="Outstanding"/>
    <s v="Better"/>
    <n v="1"/>
    <s v="6,001–10,000"/>
    <s v="6–10 miles"/>
    <s v="6–10 years"/>
  </r>
  <r>
    <n v="54"/>
    <x v="1"/>
    <s v="Non-Travel"/>
    <n v="142"/>
    <x v="2"/>
    <n v="26"/>
    <x v="3"/>
    <s v="Human Resources"/>
    <n v="1"/>
    <n v="148"/>
    <n v="4"/>
    <s v="Female"/>
    <n v="30"/>
    <n v="4"/>
    <n v="4"/>
    <x v="5"/>
    <x v="0"/>
    <s v="Single"/>
    <n v="17328"/>
    <n v="13871"/>
    <n v="2"/>
    <s v="Y"/>
    <x v="0"/>
    <n v="12"/>
    <n v="3"/>
    <n v="3"/>
    <n v="80"/>
    <n v="0"/>
    <n v="23"/>
    <n v="3"/>
    <n v="3"/>
    <n v="5"/>
    <n v="3"/>
    <n v="4"/>
    <n v="4"/>
    <x v="3"/>
    <x v="2"/>
    <s v="Very High"/>
    <x v="0"/>
    <s v="Excellent"/>
    <s v="Better"/>
    <n v="0"/>
    <s v="10,001+"/>
    <s v="16+ miles"/>
    <s v="2–5 years"/>
  </r>
  <r>
    <n v="24"/>
    <x v="1"/>
    <s v="Travel_Rarely"/>
    <n v="1127"/>
    <x v="1"/>
    <n v="18"/>
    <x v="1"/>
    <s v="Life Sciences"/>
    <n v="1"/>
    <n v="150"/>
    <n v="2"/>
    <s v="Male"/>
    <n v="52"/>
    <n v="3"/>
    <n v="1"/>
    <x v="2"/>
    <x v="2"/>
    <s v="Married"/>
    <n v="2774"/>
    <n v="13257"/>
    <n v="0"/>
    <s v="Y"/>
    <x v="1"/>
    <n v="12"/>
    <n v="3"/>
    <n v="3"/>
    <n v="80"/>
    <n v="1"/>
    <n v="6"/>
    <n v="2"/>
    <n v="3"/>
    <n v="5"/>
    <n v="3"/>
    <n v="1"/>
    <n v="2"/>
    <x v="1"/>
    <x v="0"/>
    <s v="High"/>
    <x v="2"/>
    <s v="Excellent"/>
    <s v="Better"/>
    <n v="0"/>
    <s v="0–3,000"/>
    <s v="16+ miles"/>
    <s v="2–5 years"/>
  </r>
  <r>
    <n v="34"/>
    <x v="1"/>
    <s v="Travel_Rarely"/>
    <n v="1031"/>
    <x v="1"/>
    <n v="6"/>
    <x v="2"/>
    <s v="Life Sciences"/>
    <n v="1"/>
    <n v="151"/>
    <n v="3"/>
    <s v="Female"/>
    <n v="45"/>
    <n v="2"/>
    <n v="2"/>
    <x v="1"/>
    <x v="1"/>
    <s v="Divorced"/>
    <n v="4505"/>
    <n v="15000"/>
    <n v="6"/>
    <s v="Y"/>
    <x v="1"/>
    <n v="15"/>
    <n v="3"/>
    <n v="3"/>
    <n v="80"/>
    <n v="1"/>
    <n v="12"/>
    <n v="3"/>
    <n v="3"/>
    <n v="1"/>
    <n v="0"/>
    <n v="0"/>
    <n v="0"/>
    <x v="2"/>
    <x v="1"/>
    <s v="Medium"/>
    <x v="1"/>
    <s v="Excellent"/>
    <s v="Better"/>
    <n v="0"/>
    <s v="3,001–6,000"/>
    <s v="6–10 miles"/>
    <s v="0–1 years"/>
  </r>
  <r>
    <n v="37"/>
    <x v="1"/>
    <s v="Travel_Rarely"/>
    <n v="1189"/>
    <x v="0"/>
    <n v="3"/>
    <x v="3"/>
    <s v="Life Sciences"/>
    <n v="1"/>
    <n v="152"/>
    <n v="3"/>
    <s v="Male"/>
    <n v="87"/>
    <n v="3"/>
    <n v="3"/>
    <x v="0"/>
    <x v="0"/>
    <s v="Single"/>
    <n v="7428"/>
    <n v="14506"/>
    <n v="2"/>
    <s v="Y"/>
    <x v="1"/>
    <n v="12"/>
    <n v="3"/>
    <n v="1"/>
    <n v="80"/>
    <n v="0"/>
    <n v="12"/>
    <n v="3"/>
    <n v="3"/>
    <n v="5"/>
    <n v="3"/>
    <n v="1"/>
    <n v="3"/>
    <x v="3"/>
    <x v="1"/>
    <s v="High"/>
    <x v="0"/>
    <s v="Excellent"/>
    <s v="Better"/>
    <n v="0"/>
    <s v="6,001–10,000"/>
    <s v="0–5 miles"/>
    <s v="2–5 years"/>
  </r>
  <r>
    <n v="34"/>
    <x v="1"/>
    <s v="Travel_Rarely"/>
    <n v="1354"/>
    <x v="1"/>
    <n v="5"/>
    <x v="3"/>
    <s v="Medical"/>
    <n v="1"/>
    <n v="153"/>
    <n v="3"/>
    <s v="Female"/>
    <n v="45"/>
    <n v="2"/>
    <n v="3"/>
    <x v="5"/>
    <x v="3"/>
    <s v="Single"/>
    <n v="11631"/>
    <n v="5615"/>
    <n v="2"/>
    <s v="Y"/>
    <x v="1"/>
    <n v="12"/>
    <n v="3"/>
    <n v="4"/>
    <n v="80"/>
    <n v="0"/>
    <n v="14"/>
    <n v="6"/>
    <n v="3"/>
    <n v="11"/>
    <n v="10"/>
    <n v="5"/>
    <n v="8"/>
    <x v="3"/>
    <x v="1"/>
    <s v="Medium"/>
    <x v="3"/>
    <s v="Excellent"/>
    <s v="Better"/>
    <n v="0"/>
    <s v="10,001+"/>
    <s v="0–5 miles"/>
    <s v="11+ years"/>
  </r>
  <r>
    <n v="36"/>
    <x v="1"/>
    <s v="Travel_Frequently"/>
    <n v="1467"/>
    <x v="0"/>
    <n v="11"/>
    <x v="0"/>
    <s v="Technical Degree"/>
    <n v="1"/>
    <n v="154"/>
    <n v="2"/>
    <s v="Female"/>
    <n v="92"/>
    <n v="3"/>
    <n v="3"/>
    <x v="0"/>
    <x v="0"/>
    <s v="Married"/>
    <n v="9738"/>
    <n v="22952"/>
    <n v="0"/>
    <s v="Y"/>
    <x v="1"/>
    <n v="14"/>
    <n v="3"/>
    <n v="3"/>
    <n v="80"/>
    <n v="1"/>
    <n v="10"/>
    <n v="6"/>
    <n v="3"/>
    <n v="9"/>
    <n v="7"/>
    <n v="2"/>
    <n v="8"/>
    <x v="0"/>
    <x v="0"/>
    <s v="High"/>
    <x v="0"/>
    <s v="Excellent"/>
    <s v="Better"/>
    <n v="0"/>
    <s v="6,001–10,000"/>
    <s v="11–15 miles"/>
    <s v="6–10 years"/>
  </r>
  <r>
    <n v="36"/>
    <x v="1"/>
    <s v="Travel_Rarely"/>
    <n v="922"/>
    <x v="1"/>
    <n v="3"/>
    <x v="0"/>
    <s v="Life Sciences"/>
    <n v="1"/>
    <n v="155"/>
    <n v="1"/>
    <s v="Female"/>
    <n v="39"/>
    <n v="3"/>
    <n v="1"/>
    <x v="2"/>
    <x v="0"/>
    <s v="Divorced"/>
    <n v="2835"/>
    <n v="2561"/>
    <n v="5"/>
    <s v="Y"/>
    <x v="1"/>
    <n v="22"/>
    <n v="4"/>
    <n v="1"/>
    <n v="80"/>
    <n v="1"/>
    <n v="7"/>
    <n v="2"/>
    <n v="3"/>
    <n v="1"/>
    <n v="0"/>
    <n v="0"/>
    <n v="0"/>
    <x v="0"/>
    <x v="3"/>
    <s v="High"/>
    <x v="0"/>
    <s v="Outstanding"/>
    <s v="Better"/>
    <n v="0"/>
    <s v="0–3,000"/>
    <s v="0–5 miles"/>
    <s v="0–1 years"/>
  </r>
  <r>
    <n v="43"/>
    <x v="1"/>
    <s v="Travel_Frequently"/>
    <n v="394"/>
    <x v="0"/>
    <n v="26"/>
    <x v="0"/>
    <s v="Life Sciences"/>
    <n v="1"/>
    <n v="158"/>
    <n v="3"/>
    <s v="Male"/>
    <n v="92"/>
    <n v="3"/>
    <n v="4"/>
    <x v="5"/>
    <x v="0"/>
    <s v="Married"/>
    <n v="16959"/>
    <n v="19494"/>
    <n v="1"/>
    <s v="Y"/>
    <x v="0"/>
    <n v="12"/>
    <n v="3"/>
    <n v="4"/>
    <n v="80"/>
    <n v="2"/>
    <n v="25"/>
    <n v="3"/>
    <n v="4"/>
    <n v="25"/>
    <n v="12"/>
    <n v="4"/>
    <n v="12"/>
    <x v="0"/>
    <x v="1"/>
    <s v="High"/>
    <x v="0"/>
    <s v="Excellent"/>
    <s v="Best"/>
    <n v="0"/>
    <s v="10,001+"/>
    <s v="16+ miles"/>
    <s v="11+ years"/>
  </r>
  <r>
    <n v="30"/>
    <x v="1"/>
    <s v="Travel_Frequently"/>
    <n v="1312"/>
    <x v="1"/>
    <n v="23"/>
    <x v="3"/>
    <s v="Life Sciences"/>
    <n v="1"/>
    <n v="159"/>
    <n v="1"/>
    <s v="Male"/>
    <n v="96"/>
    <n v="1"/>
    <n v="1"/>
    <x v="1"/>
    <x v="2"/>
    <s v="Divorced"/>
    <n v="2613"/>
    <n v="22310"/>
    <n v="1"/>
    <s v="Y"/>
    <x v="1"/>
    <n v="25"/>
    <n v="4"/>
    <n v="3"/>
    <n v="80"/>
    <n v="3"/>
    <n v="10"/>
    <n v="2"/>
    <n v="2"/>
    <n v="10"/>
    <n v="7"/>
    <n v="0"/>
    <n v="9"/>
    <x v="3"/>
    <x v="3"/>
    <s v="Low"/>
    <x v="2"/>
    <s v="Outstanding"/>
    <s v="Good"/>
    <n v="0"/>
    <s v="0–3,000"/>
    <s v="16+ miles"/>
    <s v="6–10 years"/>
  </r>
  <r>
    <n v="33"/>
    <x v="1"/>
    <s v="Non-Travel"/>
    <n v="750"/>
    <x v="0"/>
    <n v="22"/>
    <x v="0"/>
    <s v="Marketing"/>
    <n v="1"/>
    <n v="160"/>
    <n v="3"/>
    <s v="Male"/>
    <n v="95"/>
    <n v="3"/>
    <n v="2"/>
    <x v="0"/>
    <x v="1"/>
    <s v="Married"/>
    <n v="6146"/>
    <n v="15480"/>
    <n v="0"/>
    <s v="Y"/>
    <x v="1"/>
    <n v="13"/>
    <n v="3"/>
    <n v="1"/>
    <n v="80"/>
    <n v="1"/>
    <n v="8"/>
    <n v="2"/>
    <n v="4"/>
    <n v="7"/>
    <n v="7"/>
    <n v="0"/>
    <n v="7"/>
    <x v="0"/>
    <x v="1"/>
    <s v="High"/>
    <x v="1"/>
    <s v="Excellent"/>
    <s v="Best"/>
    <n v="0"/>
    <s v="6,001–10,000"/>
    <s v="16+ miles"/>
    <s v="6–10 years"/>
  </r>
  <r>
    <n v="56"/>
    <x v="0"/>
    <s v="Travel_Rarely"/>
    <n v="441"/>
    <x v="1"/>
    <n v="14"/>
    <x v="2"/>
    <s v="Life Sciences"/>
    <n v="1"/>
    <n v="161"/>
    <n v="2"/>
    <s v="Female"/>
    <n v="72"/>
    <n v="3"/>
    <n v="1"/>
    <x v="1"/>
    <x v="1"/>
    <s v="Married"/>
    <n v="4963"/>
    <n v="4510"/>
    <n v="9"/>
    <s v="Y"/>
    <x v="0"/>
    <n v="18"/>
    <n v="3"/>
    <n v="1"/>
    <n v="80"/>
    <n v="3"/>
    <n v="7"/>
    <n v="2"/>
    <n v="3"/>
    <n v="5"/>
    <n v="4"/>
    <n v="4"/>
    <n v="3"/>
    <x v="2"/>
    <x v="0"/>
    <s v="High"/>
    <x v="1"/>
    <s v="Excellent"/>
    <s v="Better"/>
    <n v="1"/>
    <s v="3,001–6,000"/>
    <s v="11–15 miles"/>
    <s v="2–5 years"/>
  </r>
  <r>
    <n v="51"/>
    <x v="1"/>
    <s v="Travel_Rarely"/>
    <n v="684"/>
    <x v="1"/>
    <n v="6"/>
    <x v="3"/>
    <s v="Life Sciences"/>
    <n v="1"/>
    <n v="162"/>
    <n v="1"/>
    <s v="Male"/>
    <n v="51"/>
    <n v="3"/>
    <n v="5"/>
    <x v="7"/>
    <x v="2"/>
    <s v="Single"/>
    <n v="19537"/>
    <n v="6462"/>
    <n v="7"/>
    <s v="Y"/>
    <x v="1"/>
    <n v="13"/>
    <n v="3"/>
    <n v="3"/>
    <n v="80"/>
    <n v="0"/>
    <n v="23"/>
    <n v="5"/>
    <n v="3"/>
    <n v="20"/>
    <n v="18"/>
    <n v="15"/>
    <n v="15"/>
    <x v="3"/>
    <x v="3"/>
    <s v="High"/>
    <x v="2"/>
    <s v="Excellent"/>
    <s v="Better"/>
    <n v="0"/>
    <s v="10,001+"/>
    <s v="6–10 miles"/>
    <s v="11+ years"/>
  </r>
  <r>
    <n v="31"/>
    <x v="0"/>
    <s v="Travel_Rarely"/>
    <n v="249"/>
    <x v="0"/>
    <n v="6"/>
    <x v="2"/>
    <s v="Life Sciences"/>
    <n v="1"/>
    <n v="163"/>
    <n v="2"/>
    <s v="Male"/>
    <n v="76"/>
    <n v="1"/>
    <n v="2"/>
    <x v="0"/>
    <x v="2"/>
    <s v="Married"/>
    <n v="6172"/>
    <n v="20739"/>
    <n v="4"/>
    <s v="Y"/>
    <x v="0"/>
    <n v="18"/>
    <n v="3"/>
    <n v="2"/>
    <n v="80"/>
    <n v="0"/>
    <n v="12"/>
    <n v="3"/>
    <n v="2"/>
    <n v="7"/>
    <n v="7"/>
    <n v="7"/>
    <n v="7"/>
    <x v="2"/>
    <x v="0"/>
    <s v="Low"/>
    <x v="2"/>
    <s v="Excellent"/>
    <s v="Good"/>
    <n v="1"/>
    <s v="6,001–10,000"/>
    <s v="6–10 miles"/>
    <s v="6–10 years"/>
  </r>
  <r>
    <n v="26"/>
    <x v="1"/>
    <s v="Travel_Rarely"/>
    <n v="841"/>
    <x v="1"/>
    <n v="6"/>
    <x v="3"/>
    <s v="Other"/>
    <n v="1"/>
    <n v="164"/>
    <n v="3"/>
    <s v="Female"/>
    <n v="46"/>
    <n v="2"/>
    <n v="1"/>
    <x v="1"/>
    <x v="1"/>
    <s v="Married"/>
    <n v="2368"/>
    <n v="23300"/>
    <n v="1"/>
    <s v="Y"/>
    <x v="1"/>
    <n v="19"/>
    <n v="3"/>
    <n v="3"/>
    <n v="80"/>
    <n v="0"/>
    <n v="5"/>
    <n v="3"/>
    <n v="2"/>
    <n v="5"/>
    <n v="4"/>
    <n v="4"/>
    <n v="3"/>
    <x v="3"/>
    <x v="1"/>
    <s v="Medium"/>
    <x v="1"/>
    <s v="Excellent"/>
    <s v="Good"/>
    <n v="0"/>
    <s v="0–3,000"/>
    <s v="6–10 miles"/>
    <s v="2–5 years"/>
  </r>
  <r>
    <n v="58"/>
    <x v="0"/>
    <s v="Travel_Rarely"/>
    <n v="147"/>
    <x v="1"/>
    <n v="23"/>
    <x v="2"/>
    <s v="Medical"/>
    <n v="1"/>
    <n v="165"/>
    <n v="4"/>
    <s v="Female"/>
    <n v="94"/>
    <n v="3"/>
    <n v="3"/>
    <x v="4"/>
    <x v="0"/>
    <s v="Married"/>
    <n v="10312"/>
    <n v="3465"/>
    <n v="1"/>
    <s v="Y"/>
    <x v="1"/>
    <n v="12"/>
    <n v="3"/>
    <n v="4"/>
    <n v="80"/>
    <n v="1"/>
    <n v="40"/>
    <n v="3"/>
    <n v="2"/>
    <n v="40"/>
    <n v="10"/>
    <n v="15"/>
    <n v="6"/>
    <x v="2"/>
    <x v="2"/>
    <s v="High"/>
    <x v="0"/>
    <s v="Excellent"/>
    <s v="Good"/>
    <n v="1"/>
    <s v="10,001+"/>
    <s v="16+ miles"/>
    <s v="11+ years"/>
  </r>
  <r>
    <n v="19"/>
    <x v="0"/>
    <s v="Travel_Rarely"/>
    <n v="528"/>
    <x v="0"/>
    <n v="22"/>
    <x v="1"/>
    <s v="Marketing"/>
    <n v="1"/>
    <n v="167"/>
    <n v="4"/>
    <s v="Male"/>
    <n v="50"/>
    <n v="3"/>
    <n v="1"/>
    <x v="6"/>
    <x v="2"/>
    <s v="Single"/>
    <n v="1675"/>
    <n v="26820"/>
    <n v="1"/>
    <s v="Y"/>
    <x v="0"/>
    <n v="19"/>
    <n v="3"/>
    <n v="4"/>
    <n v="80"/>
    <n v="0"/>
    <n v="0"/>
    <n v="2"/>
    <n v="2"/>
    <n v="0"/>
    <n v="0"/>
    <n v="0"/>
    <n v="0"/>
    <x v="1"/>
    <x v="2"/>
    <s v="High"/>
    <x v="2"/>
    <s v="Excellent"/>
    <s v="Good"/>
    <n v="1"/>
    <s v="0–3,000"/>
    <s v="16+ miles"/>
    <s v="0–1 years"/>
  </r>
  <r>
    <n v="22"/>
    <x v="1"/>
    <s v="Travel_Rarely"/>
    <n v="594"/>
    <x v="1"/>
    <n v="2"/>
    <x v="1"/>
    <s v="Technical Degree"/>
    <n v="1"/>
    <n v="169"/>
    <n v="3"/>
    <s v="Male"/>
    <n v="100"/>
    <n v="3"/>
    <n v="1"/>
    <x v="2"/>
    <x v="0"/>
    <s v="Married"/>
    <n v="2523"/>
    <n v="19299"/>
    <n v="0"/>
    <s v="Y"/>
    <x v="1"/>
    <n v="14"/>
    <n v="3"/>
    <n v="3"/>
    <n v="80"/>
    <n v="1"/>
    <n v="3"/>
    <n v="2"/>
    <n v="3"/>
    <n v="2"/>
    <n v="1"/>
    <n v="2"/>
    <n v="1"/>
    <x v="1"/>
    <x v="1"/>
    <s v="High"/>
    <x v="0"/>
    <s v="Excellent"/>
    <s v="Better"/>
    <n v="0"/>
    <s v="0–3,000"/>
    <s v="0–5 miles"/>
    <s v="2–5 years"/>
  </r>
  <r>
    <n v="49"/>
    <x v="1"/>
    <s v="Travel_Rarely"/>
    <n v="470"/>
    <x v="1"/>
    <n v="20"/>
    <x v="2"/>
    <s v="Medical"/>
    <n v="1"/>
    <n v="170"/>
    <n v="3"/>
    <s v="Female"/>
    <n v="96"/>
    <n v="3"/>
    <n v="2"/>
    <x v="3"/>
    <x v="3"/>
    <s v="Married"/>
    <n v="6567"/>
    <n v="5549"/>
    <n v="1"/>
    <s v="Y"/>
    <x v="1"/>
    <n v="14"/>
    <n v="3"/>
    <n v="3"/>
    <n v="80"/>
    <n v="0"/>
    <n v="16"/>
    <n v="2"/>
    <n v="2"/>
    <n v="15"/>
    <n v="11"/>
    <n v="5"/>
    <n v="11"/>
    <x v="2"/>
    <x v="1"/>
    <s v="High"/>
    <x v="3"/>
    <s v="Excellent"/>
    <s v="Good"/>
    <n v="0"/>
    <s v="6,001–10,000"/>
    <s v="16+ miles"/>
    <s v="11+ years"/>
  </r>
  <r>
    <n v="43"/>
    <x v="1"/>
    <s v="Travel_Frequently"/>
    <n v="957"/>
    <x v="1"/>
    <n v="28"/>
    <x v="3"/>
    <s v="Medical"/>
    <n v="1"/>
    <n v="171"/>
    <n v="2"/>
    <s v="Female"/>
    <n v="72"/>
    <n v="4"/>
    <n v="1"/>
    <x v="1"/>
    <x v="2"/>
    <s v="Single"/>
    <n v="4739"/>
    <n v="16090"/>
    <n v="4"/>
    <s v="Y"/>
    <x v="1"/>
    <n v="12"/>
    <n v="3"/>
    <n v="4"/>
    <n v="80"/>
    <n v="0"/>
    <n v="18"/>
    <n v="2"/>
    <n v="3"/>
    <n v="3"/>
    <n v="2"/>
    <n v="1"/>
    <n v="2"/>
    <x v="3"/>
    <x v="0"/>
    <s v="Very High"/>
    <x v="2"/>
    <s v="Excellent"/>
    <s v="Better"/>
    <n v="0"/>
    <s v="3,001–6,000"/>
    <s v="16+ miles"/>
    <s v="2–5 years"/>
  </r>
  <r>
    <n v="50"/>
    <x v="1"/>
    <s v="Travel_Frequently"/>
    <n v="809"/>
    <x v="0"/>
    <n v="12"/>
    <x v="3"/>
    <s v="Marketing"/>
    <n v="1"/>
    <n v="174"/>
    <n v="3"/>
    <s v="Female"/>
    <n v="77"/>
    <n v="3"/>
    <n v="3"/>
    <x v="0"/>
    <x v="0"/>
    <s v="Single"/>
    <n v="9208"/>
    <n v="6645"/>
    <n v="4"/>
    <s v="Y"/>
    <x v="1"/>
    <n v="11"/>
    <n v="3"/>
    <n v="4"/>
    <n v="80"/>
    <n v="0"/>
    <n v="16"/>
    <n v="3"/>
    <n v="3"/>
    <n v="2"/>
    <n v="2"/>
    <n v="2"/>
    <n v="1"/>
    <x v="3"/>
    <x v="1"/>
    <s v="High"/>
    <x v="0"/>
    <s v="Excellent"/>
    <s v="Better"/>
    <n v="0"/>
    <s v="6,001–10,000"/>
    <s v="11–15 miles"/>
    <s v="2–5 years"/>
  </r>
  <r>
    <n v="31"/>
    <x v="0"/>
    <s v="Travel_Rarely"/>
    <n v="542"/>
    <x v="0"/>
    <n v="20"/>
    <x v="3"/>
    <s v="Life Sciences"/>
    <n v="1"/>
    <n v="175"/>
    <n v="2"/>
    <s v="Female"/>
    <n v="71"/>
    <n v="1"/>
    <n v="2"/>
    <x v="0"/>
    <x v="2"/>
    <s v="Married"/>
    <n v="4559"/>
    <n v="24788"/>
    <n v="3"/>
    <s v="Y"/>
    <x v="0"/>
    <n v="11"/>
    <n v="3"/>
    <n v="3"/>
    <n v="80"/>
    <n v="1"/>
    <n v="4"/>
    <n v="2"/>
    <n v="3"/>
    <n v="2"/>
    <n v="2"/>
    <n v="2"/>
    <n v="2"/>
    <x v="3"/>
    <x v="0"/>
    <s v="Low"/>
    <x v="2"/>
    <s v="Excellent"/>
    <s v="Better"/>
    <n v="1"/>
    <s v="3,001–6,000"/>
    <s v="16+ miles"/>
    <s v="2–5 years"/>
  </r>
  <r>
    <n v="41"/>
    <x v="1"/>
    <s v="Travel_Rarely"/>
    <n v="802"/>
    <x v="0"/>
    <n v="9"/>
    <x v="1"/>
    <s v="Life Sciences"/>
    <n v="1"/>
    <n v="176"/>
    <n v="3"/>
    <s v="Male"/>
    <n v="96"/>
    <n v="3"/>
    <n v="3"/>
    <x v="0"/>
    <x v="2"/>
    <s v="Divorced"/>
    <n v="8189"/>
    <n v="21196"/>
    <n v="3"/>
    <s v="Y"/>
    <x v="0"/>
    <n v="13"/>
    <n v="3"/>
    <n v="3"/>
    <n v="80"/>
    <n v="1"/>
    <n v="12"/>
    <n v="2"/>
    <n v="3"/>
    <n v="9"/>
    <n v="7"/>
    <n v="0"/>
    <n v="7"/>
    <x v="1"/>
    <x v="1"/>
    <s v="High"/>
    <x v="2"/>
    <s v="Excellent"/>
    <s v="Better"/>
    <n v="0"/>
    <s v="6,001–10,000"/>
    <s v="6–10 miles"/>
    <s v="6–10 years"/>
  </r>
  <r>
    <n v="26"/>
    <x v="1"/>
    <s v="Travel_Rarely"/>
    <n v="1355"/>
    <x v="2"/>
    <n v="25"/>
    <x v="1"/>
    <s v="Life Sciences"/>
    <n v="1"/>
    <n v="177"/>
    <n v="3"/>
    <s v="Female"/>
    <n v="61"/>
    <n v="3"/>
    <n v="1"/>
    <x v="8"/>
    <x v="2"/>
    <s v="Married"/>
    <n v="2942"/>
    <n v="8916"/>
    <n v="1"/>
    <s v="Y"/>
    <x v="1"/>
    <n v="23"/>
    <n v="4"/>
    <n v="4"/>
    <n v="80"/>
    <n v="1"/>
    <n v="8"/>
    <n v="3"/>
    <n v="3"/>
    <n v="8"/>
    <n v="7"/>
    <n v="5"/>
    <n v="7"/>
    <x v="1"/>
    <x v="1"/>
    <s v="High"/>
    <x v="2"/>
    <s v="Outstanding"/>
    <s v="Better"/>
    <n v="0"/>
    <s v="0–3,000"/>
    <s v="16+ miles"/>
    <s v="6–10 years"/>
  </r>
  <r>
    <n v="36"/>
    <x v="1"/>
    <s v="Travel_Rarely"/>
    <n v="216"/>
    <x v="1"/>
    <n v="6"/>
    <x v="0"/>
    <s v="Medical"/>
    <n v="1"/>
    <n v="178"/>
    <n v="2"/>
    <s v="Male"/>
    <n v="84"/>
    <n v="3"/>
    <n v="2"/>
    <x v="3"/>
    <x v="1"/>
    <s v="Divorced"/>
    <n v="4941"/>
    <n v="2819"/>
    <n v="6"/>
    <s v="Y"/>
    <x v="1"/>
    <n v="20"/>
    <n v="4"/>
    <n v="4"/>
    <n v="80"/>
    <n v="2"/>
    <n v="7"/>
    <n v="0"/>
    <n v="3"/>
    <n v="3"/>
    <n v="2"/>
    <n v="0"/>
    <n v="1"/>
    <x v="0"/>
    <x v="0"/>
    <s v="High"/>
    <x v="1"/>
    <s v="Outstanding"/>
    <s v="Better"/>
    <n v="0"/>
    <s v="3,001–6,000"/>
    <s v="6–10 miles"/>
    <s v="2–5 years"/>
  </r>
  <r>
    <n v="51"/>
    <x v="0"/>
    <s v="Travel_Frequently"/>
    <n v="1150"/>
    <x v="1"/>
    <n v="8"/>
    <x v="2"/>
    <s v="Life Sciences"/>
    <n v="1"/>
    <n v="179"/>
    <n v="1"/>
    <s v="Male"/>
    <n v="53"/>
    <n v="1"/>
    <n v="3"/>
    <x v="3"/>
    <x v="0"/>
    <s v="Single"/>
    <n v="10650"/>
    <n v="25150"/>
    <n v="2"/>
    <s v="Y"/>
    <x v="1"/>
    <n v="15"/>
    <n v="3"/>
    <n v="4"/>
    <n v="80"/>
    <n v="0"/>
    <n v="18"/>
    <n v="2"/>
    <n v="3"/>
    <n v="4"/>
    <n v="2"/>
    <n v="0"/>
    <n v="3"/>
    <x v="2"/>
    <x v="3"/>
    <s v="Low"/>
    <x v="0"/>
    <s v="Excellent"/>
    <s v="Better"/>
    <n v="1"/>
    <s v="10,001+"/>
    <s v="6–10 miles"/>
    <s v="2–5 years"/>
  </r>
  <r>
    <n v="39"/>
    <x v="1"/>
    <s v="Travel_Rarely"/>
    <n v="1329"/>
    <x v="0"/>
    <n v="4"/>
    <x v="2"/>
    <s v="Life Sciences"/>
    <n v="1"/>
    <n v="182"/>
    <n v="4"/>
    <s v="Female"/>
    <n v="47"/>
    <n v="2"/>
    <n v="2"/>
    <x v="0"/>
    <x v="2"/>
    <s v="Married"/>
    <n v="5902"/>
    <n v="14590"/>
    <n v="4"/>
    <s v="Y"/>
    <x v="1"/>
    <n v="14"/>
    <n v="3"/>
    <n v="3"/>
    <n v="80"/>
    <n v="1"/>
    <n v="17"/>
    <n v="1"/>
    <n v="4"/>
    <n v="15"/>
    <n v="11"/>
    <n v="5"/>
    <n v="9"/>
    <x v="2"/>
    <x v="2"/>
    <s v="Medium"/>
    <x v="2"/>
    <s v="Excellent"/>
    <s v="Best"/>
    <n v="0"/>
    <s v="3,001–6,000"/>
    <s v="0–5 miles"/>
    <s v="11+ years"/>
  </r>
  <r>
    <n v="25"/>
    <x v="1"/>
    <s v="Travel_Rarely"/>
    <n v="959"/>
    <x v="0"/>
    <n v="28"/>
    <x v="3"/>
    <s v="Life Sciences"/>
    <n v="1"/>
    <n v="183"/>
    <n v="1"/>
    <s v="Male"/>
    <n v="41"/>
    <n v="2"/>
    <n v="2"/>
    <x v="0"/>
    <x v="2"/>
    <s v="Married"/>
    <n v="8639"/>
    <n v="24835"/>
    <n v="2"/>
    <s v="Y"/>
    <x v="1"/>
    <n v="18"/>
    <n v="3"/>
    <n v="4"/>
    <n v="80"/>
    <n v="0"/>
    <n v="6"/>
    <n v="3"/>
    <n v="3"/>
    <n v="2"/>
    <n v="2"/>
    <n v="2"/>
    <n v="2"/>
    <x v="3"/>
    <x v="3"/>
    <s v="Medium"/>
    <x v="2"/>
    <s v="Excellent"/>
    <s v="Better"/>
    <n v="0"/>
    <s v="6,001–10,000"/>
    <s v="16+ miles"/>
    <s v="2–5 years"/>
  </r>
  <r>
    <n v="30"/>
    <x v="1"/>
    <s v="Travel_Rarely"/>
    <n v="1240"/>
    <x v="2"/>
    <n v="9"/>
    <x v="3"/>
    <s v="Human Resources"/>
    <n v="1"/>
    <n v="184"/>
    <n v="3"/>
    <s v="Male"/>
    <n v="48"/>
    <n v="3"/>
    <n v="2"/>
    <x v="8"/>
    <x v="0"/>
    <s v="Married"/>
    <n v="6347"/>
    <n v="13982"/>
    <n v="0"/>
    <s v="Y"/>
    <x v="0"/>
    <n v="19"/>
    <n v="3"/>
    <n v="4"/>
    <n v="80"/>
    <n v="0"/>
    <n v="12"/>
    <n v="2"/>
    <n v="1"/>
    <n v="11"/>
    <n v="9"/>
    <n v="4"/>
    <n v="7"/>
    <x v="3"/>
    <x v="1"/>
    <s v="High"/>
    <x v="0"/>
    <s v="Excellent"/>
    <s v="Bad"/>
    <n v="0"/>
    <s v="6,001–10,000"/>
    <s v="6–10 miles"/>
    <s v="11+ years"/>
  </r>
  <r>
    <n v="32"/>
    <x v="0"/>
    <s v="Travel_Rarely"/>
    <n v="1033"/>
    <x v="1"/>
    <n v="9"/>
    <x v="3"/>
    <s v="Medical"/>
    <n v="1"/>
    <n v="190"/>
    <n v="1"/>
    <s v="Female"/>
    <n v="41"/>
    <n v="3"/>
    <n v="1"/>
    <x v="2"/>
    <x v="3"/>
    <s v="Single"/>
    <n v="4200"/>
    <n v="10224"/>
    <n v="7"/>
    <s v="Y"/>
    <x v="1"/>
    <n v="22"/>
    <n v="4"/>
    <n v="1"/>
    <n v="80"/>
    <n v="0"/>
    <n v="10"/>
    <n v="2"/>
    <n v="4"/>
    <n v="5"/>
    <n v="4"/>
    <n v="0"/>
    <n v="4"/>
    <x v="3"/>
    <x v="3"/>
    <s v="High"/>
    <x v="3"/>
    <s v="Outstanding"/>
    <s v="Best"/>
    <n v="1"/>
    <s v="3,001–6,000"/>
    <s v="6–10 miles"/>
    <s v="2–5 years"/>
  </r>
  <r>
    <n v="45"/>
    <x v="1"/>
    <s v="Travel_Rarely"/>
    <n v="1316"/>
    <x v="1"/>
    <n v="29"/>
    <x v="3"/>
    <s v="Medical"/>
    <n v="1"/>
    <n v="192"/>
    <n v="3"/>
    <s v="Male"/>
    <n v="83"/>
    <n v="3"/>
    <n v="1"/>
    <x v="1"/>
    <x v="0"/>
    <s v="Single"/>
    <n v="3452"/>
    <n v="9752"/>
    <n v="5"/>
    <s v="Y"/>
    <x v="1"/>
    <n v="13"/>
    <n v="3"/>
    <n v="2"/>
    <n v="80"/>
    <n v="0"/>
    <n v="9"/>
    <n v="2"/>
    <n v="2"/>
    <n v="6"/>
    <n v="5"/>
    <n v="0"/>
    <n v="3"/>
    <x v="3"/>
    <x v="1"/>
    <s v="High"/>
    <x v="0"/>
    <s v="Excellent"/>
    <s v="Good"/>
    <n v="0"/>
    <s v="3,001–6,000"/>
    <s v="16+ miles"/>
    <s v="6–10 years"/>
  </r>
  <r>
    <n v="38"/>
    <x v="1"/>
    <s v="Travel_Rarely"/>
    <n v="364"/>
    <x v="1"/>
    <n v="3"/>
    <x v="4"/>
    <s v="Technical Degree"/>
    <n v="1"/>
    <n v="193"/>
    <n v="4"/>
    <s v="Female"/>
    <n v="32"/>
    <n v="3"/>
    <n v="2"/>
    <x v="1"/>
    <x v="2"/>
    <s v="Single"/>
    <n v="4317"/>
    <n v="2302"/>
    <n v="3"/>
    <s v="Y"/>
    <x v="0"/>
    <n v="20"/>
    <n v="4"/>
    <n v="2"/>
    <n v="80"/>
    <n v="0"/>
    <n v="19"/>
    <n v="2"/>
    <n v="3"/>
    <n v="3"/>
    <n v="2"/>
    <n v="2"/>
    <n v="2"/>
    <x v="4"/>
    <x v="2"/>
    <s v="High"/>
    <x v="2"/>
    <s v="Outstanding"/>
    <s v="Better"/>
    <n v="0"/>
    <s v="3,001–6,000"/>
    <s v="0–5 miles"/>
    <s v="2–5 years"/>
  </r>
  <r>
    <n v="30"/>
    <x v="1"/>
    <s v="Travel_Rarely"/>
    <n v="438"/>
    <x v="1"/>
    <n v="18"/>
    <x v="3"/>
    <s v="Life Sciences"/>
    <n v="1"/>
    <n v="194"/>
    <n v="1"/>
    <s v="Female"/>
    <n v="75"/>
    <n v="3"/>
    <n v="1"/>
    <x v="1"/>
    <x v="2"/>
    <s v="Single"/>
    <n v="2632"/>
    <n v="23910"/>
    <n v="1"/>
    <s v="Y"/>
    <x v="1"/>
    <n v="14"/>
    <n v="3"/>
    <n v="3"/>
    <n v="80"/>
    <n v="0"/>
    <n v="5"/>
    <n v="4"/>
    <n v="2"/>
    <n v="5"/>
    <n v="4"/>
    <n v="0"/>
    <n v="4"/>
    <x v="3"/>
    <x v="3"/>
    <s v="High"/>
    <x v="2"/>
    <s v="Excellent"/>
    <s v="Good"/>
    <n v="0"/>
    <s v="0–3,000"/>
    <s v="16+ miles"/>
    <s v="2–5 years"/>
  </r>
  <r>
    <n v="32"/>
    <x v="1"/>
    <s v="Travel_Frequently"/>
    <n v="689"/>
    <x v="0"/>
    <n v="9"/>
    <x v="0"/>
    <s v="Medical"/>
    <n v="1"/>
    <n v="195"/>
    <n v="4"/>
    <s v="Male"/>
    <n v="35"/>
    <n v="1"/>
    <n v="2"/>
    <x v="0"/>
    <x v="0"/>
    <s v="Divorced"/>
    <n v="4668"/>
    <n v="22812"/>
    <n v="0"/>
    <s v="Y"/>
    <x v="1"/>
    <n v="17"/>
    <n v="3"/>
    <n v="4"/>
    <n v="80"/>
    <n v="3"/>
    <n v="9"/>
    <n v="2"/>
    <n v="4"/>
    <n v="8"/>
    <n v="7"/>
    <n v="0"/>
    <n v="7"/>
    <x v="0"/>
    <x v="2"/>
    <s v="Low"/>
    <x v="0"/>
    <s v="Excellent"/>
    <s v="Best"/>
    <n v="0"/>
    <s v="3,001–6,000"/>
    <s v="6–10 miles"/>
    <s v="6–10 years"/>
  </r>
  <r>
    <n v="30"/>
    <x v="1"/>
    <s v="Travel_Rarely"/>
    <n v="201"/>
    <x v="1"/>
    <n v="5"/>
    <x v="3"/>
    <s v="Technical Degree"/>
    <n v="1"/>
    <n v="197"/>
    <n v="4"/>
    <s v="Female"/>
    <n v="84"/>
    <n v="3"/>
    <n v="1"/>
    <x v="1"/>
    <x v="3"/>
    <s v="Divorced"/>
    <n v="3204"/>
    <n v="10415"/>
    <n v="5"/>
    <s v="Y"/>
    <x v="1"/>
    <n v="14"/>
    <n v="3"/>
    <n v="4"/>
    <n v="80"/>
    <n v="1"/>
    <n v="8"/>
    <n v="3"/>
    <n v="3"/>
    <n v="3"/>
    <n v="2"/>
    <n v="2"/>
    <n v="2"/>
    <x v="3"/>
    <x v="2"/>
    <s v="High"/>
    <x v="3"/>
    <s v="Excellent"/>
    <s v="Better"/>
    <n v="0"/>
    <s v="3,001–6,000"/>
    <s v="0–5 miles"/>
    <s v="2–5 years"/>
  </r>
  <r>
    <n v="30"/>
    <x v="1"/>
    <s v="Travel_Rarely"/>
    <n v="1427"/>
    <x v="1"/>
    <n v="2"/>
    <x v="1"/>
    <s v="Medical"/>
    <n v="1"/>
    <n v="198"/>
    <n v="2"/>
    <s v="Male"/>
    <n v="35"/>
    <n v="2"/>
    <n v="1"/>
    <x v="2"/>
    <x v="0"/>
    <s v="Single"/>
    <n v="2720"/>
    <n v="11162"/>
    <n v="0"/>
    <s v="Y"/>
    <x v="1"/>
    <n v="13"/>
    <n v="3"/>
    <n v="4"/>
    <n v="80"/>
    <n v="0"/>
    <n v="6"/>
    <n v="3"/>
    <n v="3"/>
    <n v="5"/>
    <n v="3"/>
    <n v="1"/>
    <n v="2"/>
    <x v="1"/>
    <x v="0"/>
    <s v="Medium"/>
    <x v="0"/>
    <s v="Excellent"/>
    <s v="Better"/>
    <n v="0"/>
    <s v="0–3,000"/>
    <s v="0–5 miles"/>
    <s v="2–5 years"/>
  </r>
  <r>
    <n v="41"/>
    <x v="1"/>
    <s v="Travel_Frequently"/>
    <n v="857"/>
    <x v="1"/>
    <n v="10"/>
    <x v="3"/>
    <s v="Life Sciences"/>
    <n v="1"/>
    <n v="199"/>
    <n v="4"/>
    <s v="Male"/>
    <n v="91"/>
    <n v="2"/>
    <n v="4"/>
    <x v="5"/>
    <x v="3"/>
    <s v="Divorced"/>
    <n v="17181"/>
    <n v="12888"/>
    <n v="4"/>
    <s v="Y"/>
    <x v="1"/>
    <n v="13"/>
    <n v="3"/>
    <n v="2"/>
    <n v="80"/>
    <n v="1"/>
    <n v="21"/>
    <n v="2"/>
    <n v="2"/>
    <n v="7"/>
    <n v="6"/>
    <n v="7"/>
    <n v="7"/>
    <x v="3"/>
    <x v="2"/>
    <s v="Medium"/>
    <x v="3"/>
    <s v="Excellent"/>
    <s v="Good"/>
    <n v="0"/>
    <s v="10,001+"/>
    <s v="6–10 miles"/>
    <s v="6–10 years"/>
  </r>
  <r>
    <n v="41"/>
    <x v="1"/>
    <s v="Travel_Rarely"/>
    <n v="933"/>
    <x v="1"/>
    <n v="9"/>
    <x v="2"/>
    <s v="Life Sciences"/>
    <n v="1"/>
    <n v="200"/>
    <n v="3"/>
    <s v="Male"/>
    <n v="94"/>
    <n v="3"/>
    <n v="1"/>
    <x v="2"/>
    <x v="3"/>
    <s v="Married"/>
    <n v="2238"/>
    <n v="6961"/>
    <n v="2"/>
    <s v="Y"/>
    <x v="1"/>
    <n v="21"/>
    <n v="4"/>
    <n v="4"/>
    <n v="80"/>
    <n v="1"/>
    <n v="7"/>
    <n v="2"/>
    <n v="3"/>
    <n v="5"/>
    <n v="0"/>
    <n v="1"/>
    <n v="4"/>
    <x v="2"/>
    <x v="1"/>
    <s v="High"/>
    <x v="3"/>
    <s v="Outstanding"/>
    <s v="Better"/>
    <n v="0"/>
    <s v="0–3,000"/>
    <s v="6–10 miles"/>
    <s v="2–5 years"/>
  </r>
  <r>
    <n v="19"/>
    <x v="1"/>
    <s v="Travel_Rarely"/>
    <n v="1181"/>
    <x v="1"/>
    <n v="3"/>
    <x v="1"/>
    <s v="Medical"/>
    <n v="1"/>
    <n v="201"/>
    <n v="2"/>
    <s v="Female"/>
    <n v="79"/>
    <n v="3"/>
    <n v="1"/>
    <x v="2"/>
    <x v="1"/>
    <s v="Single"/>
    <n v="1483"/>
    <n v="16102"/>
    <n v="1"/>
    <s v="Y"/>
    <x v="1"/>
    <n v="14"/>
    <n v="3"/>
    <n v="4"/>
    <n v="80"/>
    <n v="0"/>
    <n v="1"/>
    <n v="3"/>
    <n v="3"/>
    <n v="1"/>
    <n v="0"/>
    <n v="0"/>
    <n v="0"/>
    <x v="1"/>
    <x v="0"/>
    <s v="High"/>
    <x v="1"/>
    <s v="Excellent"/>
    <s v="Better"/>
    <n v="0"/>
    <s v="0–3,000"/>
    <s v="0–5 miles"/>
    <s v="0–1 years"/>
  </r>
  <r>
    <n v="40"/>
    <x v="1"/>
    <s v="Travel_Frequently"/>
    <n v="1395"/>
    <x v="1"/>
    <n v="26"/>
    <x v="3"/>
    <s v="Medical"/>
    <n v="1"/>
    <n v="202"/>
    <n v="2"/>
    <s v="Female"/>
    <n v="54"/>
    <n v="3"/>
    <n v="2"/>
    <x v="1"/>
    <x v="1"/>
    <s v="Divorced"/>
    <n v="5605"/>
    <n v="8504"/>
    <n v="1"/>
    <s v="Y"/>
    <x v="1"/>
    <n v="11"/>
    <n v="3"/>
    <n v="1"/>
    <n v="80"/>
    <n v="1"/>
    <n v="20"/>
    <n v="2"/>
    <n v="3"/>
    <n v="20"/>
    <n v="7"/>
    <n v="2"/>
    <n v="13"/>
    <x v="3"/>
    <x v="0"/>
    <s v="High"/>
    <x v="1"/>
    <s v="Excellent"/>
    <s v="Better"/>
    <n v="0"/>
    <s v="3,001–6,000"/>
    <s v="16+ miles"/>
    <s v="11+ years"/>
  </r>
  <r>
    <n v="35"/>
    <x v="1"/>
    <s v="Travel_Rarely"/>
    <n v="662"/>
    <x v="0"/>
    <n v="1"/>
    <x v="4"/>
    <s v="Marketing"/>
    <n v="1"/>
    <n v="204"/>
    <n v="3"/>
    <s v="Male"/>
    <n v="94"/>
    <n v="3"/>
    <n v="3"/>
    <x v="0"/>
    <x v="1"/>
    <s v="Married"/>
    <n v="7295"/>
    <n v="11439"/>
    <n v="1"/>
    <s v="Y"/>
    <x v="1"/>
    <n v="13"/>
    <n v="3"/>
    <n v="1"/>
    <n v="80"/>
    <n v="2"/>
    <n v="10"/>
    <n v="3"/>
    <n v="3"/>
    <n v="10"/>
    <n v="8"/>
    <n v="0"/>
    <n v="6"/>
    <x v="4"/>
    <x v="1"/>
    <s v="High"/>
    <x v="1"/>
    <s v="Excellent"/>
    <s v="Better"/>
    <n v="0"/>
    <s v="6,001–10,000"/>
    <s v="0–5 miles"/>
    <s v="6–10 years"/>
  </r>
  <r>
    <n v="53"/>
    <x v="1"/>
    <s v="Travel_Rarely"/>
    <n v="1436"/>
    <x v="0"/>
    <n v="6"/>
    <x v="0"/>
    <s v="Marketing"/>
    <n v="1"/>
    <n v="205"/>
    <n v="2"/>
    <s v="Male"/>
    <n v="34"/>
    <n v="3"/>
    <n v="2"/>
    <x v="6"/>
    <x v="2"/>
    <s v="Married"/>
    <n v="2306"/>
    <n v="16047"/>
    <n v="2"/>
    <s v="Y"/>
    <x v="0"/>
    <n v="20"/>
    <n v="4"/>
    <n v="4"/>
    <n v="80"/>
    <n v="1"/>
    <n v="13"/>
    <n v="3"/>
    <n v="1"/>
    <n v="7"/>
    <n v="7"/>
    <n v="4"/>
    <n v="5"/>
    <x v="0"/>
    <x v="0"/>
    <s v="High"/>
    <x v="2"/>
    <s v="Outstanding"/>
    <s v="Bad"/>
    <n v="0"/>
    <s v="0–3,000"/>
    <s v="6–10 miles"/>
    <s v="6–10 years"/>
  </r>
  <r>
    <n v="45"/>
    <x v="1"/>
    <s v="Travel_Rarely"/>
    <n v="194"/>
    <x v="1"/>
    <n v="9"/>
    <x v="3"/>
    <s v="Life Sciences"/>
    <n v="1"/>
    <n v="206"/>
    <n v="2"/>
    <s v="Male"/>
    <n v="60"/>
    <n v="3"/>
    <n v="2"/>
    <x v="2"/>
    <x v="1"/>
    <s v="Divorced"/>
    <n v="2348"/>
    <n v="10901"/>
    <n v="8"/>
    <s v="Y"/>
    <x v="1"/>
    <n v="18"/>
    <n v="3"/>
    <n v="3"/>
    <n v="80"/>
    <n v="1"/>
    <n v="20"/>
    <n v="2"/>
    <n v="1"/>
    <n v="17"/>
    <n v="9"/>
    <n v="0"/>
    <n v="15"/>
    <x v="3"/>
    <x v="0"/>
    <s v="High"/>
    <x v="1"/>
    <s v="Excellent"/>
    <s v="Bad"/>
    <n v="0"/>
    <s v="0–3,000"/>
    <s v="6–10 miles"/>
    <s v="11+ years"/>
  </r>
  <r>
    <n v="32"/>
    <x v="1"/>
    <s v="Travel_Frequently"/>
    <n v="967"/>
    <x v="0"/>
    <n v="8"/>
    <x v="3"/>
    <s v="Marketing"/>
    <n v="1"/>
    <n v="207"/>
    <n v="2"/>
    <s v="Female"/>
    <n v="43"/>
    <n v="3"/>
    <n v="3"/>
    <x v="0"/>
    <x v="0"/>
    <s v="Single"/>
    <n v="8998"/>
    <n v="15589"/>
    <n v="1"/>
    <s v="Y"/>
    <x v="1"/>
    <n v="14"/>
    <n v="3"/>
    <n v="4"/>
    <n v="80"/>
    <n v="0"/>
    <n v="9"/>
    <n v="2"/>
    <n v="3"/>
    <n v="9"/>
    <n v="8"/>
    <n v="3"/>
    <n v="7"/>
    <x v="3"/>
    <x v="0"/>
    <s v="High"/>
    <x v="0"/>
    <s v="Excellent"/>
    <s v="Better"/>
    <n v="0"/>
    <s v="6,001–10,000"/>
    <s v="6–10 miles"/>
    <s v="6–10 years"/>
  </r>
  <r>
    <n v="29"/>
    <x v="1"/>
    <s v="Non-Travel"/>
    <n v="1496"/>
    <x v="1"/>
    <n v="1"/>
    <x v="1"/>
    <s v="Technical Degree"/>
    <n v="1"/>
    <n v="208"/>
    <n v="4"/>
    <s v="Male"/>
    <n v="41"/>
    <n v="3"/>
    <n v="2"/>
    <x v="3"/>
    <x v="2"/>
    <s v="Married"/>
    <n v="4319"/>
    <n v="26283"/>
    <n v="1"/>
    <s v="Y"/>
    <x v="1"/>
    <n v="13"/>
    <n v="3"/>
    <n v="1"/>
    <n v="80"/>
    <n v="1"/>
    <n v="10"/>
    <n v="1"/>
    <n v="3"/>
    <n v="10"/>
    <n v="7"/>
    <n v="0"/>
    <n v="9"/>
    <x v="1"/>
    <x v="2"/>
    <s v="High"/>
    <x v="2"/>
    <s v="Excellent"/>
    <s v="Better"/>
    <n v="0"/>
    <s v="3,001–6,000"/>
    <s v="0–5 miles"/>
    <s v="6–10 years"/>
  </r>
  <r>
    <n v="51"/>
    <x v="1"/>
    <s v="Travel_Rarely"/>
    <n v="1169"/>
    <x v="1"/>
    <n v="7"/>
    <x v="2"/>
    <s v="Medical"/>
    <n v="1"/>
    <n v="211"/>
    <n v="2"/>
    <s v="Male"/>
    <n v="34"/>
    <n v="2"/>
    <n v="2"/>
    <x v="3"/>
    <x v="2"/>
    <s v="Married"/>
    <n v="6132"/>
    <n v="13983"/>
    <n v="2"/>
    <s v="Y"/>
    <x v="1"/>
    <n v="17"/>
    <n v="3"/>
    <n v="3"/>
    <n v="80"/>
    <n v="0"/>
    <n v="10"/>
    <n v="2"/>
    <n v="3"/>
    <n v="1"/>
    <n v="0"/>
    <n v="0"/>
    <n v="0"/>
    <x v="2"/>
    <x v="0"/>
    <s v="Medium"/>
    <x v="2"/>
    <s v="Excellent"/>
    <s v="Better"/>
    <n v="0"/>
    <s v="6,001–10,000"/>
    <s v="6–10 miles"/>
    <s v="0–1 years"/>
  </r>
  <r>
    <n v="58"/>
    <x v="1"/>
    <s v="Travel_Rarely"/>
    <n v="1145"/>
    <x v="1"/>
    <n v="9"/>
    <x v="3"/>
    <s v="Medical"/>
    <n v="1"/>
    <n v="214"/>
    <n v="2"/>
    <s v="Female"/>
    <n v="75"/>
    <n v="2"/>
    <n v="1"/>
    <x v="1"/>
    <x v="1"/>
    <s v="Married"/>
    <n v="3346"/>
    <n v="11873"/>
    <n v="4"/>
    <s v="Y"/>
    <x v="0"/>
    <n v="20"/>
    <n v="4"/>
    <n v="2"/>
    <n v="80"/>
    <n v="1"/>
    <n v="9"/>
    <n v="3"/>
    <n v="2"/>
    <n v="1"/>
    <n v="0"/>
    <n v="0"/>
    <n v="0"/>
    <x v="3"/>
    <x v="0"/>
    <s v="Medium"/>
    <x v="1"/>
    <s v="Outstanding"/>
    <s v="Good"/>
    <n v="0"/>
    <s v="3,001–6,000"/>
    <s v="6–10 miles"/>
    <s v="0–1 years"/>
  </r>
  <r>
    <n v="40"/>
    <x v="1"/>
    <s v="Travel_Rarely"/>
    <n v="630"/>
    <x v="0"/>
    <n v="4"/>
    <x v="2"/>
    <s v="Marketing"/>
    <n v="1"/>
    <n v="215"/>
    <n v="3"/>
    <s v="Male"/>
    <n v="67"/>
    <n v="2"/>
    <n v="3"/>
    <x v="0"/>
    <x v="0"/>
    <s v="Married"/>
    <n v="10855"/>
    <n v="8552"/>
    <n v="7"/>
    <s v="Y"/>
    <x v="1"/>
    <n v="11"/>
    <n v="3"/>
    <n v="1"/>
    <n v="80"/>
    <n v="1"/>
    <n v="15"/>
    <n v="2"/>
    <n v="2"/>
    <n v="12"/>
    <n v="11"/>
    <n v="2"/>
    <n v="11"/>
    <x v="2"/>
    <x v="1"/>
    <s v="Medium"/>
    <x v="0"/>
    <s v="Excellent"/>
    <s v="Good"/>
    <n v="0"/>
    <s v="10,001+"/>
    <s v="0–5 miles"/>
    <s v="11+ years"/>
  </r>
  <r>
    <n v="34"/>
    <x v="1"/>
    <s v="Travel_Frequently"/>
    <n v="303"/>
    <x v="0"/>
    <n v="2"/>
    <x v="2"/>
    <s v="Marketing"/>
    <n v="1"/>
    <n v="216"/>
    <n v="3"/>
    <s v="Female"/>
    <n v="75"/>
    <n v="3"/>
    <n v="1"/>
    <x v="6"/>
    <x v="2"/>
    <s v="Married"/>
    <n v="2231"/>
    <n v="11314"/>
    <n v="6"/>
    <s v="Y"/>
    <x v="1"/>
    <n v="18"/>
    <n v="3"/>
    <n v="4"/>
    <n v="80"/>
    <n v="1"/>
    <n v="6"/>
    <n v="3"/>
    <n v="3"/>
    <n v="4"/>
    <n v="3"/>
    <n v="1"/>
    <n v="2"/>
    <x v="2"/>
    <x v="1"/>
    <s v="High"/>
    <x v="2"/>
    <s v="Excellent"/>
    <s v="Better"/>
    <n v="0"/>
    <s v="0–3,000"/>
    <s v="0–5 miles"/>
    <s v="2–5 years"/>
  </r>
  <r>
    <n v="22"/>
    <x v="1"/>
    <s v="Travel_Rarely"/>
    <n v="1256"/>
    <x v="1"/>
    <n v="19"/>
    <x v="1"/>
    <s v="Medical"/>
    <n v="1"/>
    <n v="217"/>
    <n v="3"/>
    <s v="Male"/>
    <n v="80"/>
    <n v="3"/>
    <n v="1"/>
    <x v="1"/>
    <x v="0"/>
    <s v="Married"/>
    <n v="2323"/>
    <n v="11992"/>
    <n v="1"/>
    <s v="Y"/>
    <x v="1"/>
    <n v="24"/>
    <n v="4"/>
    <n v="1"/>
    <n v="80"/>
    <n v="2"/>
    <n v="2"/>
    <n v="6"/>
    <n v="3"/>
    <n v="2"/>
    <n v="2"/>
    <n v="2"/>
    <n v="2"/>
    <x v="1"/>
    <x v="1"/>
    <s v="High"/>
    <x v="0"/>
    <s v="Outstanding"/>
    <s v="Better"/>
    <n v="0"/>
    <s v="0–3,000"/>
    <s v="16+ miles"/>
    <s v="2–5 years"/>
  </r>
  <r>
    <n v="27"/>
    <x v="1"/>
    <s v="Non-Travel"/>
    <n v="691"/>
    <x v="1"/>
    <n v="9"/>
    <x v="3"/>
    <s v="Medical"/>
    <n v="1"/>
    <n v="218"/>
    <n v="4"/>
    <s v="Male"/>
    <n v="57"/>
    <n v="3"/>
    <n v="1"/>
    <x v="1"/>
    <x v="1"/>
    <s v="Divorced"/>
    <n v="2024"/>
    <n v="5970"/>
    <n v="6"/>
    <s v="Y"/>
    <x v="1"/>
    <n v="18"/>
    <n v="3"/>
    <n v="4"/>
    <n v="80"/>
    <n v="1"/>
    <n v="6"/>
    <n v="1"/>
    <n v="1"/>
    <n v="2"/>
    <n v="2"/>
    <n v="2"/>
    <n v="2"/>
    <x v="3"/>
    <x v="2"/>
    <s v="High"/>
    <x v="1"/>
    <s v="Excellent"/>
    <s v="Bad"/>
    <n v="0"/>
    <s v="0–3,000"/>
    <s v="6–10 miles"/>
    <s v="2–5 years"/>
  </r>
  <r>
    <n v="28"/>
    <x v="1"/>
    <s v="Travel_Rarely"/>
    <n v="440"/>
    <x v="1"/>
    <n v="21"/>
    <x v="3"/>
    <s v="Medical"/>
    <n v="1"/>
    <n v="221"/>
    <n v="3"/>
    <s v="Male"/>
    <n v="42"/>
    <n v="3"/>
    <n v="1"/>
    <x v="1"/>
    <x v="0"/>
    <s v="Married"/>
    <n v="2713"/>
    <n v="6672"/>
    <n v="1"/>
    <s v="Y"/>
    <x v="1"/>
    <n v="11"/>
    <n v="3"/>
    <n v="3"/>
    <n v="80"/>
    <n v="1"/>
    <n v="5"/>
    <n v="2"/>
    <n v="1"/>
    <n v="5"/>
    <n v="2"/>
    <n v="0"/>
    <n v="2"/>
    <x v="3"/>
    <x v="1"/>
    <s v="High"/>
    <x v="0"/>
    <s v="Excellent"/>
    <s v="Bad"/>
    <n v="0"/>
    <s v="0–3,000"/>
    <s v="16+ miles"/>
    <s v="2–5 years"/>
  </r>
  <r>
    <n v="57"/>
    <x v="1"/>
    <s v="Travel_Rarely"/>
    <n v="334"/>
    <x v="1"/>
    <n v="24"/>
    <x v="0"/>
    <s v="Life Sciences"/>
    <n v="1"/>
    <n v="223"/>
    <n v="3"/>
    <s v="Male"/>
    <n v="83"/>
    <n v="4"/>
    <n v="3"/>
    <x v="4"/>
    <x v="0"/>
    <s v="Divorced"/>
    <n v="9439"/>
    <n v="23402"/>
    <n v="3"/>
    <s v="Y"/>
    <x v="0"/>
    <n v="16"/>
    <n v="3"/>
    <n v="2"/>
    <n v="80"/>
    <n v="1"/>
    <n v="12"/>
    <n v="2"/>
    <n v="1"/>
    <n v="5"/>
    <n v="3"/>
    <n v="1"/>
    <n v="4"/>
    <x v="0"/>
    <x v="1"/>
    <s v="Very High"/>
    <x v="0"/>
    <s v="Excellent"/>
    <s v="Bad"/>
    <n v="0"/>
    <s v="6,001–10,000"/>
    <s v="16+ miles"/>
    <s v="2–5 years"/>
  </r>
  <r>
    <n v="27"/>
    <x v="1"/>
    <s v="Non-Travel"/>
    <n v="1450"/>
    <x v="1"/>
    <n v="3"/>
    <x v="3"/>
    <s v="Medical"/>
    <n v="1"/>
    <n v="224"/>
    <n v="3"/>
    <s v="Male"/>
    <n v="79"/>
    <n v="2"/>
    <n v="1"/>
    <x v="1"/>
    <x v="2"/>
    <s v="Divorced"/>
    <n v="2566"/>
    <n v="25326"/>
    <n v="1"/>
    <s v="Y"/>
    <x v="0"/>
    <n v="15"/>
    <n v="3"/>
    <n v="4"/>
    <n v="80"/>
    <n v="1"/>
    <n v="1"/>
    <n v="2"/>
    <n v="2"/>
    <n v="1"/>
    <n v="1"/>
    <n v="0"/>
    <n v="1"/>
    <x v="3"/>
    <x v="1"/>
    <s v="Medium"/>
    <x v="2"/>
    <s v="Excellent"/>
    <s v="Good"/>
    <n v="0"/>
    <s v="0–3,000"/>
    <s v="0–5 miles"/>
    <s v="0–1 years"/>
  </r>
  <r>
    <n v="50"/>
    <x v="1"/>
    <s v="Travel_Rarely"/>
    <n v="1452"/>
    <x v="1"/>
    <n v="11"/>
    <x v="3"/>
    <s v="Life Sciences"/>
    <n v="1"/>
    <n v="226"/>
    <n v="3"/>
    <s v="Female"/>
    <n v="53"/>
    <n v="3"/>
    <n v="5"/>
    <x v="5"/>
    <x v="1"/>
    <s v="Single"/>
    <n v="19926"/>
    <n v="17053"/>
    <n v="3"/>
    <s v="Y"/>
    <x v="1"/>
    <n v="15"/>
    <n v="3"/>
    <n v="2"/>
    <n v="80"/>
    <n v="0"/>
    <n v="21"/>
    <n v="5"/>
    <n v="3"/>
    <n v="5"/>
    <n v="4"/>
    <n v="4"/>
    <n v="4"/>
    <x v="3"/>
    <x v="1"/>
    <s v="High"/>
    <x v="1"/>
    <s v="Excellent"/>
    <s v="Better"/>
    <n v="0"/>
    <s v="10,001+"/>
    <s v="11–15 miles"/>
    <s v="2–5 years"/>
  </r>
  <r>
    <n v="41"/>
    <x v="1"/>
    <s v="Travel_Rarely"/>
    <n v="465"/>
    <x v="1"/>
    <n v="14"/>
    <x v="3"/>
    <s v="Life Sciences"/>
    <n v="1"/>
    <n v="227"/>
    <n v="1"/>
    <s v="Male"/>
    <n v="56"/>
    <n v="3"/>
    <n v="1"/>
    <x v="1"/>
    <x v="2"/>
    <s v="Divorced"/>
    <n v="2451"/>
    <n v="4609"/>
    <n v="4"/>
    <s v="Y"/>
    <x v="1"/>
    <n v="12"/>
    <n v="3"/>
    <n v="1"/>
    <n v="80"/>
    <n v="1"/>
    <n v="13"/>
    <n v="2"/>
    <n v="3"/>
    <n v="9"/>
    <n v="8"/>
    <n v="1"/>
    <n v="8"/>
    <x v="3"/>
    <x v="3"/>
    <s v="High"/>
    <x v="2"/>
    <s v="Excellent"/>
    <s v="Better"/>
    <n v="0"/>
    <s v="0–3,000"/>
    <s v="11–15 miles"/>
    <s v="6–10 years"/>
  </r>
  <r>
    <n v="30"/>
    <x v="1"/>
    <s v="Travel_Rarely"/>
    <n v="1339"/>
    <x v="0"/>
    <n v="5"/>
    <x v="3"/>
    <s v="Life Sciences"/>
    <n v="1"/>
    <n v="228"/>
    <n v="2"/>
    <s v="Female"/>
    <n v="41"/>
    <n v="3"/>
    <n v="3"/>
    <x v="0"/>
    <x v="0"/>
    <s v="Married"/>
    <n v="9419"/>
    <n v="8053"/>
    <n v="2"/>
    <s v="Y"/>
    <x v="1"/>
    <n v="12"/>
    <n v="3"/>
    <n v="3"/>
    <n v="80"/>
    <n v="1"/>
    <n v="12"/>
    <n v="2"/>
    <n v="3"/>
    <n v="10"/>
    <n v="9"/>
    <n v="7"/>
    <n v="4"/>
    <x v="3"/>
    <x v="0"/>
    <s v="High"/>
    <x v="0"/>
    <s v="Excellent"/>
    <s v="Better"/>
    <n v="0"/>
    <s v="6,001–10,000"/>
    <s v="0–5 miles"/>
    <s v="6–10 years"/>
  </r>
  <r>
    <n v="38"/>
    <x v="1"/>
    <s v="Travel_Rarely"/>
    <n v="702"/>
    <x v="0"/>
    <n v="1"/>
    <x v="2"/>
    <s v="Life Sciences"/>
    <n v="1"/>
    <n v="230"/>
    <n v="1"/>
    <s v="Female"/>
    <n v="59"/>
    <n v="2"/>
    <n v="2"/>
    <x v="0"/>
    <x v="0"/>
    <s v="Single"/>
    <n v="8686"/>
    <n v="12930"/>
    <n v="4"/>
    <s v="Y"/>
    <x v="1"/>
    <n v="22"/>
    <n v="4"/>
    <n v="3"/>
    <n v="80"/>
    <n v="0"/>
    <n v="12"/>
    <n v="2"/>
    <n v="4"/>
    <n v="8"/>
    <n v="3"/>
    <n v="0"/>
    <n v="7"/>
    <x v="2"/>
    <x v="3"/>
    <s v="Medium"/>
    <x v="0"/>
    <s v="Outstanding"/>
    <s v="Best"/>
    <n v="0"/>
    <s v="6,001–10,000"/>
    <s v="0–5 miles"/>
    <s v="6–10 years"/>
  </r>
  <r>
    <n v="32"/>
    <x v="1"/>
    <s v="Travel_Rarely"/>
    <n v="120"/>
    <x v="1"/>
    <n v="6"/>
    <x v="4"/>
    <s v="Life Sciences"/>
    <n v="1"/>
    <n v="231"/>
    <n v="3"/>
    <s v="Male"/>
    <n v="43"/>
    <n v="3"/>
    <n v="1"/>
    <x v="1"/>
    <x v="2"/>
    <s v="Single"/>
    <n v="3038"/>
    <n v="12430"/>
    <n v="3"/>
    <s v="Y"/>
    <x v="1"/>
    <n v="20"/>
    <n v="4"/>
    <n v="1"/>
    <n v="80"/>
    <n v="0"/>
    <n v="8"/>
    <n v="2"/>
    <n v="3"/>
    <n v="5"/>
    <n v="4"/>
    <n v="1"/>
    <n v="4"/>
    <x v="4"/>
    <x v="1"/>
    <s v="High"/>
    <x v="2"/>
    <s v="Outstanding"/>
    <s v="Better"/>
    <n v="0"/>
    <s v="3,001–6,000"/>
    <s v="6–10 miles"/>
    <s v="2–5 years"/>
  </r>
  <r>
    <n v="27"/>
    <x v="1"/>
    <s v="Travel_Rarely"/>
    <n v="1157"/>
    <x v="1"/>
    <n v="17"/>
    <x v="3"/>
    <s v="Technical Degree"/>
    <n v="1"/>
    <n v="233"/>
    <n v="3"/>
    <s v="Male"/>
    <n v="51"/>
    <n v="3"/>
    <n v="1"/>
    <x v="1"/>
    <x v="1"/>
    <s v="Married"/>
    <n v="3058"/>
    <n v="13364"/>
    <n v="0"/>
    <s v="Y"/>
    <x v="0"/>
    <n v="16"/>
    <n v="3"/>
    <n v="4"/>
    <n v="80"/>
    <n v="1"/>
    <n v="6"/>
    <n v="3"/>
    <n v="2"/>
    <n v="5"/>
    <n v="2"/>
    <n v="1"/>
    <n v="1"/>
    <x v="3"/>
    <x v="1"/>
    <s v="High"/>
    <x v="1"/>
    <s v="Excellent"/>
    <s v="Good"/>
    <n v="0"/>
    <s v="3,001–6,000"/>
    <s v="16+ miles"/>
    <s v="2–5 years"/>
  </r>
  <r>
    <n v="19"/>
    <x v="0"/>
    <s v="Travel_Frequently"/>
    <n v="602"/>
    <x v="0"/>
    <n v="1"/>
    <x v="1"/>
    <s v="Technical Degree"/>
    <n v="1"/>
    <n v="235"/>
    <n v="3"/>
    <s v="Female"/>
    <n v="100"/>
    <n v="1"/>
    <n v="1"/>
    <x v="6"/>
    <x v="3"/>
    <s v="Single"/>
    <n v="2325"/>
    <n v="20989"/>
    <n v="0"/>
    <s v="Y"/>
    <x v="1"/>
    <n v="21"/>
    <n v="4"/>
    <n v="1"/>
    <n v="80"/>
    <n v="0"/>
    <n v="1"/>
    <n v="5"/>
    <n v="4"/>
    <n v="0"/>
    <n v="0"/>
    <n v="0"/>
    <n v="0"/>
    <x v="1"/>
    <x v="1"/>
    <s v="Low"/>
    <x v="3"/>
    <s v="Outstanding"/>
    <s v="Best"/>
    <n v="1"/>
    <s v="0–3,000"/>
    <s v="0–5 miles"/>
    <s v="0–1 years"/>
  </r>
  <r>
    <n v="36"/>
    <x v="1"/>
    <s v="Travel_Frequently"/>
    <n v="1480"/>
    <x v="1"/>
    <n v="3"/>
    <x v="0"/>
    <s v="Medical"/>
    <n v="1"/>
    <n v="238"/>
    <n v="4"/>
    <s v="Male"/>
    <n v="30"/>
    <n v="3"/>
    <n v="1"/>
    <x v="2"/>
    <x v="1"/>
    <s v="Single"/>
    <n v="2088"/>
    <n v="15062"/>
    <n v="4"/>
    <s v="Y"/>
    <x v="1"/>
    <n v="12"/>
    <n v="3"/>
    <n v="3"/>
    <n v="80"/>
    <n v="0"/>
    <n v="13"/>
    <n v="3"/>
    <n v="2"/>
    <n v="8"/>
    <n v="7"/>
    <n v="7"/>
    <n v="2"/>
    <x v="0"/>
    <x v="2"/>
    <s v="High"/>
    <x v="1"/>
    <s v="Excellent"/>
    <s v="Good"/>
    <n v="0"/>
    <s v="0–3,000"/>
    <s v="0–5 miles"/>
    <s v="6–10 years"/>
  </r>
  <r>
    <n v="30"/>
    <x v="1"/>
    <s v="Non-Travel"/>
    <n v="111"/>
    <x v="1"/>
    <n v="9"/>
    <x v="3"/>
    <s v="Medical"/>
    <n v="1"/>
    <n v="239"/>
    <n v="3"/>
    <s v="Male"/>
    <n v="66"/>
    <n v="3"/>
    <n v="2"/>
    <x v="2"/>
    <x v="3"/>
    <s v="Divorced"/>
    <n v="3072"/>
    <n v="11012"/>
    <n v="1"/>
    <s v="Y"/>
    <x v="1"/>
    <n v="11"/>
    <n v="3"/>
    <n v="3"/>
    <n v="80"/>
    <n v="2"/>
    <n v="12"/>
    <n v="4"/>
    <n v="3"/>
    <n v="12"/>
    <n v="9"/>
    <n v="6"/>
    <n v="10"/>
    <x v="3"/>
    <x v="1"/>
    <s v="High"/>
    <x v="3"/>
    <s v="Excellent"/>
    <s v="Better"/>
    <n v="0"/>
    <s v="3,001–6,000"/>
    <s v="6–10 miles"/>
    <s v="11+ years"/>
  </r>
  <r>
    <n v="45"/>
    <x v="1"/>
    <s v="Travel_Rarely"/>
    <n v="1268"/>
    <x v="0"/>
    <n v="4"/>
    <x v="0"/>
    <s v="Life Sciences"/>
    <n v="1"/>
    <n v="240"/>
    <n v="3"/>
    <s v="Female"/>
    <n v="30"/>
    <n v="3"/>
    <n v="2"/>
    <x v="0"/>
    <x v="3"/>
    <s v="Divorced"/>
    <n v="5006"/>
    <n v="6319"/>
    <n v="4"/>
    <s v="Y"/>
    <x v="0"/>
    <n v="11"/>
    <n v="3"/>
    <n v="1"/>
    <n v="80"/>
    <n v="1"/>
    <n v="9"/>
    <n v="3"/>
    <n v="4"/>
    <n v="5"/>
    <n v="4"/>
    <n v="0"/>
    <n v="3"/>
    <x v="0"/>
    <x v="1"/>
    <s v="High"/>
    <x v="3"/>
    <s v="Excellent"/>
    <s v="Best"/>
    <n v="0"/>
    <s v="3,001–6,000"/>
    <s v="0–5 miles"/>
    <s v="2–5 years"/>
  </r>
  <r>
    <n v="56"/>
    <x v="1"/>
    <s v="Travel_Rarely"/>
    <n v="713"/>
    <x v="1"/>
    <n v="8"/>
    <x v="3"/>
    <s v="Life Sciences"/>
    <n v="1"/>
    <n v="241"/>
    <n v="3"/>
    <s v="Female"/>
    <n v="67"/>
    <n v="3"/>
    <n v="1"/>
    <x v="1"/>
    <x v="3"/>
    <s v="Divorced"/>
    <n v="4257"/>
    <n v="13939"/>
    <n v="4"/>
    <s v="Y"/>
    <x v="0"/>
    <n v="18"/>
    <n v="3"/>
    <n v="3"/>
    <n v="80"/>
    <n v="1"/>
    <n v="19"/>
    <n v="3"/>
    <n v="3"/>
    <n v="2"/>
    <n v="2"/>
    <n v="2"/>
    <n v="2"/>
    <x v="3"/>
    <x v="1"/>
    <s v="High"/>
    <x v="3"/>
    <s v="Excellent"/>
    <s v="Better"/>
    <n v="0"/>
    <s v="3,001–6,000"/>
    <s v="6–10 miles"/>
    <s v="2–5 years"/>
  </r>
  <r>
    <n v="33"/>
    <x v="1"/>
    <s v="Travel_Rarely"/>
    <n v="134"/>
    <x v="1"/>
    <n v="2"/>
    <x v="3"/>
    <s v="Life Sciences"/>
    <n v="1"/>
    <n v="242"/>
    <n v="3"/>
    <s v="Male"/>
    <n v="90"/>
    <n v="3"/>
    <n v="1"/>
    <x v="1"/>
    <x v="0"/>
    <s v="Single"/>
    <n v="2500"/>
    <n v="10515"/>
    <n v="0"/>
    <s v="Y"/>
    <x v="1"/>
    <n v="14"/>
    <n v="3"/>
    <n v="1"/>
    <n v="80"/>
    <n v="0"/>
    <n v="4"/>
    <n v="2"/>
    <n v="4"/>
    <n v="3"/>
    <n v="1"/>
    <n v="0"/>
    <n v="2"/>
    <x v="3"/>
    <x v="1"/>
    <s v="High"/>
    <x v="0"/>
    <s v="Excellent"/>
    <s v="Best"/>
    <n v="0"/>
    <s v="0–3,000"/>
    <s v="0–5 miles"/>
    <s v="2–5 years"/>
  </r>
  <r>
    <n v="19"/>
    <x v="0"/>
    <s v="Travel_Rarely"/>
    <n v="303"/>
    <x v="1"/>
    <n v="2"/>
    <x v="3"/>
    <s v="Life Sciences"/>
    <n v="1"/>
    <n v="243"/>
    <n v="2"/>
    <s v="Male"/>
    <n v="47"/>
    <n v="2"/>
    <n v="1"/>
    <x v="2"/>
    <x v="0"/>
    <s v="Single"/>
    <n v="1102"/>
    <n v="9241"/>
    <n v="1"/>
    <s v="Y"/>
    <x v="1"/>
    <n v="22"/>
    <n v="4"/>
    <n v="3"/>
    <n v="80"/>
    <n v="0"/>
    <n v="1"/>
    <n v="3"/>
    <n v="2"/>
    <n v="1"/>
    <n v="0"/>
    <n v="1"/>
    <n v="0"/>
    <x v="3"/>
    <x v="0"/>
    <s v="Medium"/>
    <x v="0"/>
    <s v="Outstanding"/>
    <s v="Good"/>
    <n v="1"/>
    <s v="0–3,000"/>
    <s v="0–5 miles"/>
    <s v="0–1 years"/>
  </r>
  <r>
    <n v="46"/>
    <x v="1"/>
    <s v="Travel_Rarely"/>
    <n v="526"/>
    <x v="0"/>
    <n v="1"/>
    <x v="0"/>
    <s v="Marketing"/>
    <n v="1"/>
    <n v="244"/>
    <n v="2"/>
    <s v="Female"/>
    <n v="92"/>
    <n v="3"/>
    <n v="3"/>
    <x v="0"/>
    <x v="3"/>
    <s v="Divorced"/>
    <n v="10453"/>
    <n v="2137"/>
    <n v="1"/>
    <s v="Y"/>
    <x v="1"/>
    <n v="25"/>
    <n v="4"/>
    <n v="3"/>
    <n v="80"/>
    <n v="3"/>
    <n v="24"/>
    <n v="2"/>
    <n v="3"/>
    <n v="24"/>
    <n v="13"/>
    <n v="15"/>
    <n v="7"/>
    <x v="0"/>
    <x v="0"/>
    <s v="High"/>
    <x v="3"/>
    <s v="Outstanding"/>
    <s v="Better"/>
    <n v="0"/>
    <s v="10,001+"/>
    <s v="0–5 miles"/>
    <s v="11+ years"/>
  </r>
  <r>
    <n v="38"/>
    <x v="1"/>
    <s v="Travel_Rarely"/>
    <n v="1380"/>
    <x v="1"/>
    <n v="9"/>
    <x v="0"/>
    <s v="Life Sciences"/>
    <n v="1"/>
    <n v="245"/>
    <n v="3"/>
    <s v="Female"/>
    <n v="75"/>
    <n v="3"/>
    <n v="1"/>
    <x v="2"/>
    <x v="0"/>
    <s v="Single"/>
    <n v="2288"/>
    <n v="6319"/>
    <n v="1"/>
    <s v="Y"/>
    <x v="1"/>
    <n v="12"/>
    <n v="3"/>
    <n v="3"/>
    <n v="80"/>
    <n v="0"/>
    <n v="2"/>
    <n v="3"/>
    <n v="3"/>
    <n v="2"/>
    <n v="2"/>
    <n v="2"/>
    <n v="1"/>
    <x v="0"/>
    <x v="1"/>
    <s v="High"/>
    <x v="0"/>
    <s v="Excellent"/>
    <s v="Better"/>
    <n v="0"/>
    <s v="0–3,000"/>
    <s v="6–10 miles"/>
    <s v="2–5 years"/>
  </r>
  <r>
    <n v="31"/>
    <x v="1"/>
    <s v="Travel_Rarely"/>
    <n v="140"/>
    <x v="1"/>
    <n v="12"/>
    <x v="1"/>
    <s v="Medical"/>
    <n v="1"/>
    <n v="246"/>
    <n v="3"/>
    <s v="Female"/>
    <n v="95"/>
    <n v="3"/>
    <n v="1"/>
    <x v="1"/>
    <x v="0"/>
    <s v="Married"/>
    <n v="3929"/>
    <n v="6984"/>
    <n v="8"/>
    <s v="Y"/>
    <x v="0"/>
    <n v="23"/>
    <n v="4"/>
    <n v="3"/>
    <n v="80"/>
    <n v="1"/>
    <n v="7"/>
    <n v="0"/>
    <n v="3"/>
    <n v="4"/>
    <n v="2"/>
    <n v="0"/>
    <n v="2"/>
    <x v="1"/>
    <x v="1"/>
    <s v="High"/>
    <x v="0"/>
    <s v="Outstanding"/>
    <s v="Better"/>
    <n v="0"/>
    <s v="3,001–6,000"/>
    <s v="11–15 miles"/>
    <s v="2–5 years"/>
  </r>
  <r>
    <n v="34"/>
    <x v="1"/>
    <s v="Travel_Rarely"/>
    <n v="629"/>
    <x v="1"/>
    <n v="27"/>
    <x v="0"/>
    <s v="Medical"/>
    <n v="1"/>
    <n v="247"/>
    <n v="4"/>
    <s v="Female"/>
    <n v="95"/>
    <n v="3"/>
    <n v="1"/>
    <x v="1"/>
    <x v="1"/>
    <s v="Single"/>
    <n v="2311"/>
    <n v="5711"/>
    <n v="2"/>
    <s v="Y"/>
    <x v="1"/>
    <n v="15"/>
    <n v="3"/>
    <n v="4"/>
    <n v="80"/>
    <n v="0"/>
    <n v="9"/>
    <n v="3"/>
    <n v="3"/>
    <n v="3"/>
    <n v="2"/>
    <n v="1"/>
    <n v="2"/>
    <x v="0"/>
    <x v="2"/>
    <s v="High"/>
    <x v="1"/>
    <s v="Excellent"/>
    <s v="Better"/>
    <n v="0"/>
    <s v="0–3,000"/>
    <s v="16+ miles"/>
    <s v="2–5 years"/>
  </r>
  <r>
    <n v="41"/>
    <x v="0"/>
    <s v="Travel_Rarely"/>
    <n v="1356"/>
    <x v="0"/>
    <n v="20"/>
    <x v="0"/>
    <s v="Marketing"/>
    <n v="1"/>
    <n v="248"/>
    <n v="2"/>
    <s v="Female"/>
    <n v="70"/>
    <n v="3"/>
    <n v="1"/>
    <x v="6"/>
    <x v="1"/>
    <s v="Single"/>
    <n v="3140"/>
    <n v="21728"/>
    <n v="1"/>
    <s v="Y"/>
    <x v="0"/>
    <n v="22"/>
    <n v="4"/>
    <n v="4"/>
    <n v="80"/>
    <n v="0"/>
    <n v="4"/>
    <n v="5"/>
    <n v="2"/>
    <n v="4"/>
    <n v="3"/>
    <n v="0"/>
    <n v="2"/>
    <x v="0"/>
    <x v="0"/>
    <s v="High"/>
    <x v="1"/>
    <s v="Outstanding"/>
    <s v="Good"/>
    <n v="1"/>
    <s v="3,001–6,000"/>
    <s v="16+ miles"/>
    <s v="2–5 years"/>
  </r>
  <r>
    <n v="50"/>
    <x v="1"/>
    <s v="Travel_Rarely"/>
    <n v="328"/>
    <x v="1"/>
    <n v="1"/>
    <x v="3"/>
    <s v="Medical"/>
    <n v="1"/>
    <n v="249"/>
    <n v="3"/>
    <s v="Male"/>
    <n v="86"/>
    <n v="2"/>
    <n v="1"/>
    <x v="2"/>
    <x v="2"/>
    <s v="Married"/>
    <n v="3690"/>
    <n v="3425"/>
    <n v="2"/>
    <s v="Y"/>
    <x v="1"/>
    <n v="15"/>
    <n v="3"/>
    <n v="4"/>
    <n v="80"/>
    <n v="1"/>
    <n v="5"/>
    <n v="2"/>
    <n v="2"/>
    <n v="3"/>
    <n v="2"/>
    <n v="0"/>
    <n v="2"/>
    <x v="3"/>
    <x v="1"/>
    <s v="Medium"/>
    <x v="2"/>
    <s v="Excellent"/>
    <s v="Good"/>
    <n v="0"/>
    <s v="3,001–6,000"/>
    <s v="0–5 miles"/>
    <s v="2–5 years"/>
  </r>
  <r>
    <n v="53"/>
    <x v="1"/>
    <s v="Travel_Rarely"/>
    <n v="1084"/>
    <x v="1"/>
    <n v="13"/>
    <x v="0"/>
    <s v="Medical"/>
    <n v="1"/>
    <n v="250"/>
    <n v="4"/>
    <s v="Female"/>
    <n v="57"/>
    <n v="4"/>
    <n v="2"/>
    <x v="3"/>
    <x v="3"/>
    <s v="Divorced"/>
    <n v="4450"/>
    <n v="26250"/>
    <n v="1"/>
    <s v="Y"/>
    <x v="1"/>
    <n v="11"/>
    <n v="3"/>
    <n v="3"/>
    <n v="80"/>
    <n v="2"/>
    <n v="5"/>
    <n v="3"/>
    <n v="3"/>
    <n v="4"/>
    <n v="2"/>
    <n v="1"/>
    <n v="3"/>
    <x v="0"/>
    <x v="2"/>
    <s v="Very High"/>
    <x v="3"/>
    <s v="Excellent"/>
    <s v="Better"/>
    <n v="0"/>
    <s v="3,001–6,000"/>
    <s v="11–15 miles"/>
    <s v="2–5 years"/>
  </r>
  <r>
    <n v="33"/>
    <x v="1"/>
    <s v="Travel_Rarely"/>
    <n v="931"/>
    <x v="1"/>
    <n v="14"/>
    <x v="3"/>
    <s v="Medical"/>
    <n v="1"/>
    <n v="252"/>
    <n v="4"/>
    <s v="Female"/>
    <n v="72"/>
    <n v="3"/>
    <n v="1"/>
    <x v="1"/>
    <x v="1"/>
    <s v="Married"/>
    <n v="2756"/>
    <n v="4673"/>
    <n v="1"/>
    <s v="Y"/>
    <x v="1"/>
    <n v="13"/>
    <n v="3"/>
    <n v="4"/>
    <n v="80"/>
    <n v="1"/>
    <n v="8"/>
    <n v="5"/>
    <n v="3"/>
    <n v="8"/>
    <n v="7"/>
    <n v="1"/>
    <n v="6"/>
    <x v="3"/>
    <x v="2"/>
    <s v="High"/>
    <x v="1"/>
    <s v="Excellent"/>
    <s v="Better"/>
    <n v="0"/>
    <s v="0–3,000"/>
    <s v="11–15 miles"/>
    <s v="6–10 years"/>
  </r>
  <r>
    <n v="40"/>
    <x v="1"/>
    <s v="Travel_Rarely"/>
    <n v="989"/>
    <x v="1"/>
    <n v="4"/>
    <x v="1"/>
    <s v="Medical"/>
    <n v="1"/>
    <n v="253"/>
    <n v="4"/>
    <s v="Female"/>
    <n v="46"/>
    <n v="3"/>
    <n v="5"/>
    <x v="5"/>
    <x v="2"/>
    <s v="Married"/>
    <n v="19033"/>
    <n v="6499"/>
    <n v="1"/>
    <s v="Y"/>
    <x v="1"/>
    <n v="14"/>
    <n v="3"/>
    <n v="2"/>
    <n v="80"/>
    <n v="1"/>
    <n v="21"/>
    <n v="2"/>
    <n v="3"/>
    <n v="20"/>
    <n v="8"/>
    <n v="9"/>
    <n v="9"/>
    <x v="1"/>
    <x v="2"/>
    <s v="High"/>
    <x v="2"/>
    <s v="Excellent"/>
    <s v="Better"/>
    <n v="0"/>
    <s v="10,001+"/>
    <s v="0–5 miles"/>
    <s v="11+ years"/>
  </r>
  <r>
    <n v="55"/>
    <x v="1"/>
    <s v="Travel_Rarely"/>
    <n v="692"/>
    <x v="1"/>
    <n v="14"/>
    <x v="2"/>
    <s v="Medical"/>
    <n v="1"/>
    <n v="254"/>
    <n v="3"/>
    <s v="Male"/>
    <n v="61"/>
    <n v="4"/>
    <n v="5"/>
    <x v="7"/>
    <x v="1"/>
    <s v="Single"/>
    <n v="18722"/>
    <n v="13339"/>
    <n v="8"/>
    <s v="Y"/>
    <x v="1"/>
    <n v="11"/>
    <n v="3"/>
    <n v="4"/>
    <n v="80"/>
    <n v="0"/>
    <n v="36"/>
    <n v="3"/>
    <n v="3"/>
    <n v="24"/>
    <n v="15"/>
    <n v="2"/>
    <n v="15"/>
    <x v="2"/>
    <x v="1"/>
    <s v="Very High"/>
    <x v="1"/>
    <s v="Excellent"/>
    <s v="Better"/>
    <n v="0"/>
    <s v="10,001+"/>
    <s v="11–15 miles"/>
    <s v="11+ years"/>
  </r>
  <r>
    <n v="34"/>
    <x v="1"/>
    <s v="Travel_Frequently"/>
    <n v="1069"/>
    <x v="1"/>
    <n v="2"/>
    <x v="1"/>
    <s v="Life Sciences"/>
    <n v="1"/>
    <n v="256"/>
    <n v="4"/>
    <s v="Male"/>
    <n v="45"/>
    <n v="2"/>
    <n v="2"/>
    <x v="3"/>
    <x v="2"/>
    <s v="Married"/>
    <n v="9547"/>
    <n v="14074"/>
    <n v="1"/>
    <s v="Y"/>
    <x v="1"/>
    <n v="17"/>
    <n v="3"/>
    <n v="3"/>
    <n v="80"/>
    <n v="0"/>
    <n v="10"/>
    <n v="2"/>
    <n v="2"/>
    <n v="10"/>
    <n v="9"/>
    <n v="1"/>
    <n v="9"/>
    <x v="1"/>
    <x v="2"/>
    <s v="Medium"/>
    <x v="2"/>
    <s v="Excellent"/>
    <s v="Good"/>
    <n v="0"/>
    <s v="6,001–10,000"/>
    <s v="0–5 miles"/>
    <s v="6–10 years"/>
  </r>
  <r>
    <n v="51"/>
    <x v="1"/>
    <s v="Travel_Rarely"/>
    <n v="313"/>
    <x v="1"/>
    <n v="3"/>
    <x v="3"/>
    <s v="Medical"/>
    <n v="1"/>
    <n v="258"/>
    <n v="4"/>
    <s v="Female"/>
    <n v="98"/>
    <n v="3"/>
    <n v="4"/>
    <x v="4"/>
    <x v="1"/>
    <s v="Single"/>
    <n v="13734"/>
    <n v="7192"/>
    <n v="3"/>
    <s v="Y"/>
    <x v="1"/>
    <n v="18"/>
    <n v="3"/>
    <n v="3"/>
    <n v="80"/>
    <n v="0"/>
    <n v="21"/>
    <n v="6"/>
    <n v="3"/>
    <n v="7"/>
    <n v="7"/>
    <n v="1"/>
    <n v="0"/>
    <x v="3"/>
    <x v="2"/>
    <s v="High"/>
    <x v="1"/>
    <s v="Excellent"/>
    <s v="Better"/>
    <n v="0"/>
    <s v="10,001+"/>
    <s v="0–5 miles"/>
    <s v="6–10 years"/>
  </r>
  <r>
    <n v="52"/>
    <x v="1"/>
    <s v="Travel_Rarely"/>
    <n v="699"/>
    <x v="1"/>
    <n v="1"/>
    <x v="2"/>
    <s v="Life Sciences"/>
    <n v="1"/>
    <n v="259"/>
    <n v="3"/>
    <s v="Male"/>
    <n v="65"/>
    <n v="2"/>
    <n v="5"/>
    <x v="5"/>
    <x v="2"/>
    <s v="Married"/>
    <n v="19999"/>
    <n v="5678"/>
    <n v="0"/>
    <s v="Y"/>
    <x v="1"/>
    <n v="14"/>
    <n v="3"/>
    <n v="1"/>
    <n v="80"/>
    <n v="1"/>
    <n v="34"/>
    <n v="5"/>
    <n v="3"/>
    <n v="33"/>
    <n v="18"/>
    <n v="11"/>
    <n v="9"/>
    <x v="2"/>
    <x v="1"/>
    <s v="Medium"/>
    <x v="2"/>
    <s v="Excellent"/>
    <s v="Better"/>
    <n v="0"/>
    <s v="10,001+"/>
    <s v="0–5 miles"/>
    <s v="11+ years"/>
  </r>
  <r>
    <n v="27"/>
    <x v="1"/>
    <s v="Travel_Rarely"/>
    <n v="894"/>
    <x v="1"/>
    <n v="9"/>
    <x v="3"/>
    <s v="Medical"/>
    <n v="1"/>
    <n v="260"/>
    <n v="4"/>
    <s v="Female"/>
    <n v="99"/>
    <n v="3"/>
    <n v="1"/>
    <x v="1"/>
    <x v="1"/>
    <s v="Single"/>
    <n v="2279"/>
    <n v="11781"/>
    <n v="1"/>
    <s v="Y"/>
    <x v="1"/>
    <n v="16"/>
    <n v="3"/>
    <n v="4"/>
    <n v="80"/>
    <n v="0"/>
    <n v="7"/>
    <n v="2"/>
    <n v="2"/>
    <n v="7"/>
    <n v="7"/>
    <n v="0"/>
    <n v="3"/>
    <x v="3"/>
    <x v="2"/>
    <s v="High"/>
    <x v="1"/>
    <s v="Excellent"/>
    <s v="Good"/>
    <n v="0"/>
    <s v="0–3,000"/>
    <s v="6–10 miles"/>
    <s v="6–10 years"/>
  </r>
  <r>
    <n v="35"/>
    <x v="0"/>
    <s v="Travel_Rarely"/>
    <n v="556"/>
    <x v="1"/>
    <n v="23"/>
    <x v="0"/>
    <s v="Life Sciences"/>
    <n v="1"/>
    <n v="261"/>
    <n v="2"/>
    <s v="Male"/>
    <n v="50"/>
    <n v="2"/>
    <n v="2"/>
    <x v="3"/>
    <x v="2"/>
    <s v="Married"/>
    <n v="5916"/>
    <n v="15497"/>
    <n v="3"/>
    <s v="Y"/>
    <x v="0"/>
    <n v="13"/>
    <n v="3"/>
    <n v="1"/>
    <n v="80"/>
    <n v="0"/>
    <n v="8"/>
    <n v="1"/>
    <n v="3"/>
    <n v="1"/>
    <n v="0"/>
    <n v="0"/>
    <n v="1"/>
    <x v="0"/>
    <x v="0"/>
    <s v="Medium"/>
    <x v="2"/>
    <s v="Excellent"/>
    <s v="Better"/>
    <n v="1"/>
    <s v="3,001–6,000"/>
    <s v="16+ miles"/>
    <s v="0–1 years"/>
  </r>
  <r>
    <n v="43"/>
    <x v="1"/>
    <s v="Non-Travel"/>
    <n v="1344"/>
    <x v="1"/>
    <n v="7"/>
    <x v="3"/>
    <s v="Medical"/>
    <n v="1"/>
    <n v="262"/>
    <n v="4"/>
    <s v="Male"/>
    <n v="37"/>
    <n v="4"/>
    <n v="1"/>
    <x v="1"/>
    <x v="0"/>
    <s v="Divorced"/>
    <n v="2089"/>
    <n v="5228"/>
    <n v="4"/>
    <s v="Y"/>
    <x v="1"/>
    <n v="14"/>
    <n v="3"/>
    <n v="4"/>
    <n v="80"/>
    <n v="3"/>
    <n v="7"/>
    <n v="3"/>
    <n v="4"/>
    <n v="5"/>
    <n v="4"/>
    <n v="2"/>
    <n v="2"/>
    <x v="3"/>
    <x v="2"/>
    <s v="Very High"/>
    <x v="0"/>
    <s v="Excellent"/>
    <s v="Best"/>
    <n v="0"/>
    <s v="0–3,000"/>
    <s v="6–10 miles"/>
    <s v="2–5 years"/>
  </r>
  <r>
    <n v="45"/>
    <x v="1"/>
    <s v="Non-Travel"/>
    <n v="1195"/>
    <x v="1"/>
    <n v="2"/>
    <x v="0"/>
    <s v="Medical"/>
    <n v="1"/>
    <n v="264"/>
    <n v="1"/>
    <s v="Male"/>
    <n v="65"/>
    <n v="2"/>
    <n v="4"/>
    <x v="5"/>
    <x v="0"/>
    <s v="Married"/>
    <n v="16792"/>
    <n v="20462"/>
    <n v="9"/>
    <s v="Y"/>
    <x v="1"/>
    <n v="23"/>
    <n v="4"/>
    <n v="4"/>
    <n v="80"/>
    <n v="1"/>
    <n v="22"/>
    <n v="1"/>
    <n v="3"/>
    <n v="20"/>
    <n v="8"/>
    <n v="11"/>
    <n v="8"/>
    <x v="0"/>
    <x v="3"/>
    <s v="Medium"/>
    <x v="0"/>
    <s v="Outstanding"/>
    <s v="Better"/>
    <n v="0"/>
    <s v="10,001+"/>
    <s v="0–5 miles"/>
    <s v="11+ years"/>
  </r>
  <r>
    <n v="37"/>
    <x v="1"/>
    <s v="Travel_Rarely"/>
    <n v="290"/>
    <x v="1"/>
    <n v="21"/>
    <x v="3"/>
    <s v="Life Sciences"/>
    <n v="1"/>
    <n v="267"/>
    <n v="2"/>
    <s v="Male"/>
    <n v="65"/>
    <n v="4"/>
    <n v="1"/>
    <x v="1"/>
    <x v="3"/>
    <s v="Married"/>
    <n v="3564"/>
    <n v="22977"/>
    <n v="1"/>
    <s v="Y"/>
    <x v="0"/>
    <n v="12"/>
    <n v="3"/>
    <n v="1"/>
    <n v="80"/>
    <n v="1"/>
    <n v="8"/>
    <n v="3"/>
    <n v="2"/>
    <n v="8"/>
    <n v="7"/>
    <n v="1"/>
    <n v="7"/>
    <x v="3"/>
    <x v="0"/>
    <s v="Very High"/>
    <x v="3"/>
    <s v="Excellent"/>
    <s v="Good"/>
    <n v="0"/>
    <s v="3,001–6,000"/>
    <s v="16+ miles"/>
    <s v="6–10 years"/>
  </r>
  <r>
    <n v="35"/>
    <x v="1"/>
    <s v="Travel_Frequently"/>
    <n v="138"/>
    <x v="1"/>
    <n v="2"/>
    <x v="3"/>
    <s v="Medical"/>
    <n v="1"/>
    <n v="269"/>
    <n v="2"/>
    <s v="Female"/>
    <n v="37"/>
    <n v="3"/>
    <n v="2"/>
    <x v="2"/>
    <x v="1"/>
    <s v="Single"/>
    <n v="4425"/>
    <n v="15986"/>
    <n v="5"/>
    <s v="Y"/>
    <x v="1"/>
    <n v="11"/>
    <n v="3"/>
    <n v="4"/>
    <n v="80"/>
    <n v="0"/>
    <n v="10"/>
    <n v="5"/>
    <n v="3"/>
    <n v="6"/>
    <n v="2"/>
    <n v="1"/>
    <n v="2"/>
    <x v="3"/>
    <x v="0"/>
    <s v="High"/>
    <x v="1"/>
    <s v="Excellent"/>
    <s v="Better"/>
    <n v="0"/>
    <s v="3,001–6,000"/>
    <s v="0–5 miles"/>
    <s v="6–10 years"/>
  </r>
  <r>
    <n v="42"/>
    <x v="1"/>
    <s v="Non-Travel"/>
    <n v="926"/>
    <x v="1"/>
    <n v="21"/>
    <x v="0"/>
    <s v="Medical"/>
    <n v="1"/>
    <n v="270"/>
    <n v="3"/>
    <s v="Female"/>
    <n v="36"/>
    <n v="3"/>
    <n v="2"/>
    <x v="3"/>
    <x v="2"/>
    <s v="Divorced"/>
    <n v="5265"/>
    <n v="16439"/>
    <n v="2"/>
    <s v="Y"/>
    <x v="1"/>
    <n v="16"/>
    <n v="3"/>
    <n v="2"/>
    <n v="80"/>
    <n v="1"/>
    <n v="11"/>
    <n v="5"/>
    <n v="3"/>
    <n v="5"/>
    <n v="3"/>
    <n v="0"/>
    <n v="2"/>
    <x v="0"/>
    <x v="1"/>
    <s v="High"/>
    <x v="2"/>
    <s v="Excellent"/>
    <s v="Better"/>
    <n v="0"/>
    <s v="3,001–6,000"/>
    <s v="16+ miles"/>
    <s v="2–5 years"/>
  </r>
  <r>
    <n v="38"/>
    <x v="1"/>
    <s v="Travel_Rarely"/>
    <n v="1261"/>
    <x v="1"/>
    <n v="2"/>
    <x v="2"/>
    <s v="Life Sciences"/>
    <n v="1"/>
    <n v="271"/>
    <n v="4"/>
    <s v="Male"/>
    <n v="88"/>
    <n v="3"/>
    <n v="2"/>
    <x v="3"/>
    <x v="2"/>
    <s v="Married"/>
    <n v="6553"/>
    <n v="7259"/>
    <n v="9"/>
    <s v="Y"/>
    <x v="1"/>
    <n v="14"/>
    <n v="3"/>
    <n v="2"/>
    <n v="80"/>
    <n v="0"/>
    <n v="14"/>
    <n v="3"/>
    <n v="3"/>
    <n v="1"/>
    <n v="0"/>
    <n v="0"/>
    <n v="0"/>
    <x v="2"/>
    <x v="2"/>
    <s v="High"/>
    <x v="2"/>
    <s v="Excellent"/>
    <s v="Better"/>
    <n v="0"/>
    <s v="6,001–10,000"/>
    <s v="0–5 miles"/>
    <s v="0–1 years"/>
  </r>
  <r>
    <n v="38"/>
    <x v="1"/>
    <s v="Travel_Rarely"/>
    <n v="1084"/>
    <x v="1"/>
    <n v="29"/>
    <x v="3"/>
    <s v="Technical Degree"/>
    <n v="1"/>
    <n v="273"/>
    <n v="4"/>
    <s v="Male"/>
    <n v="54"/>
    <n v="3"/>
    <n v="2"/>
    <x v="3"/>
    <x v="0"/>
    <s v="Married"/>
    <n v="6261"/>
    <n v="4185"/>
    <n v="3"/>
    <s v="Y"/>
    <x v="1"/>
    <n v="18"/>
    <n v="3"/>
    <n v="1"/>
    <n v="80"/>
    <n v="1"/>
    <n v="9"/>
    <n v="3"/>
    <n v="1"/>
    <n v="7"/>
    <n v="7"/>
    <n v="1"/>
    <n v="7"/>
    <x v="3"/>
    <x v="2"/>
    <s v="High"/>
    <x v="0"/>
    <s v="Excellent"/>
    <s v="Bad"/>
    <n v="0"/>
    <s v="6,001–10,000"/>
    <s v="16+ miles"/>
    <s v="6–10 years"/>
  </r>
  <r>
    <n v="27"/>
    <x v="1"/>
    <s v="Travel_Frequently"/>
    <n v="472"/>
    <x v="1"/>
    <n v="1"/>
    <x v="1"/>
    <s v="Technical Degree"/>
    <n v="1"/>
    <n v="274"/>
    <n v="3"/>
    <s v="Male"/>
    <n v="60"/>
    <n v="2"/>
    <n v="2"/>
    <x v="3"/>
    <x v="3"/>
    <s v="Married"/>
    <n v="4298"/>
    <n v="9679"/>
    <n v="5"/>
    <s v="Y"/>
    <x v="1"/>
    <n v="19"/>
    <n v="3"/>
    <n v="3"/>
    <n v="80"/>
    <n v="1"/>
    <n v="6"/>
    <n v="1"/>
    <n v="3"/>
    <n v="2"/>
    <n v="2"/>
    <n v="2"/>
    <n v="0"/>
    <x v="1"/>
    <x v="1"/>
    <s v="Medium"/>
    <x v="3"/>
    <s v="Excellent"/>
    <s v="Better"/>
    <n v="0"/>
    <s v="3,001–6,000"/>
    <s v="0–5 miles"/>
    <s v="2–5 years"/>
  </r>
  <r>
    <n v="49"/>
    <x v="1"/>
    <s v="Non-Travel"/>
    <n v="1002"/>
    <x v="1"/>
    <n v="18"/>
    <x v="2"/>
    <s v="Life Sciences"/>
    <n v="1"/>
    <n v="275"/>
    <n v="4"/>
    <s v="Male"/>
    <n v="92"/>
    <n v="3"/>
    <n v="2"/>
    <x v="3"/>
    <x v="0"/>
    <s v="Divorced"/>
    <n v="6804"/>
    <n v="23793"/>
    <n v="1"/>
    <s v="Y"/>
    <x v="0"/>
    <n v="15"/>
    <n v="3"/>
    <n v="1"/>
    <n v="80"/>
    <n v="2"/>
    <n v="7"/>
    <n v="0"/>
    <n v="3"/>
    <n v="7"/>
    <n v="7"/>
    <n v="1"/>
    <n v="7"/>
    <x v="2"/>
    <x v="2"/>
    <s v="High"/>
    <x v="0"/>
    <s v="Excellent"/>
    <s v="Better"/>
    <n v="0"/>
    <s v="6,001–10,000"/>
    <s v="16+ miles"/>
    <s v="6–10 years"/>
  </r>
  <r>
    <n v="34"/>
    <x v="1"/>
    <s v="Travel_Frequently"/>
    <n v="878"/>
    <x v="1"/>
    <n v="10"/>
    <x v="2"/>
    <s v="Medical"/>
    <n v="1"/>
    <n v="277"/>
    <n v="4"/>
    <s v="Male"/>
    <n v="43"/>
    <n v="3"/>
    <n v="1"/>
    <x v="1"/>
    <x v="2"/>
    <s v="Divorced"/>
    <n v="3815"/>
    <n v="5972"/>
    <n v="1"/>
    <s v="Y"/>
    <x v="0"/>
    <n v="17"/>
    <n v="3"/>
    <n v="4"/>
    <n v="80"/>
    <n v="1"/>
    <n v="5"/>
    <n v="4"/>
    <n v="4"/>
    <n v="5"/>
    <n v="3"/>
    <n v="2"/>
    <n v="0"/>
    <x v="2"/>
    <x v="2"/>
    <s v="High"/>
    <x v="2"/>
    <s v="Excellent"/>
    <s v="Best"/>
    <n v="0"/>
    <s v="3,001–6,000"/>
    <s v="6–10 miles"/>
    <s v="2–5 years"/>
  </r>
  <r>
    <n v="40"/>
    <x v="1"/>
    <s v="Travel_Rarely"/>
    <n v="905"/>
    <x v="1"/>
    <n v="19"/>
    <x v="0"/>
    <s v="Medical"/>
    <n v="1"/>
    <n v="281"/>
    <n v="3"/>
    <s v="Male"/>
    <n v="99"/>
    <n v="3"/>
    <n v="2"/>
    <x v="2"/>
    <x v="0"/>
    <s v="Married"/>
    <n v="2741"/>
    <n v="16523"/>
    <n v="8"/>
    <s v="Y"/>
    <x v="0"/>
    <n v="15"/>
    <n v="3"/>
    <n v="3"/>
    <n v="80"/>
    <n v="1"/>
    <n v="15"/>
    <n v="2"/>
    <n v="4"/>
    <n v="7"/>
    <n v="2"/>
    <n v="3"/>
    <n v="7"/>
    <x v="0"/>
    <x v="1"/>
    <s v="High"/>
    <x v="0"/>
    <s v="Excellent"/>
    <s v="Best"/>
    <n v="0"/>
    <s v="0–3,000"/>
    <s v="16+ miles"/>
    <s v="6–10 years"/>
  </r>
  <r>
    <n v="38"/>
    <x v="0"/>
    <s v="Travel_Rarely"/>
    <n v="1180"/>
    <x v="1"/>
    <n v="29"/>
    <x v="1"/>
    <s v="Medical"/>
    <n v="1"/>
    <n v="282"/>
    <n v="2"/>
    <s v="Male"/>
    <n v="70"/>
    <n v="3"/>
    <n v="2"/>
    <x v="4"/>
    <x v="3"/>
    <s v="Married"/>
    <n v="6673"/>
    <n v="11354"/>
    <n v="7"/>
    <s v="Y"/>
    <x v="0"/>
    <n v="19"/>
    <n v="3"/>
    <n v="2"/>
    <n v="80"/>
    <n v="0"/>
    <n v="17"/>
    <n v="2"/>
    <n v="3"/>
    <n v="1"/>
    <n v="0"/>
    <n v="0"/>
    <n v="0"/>
    <x v="1"/>
    <x v="0"/>
    <s v="High"/>
    <x v="3"/>
    <s v="Excellent"/>
    <s v="Better"/>
    <n v="1"/>
    <s v="6,001–10,000"/>
    <s v="16+ miles"/>
    <s v="0–1 years"/>
  </r>
  <r>
    <n v="29"/>
    <x v="0"/>
    <s v="Travel_Rarely"/>
    <n v="121"/>
    <x v="0"/>
    <n v="27"/>
    <x v="3"/>
    <s v="Marketing"/>
    <n v="1"/>
    <n v="283"/>
    <n v="2"/>
    <s v="Female"/>
    <n v="35"/>
    <n v="3"/>
    <n v="3"/>
    <x v="0"/>
    <x v="0"/>
    <s v="Married"/>
    <n v="7639"/>
    <n v="24525"/>
    <n v="1"/>
    <s v="Y"/>
    <x v="1"/>
    <n v="22"/>
    <n v="4"/>
    <n v="4"/>
    <n v="80"/>
    <n v="3"/>
    <n v="10"/>
    <n v="3"/>
    <n v="2"/>
    <n v="10"/>
    <n v="4"/>
    <n v="1"/>
    <n v="9"/>
    <x v="3"/>
    <x v="0"/>
    <s v="High"/>
    <x v="0"/>
    <s v="Outstanding"/>
    <s v="Good"/>
    <n v="1"/>
    <s v="6,001–10,000"/>
    <s v="16+ miles"/>
    <s v="6–10 years"/>
  </r>
  <r>
    <n v="22"/>
    <x v="1"/>
    <s v="Travel_Rarely"/>
    <n v="1136"/>
    <x v="1"/>
    <n v="5"/>
    <x v="3"/>
    <s v="Life Sciences"/>
    <n v="1"/>
    <n v="284"/>
    <n v="4"/>
    <s v="Male"/>
    <n v="60"/>
    <n v="4"/>
    <n v="1"/>
    <x v="1"/>
    <x v="1"/>
    <s v="Divorced"/>
    <n v="2328"/>
    <n v="12392"/>
    <n v="1"/>
    <s v="Y"/>
    <x v="0"/>
    <n v="16"/>
    <n v="3"/>
    <n v="1"/>
    <n v="80"/>
    <n v="1"/>
    <n v="4"/>
    <n v="2"/>
    <n v="2"/>
    <n v="4"/>
    <n v="2"/>
    <n v="2"/>
    <n v="2"/>
    <x v="3"/>
    <x v="2"/>
    <s v="Very High"/>
    <x v="1"/>
    <s v="Excellent"/>
    <s v="Good"/>
    <n v="0"/>
    <s v="0–3,000"/>
    <s v="0–5 miles"/>
    <s v="2–5 years"/>
  </r>
  <r>
    <n v="36"/>
    <x v="1"/>
    <s v="Travel_Frequently"/>
    <n v="635"/>
    <x v="1"/>
    <n v="18"/>
    <x v="1"/>
    <s v="Medical"/>
    <n v="1"/>
    <n v="286"/>
    <n v="2"/>
    <s v="Female"/>
    <n v="73"/>
    <n v="3"/>
    <n v="1"/>
    <x v="2"/>
    <x v="0"/>
    <s v="Single"/>
    <n v="2153"/>
    <n v="7703"/>
    <n v="1"/>
    <s v="Y"/>
    <x v="1"/>
    <n v="13"/>
    <n v="3"/>
    <n v="1"/>
    <n v="80"/>
    <n v="0"/>
    <n v="8"/>
    <n v="2"/>
    <n v="3"/>
    <n v="8"/>
    <n v="1"/>
    <n v="1"/>
    <n v="7"/>
    <x v="1"/>
    <x v="0"/>
    <s v="High"/>
    <x v="0"/>
    <s v="Excellent"/>
    <s v="Better"/>
    <n v="0"/>
    <s v="0–3,000"/>
    <s v="16+ miles"/>
    <s v="6–10 years"/>
  </r>
  <r>
    <n v="40"/>
    <x v="1"/>
    <s v="Non-Travel"/>
    <n v="1151"/>
    <x v="1"/>
    <n v="9"/>
    <x v="4"/>
    <s v="Life Sciences"/>
    <n v="1"/>
    <n v="287"/>
    <n v="4"/>
    <s v="Male"/>
    <n v="63"/>
    <n v="2"/>
    <n v="2"/>
    <x v="4"/>
    <x v="0"/>
    <s v="Married"/>
    <n v="4876"/>
    <n v="14242"/>
    <n v="9"/>
    <s v="Y"/>
    <x v="1"/>
    <n v="14"/>
    <n v="3"/>
    <n v="4"/>
    <n v="80"/>
    <n v="1"/>
    <n v="5"/>
    <n v="5"/>
    <n v="1"/>
    <n v="3"/>
    <n v="2"/>
    <n v="0"/>
    <n v="2"/>
    <x v="4"/>
    <x v="2"/>
    <s v="Medium"/>
    <x v="0"/>
    <s v="Excellent"/>
    <s v="Bad"/>
    <n v="0"/>
    <s v="3,001–6,000"/>
    <s v="6–10 miles"/>
    <s v="2–5 years"/>
  </r>
  <r>
    <n v="46"/>
    <x v="1"/>
    <s v="Travel_Rarely"/>
    <n v="644"/>
    <x v="1"/>
    <n v="1"/>
    <x v="2"/>
    <s v="Medical"/>
    <n v="1"/>
    <n v="288"/>
    <n v="4"/>
    <s v="Male"/>
    <n v="97"/>
    <n v="3"/>
    <n v="3"/>
    <x v="4"/>
    <x v="3"/>
    <s v="Divorced"/>
    <n v="9396"/>
    <n v="12368"/>
    <n v="7"/>
    <s v="Y"/>
    <x v="1"/>
    <n v="16"/>
    <n v="3"/>
    <n v="3"/>
    <n v="80"/>
    <n v="1"/>
    <n v="17"/>
    <n v="3"/>
    <n v="3"/>
    <n v="4"/>
    <n v="2"/>
    <n v="0"/>
    <n v="3"/>
    <x v="2"/>
    <x v="2"/>
    <s v="High"/>
    <x v="3"/>
    <s v="Excellent"/>
    <s v="Better"/>
    <n v="0"/>
    <s v="6,001–10,000"/>
    <s v="0–5 miles"/>
    <s v="2–5 years"/>
  </r>
  <r>
    <n v="32"/>
    <x v="0"/>
    <s v="Travel_Rarely"/>
    <n v="1045"/>
    <x v="0"/>
    <n v="4"/>
    <x v="2"/>
    <s v="Medical"/>
    <n v="1"/>
    <n v="291"/>
    <n v="4"/>
    <s v="Male"/>
    <n v="32"/>
    <n v="1"/>
    <n v="3"/>
    <x v="0"/>
    <x v="0"/>
    <s v="Married"/>
    <n v="10400"/>
    <n v="25812"/>
    <n v="1"/>
    <s v="Y"/>
    <x v="1"/>
    <n v="11"/>
    <n v="3"/>
    <n v="3"/>
    <n v="80"/>
    <n v="0"/>
    <n v="14"/>
    <n v="2"/>
    <n v="2"/>
    <n v="14"/>
    <n v="8"/>
    <n v="9"/>
    <n v="8"/>
    <x v="2"/>
    <x v="2"/>
    <s v="Low"/>
    <x v="0"/>
    <s v="Excellent"/>
    <s v="Good"/>
    <n v="1"/>
    <s v="10,001+"/>
    <s v="0–5 miles"/>
    <s v="11+ years"/>
  </r>
  <r>
    <n v="30"/>
    <x v="1"/>
    <s v="Non-Travel"/>
    <n v="829"/>
    <x v="1"/>
    <n v="1"/>
    <x v="1"/>
    <s v="Life Sciences"/>
    <n v="1"/>
    <n v="292"/>
    <n v="3"/>
    <s v="Male"/>
    <n v="88"/>
    <n v="2"/>
    <n v="3"/>
    <x v="3"/>
    <x v="2"/>
    <s v="Single"/>
    <n v="8474"/>
    <n v="20925"/>
    <n v="1"/>
    <s v="Y"/>
    <x v="1"/>
    <n v="22"/>
    <n v="4"/>
    <n v="3"/>
    <n v="80"/>
    <n v="0"/>
    <n v="12"/>
    <n v="2"/>
    <n v="3"/>
    <n v="11"/>
    <n v="8"/>
    <n v="5"/>
    <n v="8"/>
    <x v="1"/>
    <x v="1"/>
    <s v="Medium"/>
    <x v="2"/>
    <s v="Outstanding"/>
    <s v="Better"/>
    <n v="0"/>
    <s v="6,001–10,000"/>
    <s v="0–5 miles"/>
    <s v="11+ years"/>
  </r>
  <r>
    <n v="27"/>
    <x v="1"/>
    <s v="Travel_Frequently"/>
    <n v="1242"/>
    <x v="0"/>
    <n v="20"/>
    <x v="3"/>
    <s v="Life Sciences"/>
    <n v="1"/>
    <n v="293"/>
    <n v="4"/>
    <s v="Female"/>
    <n v="90"/>
    <n v="3"/>
    <n v="2"/>
    <x v="0"/>
    <x v="2"/>
    <s v="Single"/>
    <n v="9981"/>
    <n v="12916"/>
    <n v="1"/>
    <s v="Y"/>
    <x v="1"/>
    <n v="14"/>
    <n v="3"/>
    <n v="4"/>
    <n v="80"/>
    <n v="0"/>
    <n v="7"/>
    <n v="2"/>
    <n v="3"/>
    <n v="7"/>
    <n v="7"/>
    <n v="0"/>
    <n v="7"/>
    <x v="3"/>
    <x v="2"/>
    <s v="High"/>
    <x v="2"/>
    <s v="Excellent"/>
    <s v="Better"/>
    <n v="0"/>
    <s v="6,001–10,000"/>
    <s v="16+ miles"/>
    <s v="6–10 years"/>
  </r>
  <r>
    <n v="51"/>
    <x v="1"/>
    <s v="Travel_Rarely"/>
    <n v="1469"/>
    <x v="1"/>
    <n v="8"/>
    <x v="2"/>
    <s v="Life Sciences"/>
    <n v="1"/>
    <n v="296"/>
    <n v="2"/>
    <s v="Male"/>
    <n v="81"/>
    <n v="2"/>
    <n v="3"/>
    <x v="7"/>
    <x v="1"/>
    <s v="Married"/>
    <n v="12490"/>
    <n v="15736"/>
    <n v="5"/>
    <s v="Y"/>
    <x v="1"/>
    <n v="16"/>
    <n v="3"/>
    <n v="4"/>
    <n v="80"/>
    <n v="2"/>
    <n v="16"/>
    <n v="5"/>
    <n v="1"/>
    <n v="10"/>
    <n v="9"/>
    <n v="4"/>
    <n v="7"/>
    <x v="2"/>
    <x v="0"/>
    <s v="Medium"/>
    <x v="1"/>
    <s v="Excellent"/>
    <s v="Bad"/>
    <n v="0"/>
    <s v="10,001+"/>
    <s v="6–10 miles"/>
    <s v="6–10 years"/>
  </r>
  <r>
    <n v="30"/>
    <x v="0"/>
    <s v="Travel_Rarely"/>
    <n v="1005"/>
    <x v="1"/>
    <n v="3"/>
    <x v="3"/>
    <s v="Technical Degree"/>
    <n v="1"/>
    <n v="297"/>
    <n v="4"/>
    <s v="Female"/>
    <n v="88"/>
    <n v="3"/>
    <n v="1"/>
    <x v="1"/>
    <x v="3"/>
    <s v="Single"/>
    <n v="2657"/>
    <n v="8556"/>
    <n v="5"/>
    <s v="Y"/>
    <x v="0"/>
    <n v="11"/>
    <n v="3"/>
    <n v="3"/>
    <n v="80"/>
    <n v="0"/>
    <n v="8"/>
    <n v="5"/>
    <n v="3"/>
    <n v="5"/>
    <n v="2"/>
    <n v="0"/>
    <n v="4"/>
    <x v="3"/>
    <x v="2"/>
    <s v="High"/>
    <x v="3"/>
    <s v="Excellent"/>
    <s v="Better"/>
    <n v="1"/>
    <s v="0–3,000"/>
    <s v="0–5 miles"/>
    <s v="2–5 years"/>
  </r>
  <r>
    <n v="41"/>
    <x v="1"/>
    <s v="Travel_Rarely"/>
    <n v="896"/>
    <x v="0"/>
    <n v="6"/>
    <x v="3"/>
    <s v="Life Sciences"/>
    <n v="1"/>
    <n v="298"/>
    <n v="4"/>
    <s v="Female"/>
    <n v="75"/>
    <n v="3"/>
    <n v="3"/>
    <x v="5"/>
    <x v="0"/>
    <s v="Single"/>
    <n v="13591"/>
    <n v="14674"/>
    <n v="3"/>
    <s v="Y"/>
    <x v="0"/>
    <n v="18"/>
    <n v="3"/>
    <n v="3"/>
    <n v="80"/>
    <n v="0"/>
    <n v="16"/>
    <n v="3"/>
    <n v="3"/>
    <n v="1"/>
    <n v="0"/>
    <n v="0"/>
    <n v="0"/>
    <x v="3"/>
    <x v="2"/>
    <s v="High"/>
    <x v="0"/>
    <s v="Excellent"/>
    <s v="Better"/>
    <n v="0"/>
    <s v="10,001+"/>
    <s v="6–10 miles"/>
    <s v="0–1 years"/>
  </r>
  <r>
    <n v="30"/>
    <x v="0"/>
    <s v="Travel_Frequently"/>
    <n v="334"/>
    <x v="0"/>
    <n v="26"/>
    <x v="2"/>
    <s v="Marketing"/>
    <n v="1"/>
    <n v="299"/>
    <n v="3"/>
    <s v="Female"/>
    <n v="52"/>
    <n v="2"/>
    <n v="2"/>
    <x v="0"/>
    <x v="3"/>
    <s v="Single"/>
    <n v="6696"/>
    <n v="22967"/>
    <n v="5"/>
    <s v="Y"/>
    <x v="1"/>
    <n v="15"/>
    <n v="3"/>
    <n v="3"/>
    <n v="80"/>
    <n v="0"/>
    <n v="9"/>
    <n v="5"/>
    <n v="2"/>
    <n v="6"/>
    <n v="3"/>
    <n v="0"/>
    <n v="1"/>
    <x v="2"/>
    <x v="1"/>
    <s v="Medium"/>
    <x v="3"/>
    <s v="Excellent"/>
    <s v="Good"/>
    <n v="1"/>
    <s v="6,001–10,000"/>
    <s v="16+ miles"/>
    <s v="6–10 years"/>
  </r>
  <r>
    <n v="29"/>
    <x v="0"/>
    <s v="Travel_Rarely"/>
    <n v="992"/>
    <x v="1"/>
    <n v="1"/>
    <x v="3"/>
    <s v="Technical Degree"/>
    <n v="1"/>
    <n v="300"/>
    <n v="3"/>
    <s v="Male"/>
    <n v="85"/>
    <n v="3"/>
    <n v="1"/>
    <x v="1"/>
    <x v="2"/>
    <s v="Single"/>
    <n v="2058"/>
    <n v="19757"/>
    <n v="0"/>
    <s v="Y"/>
    <x v="1"/>
    <n v="14"/>
    <n v="3"/>
    <n v="4"/>
    <n v="80"/>
    <n v="0"/>
    <n v="7"/>
    <n v="1"/>
    <n v="2"/>
    <n v="6"/>
    <n v="2"/>
    <n v="1"/>
    <n v="5"/>
    <x v="3"/>
    <x v="1"/>
    <s v="High"/>
    <x v="2"/>
    <s v="Excellent"/>
    <s v="Good"/>
    <n v="1"/>
    <s v="0–3,000"/>
    <s v="0–5 miles"/>
    <s v="6–10 years"/>
  </r>
  <r>
    <n v="45"/>
    <x v="1"/>
    <s v="Non-Travel"/>
    <n v="1052"/>
    <x v="0"/>
    <n v="6"/>
    <x v="3"/>
    <s v="Medical"/>
    <n v="1"/>
    <n v="302"/>
    <n v="4"/>
    <s v="Female"/>
    <n v="57"/>
    <n v="2"/>
    <n v="3"/>
    <x v="0"/>
    <x v="0"/>
    <s v="Single"/>
    <n v="8865"/>
    <n v="16840"/>
    <n v="6"/>
    <s v="Y"/>
    <x v="1"/>
    <n v="12"/>
    <n v="3"/>
    <n v="4"/>
    <n v="80"/>
    <n v="0"/>
    <n v="23"/>
    <n v="2"/>
    <n v="3"/>
    <n v="19"/>
    <n v="7"/>
    <n v="12"/>
    <n v="8"/>
    <x v="3"/>
    <x v="2"/>
    <s v="Medium"/>
    <x v="0"/>
    <s v="Excellent"/>
    <s v="Better"/>
    <n v="0"/>
    <s v="6,001–10,000"/>
    <s v="6–10 miles"/>
    <s v="11+ years"/>
  </r>
  <r>
    <n v="54"/>
    <x v="1"/>
    <s v="Travel_Rarely"/>
    <n v="1147"/>
    <x v="0"/>
    <n v="3"/>
    <x v="3"/>
    <s v="Marketing"/>
    <n v="1"/>
    <n v="303"/>
    <n v="4"/>
    <s v="Female"/>
    <n v="52"/>
    <n v="3"/>
    <n v="2"/>
    <x v="0"/>
    <x v="3"/>
    <s v="Married"/>
    <n v="5940"/>
    <n v="17011"/>
    <n v="2"/>
    <s v="Y"/>
    <x v="1"/>
    <n v="14"/>
    <n v="3"/>
    <n v="4"/>
    <n v="80"/>
    <n v="1"/>
    <n v="16"/>
    <n v="4"/>
    <n v="3"/>
    <n v="6"/>
    <n v="2"/>
    <n v="0"/>
    <n v="5"/>
    <x v="3"/>
    <x v="2"/>
    <s v="High"/>
    <x v="3"/>
    <s v="Excellent"/>
    <s v="Better"/>
    <n v="0"/>
    <s v="3,001–6,000"/>
    <s v="0–5 miles"/>
    <s v="6–10 years"/>
  </r>
  <r>
    <n v="36"/>
    <x v="1"/>
    <s v="Travel_Rarely"/>
    <n v="1396"/>
    <x v="1"/>
    <n v="5"/>
    <x v="0"/>
    <s v="Life Sciences"/>
    <n v="1"/>
    <n v="304"/>
    <n v="4"/>
    <s v="Male"/>
    <n v="62"/>
    <n v="3"/>
    <n v="2"/>
    <x v="2"/>
    <x v="1"/>
    <s v="Single"/>
    <n v="5914"/>
    <n v="9945"/>
    <n v="8"/>
    <s v="Y"/>
    <x v="1"/>
    <n v="16"/>
    <n v="3"/>
    <n v="4"/>
    <n v="80"/>
    <n v="0"/>
    <n v="16"/>
    <n v="3"/>
    <n v="4"/>
    <n v="13"/>
    <n v="11"/>
    <n v="3"/>
    <n v="7"/>
    <x v="0"/>
    <x v="2"/>
    <s v="High"/>
    <x v="1"/>
    <s v="Excellent"/>
    <s v="Best"/>
    <n v="0"/>
    <s v="3,001–6,000"/>
    <s v="0–5 miles"/>
    <s v="11+ years"/>
  </r>
  <r>
    <n v="33"/>
    <x v="1"/>
    <s v="Travel_Rarely"/>
    <n v="147"/>
    <x v="1"/>
    <n v="4"/>
    <x v="2"/>
    <s v="Medical"/>
    <n v="1"/>
    <n v="305"/>
    <n v="3"/>
    <s v="Female"/>
    <n v="47"/>
    <n v="2"/>
    <n v="1"/>
    <x v="1"/>
    <x v="1"/>
    <s v="Married"/>
    <n v="2622"/>
    <n v="13248"/>
    <n v="6"/>
    <s v="Y"/>
    <x v="1"/>
    <n v="21"/>
    <n v="4"/>
    <n v="4"/>
    <n v="80"/>
    <n v="0"/>
    <n v="7"/>
    <n v="3"/>
    <n v="3"/>
    <n v="3"/>
    <n v="2"/>
    <n v="1"/>
    <n v="1"/>
    <x v="2"/>
    <x v="1"/>
    <s v="Medium"/>
    <x v="1"/>
    <s v="Outstanding"/>
    <s v="Better"/>
    <n v="0"/>
    <s v="0–3,000"/>
    <s v="0–5 miles"/>
    <s v="2–5 years"/>
  </r>
  <r>
    <n v="37"/>
    <x v="1"/>
    <s v="Travel_Frequently"/>
    <n v="663"/>
    <x v="1"/>
    <n v="11"/>
    <x v="3"/>
    <s v="Other"/>
    <n v="1"/>
    <n v="306"/>
    <n v="2"/>
    <s v="Male"/>
    <n v="47"/>
    <n v="3"/>
    <n v="3"/>
    <x v="7"/>
    <x v="0"/>
    <s v="Divorced"/>
    <n v="12185"/>
    <n v="10056"/>
    <n v="1"/>
    <s v="Y"/>
    <x v="0"/>
    <n v="14"/>
    <n v="3"/>
    <n v="3"/>
    <n v="80"/>
    <n v="3"/>
    <n v="10"/>
    <n v="1"/>
    <n v="3"/>
    <n v="10"/>
    <n v="8"/>
    <n v="0"/>
    <n v="7"/>
    <x v="3"/>
    <x v="0"/>
    <s v="High"/>
    <x v="0"/>
    <s v="Excellent"/>
    <s v="Better"/>
    <n v="0"/>
    <s v="10,001+"/>
    <s v="11–15 miles"/>
    <s v="6–10 years"/>
  </r>
  <r>
    <n v="38"/>
    <x v="1"/>
    <s v="Travel_Rarely"/>
    <n v="119"/>
    <x v="0"/>
    <n v="3"/>
    <x v="3"/>
    <s v="Life Sciences"/>
    <n v="1"/>
    <n v="307"/>
    <n v="1"/>
    <s v="Male"/>
    <n v="76"/>
    <n v="3"/>
    <n v="3"/>
    <x v="0"/>
    <x v="2"/>
    <s v="Divorced"/>
    <n v="10609"/>
    <n v="9647"/>
    <n v="0"/>
    <s v="Y"/>
    <x v="1"/>
    <n v="12"/>
    <n v="3"/>
    <n v="3"/>
    <n v="80"/>
    <n v="2"/>
    <n v="17"/>
    <n v="6"/>
    <n v="2"/>
    <n v="16"/>
    <n v="10"/>
    <n v="5"/>
    <n v="13"/>
    <x v="3"/>
    <x v="3"/>
    <s v="High"/>
    <x v="2"/>
    <s v="Excellent"/>
    <s v="Good"/>
    <n v="0"/>
    <s v="10,001+"/>
    <s v="0–5 miles"/>
    <s v="11+ years"/>
  </r>
  <r>
    <n v="31"/>
    <x v="1"/>
    <s v="Non-Travel"/>
    <n v="979"/>
    <x v="1"/>
    <n v="1"/>
    <x v="2"/>
    <s v="Medical"/>
    <n v="1"/>
    <n v="308"/>
    <n v="3"/>
    <s v="Male"/>
    <n v="90"/>
    <n v="1"/>
    <n v="2"/>
    <x v="3"/>
    <x v="2"/>
    <s v="Married"/>
    <n v="4345"/>
    <n v="4381"/>
    <n v="0"/>
    <s v="Y"/>
    <x v="1"/>
    <n v="12"/>
    <n v="3"/>
    <n v="4"/>
    <n v="80"/>
    <n v="1"/>
    <n v="6"/>
    <n v="2"/>
    <n v="3"/>
    <n v="5"/>
    <n v="4"/>
    <n v="1"/>
    <n v="4"/>
    <x v="2"/>
    <x v="1"/>
    <s v="Low"/>
    <x v="2"/>
    <s v="Excellent"/>
    <s v="Better"/>
    <n v="0"/>
    <s v="3,001–6,000"/>
    <s v="0–5 miles"/>
    <s v="2–5 years"/>
  </r>
  <r>
    <n v="59"/>
    <x v="1"/>
    <s v="Travel_Rarely"/>
    <n v="142"/>
    <x v="1"/>
    <n v="3"/>
    <x v="3"/>
    <s v="Life Sciences"/>
    <n v="1"/>
    <n v="309"/>
    <n v="3"/>
    <s v="Male"/>
    <n v="70"/>
    <n v="2"/>
    <n v="1"/>
    <x v="1"/>
    <x v="0"/>
    <s v="Married"/>
    <n v="2177"/>
    <n v="8456"/>
    <n v="3"/>
    <s v="Y"/>
    <x v="1"/>
    <n v="17"/>
    <n v="3"/>
    <n v="1"/>
    <n v="80"/>
    <n v="1"/>
    <n v="7"/>
    <n v="6"/>
    <n v="3"/>
    <n v="1"/>
    <n v="0"/>
    <n v="0"/>
    <n v="0"/>
    <x v="3"/>
    <x v="1"/>
    <s v="Medium"/>
    <x v="0"/>
    <s v="Excellent"/>
    <s v="Better"/>
    <n v="0"/>
    <s v="0–3,000"/>
    <s v="0–5 miles"/>
    <s v="0–1 years"/>
  </r>
  <r>
    <n v="37"/>
    <x v="1"/>
    <s v="Travel_Frequently"/>
    <n v="319"/>
    <x v="0"/>
    <n v="4"/>
    <x v="2"/>
    <s v="Marketing"/>
    <n v="1"/>
    <n v="311"/>
    <n v="1"/>
    <s v="Male"/>
    <n v="41"/>
    <n v="3"/>
    <n v="1"/>
    <x v="6"/>
    <x v="0"/>
    <s v="Divorced"/>
    <n v="2793"/>
    <n v="2539"/>
    <n v="4"/>
    <s v="Y"/>
    <x v="1"/>
    <n v="17"/>
    <n v="3"/>
    <n v="3"/>
    <n v="80"/>
    <n v="1"/>
    <n v="13"/>
    <n v="2"/>
    <n v="3"/>
    <n v="9"/>
    <n v="8"/>
    <n v="5"/>
    <n v="8"/>
    <x v="2"/>
    <x v="3"/>
    <s v="High"/>
    <x v="0"/>
    <s v="Excellent"/>
    <s v="Better"/>
    <n v="0"/>
    <s v="0–3,000"/>
    <s v="0–5 miles"/>
    <s v="6–10 years"/>
  </r>
  <r>
    <n v="29"/>
    <x v="1"/>
    <s v="Travel_Frequently"/>
    <n v="1413"/>
    <x v="0"/>
    <n v="1"/>
    <x v="1"/>
    <s v="Medical"/>
    <n v="1"/>
    <n v="312"/>
    <n v="2"/>
    <s v="Female"/>
    <n v="42"/>
    <n v="3"/>
    <n v="3"/>
    <x v="0"/>
    <x v="0"/>
    <s v="Married"/>
    <n v="7918"/>
    <n v="6599"/>
    <n v="1"/>
    <s v="Y"/>
    <x v="1"/>
    <n v="14"/>
    <n v="3"/>
    <n v="4"/>
    <n v="80"/>
    <n v="1"/>
    <n v="11"/>
    <n v="5"/>
    <n v="3"/>
    <n v="11"/>
    <n v="10"/>
    <n v="4"/>
    <n v="1"/>
    <x v="1"/>
    <x v="0"/>
    <s v="High"/>
    <x v="0"/>
    <s v="Excellent"/>
    <s v="Better"/>
    <n v="0"/>
    <s v="6,001–10,000"/>
    <s v="0–5 miles"/>
    <s v="11+ years"/>
  </r>
  <r>
    <n v="35"/>
    <x v="1"/>
    <s v="Travel_Frequently"/>
    <n v="944"/>
    <x v="0"/>
    <n v="1"/>
    <x v="3"/>
    <s v="Marketing"/>
    <n v="1"/>
    <n v="314"/>
    <n v="3"/>
    <s v="Female"/>
    <n v="92"/>
    <n v="3"/>
    <n v="3"/>
    <x v="0"/>
    <x v="2"/>
    <s v="Single"/>
    <n v="8789"/>
    <n v="9096"/>
    <n v="1"/>
    <s v="Y"/>
    <x v="1"/>
    <n v="14"/>
    <n v="3"/>
    <n v="1"/>
    <n v="80"/>
    <n v="0"/>
    <n v="10"/>
    <n v="3"/>
    <n v="4"/>
    <n v="10"/>
    <n v="7"/>
    <n v="0"/>
    <n v="8"/>
    <x v="3"/>
    <x v="1"/>
    <s v="High"/>
    <x v="2"/>
    <s v="Excellent"/>
    <s v="Best"/>
    <n v="0"/>
    <s v="6,001–10,000"/>
    <s v="0–5 miles"/>
    <s v="6–10 years"/>
  </r>
  <r>
    <n v="29"/>
    <x v="0"/>
    <s v="Travel_Rarely"/>
    <n v="896"/>
    <x v="1"/>
    <n v="18"/>
    <x v="1"/>
    <s v="Medical"/>
    <n v="1"/>
    <n v="315"/>
    <n v="3"/>
    <s v="Male"/>
    <n v="86"/>
    <n v="2"/>
    <n v="1"/>
    <x v="1"/>
    <x v="0"/>
    <s v="Single"/>
    <n v="2389"/>
    <n v="14961"/>
    <n v="1"/>
    <s v="Y"/>
    <x v="0"/>
    <n v="13"/>
    <n v="3"/>
    <n v="3"/>
    <n v="80"/>
    <n v="0"/>
    <n v="4"/>
    <n v="3"/>
    <n v="2"/>
    <n v="4"/>
    <n v="3"/>
    <n v="0"/>
    <n v="1"/>
    <x v="1"/>
    <x v="1"/>
    <s v="Medium"/>
    <x v="0"/>
    <s v="Excellent"/>
    <s v="Good"/>
    <n v="1"/>
    <s v="0–3,000"/>
    <s v="16+ miles"/>
    <s v="2–5 years"/>
  </r>
  <r>
    <n v="52"/>
    <x v="1"/>
    <s v="Travel_Rarely"/>
    <n v="1323"/>
    <x v="1"/>
    <n v="2"/>
    <x v="3"/>
    <s v="Life Sciences"/>
    <n v="1"/>
    <n v="316"/>
    <n v="3"/>
    <s v="Female"/>
    <n v="89"/>
    <n v="2"/>
    <n v="1"/>
    <x v="2"/>
    <x v="0"/>
    <s v="Single"/>
    <n v="3212"/>
    <n v="3300"/>
    <n v="7"/>
    <s v="Y"/>
    <x v="1"/>
    <n v="15"/>
    <n v="3"/>
    <n v="2"/>
    <n v="80"/>
    <n v="0"/>
    <n v="6"/>
    <n v="3"/>
    <n v="2"/>
    <n v="2"/>
    <n v="2"/>
    <n v="2"/>
    <n v="2"/>
    <x v="3"/>
    <x v="1"/>
    <s v="Medium"/>
    <x v="0"/>
    <s v="Excellent"/>
    <s v="Good"/>
    <n v="0"/>
    <s v="3,001–6,000"/>
    <s v="0–5 miles"/>
    <s v="2–5 years"/>
  </r>
  <r>
    <n v="42"/>
    <x v="1"/>
    <s v="Travel_Rarely"/>
    <n v="532"/>
    <x v="1"/>
    <n v="4"/>
    <x v="0"/>
    <s v="Technical Degree"/>
    <n v="1"/>
    <n v="319"/>
    <n v="3"/>
    <s v="Male"/>
    <n v="58"/>
    <n v="3"/>
    <n v="5"/>
    <x v="5"/>
    <x v="0"/>
    <s v="Married"/>
    <n v="19232"/>
    <n v="4933"/>
    <n v="1"/>
    <s v="Y"/>
    <x v="1"/>
    <n v="11"/>
    <n v="3"/>
    <n v="4"/>
    <n v="80"/>
    <n v="0"/>
    <n v="22"/>
    <n v="3"/>
    <n v="3"/>
    <n v="22"/>
    <n v="17"/>
    <n v="11"/>
    <n v="15"/>
    <x v="0"/>
    <x v="1"/>
    <s v="High"/>
    <x v="0"/>
    <s v="Excellent"/>
    <s v="Better"/>
    <n v="0"/>
    <s v="10,001+"/>
    <s v="0–5 miles"/>
    <s v="11+ years"/>
  </r>
  <r>
    <n v="59"/>
    <x v="1"/>
    <s v="Travel_Rarely"/>
    <n v="818"/>
    <x v="2"/>
    <n v="6"/>
    <x v="0"/>
    <s v="Medical"/>
    <n v="1"/>
    <n v="321"/>
    <n v="2"/>
    <s v="Male"/>
    <n v="52"/>
    <n v="3"/>
    <n v="1"/>
    <x v="8"/>
    <x v="2"/>
    <s v="Married"/>
    <n v="2267"/>
    <n v="25657"/>
    <n v="8"/>
    <s v="Y"/>
    <x v="1"/>
    <n v="17"/>
    <n v="3"/>
    <n v="4"/>
    <n v="80"/>
    <n v="0"/>
    <n v="7"/>
    <n v="2"/>
    <n v="2"/>
    <n v="2"/>
    <n v="2"/>
    <n v="2"/>
    <n v="2"/>
    <x v="0"/>
    <x v="0"/>
    <s v="High"/>
    <x v="2"/>
    <s v="Excellent"/>
    <s v="Good"/>
    <n v="0"/>
    <s v="0–3,000"/>
    <s v="6–10 miles"/>
    <s v="2–5 years"/>
  </r>
  <r>
    <n v="50"/>
    <x v="1"/>
    <s v="Travel_Rarely"/>
    <n v="854"/>
    <x v="0"/>
    <n v="1"/>
    <x v="2"/>
    <s v="Medical"/>
    <n v="1"/>
    <n v="323"/>
    <n v="4"/>
    <s v="Female"/>
    <n v="68"/>
    <n v="3"/>
    <n v="5"/>
    <x v="5"/>
    <x v="0"/>
    <s v="Divorced"/>
    <n v="19517"/>
    <n v="24118"/>
    <n v="3"/>
    <s v="Y"/>
    <x v="1"/>
    <n v="11"/>
    <n v="3"/>
    <n v="3"/>
    <n v="80"/>
    <n v="1"/>
    <n v="32"/>
    <n v="3"/>
    <n v="2"/>
    <n v="7"/>
    <n v="0"/>
    <n v="0"/>
    <n v="6"/>
    <x v="2"/>
    <x v="2"/>
    <s v="High"/>
    <x v="0"/>
    <s v="Excellent"/>
    <s v="Good"/>
    <n v="0"/>
    <s v="10,001+"/>
    <s v="0–5 miles"/>
    <s v="6–10 years"/>
  </r>
  <r>
    <n v="33"/>
    <x v="0"/>
    <s v="Travel_Rarely"/>
    <n v="813"/>
    <x v="1"/>
    <n v="14"/>
    <x v="3"/>
    <s v="Medical"/>
    <n v="1"/>
    <n v="325"/>
    <n v="3"/>
    <s v="Male"/>
    <n v="58"/>
    <n v="3"/>
    <n v="1"/>
    <x v="2"/>
    <x v="0"/>
    <s v="Married"/>
    <n v="2436"/>
    <n v="22149"/>
    <n v="5"/>
    <s v="Y"/>
    <x v="0"/>
    <n v="13"/>
    <n v="3"/>
    <n v="3"/>
    <n v="80"/>
    <n v="1"/>
    <n v="8"/>
    <n v="2"/>
    <n v="1"/>
    <n v="5"/>
    <n v="4"/>
    <n v="0"/>
    <n v="4"/>
    <x v="3"/>
    <x v="1"/>
    <s v="High"/>
    <x v="0"/>
    <s v="Excellent"/>
    <s v="Bad"/>
    <n v="1"/>
    <s v="0–3,000"/>
    <s v="11–15 miles"/>
    <s v="2–5 years"/>
  </r>
  <r>
    <n v="43"/>
    <x v="1"/>
    <s v="Travel_Rarely"/>
    <n v="1034"/>
    <x v="0"/>
    <n v="16"/>
    <x v="3"/>
    <s v="Marketing"/>
    <n v="1"/>
    <n v="327"/>
    <n v="4"/>
    <s v="Female"/>
    <n v="80"/>
    <n v="3"/>
    <n v="4"/>
    <x v="5"/>
    <x v="0"/>
    <s v="Married"/>
    <n v="16064"/>
    <n v="7744"/>
    <n v="5"/>
    <s v="Y"/>
    <x v="0"/>
    <n v="22"/>
    <n v="4"/>
    <n v="3"/>
    <n v="80"/>
    <n v="1"/>
    <n v="22"/>
    <n v="3"/>
    <n v="3"/>
    <n v="17"/>
    <n v="13"/>
    <n v="1"/>
    <n v="9"/>
    <x v="3"/>
    <x v="2"/>
    <s v="High"/>
    <x v="0"/>
    <s v="Outstanding"/>
    <s v="Better"/>
    <n v="0"/>
    <s v="10,001+"/>
    <s v="16+ miles"/>
    <s v="11+ years"/>
  </r>
  <r>
    <n v="33"/>
    <x v="0"/>
    <s v="Travel_Rarely"/>
    <n v="465"/>
    <x v="1"/>
    <n v="2"/>
    <x v="0"/>
    <s v="Life Sciences"/>
    <n v="1"/>
    <n v="328"/>
    <n v="1"/>
    <s v="Female"/>
    <n v="39"/>
    <n v="3"/>
    <n v="1"/>
    <x v="2"/>
    <x v="3"/>
    <s v="Married"/>
    <n v="2707"/>
    <n v="21509"/>
    <n v="7"/>
    <s v="Y"/>
    <x v="1"/>
    <n v="20"/>
    <n v="4"/>
    <n v="1"/>
    <n v="80"/>
    <n v="0"/>
    <n v="13"/>
    <n v="3"/>
    <n v="4"/>
    <n v="9"/>
    <n v="7"/>
    <n v="1"/>
    <n v="7"/>
    <x v="0"/>
    <x v="3"/>
    <s v="High"/>
    <x v="3"/>
    <s v="Outstanding"/>
    <s v="Best"/>
    <n v="1"/>
    <s v="0–3,000"/>
    <s v="0–5 miles"/>
    <s v="6–10 years"/>
  </r>
  <r>
    <n v="52"/>
    <x v="1"/>
    <s v="Non-Travel"/>
    <n v="771"/>
    <x v="0"/>
    <n v="2"/>
    <x v="2"/>
    <s v="Life Sciences"/>
    <n v="1"/>
    <n v="329"/>
    <n v="1"/>
    <s v="Male"/>
    <n v="79"/>
    <n v="2"/>
    <n v="5"/>
    <x v="5"/>
    <x v="2"/>
    <s v="Single"/>
    <n v="19068"/>
    <n v="21030"/>
    <n v="1"/>
    <s v="Y"/>
    <x v="0"/>
    <n v="18"/>
    <n v="3"/>
    <n v="4"/>
    <n v="80"/>
    <n v="0"/>
    <n v="33"/>
    <n v="2"/>
    <n v="4"/>
    <n v="33"/>
    <n v="7"/>
    <n v="15"/>
    <n v="12"/>
    <x v="2"/>
    <x v="3"/>
    <s v="Medium"/>
    <x v="2"/>
    <s v="Excellent"/>
    <s v="Best"/>
    <n v="0"/>
    <s v="10,001+"/>
    <s v="0–5 miles"/>
    <s v="11+ years"/>
  </r>
  <r>
    <n v="32"/>
    <x v="1"/>
    <s v="Travel_Rarely"/>
    <n v="1401"/>
    <x v="0"/>
    <n v="4"/>
    <x v="0"/>
    <s v="Life Sciences"/>
    <n v="1"/>
    <n v="330"/>
    <n v="3"/>
    <s v="Female"/>
    <n v="56"/>
    <n v="3"/>
    <n v="1"/>
    <x v="6"/>
    <x v="1"/>
    <s v="Married"/>
    <n v="3931"/>
    <n v="20990"/>
    <n v="2"/>
    <s v="Y"/>
    <x v="1"/>
    <n v="11"/>
    <n v="3"/>
    <n v="1"/>
    <n v="80"/>
    <n v="1"/>
    <n v="6"/>
    <n v="5"/>
    <n v="3"/>
    <n v="4"/>
    <n v="3"/>
    <n v="1"/>
    <n v="2"/>
    <x v="0"/>
    <x v="1"/>
    <s v="High"/>
    <x v="1"/>
    <s v="Excellent"/>
    <s v="Better"/>
    <n v="0"/>
    <s v="3,001–6,000"/>
    <s v="0–5 miles"/>
    <s v="2–5 years"/>
  </r>
  <r>
    <n v="32"/>
    <x v="0"/>
    <s v="Travel_Rarely"/>
    <n v="515"/>
    <x v="1"/>
    <n v="1"/>
    <x v="3"/>
    <s v="Life Sciences"/>
    <n v="1"/>
    <n v="331"/>
    <n v="4"/>
    <s v="Male"/>
    <n v="62"/>
    <n v="2"/>
    <n v="1"/>
    <x v="2"/>
    <x v="2"/>
    <s v="Single"/>
    <n v="3730"/>
    <n v="9571"/>
    <n v="0"/>
    <s v="Y"/>
    <x v="0"/>
    <n v="14"/>
    <n v="3"/>
    <n v="4"/>
    <n v="80"/>
    <n v="0"/>
    <n v="4"/>
    <n v="2"/>
    <n v="1"/>
    <n v="3"/>
    <n v="2"/>
    <n v="1"/>
    <n v="2"/>
    <x v="3"/>
    <x v="2"/>
    <s v="Medium"/>
    <x v="2"/>
    <s v="Excellent"/>
    <s v="Bad"/>
    <n v="1"/>
    <s v="3,001–6,000"/>
    <s v="0–5 miles"/>
    <s v="2–5 years"/>
  </r>
  <r>
    <n v="39"/>
    <x v="1"/>
    <s v="Travel_Rarely"/>
    <n v="1431"/>
    <x v="1"/>
    <n v="1"/>
    <x v="2"/>
    <s v="Medical"/>
    <n v="1"/>
    <n v="332"/>
    <n v="3"/>
    <s v="Female"/>
    <n v="96"/>
    <n v="3"/>
    <n v="1"/>
    <x v="2"/>
    <x v="2"/>
    <s v="Divorced"/>
    <n v="2232"/>
    <n v="15417"/>
    <n v="7"/>
    <s v="Y"/>
    <x v="1"/>
    <n v="14"/>
    <n v="3"/>
    <n v="3"/>
    <n v="80"/>
    <n v="3"/>
    <n v="7"/>
    <n v="1"/>
    <n v="3"/>
    <n v="3"/>
    <n v="2"/>
    <n v="1"/>
    <n v="2"/>
    <x v="2"/>
    <x v="1"/>
    <s v="High"/>
    <x v="2"/>
    <s v="Excellent"/>
    <s v="Better"/>
    <n v="0"/>
    <s v="0–3,000"/>
    <s v="0–5 miles"/>
    <s v="2–5 years"/>
  </r>
  <r>
    <n v="32"/>
    <x v="1"/>
    <s v="Non-Travel"/>
    <n v="976"/>
    <x v="0"/>
    <n v="26"/>
    <x v="2"/>
    <s v="Marketing"/>
    <n v="1"/>
    <n v="333"/>
    <n v="3"/>
    <s v="Male"/>
    <n v="100"/>
    <n v="3"/>
    <n v="2"/>
    <x v="0"/>
    <x v="0"/>
    <s v="Married"/>
    <n v="4465"/>
    <n v="12069"/>
    <n v="0"/>
    <s v="Y"/>
    <x v="1"/>
    <n v="18"/>
    <n v="3"/>
    <n v="1"/>
    <n v="80"/>
    <n v="0"/>
    <n v="4"/>
    <n v="2"/>
    <n v="3"/>
    <n v="3"/>
    <n v="2"/>
    <n v="2"/>
    <n v="2"/>
    <x v="2"/>
    <x v="1"/>
    <s v="High"/>
    <x v="0"/>
    <s v="Excellent"/>
    <s v="Better"/>
    <n v="0"/>
    <s v="3,001–6,000"/>
    <s v="16+ miles"/>
    <s v="2–5 years"/>
  </r>
  <r>
    <n v="41"/>
    <x v="1"/>
    <s v="Travel_Rarely"/>
    <n v="1411"/>
    <x v="1"/>
    <n v="19"/>
    <x v="0"/>
    <s v="Life Sciences"/>
    <n v="1"/>
    <n v="334"/>
    <n v="3"/>
    <s v="Male"/>
    <n v="36"/>
    <n v="3"/>
    <n v="2"/>
    <x v="1"/>
    <x v="3"/>
    <s v="Divorced"/>
    <n v="3072"/>
    <n v="19877"/>
    <n v="2"/>
    <s v="Y"/>
    <x v="1"/>
    <n v="16"/>
    <n v="3"/>
    <n v="1"/>
    <n v="80"/>
    <n v="2"/>
    <n v="17"/>
    <n v="2"/>
    <n v="2"/>
    <n v="1"/>
    <n v="0"/>
    <n v="0"/>
    <n v="0"/>
    <x v="0"/>
    <x v="1"/>
    <s v="High"/>
    <x v="3"/>
    <s v="Excellent"/>
    <s v="Good"/>
    <n v="0"/>
    <s v="3,001–6,000"/>
    <s v="16+ miles"/>
    <s v="0–1 years"/>
  </r>
  <r>
    <n v="40"/>
    <x v="1"/>
    <s v="Travel_Rarely"/>
    <n v="1300"/>
    <x v="1"/>
    <n v="24"/>
    <x v="0"/>
    <s v="Technical Degree"/>
    <n v="1"/>
    <n v="335"/>
    <n v="1"/>
    <s v="Male"/>
    <n v="62"/>
    <n v="3"/>
    <n v="2"/>
    <x v="1"/>
    <x v="0"/>
    <s v="Divorced"/>
    <n v="3319"/>
    <n v="24447"/>
    <n v="1"/>
    <s v="Y"/>
    <x v="1"/>
    <n v="17"/>
    <n v="3"/>
    <n v="1"/>
    <n v="80"/>
    <n v="2"/>
    <n v="9"/>
    <n v="3"/>
    <n v="3"/>
    <n v="9"/>
    <n v="8"/>
    <n v="4"/>
    <n v="7"/>
    <x v="0"/>
    <x v="3"/>
    <s v="High"/>
    <x v="0"/>
    <s v="Excellent"/>
    <s v="Better"/>
    <n v="0"/>
    <s v="3,001–6,000"/>
    <s v="16+ miles"/>
    <s v="6–10 years"/>
  </r>
  <r>
    <n v="45"/>
    <x v="1"/>
    <s v="Travel_Rarely"/>
    <n v="252"/>
    <x v="1"/>
    <n v="1"/>
    <x v="3"/>
    <s v="Other"/>
    <n v="1"/>
    <n v="336"/>
    <n v="3"/>
    <s v="Male"/>
    <n v="70"/>
    <n v="4"/>
    <n v="5"/>
    <x v="5"/>
    <x v="0"/>
    <s v="Married"/>
    <n v="19202"/>
    <n v="15970"/>
    <n v="0"/>
    <s v="Y"/>
    <x v="1"/>
    <n v="11"/>
    <n v="3"/>
    <n v="3"/>
    <n v="80"/>
    <n v="1"/>
    <n v="25"/>
    <n v="2"/>
    <n v="3"/>
    <n v="24"/>
    <n v="0"/>
    <n v="1"/>
    <n v="7"/>
    <x v="3"/>
    <x v="1"/>
    <s v="Very High"/>
    <x v="0"/>
    <s v="Excellent"/>
    <s v="Better"/>
    <n v="0"/>
    <s v="10,001+"/>
    <s v="0–5 miles"/>
    <s v="11+ years"/>
  </r>
  <r>
    <n v="31"/>
    <x v="1"/>
    <s v="Travel_Frequently"/>
    <n v="1327"/>
    <x v="1"/>
    <n v="3"/>
    <x v="2"/>
    <s v="Medical"/>
    <n v="1"/>
    <n v="337"/>
    <n v="2"/>
    <s v="Male"/>
    <n v="73"/>
    <n v="3"/>
    <n v="3"/>
    <x v="7"/>
    <x v="2"/>
    <s v="Divorced"/>
    <n v="13675"/>
    <n v="13523"/>
    <n v="9"/>
    <s v="Y"/>
    <x v="1"/>
    <n v="12"/>
    <n v="3"/>
    <n v="1"/>
    <n v="80"/>
    <n v="1"/>
    <n v="9"/>
    <n v="3"/>
    <n v="3"/>
    <n v="2"/>
    <n v="2"/>
    <n v="2"/>
    <n v="2"/>
    <x v="2"/>
    <x v="0"/>
    <s v="High"/>
    <x v="2"/>
    <s v="Excellent"/>
    <s v="Better"/>
    <n v="0"/>
    <s v="10,001+"/>
    <s v="0–5 miles"/>
    <s v="2–5 years"/>
  </r>
  <r>
    <n v="33"/>
    <x v="1"/>
    <s v="Travel_Rarely"/>
    <n v="832"/>
    <x v="1"/>
    <n v="5"/>
    <x v="2"/>
    <s v="Life Sciences"/>
    <n v="1"/>
    <n v="338"/>
    <n v="3"/>
    <s v="Female"/>
    <n v="63"/>
    <n v="2"/>
    <n v="1"/>
    <x v="1"/>
    <x v="0"/>
    <s v="Married"/>
    <n v="2911"/>
    <n v="14776"/>
    <n v="1"/>
    <s v="Y"/>
    <x v="1"/>
    <n v="13"/>
    <n v="3"/>
    <n v="3"/>
    <n v="80"/>
    <n v="1"/>
    <n v="2"/>
    <n v="2"/>
    <n v="2"/>
    <n v="2"/>
    <n v="2"/>
    <n v="0"/>
    <n v="2"/>
    <x v="2"/>
    <x v="1"/>
    <s v="Medium"/>
    <x v="0"/>
    <s v="Excellent"/>
    <s v="Good"/>
    <n v="0"/>
    <s v="0–3,000"/>
    <s v="0–5 miles"/>
    <s v="2–5 years"/>
  </r>
  <r>
    <n v="34"/>
    <x v="1"/>
    <s v="Travel_Rarely"/>
    <n v="470"/>
    <x v="1"/>
    <n v="2"/>
    <x v="2"/>
    <s v="Life Sciences"/>
    <n v="1"/>
    <n v="339"/>
    <n v="4"/>
    <s v="Male"/>
    <n v="84"/>
    <n v="2"/>
    <n v="2"/>
    <x v="3"/>
    <x v="3"/>
    <s v="Married"/>
    <n v="5957"/>
    <n v="23687"/>
    <n v="6"/>
    <s v="Y"/>
    <x v="1"/>
    <n v="13"/>
    <n v="3"/>
    <n v="2"/>
    <n v="80"/>
    <n v="1"/>
    <n v="13"/>
    <n v="3"/>
    <n v="3"/>
    <n v="11"/>
    <n v="9"/>
    <n v="5"/>
    <n v="9"/>
    <x v="2"/>
    <x v="2"/>
    <s v="Medium"/>
    <x v="3"/>
    <s v="Excellent"/>
    <s v="Better"/>
    <n v="0"/>
    <s v="3,001–6,000"/>
    <s v="0–5 miles"/>
    <s v="11+ years"/>
  </r>
  <r>
    <n v="37"/>
    <x v="1"/>
    <s v="Travel_Rarely"/>
    <n v="1017"/>
    <x v="1"/>
    <n v="1"/>
    <x v="0"/>
    <s v="Medical"/>
    <n v="1"/>
    <n v="340"/>
    <n v="3"/>
    <s v="Female"/>
    <n v="83"/>
    <n v="2"/>
    <n v="1"/>
    <x v="1"/>
    <x v="3"/>
    <s v="Married"/>
    <n v="3920"/>
    <n v="18697"/>
    <n v="2"/>
    <s v="Y"/>
    <x v="1"/>
    <n v="14"/>
    <n v="3"/>
    <n v="1"/>
    <n v="80"/>
    <n v="1"/>
    <n v="17"/>
    <n v="2"/>
    <n v="2"/>
    <n v="3"/>
    <n v="1"/>
    <n v="0"/>
    <n v="2"/>
    <x v="0"/>
    <x v="1"/>
    <s v="Medium"/>
    <x v="3"/>
    <s v="Excellent"/>
    <s v="Good"/>
    <n v="0"/>
    <s v="3,001–6,000"/>
    <s v="0–5 miles"/>
    <s v="2–5 years"/>
  </r>
  <r>
    <n v="45"/>
    <x v="1"/>
    <s v="Travel_Frequently"/>
    <n v="1199"/>
    <x v="1"/>
    <n v="7"/>
    <x v="2"/>
    <s v="Life Sciences"/>
    <n v="1"/>
    <n v="341"/>
    <n v="1"/>
    <s v="Male"/>
    <n v="77"/>
    <n v="4"/>
    <n v="2"/>
    <x v="3"/>
    <x v="2"/>
    <s v="Married"/>
    <n v="6434"/>
    <n v="5118"/>
    <n v="4"/>
    <s v="Y"/>
    <x v="1"/>
    <n v="17"/>
    <n v="3"/>
    <n v="4"/>
    <n v="80"/>
    <n v="1"/>
    <n v="9"/>
    <n v="1"/>
    <n v="3"/>
    <n v="3"/>
    <n v="2"/>
    <n v="0"/>
    <n v="2"/>
    <x v="2"/>
    <x v="3"/>
    <s v="Very High"/>
    <x v="2"/>
    <s v="Excellent"/>
    <s v="Better"/>
    <n v="0"/>
    <s v="6,001–10,000"/>
    <s v="6–10 miles"/>
    <s v="2–5 years"/>
  </r>
  <r>
    <n v="37"/>
    <x v="0"/>
    <s v="Travel_Frequently"/>
    <n v="504"/>
    <x v="1"/>
    <n v="10"/>
    <x v="3"/>
    <s v="Medical"/>
    <n v="1"/>
    <n v="342"/>
    <n v="1"/>
    <s v="Male"/>
    <n v="61"/>
    <n v="3"/>
    <n v="3"/>
    <x v="3"/>
    <x v="2"/>
    <s v="Divorced"/>
    <n v="10048"/>
    <n v="22573"/>
    <n v="6"/>
    <s v="Y"/>
    <x v="1"/>
    <n v="11"/>
    <n v="3"/>
    <n v="2"/>
    <n v="80"/>
    <n v="2"/>
    <n v="17"/>
    <n v="5"/>
    <n v="3"/>
    <n v="1"/>
    <n v="0"/>
    <n v="0"/>
    <n v="0"/>
    <x v="3"/>
    <x v="3"/>
    <s v="High"/>
    <x v="2"/>
    <s v="Excellent"/>
    <s v="Better"/>
    <n v="1"/>
    <s v="10,001+"/>
    <s v="6–10 miles"/>
    <s v="0–1 years"/>
  </r>
  <r>
    <n v="39"/>
    <x v="1"/>
    <s v="Travel_Frequently"/>
    <n v="505"/>
    <x v="1"/>
    <n v="2"/>
    <x v="2"/>
    <s v="Technical Degree"/>
    <n v="1"/>
    <n v="343"/>
    <n v="3"/>
    <s v="Female"/>
    <n v="64"/>
    <n v="3"/>
    <n v="3"/>
    <x v="4"/>
    <x v="2"/>
    <s v="Single"/>
    <n v="10938"/>
    <n v="6420"/>
    <n v="0"/>
    <s v="Y"/>
    <x v="1"/>
    <n v="25"/>
    <n v="4"/>
    <n v="4"/>
    <n v="80"/>
    <n v="0"/>
    <n v="20"/>
    <n v="1"/>
    <n v="3"/>
    <n v="19"/>
    <n v="6"/>
    <n v="11"/>
    <n v="8"/>
    <x v="2"/>
    <x v="1"/>
    <s v="High"/>
    <x v="2"/>
    <s v="Outstanding"/>
    <s v="Better"/>
    <n v="0"/>
    <s v="10,001+"/>
    <s v="0–5 miles"/>
    <s v="11+ years"/>
  </r>
  <r>
    <n v="29"/>
    <x v="1"/>
    <s v="Travel_Rarely"/>
    <n v="665"/>
    <x v="1"/>
    <n v="15"/>
    <x v="3"/>
    <s v="Life Sciences"/>
    <n v="1"/>
    <n v="346"/>
    <n v="3"/>
    <s v="Male"/>
    <n v="60"/>
    <n v="3"/>
    <n v="1"/>
    <x v="1"/>
    <x v="0"/>
    <s v="Single"/>
    <n v="2340"/>
    <n v="22673"/>
    <n v="1"/>
    <s v="Y"/>
    <x v="1"/>
    <n v="19"/>
    <n v="3"/>
    <n v="1"/>
    <n v="80"/>
    <n v="0"/>
    <n v="6"/>
    <n v="1"/>
    <n v="3"/>
    <n v="6"/>
    <n v="5"/>
    <n v="1"/>
    <n v="5"/>
    <x v="3"/>
    <x v="1"/>
    <s v="High"/>
    <x v="0"/>
    <s v="Excellent"/>
    <s v="Better"/>
    <n v="0"/>
    <s v="0–3,000"/>
    <s v="11–15 miles"/>
    <s v="6–10 years"/>
  </r>
  <r>
    <n v="42"/>
    <x v="1"/>
    <s v="Travel_Rarely"/>
    <n v="916"/>
    <x v="1"/>
    <n v="17"/>
    <x v="0"/>
    <s v="Life Sciences"/>
    <n v="1"/>
    <n v="347"/>
    <n v="4"/>
    <s v="Female"/>
    <n v="82"/>
    <n v="4"/>
    <n v="2"/>
    <x v="1"/>
    <x v="3"/>
    <s v="Single"/>
    <n v="6545"/>
    <n v="23016"/>
    <n v="3"/>
    <s v="Y"/>
    <x v="0"/>
    <n v="13"/>
    <n v="3"/>
    <n v="3"/>
    <n v="80"/>
    <n v="0"/>
    <n v="10"/>
    <n v="1"/>
    <n v="3"/>
    <n v="3"/>
    <n v="2"/>
    <n v="0"/>
    <n v="2"/>
    <x v="0"/>
    <x v="2"/>
    <s v="Very High"/>
    <x v="3"/>
    <s v="Excellent"/>
    <s v="Better"/>
    <n v="0"/>
    <s v="6,001–10,000"/>
    <s v="16+ miles"/>
    <s v="2–5 years"/>
  </r>
  <r>
    <n v="29"/>
    <x v="1"/>
    <s v="Travel_Rarely"/>
    <n v="1247"/>
    <x v="0"/>
    <n v="20"/>
    <x v="0"/>
    <s v="Marketing"/>
    <n v="1"/>
    <n v="349"/>
    <n v="4"/>
    <s v="Male"/>
    <n v="45"/>
    <n v="3"/>
    <n v="2"/>
    <x v="0"/>
    <x v="0"/>
    <s v="Divorced"/>
    <n v="6931"/>
    <n v="10732"/>
    <n v="2"/>
    <s v="Y"/>
    <x v="1"/>
    <n v="14"/>
    <n v="3"/>
    <n v="4"/>
    <n v="80"/>
    <n v="1"/>
    <n v="10"/>
    <n v="2"/>
    <n v="3"/>
    <n v="3"/>
    <n v="2"/>
    <n v="0"/>
    <n v="2"/>
    <x v="0"/>
    <x v="2"/>
    <s v="High"/>
    <x v="0"/>
    <s v="Excellent"/>
    <s v="Better"/>
    <n v="0"/>
    <s v="6,001–10,000"/>
    <s v="16+ miles"/>
    <s v="2–5 years"/>
  </r>
  <r>
    <n v="25"/>
    <x v="1"/>
    <s v="Travel_Rarely"/>
    <n v="685"/>
    <x v="1"/>
    <n v="1"/>
    <x v="3"/>
    <s v="Life Sciences"/>
    <n v="1"/>
    <n v="350"/>
    <n v="1"/>
    <s v="Female"/>
    <n v="62"/>
    <n v="3"/>
    <n v="2"/>
    <x v="3"/>
    <x v="2"/>
    <s v="Married"/>
    <n v="4898"/>
    <n v="7505"/>
    <n v="0"/>
    <s v="Y"/>
    <x v="1"/>
    <n v="12"/>
    <n v="3"/>
    <n v="4"/>
    <n v="80"/>
    <n v="2"/>
    <n v="5"/>
    <n v="3"/>
    <n v="3"/>
    <n v="4"/>
    <n v="2"/>
    <n v="1"/>
    <n v="2"/>
    <x v="3"/>
    <x v="3"/>
    <s v="High"/>
    <x v="2"/>
    <s v="Excellent"/>
    <s v="Better"/>
    <n v="0"/>
    <s v="3,001–6,000"/>
    <s v="0–5 miles"/>
    <s v="2–5 years"/>
  </r>
  <r>
    <n v="42"/>
    <x v="1"/>
    <s v="Travel_Rarely"/>
    <n v="269"/>
    <x v="1"/>
    <n v="2"/>
    <x v="3"/>
    <s v="Medical"/>
    <n v="1"/>
    <n v="351"/>
    <n v="4"/>
    <s v="Female"/>
    <n v="56"/>
    <n v="2"/>
    <n v="1"/>
    <x v="2"/>
    <x v="3"/>
    <s v="Divorced"/>
    <n v="2593"/>
    <n v="8007"/>
    <n v="0"/>
    <s v="Y"/>
    <x v="0"/>
    <n v="11"/>
    <n v="3"/>
    <n v="3"/>
    <n v="80"/>
    <n v="1"/>
    <n v="10"/>
    <n v="4"/>
    <n v="3"/>
    <n v="9"/>
    <n v="6"/>
    <n v="7"/>
    <n v="8"/>
    <x v="3"/>
    <x v="2"/>
    <s v="Medium"/>
    <x v="3"/>
    <s v="Excellent"/>
    <s v="Better"/>
    <n v="0"/>
    <s v="0–3,000"/>
    <s v="0–5 miles"/>
    <s v="6–10 years"/>
  </r>
  <r>
    <n v="40"/>
    <x v="1"/>
    <s v="Travel_Rarely"/>
    <n v="1416"/>
    <x v="1"/>
    <n v="2"/>
    <x v="0"/>
    <s v="Medical"/>
    <n v="1"/>
    <n v="352"/>
    <n v="1"/>
    <s v="Male"/>
    <n v="49"/>
    <n v="3"/>
    <n v="5"/>
    <x v="7"/>
    <x v="2"/>
    <s v="Divorced"/>
    <n v="19436"/>
    <n v="5949"/>
    <n v="0"/>
    <s v="Y"/>
    <x v="1"/>
    <n v="19"/>
    <n v="3"/>
    <n v="4"/>
    <n v="80"/>
    <n v="1"/>
    <n v="22"/>
    <n v="5"/>
    <n v="3"/>
    <n v="21"/>
    <n v="7"/>
    <n v="3"/>
    <n v="9"/>
    <x v="0"/>
    <x v="3"/>
    <s v="High"/>
    <x v="2"/>
    <s v="Excellent"/>
    <s v="Better"/>
    <n v="0"/>
    <s v="10,001+"/>
    <s v="0–5 miles"/>
    <s v="11+ years"/>
  </r>
  <r>
    <n v="51"/>
    <x v="1"/>
    <s v="Travel_Rarely"/>
    <n v="833"/>
    <x v="1"/>
    <n v="1"/>
    <x v="3"/>
    <s v="Life Sciences"/>
    <n v="1"/>
    <n v="353"/>
    <n v="3"/>
    <s v="Male"/>
    <n v="96"/>
    <n v="3"/>
    <n v="1"/>
    <x v="1"/>
    <x v="0"/>
    <s v="Married"/>
    <n v="2723"/>
    <n v="23231"/>
    <n v="1"/>
    <s v="Y"/>
    <x v="1"/>
    <n v="11"/>
    <n v="3"/>
    <n v="2"/>
    <n v="80"/>
    <n v="0"/>
    <n v="1"/>
    <n v="0"/>
    <n v="2"/>
    <n v="1"/>
    <n v="0"/>
    <n v="0"/>
    <n v="0"/>
    <x v="3"/>
    <x v="1"/>
    <s v="High"/>
    <x v="0"/>
    <s v="Excellent"/>
    <s v="Good"/>
    <n v="0"/>
    <s v="0–3,000"/>
    <s v="0–5 miles"/>
    <s v="0–1 years"/>
  </r>
  <r>
    <n v="31"/>
    <x v="0"/>
    <s v="Travel_Frequently"/>
    <n v="307"/>
    <x v="1"/>
    <n v="29"/>
    <x v="0"/>
    <s v="Medical"/>
    <n v="1"/>
    <n v="355"/>
    <n v="3"/>
    <s v="Male"/>
    <n v="71"/>
    <n v="2"/>
    <n v="1"/>
    <x v="2"/>
    <x v="1"/>
    <s v="Single"/>
    <n v="3479"/>
    <n v="11652"/>
    <n v="0"/>
    <s v="Y"/>
    <x v="1"/>
    <n v="11"/>
    <n v="3"/>
    <n v="2"/>
    <n v="80"/>
    <n v="0"/>
    <n v="6"/>
    <n v="2"/>
    <n v="4"/>
    <n v="5"/>
    <n v="4"/>
    <n v="1"/>
    <n v="4"/>
    <x v="0"/>
    <x v="1"/>
    <s v="Medium"/>
    <x v="1"/>
    <s v="Excellent"/>
    <s v="Best"/>
    <n v="1"/>
    <s v="3,001–6,000"/>
    <s v="16+ miles"/>
    <s v="2–5 years"/>
  </r>
  <r>
    <n v="32"/>
    <x v="1"/>
    <s v="Travel_Frequently"/>
    <n v="1311"/>
    <x v="1"/>
    <n v="7"/>
    <x v="3"/>
    <s v="Life Sciences"/>
    <n v="1"/>
    <n v="359"/>
    <n v="2"/>
    <s v="Male"/>
    <n v="100"/>
    <n v="4"/>
    <n v="1"/>
    <x v="2"/>
    <x v="1"/>
    <s v="Married"/>
    <n v="2794"/>
    <n v="26062"/>
    <n v="1"/>
    <s v="Y"/>
    <x v="1"/>
    <n v="20"/>
    <n v="4"/>
    <n v="3"/>
    <n v="80"/>
    <n v="0"/>
    <n v="5"/>
    <n v="3"/>
    <n v="1"/>
    <n v="5"/>
    <n v="1"/>
    <n v="0"/>
    <n v="3"/>
    <x v="3"/>
    <x v="0"/>
    <s v="Very High"/>
    <x v="1"/>
    <s v="Outstanding"/>
    <s v="Bad"/>
    <n v="0"/>
    <s v="0–3,000"/>
    <s v="6–10 miles"/>
    <s v="2–5 years"/>
  </r>
  <r>
    <n v="38"/>
    <x v="1"/>
    <s v="Non-Travel"/>
    <n v="1327"/>
    <x v="0"/>
    <n v="2"/>
    <x v="0"/>
    <s v="Life Sciences"/>
    <n v="1"/>
    <n v="361"/>
    <n v="4"/>
    <s v="Male"/>
    <n v="39"/>
    <n v="2"/>
    <n v="2"/>
    <x v="0"/>
    <x v="0"/>
    <s v="Married"/>
    <n v="5249"/>
    <n v="19682"/>
    <n v="3"/>
    <s v="Y"/>
    <x v="1"/>
    <n v="18"/>
    <n v="3"/>
    <n v="4"/>
    <n v="80"/>
    <n v="1"/>
    <n v="13"/>
    <n v="0"/>
    <n v="3"/>
    <n v="8"/>
    <n v="7"/>
    <n v="7"/>
    <n v="5"/>
    <x v="0"/>
    <x v="2"/>
    <s v="Medium"/>
    <x v="0"/>
    <s v="Excellent"/>
    <s v="Better"/>
    <n v="0"/>
    <s v="3,001–6,000"/>
    <s v="0–5 miles"/>
    <s v="6–10 years"/>
  </r>
  <r>
    <n v="32"/>
    <x v="1"/>
    <s v="Travel_Rarely"/>
    <n v="128"/>
    <x v="1"/>
    <n v="2"/>
    <x v="1"/>
    <s v="Technical Degree"/>
    <n v="1"/>
    <n v="362"/>
    <n v="4"/>
    <s v="Male"/>
    <n v="84"/>
    <n v="2"/>
    <n v="2"/>
    <x v="2"/>
    <x v="3"/>
    <s v="Single"/>
    <n v="2176"/>
    <n v="19737"/>
    <n v="4"/>
    <s v="Y"/>
    <x v="1"/>
    <n v="13"/>
    <n v="3"/>
    <n v="4"/>
    <n v="80"/>
    <n v="0"/>
    <n v="9"/>
    <n v="5"/>
    <n v="3"/>
    <n v="6"/>
    <n v="2"/>
    <n v="0"/>
    <n v="4"/>
    <x v="1"/>
    <x v="2"/>
    <s v="Medium"/>
    <x v="3"/>
    <s v="Excellent"/>
    <s v="Better"/>
    <n v="0"/>
    <s v="0–3,000"/>
    <s v="0–5 miles"/>
    <s v="6–10 years"/>
  </r>
  <r>
    <n v="46"/>
    <x v="1"/>
    <s v="Travel_Rarely"/>
    <n v="488"/>
    <x v="0"/>
    <n v="2"/>
    <x v="3"/>
    <s v="Technical Degree"/>
    <n v="1"/>
    <n v="363"/>
    <n v="3"/>
    <s v="Female"/>
    <n v="75"/>
    <n v="1"/>
    <n v="4"/>
    <x v="5"/>
    <x v="1"/>
    <s v="Married"/>
    <n v="16872"/>
    <n v="14977"/>
    <n v="3"/>
    <s v="Y"/>
    <x v="0"/>
    <n v="12"/>
    <n v="3"/>
    <n v="2"/>
    <n v="80"/>
    <n v="1"/>
    <n v="28"/>
    <n v="2"/>
    <n v="2"/>
    <n v="7"/>
    <n v="7"/>
    <n v="7"/>
    <n v="7"/>
    <x v="3"/>
    <x v="1"/>
    <s v="Low"/>
    <x v="1"/>
    <s v="Excellent"/>
    <s v="Good"/>
    <n v="0"/>
    <s v="10,001+"/>
    <s v="0–5 miles"/>
    <s v="6–10 years"/>
  </r>
  <r>
    <n v="28"/>
    <x v="0"/>
    <s v="Travel_Rarely"/>
    <n v="529"/>
    <x v="1"/>
    <n v="2"/>
    <x v="2"/>
    <s v="Life Sciences"/>
    <n v="1"/>
    <n v="364"/>
    <n v="1"/>
    <s v="Male"/>
    <n v="79"/>
    <n v="3"/>
    <n v="1"/>
    <x v="2"/>
    <x v="2"/>
    <s v="Single"/>
    <n v="3485"/>
    <n v="14935"/>
    <n v="2"/>
    <s v="Y"/>
    <x v="1"/>
    <n v="11"/>
    <n v="3"/>
    <n v="3"/>
    <n v="80"/>
    <n v="0"/>
    <n v="5"/>
    <n v="5"/>
    <n v="1"/>
    <n v="0"/>
    <n v="0"/>
    <n v="0"/>
    <n v="0"/>
    <x v="2"/>
    <x v="3"/>
    <s v="High"/>
    <x v="2"/>
    <s v="Excellent"/>
    <s v="Bad"/>
    <n v="1"/>
    <s v="3,001–6,000"/>
    <s v="0–5 miles"/>
    <s v="0–1 years"/>
  </r>
  <r>
    <n v="29"/>
    <x v="1"/>
    <s v="Travel_Rarely"/>
    <n v="1210"/>
    <x v="0"/>
    <n v="2"/>
    <x v="3"/>
    <s v="Medical"/>
    <n v="1"/>
    <n v="366"/>
    <n v="1"/>
    <s v="Male"/>
    <n v="78"/>
    <n v="2"/>
    <n v="2"/>
    <x v="0"/>
    <x v="1"/>
    <s v="Married"/>
    <n v="6644"/>
    <n v="3687"/>
    <n v="2"/>
    <s v="Y"/>
    <x v="1"/>
    <n v="19"/>
    <n v="3"/>
    <n v="2"/>
    <n v="80"/>
    <n v="2"/>
    <n v="10"/>
    <n v="2"/>
    <n v="3"/>
    <n v="0"/>
    <n v="0"/>
    <n v="0"/>
    <n v="0"/>
    <x v="3"/>
    <x v="3"/>
    <s v="Medium"/>
    <x v="1"/>
    <s v="Excellent"/>
    <s v="Better"/>
    <n v="0"/>
    <s v="6,001–10,000"/>
    <s v="0–5 miles"/>
    <s v="0–1 years"/>
  </r>
  <r>
    <n v="31"/>
    <x v="1"/>
    <s v="Travel_Rarely"/>
    <n v="1463"/>
    <x v="1"/>
    <n v="23"/>
    <x v="3"/>
    <s v="Medical"/>
    <n v="1"/>
    <n v="367"/>
    <n v="2"/>
    <s v="Male"/>
    <n v="64"/>
    <n v="2"/>
    <n v="2"/>
    <x v="4"/>
    <x v="0"/>
    <s v="Married"/>
    <n v="5582"/>
    <n v="14408"/>
    <n v="0"/>
    <s v="Y"/>
    <x v="1"/>
    <n v="21"/>
    <n v="4"/>
    <n v="2"/>
    <n v="80"/>
    <n v="1"/>
    <n v="10"/>
    <n v="2"/>
    <n v="3"/>
    <n v="9"/>
    <n v="0"/>
    <n v="7"/>
    <n v="8"/>
    <x v="3"/>
    <x v="0"/>
    <s v="Medium"/>
    <x v="0"/>
    <s v="Outstanding"/>
    <s v="Better"/>
    <n v="0"/>
    <s v="3,001–6,000"/>
    <s v="16+ miles"/>
    <s v="6–10 years"/>
  </r>
  <r>
    <n v="25"/>
    <x v="1"/>
    <s v="Non-Travel"/>
    <n v="675"/>
    <x v="1"/>
    <n v="5"/>
    <x v="0"/>
    <s v="Life Sciences"/>
    <n v="1"/>
    <n v="369"/>
    <n v="2"/>
    <s v="Male"/>
    <n v="85"/>
    <n v="4"/>
    <n v="2"/>
    <x v="4"/>
    <x v="3"/>
    <s v="Divorced"/>
    <n v="4000"/>
    <n v="18384"/>
    <n v="1"/>
    <s v="Y"/>
    <x v="1"/>
    <n v="12"/>
    <n v="3"/>
    <n v="4"/>
    <n v="80"/>
    <n v="2"/>
    <n v="6"/>
    <n v="2"/>
    <n v="3"/>
    <n v="6"/>
    <n v="3"/>
    <n v="1"/>
    <n v="5"/>
    <x v="0"/>
    <x v="0"/>
    <s v="Very High"/>
    <x v="3"/>
    <s v="Excellent"/>
    <s v="Better"/>
    <n v="0"/>
    <s v="3,001–6,000"/>
    <s v="0–5 miles"/>
    <s v="6–10 years"/>
  </r>
  <r>
    <n v="45"/>
    <x v="1"/>
    <s v="Travel_Rarely"/>
    <n v="1385"/>
    <x v="1"/>
    <n v="20"/>
    <x v="0"/>
    <s v="Medical"/>
    <n v="1"/>
    <n v="372"/>
    <n v="3"/>
    <s v="Male"/>
    <n v="79"/>
    <n v="3"/>
    <n v="4"/>
    <x v="4"/>
    <x v="0"/>
    <s v="Married"/>
    <n v="13496"/>
    <n v="7501"/>
    <n v="0"/>
    <s v="Y"/>
    <x v="0"/>
    <n v="14"/>
    <n v="3"/>
    <n v="2"/>
    <n v="80"/>
    <n v="0"/>
    <n v="21"/>
    <n v="2"/>
    <n v="3"/>
    <n v="20"/>
    <n v="7"/>
    <n v="4"/>
    <n v="10"/>
    <x v="0"/>
    <x v="1"/>
    <s v="High"/>
    <x v="0"/>
    <s v="Excellent"/>
    <s v="Better"/>
    <n v="0"/>
    <s v="10,001+"/>
    <s v="16+ miles"/>
    <s v="11+ years"/>
  </r>
  <r>
    <n v="36"/>
    <x v="1"/>
    <s v="Travel_Rarely"/>
    <n v="1403"/>
    <x v="1"/>
    <n v="6"/>
    <x v="3"/>
    <s v="Life Sciences"/>
    <n v="1"/>
    <n v="373"/>
    <n v="4"/>
    <s v="Male"/>
    <n v="47"/>
    <n v="3"/>
    <n v="1"/>
    <x v="2"/>
    <x v="0"/>
    <s v="Married"/>
    <n v="3210"/>
    <n v="20251"/>
    <n v="0"/>
    <s v="Y"/>
    <x v="1"/>
    <n v="11"/>
    <n v="3"/>
    <n v="3"/>
    <n v="80"/>
    <n v="1"/>
    <n v="16"/>
    <n v="4"/>
    <n v="3"/>
    <n v="15"/>
    <n v="13"/>
    <n v="10"/>
    <n v="11"/>
    <x v="3"/>
    <x v="2"/>
    <s v="High"/>
    <x v="0"/>
    <s v="Excellent"/>
    <s v="Better"/>
    <n v="0"/>
    <s v="3,001–6,000"/>
    <s v="6–10 miles"/>
    <s v="11+ years"/>
  </r>
  <r>
    <n v="55"/>
    <x v="1"/>
    <s v="Travel_Rarely"/>
    <n v="452"/>
    <x v="1"/>
    <n v="1"/>
    <x v="3"/>
    <s v="Medical"/>
    <n v="1"/>
    <n v="374"/>
    <n v="4"/>
    <s v="Male"/>
    <n v="81"/>
    <n v="3"/>
    <n v="5"/>
    <x v="5"/>
    <x v="3"/>
    <s v="Single"/>
    <n v="19045"/>
    <n v="18938"/>
    <n v="0"/>
    <s v="Y"/>
    <x v="0"/>
    <n v="14"/>
    <n v="3"/>
    <n v="3"/>
    <n v="80"/>
    <n v="0"/>
    <n v="37"/>
    <n v="2"/>
    <n v="3"/>
    <n v="36"/>
    <n v="10"/>
    <n v="4"/>
    <n v="13"/>
    <x v="3"/>
    <x v="2"/>
    <s v="High"/>
    <x v="3"/>
    <s v="Excellent"/>
    <s v="Better"/>
    <n v="0"/>
    <s v="10,001+"/>
    <s v="0–5 miles"/>
    <s v="11+ years"/>
  </r>
  <r>
    <n v="47"/>
    <x v="0"/>
    <s v="Non-Travel"/>
    <n v="666"/>
    <x v="1"/>
    <n v="29"/>
    <x v="2"/>
    <s v="Life Sciences"/>
    <n v="1"/>
    <n v="376"/>
    <n v="1"/>
    <s v="Male"/>
    <n v="88"/>
    <n v="3"/>
    <n v="3"/>
    <x v="5"/>
    <x v="1"/>
    <s v="Married"/>
    <n v="11849"/>
    <n v="10268"/>
    <n v="1"/>
    <s v="Y"/>
    <x v="0"/>
    <n v="12"/>
    <n v="3"/>
    <n v="4"/>
    <n v="80"/>
    <n v="1"/>
    <n v="10"/>
    <n v="2"/>
    <n v="2"/>
    <n v="10"/>
    <n v="7"/>
    <n v="9"/>
    <n v="9"/>
    <x v="2"/>
    <x v="3"/>
    <s v="High"/>
    <x v="1"/>
    <s v="Excellent"/>
    <s v="Good"/>
    <n v="1"/>
    <s v="10,001+"/>
    <s v="16+ miles"/>
    <s v="6–10 years"/>
  </r>
  <r>
    <n v="28"/>
    <x v="1"/>
    <s v="Travel_Rarely"/>
    <n v="1158"/>
    <x v="1"/>
    <n v="9"/>
    <x v="3"/>
    <s v="Medical"/>
    <n v="1"/>
    <n v="377"/>
    <n v="4"/>
    <s v="Male"/>
    <n v="94"/>
    <n v="3"/>
    <n v="1"/>
    <x v="1"/>
    <x v="0"/>
    <s v="Married"/>
    <n v="2070"/>
    <n v="2613"/>
    <n v="1"/>
    <s v="Y"/>
    <x v="1"/>
    <n v="23"/>
    <n v="4"/>
    <n v="4"/>
    <n v="80"/>
    <n v="1"/>
    <n v="5"/>
    <n v="3"/>
    <n v="2"/>
    <n v="5"/>
    <n v="2"/>
    <n v="0"/>
    <n v="4"/>
    <x v="3"/>
    <x v="2"/>
    <s v="High"/>
    <x v="0"/>
    <s v="Outstanding"/>
    <s v="Good"/>
    <n v="0"/>
    <s v="0–3,000"/>
    <s v="6–10 miles"/>
    <s v="2–5 years"/>
  </r>
  <r>
    <n v="37"/>
    <x v="1"/>
    <s v="Travel_Rarely"/>
    <n v="228"/>
    <x v="0"/>
    <n v="6"/>
    <x v="2"/>
    <s v="Medical"/>
    <n v="1"/>
    <n v="378"/>
    <n v="3"/>
    <s v="Male"/>
    <n v="98"/>
    <n v="3"/>
    <n v="2"/>
    <x v="0"/>
    <x v="0"/>
    <s v="Married"/>
    <n v="6502"/>
    <n v="22825"/>
    <n v="4"/>
    <s v="Y"/>
    <x v="1"/>
    <n v="14"/>
    <n v="3"/>
    <n v="2"/>
    <n v="80"/>
    <n v="1"/>
    <n v="7"/>
    <n v="5"/>
    <n v="4"/>
    <n v="5"/>
    <n v="4"/>
    <n v="0"/>
    <n v="1"/>
    <x v="2"/>
    <x v="1"/>
    <s v="High"/>
    <x v="0"/>
    <s v="Excellent"/>
    <s v="Best"/>
    <n v="0"/>
    <s v="6,001–10,000"/>
    <s v="6–10 miles"/>
    <s v="2–5 years"/>
  </r>
  <r>
    <n v="21"/>
    <x v="1"/>
    <s v="Travel_Rarely"/>
    <n v="996"/>
    <x v="1"/>
    <n v="3"/>
    <x v="0"/>
    <s v="Medical"/>
    <n v="1"/>
    <n v="379"/>
    <n v="4"/>
    <s v="Male"/>
    <n v="100"/>
    <n v="2"/>
    <n v="1"/>
    <x v="1"/>
    <x v="2"/>
    <s v="Single"/>
    <n v="3230"/>
    <n v="10531"/>
    <n v="1"/>
    <s v="Y"/>
    <x v="1"/>
    <n v="17"/>
    <n v="3"/>
    <n v="1"/>
    <n v="80"/>
    <n v="0"/>
    <n v="3"/>
    <n v="4"/>
    <n v="4"/>
    <n v="3"/>
    <n v="2"/>
    <n v="1"/>
    <n v="0"/>
    <x v="0"/>
    <x v="2"/>
    <s v="Medium"/>
    <x v="2"/>
    <s v="Excellent"/>
    <s v="Best"/>
    <n v="0"/>
    <s v="3,001–6,000"/>
    <s v="0–5 miles"/>
    <s v="2–5 years"/>
  </r>
  <r>
    <n v="37"/>
    <x v="1"/>
    <s v="Non-Travel"/>
    <n v="728"/>
    <x v="1"/>
    <n v="1"/>
    <x v="2"/>
    <s v="Medical"/>
    <n v="1"/>
    <n v="380"/>
    <n v="1"/>
    <s v="Female"/>
    <n v="80"/>
    <n v="3"/>
    <n v="3"/>
    <x v="7"/>
    <x v="0"/>
    <s v="Divorced"/>
    <n v="13603"/>
    <n v="11677"/>
    <n v="2"/>
    <s v="Y"/>
    <x v="0"/>
    <n v="18"/>
    <n v="3"/>
    <n v="1"/>
    <n v="80"/>
    <n v="2"/>
    <n v="15"/>
    <n v="2"/>
    <n v="3"/>
    <n v="5"/>
    <n v="2"/>
    <n v="0"/>
    <n v="2"/>
    <x v="2"/>
    <x v="3"/>
    <s v="High"/>
    <x v="0"/>
    <s v="Excellent"/>
    <s v="Better"/>
    <n v="0"/>
    <s v="10,001+"/>
    <s v="0–5 miles"/>
    <s v="2–5 years"/>
  </r>
  <r>
    <n v="35"/>
    <x v="1"/>
    <s v="Travel_Rarely"/>
    <n v="1315"/>
    <x v="1"/>
    <n v="22"/>
    <x v="3"/>
    <s v="Life Sciences"/>
    <n v="1"/>
    <n v="381"/>
    <n v="2"/>
    <s v="Female"/>
    <n v="71"/>
    <n v="4"/>
    <n v="3"/>
    <x v="5"/>
    <x v="1"/>
    <s v="Divorced"/>
    <n v="11996"/>
    <n v="19100"/>
    <n v="7"/>
    <s v="Y"/>
    <x v="1"/>
    <n v="18"/>
    <n v="3"/>
    <n v="2"/>
    <n v="80"/>
    <n v="1"/>
    <n v="10"/>
    <n v="6"/>
    <n v="2"/>
    <n v="7"/>
    <n v="7"/>
    <n v="6"/>
    <n v="2"/>
    <x v="3"/>
    <x v="0"/>
    <s v="Very High"/>
    <x v="1"/>
    <s v="Excellent"/>
    <s v="Good"/>
    <n v="0"/>
    <s v="10,001+"/>
    <s v="16+ miles"/>
    <s v="6–10 years"/>
  </r>
  <r>
    <n v="38"/>
    <x v="1"/>
    <s v="Travel_Rarely"/>
    <n v="322"/>
    <x v="0"/>
    <n v="7"/>
    <x v="0"/>
    <s v="Medical"/>
    <n v="1"/>
    <n v="382"/>
    <n v="1"/>
    <s v="Female"/>
    <n v="44"/>
    <n v="4"/>
    <n v="2"/>
    <x v="0"/>
    <x v="3"/>
    <s v="Divorced"/>
    <n v="5605"/>
    <n v="19191"/>
    <n v="1"/>
    <s v="Y"/>
    <x v="0"/>
    <n v="24"/>
    <n v="4"/>
    <n v="3"/>
    <n v="80"/>
    <n v="1"/>
    <n v="8"/>
    <n v="3"/>
    <n v="3"/>
    <n v="8"/>
    <n v="0"/>
    <n v="7"/>
    <n v="7"/>
    <x v="0"/>
    <x v="3"/>
    <s v="Very High"/>
    <x v="3"/>
    <s v="Outstanding"/>
    <s v="Better"/>
    <n v="0"/>
    <s v="3,001–6,000"/>
    <s v="6–10 miles"/>
    <s v="6–10 years"/>
  </r>
  <r>
    <n v="26"/>
    <x v="1"/>
    <s v="Travel_Frequently"/>
    <n v="1479"/>
    <x v="1"/>
    <n v="1"/>
    <x v="3"/>
    <s v="Life Sciences"/>
    <n v="1"/>
    <n v="384"/>
    <n v="3"/>
    <s v="Female"/>
    <n v="84"/>
    <n v="3"/>
    <n v="2"/>
    <x v="3"/>
    <x v="1"/>
    <s v="Divorced"/>
    <n v="6397"/>
    <n v="26767"/>
    <n v="1"/>
    <s v="Y"/>
    <x v="1"/>
    <n v="20"/>
    <n v="4"/>
    <n v="1"/>
    <n v="80"/>
    <n v="1"/>
    <n v="6"/>
    <n v="6"/>
    <n v="1"/>
    <n v="6"/>
    <n v="5"/>
    <n v="1"/>
    <n v="4"/>
    <x v="3"/>
    <x v="1"/>
    <s v="High"/>
    <x v="1"/>
    <s v="Outstanding"/>
    <s v="Bad"/>
    <n v="0"/>
    <s v="6,001–10,000"/>
    <s v="0–5 miles"/>
    <s v="6–10 years"/>
  </r>
  <r>
    <n v="50"/>
    <x v="1"/>
    <s v="Travel_Rarely"/>
    <n v="797"/>
    <x v="1"/>
    <n v="4"/>
    <x v="1"/>
    <s v="Life Sciences"/>
    <n v="1"/>
    <n v="385"/>
    <n v="1"/>
    <s v="Male"/>
    <n v="96"/>
    <n v="3"/>
    <n v="5"/>
    <x v="7"/>
    <x v="1"/>
    <s v="Divorced"/>
    <n v="19144"/>
    <n v="15815"/>
    <n v="3"/>
    <s v="Y"/>
    <x v="1"/>
    <n v="14"/>
    <n v="3"/>
    <n v="1"/>
    <n v="80"/>
    <n v="2"/>
    <n v="28"/>
    <n v="4"/>
    <n v="2"/>
    <n v="10"/>
    <n v="4"/>
    <n v="1"/>
    <n v="6"/>
    <x v="1"/>
    <x v="3"/>
    <s v="High"/>
    <x v="1"/>
    <s v="Excellent"/>
    <s v="Good"/>
    <n v="0"/>
    <s v="10,001+"/>
    <s v="0–5 miles"/>
    <s v="6–10 years"/>
  </r>
  <r>
    <n v="53"/>
    <x v="1"/>
    <s v="Travel_Rarely"/>
    <n v="1070"/>
    <x v="1"/>
    <n v="3"/>
    <x v="2"/>
    <s v="Medical"/>
    <n v="1"/>
    <n v="386"/>
    <n v="3"/>
    <s v="Male"/>
    <n v="45"/>
    <n v="3"/>
    <n v="4"/>
    <x v="7"/>
    <x v="2"/>
    <s v="Married"/>
    <n v="17584"/>
    <n v="21016"/>
    <n v="3"/>
    <s v="Y"/>
    <x v="0"/>
    <n v="16"/>
    <n v="3"/>
    <n v="4"/>
    <n v="80"/>
    <n v="3"/>
    <n v="21"/>
    <n v="5"/>
    <n v="2"/>
    <n v="5"/>
    <n v="3"/>
    <n v="1"/>
    <n v="3"/>
    <x v="2"/>
    <x v="1"/>
    <s v="High"/>
    <x v="2"/>
    <s v="Excellent"/>
    <s v="Good"/>
    <n v="0"/>
    <s v="10,001+"/>
    <s v="0–5 miles"/>
    <s v="2–5 years"/>
  </r>
  <r>
    <n v="42"/>
    <x v="1"/>
    <s v="Travel_Rarely"/>
    <n v="635"/>
    <x v="0"/>
    <n v="1"/>
    <x v="1"/>
    <s v="Life Sciences"/>
    <n v="1"/>
    <n v="387"/>
    <n v="2"/>
    <s v="Male"/>
    <n v="99"/>
    <n v="3"/>
    <n v="2"/>
    <x v="0"/>
    <x v="2"/>
    <s v="Married"/>
    <n v="4907"/>
    <n v="24532"/>
    <n v="1"/>
    <s v="Y"/>
    <x v="1"/>
    <n v="25"/>
    <n v="4"/>
    <n v="3"/>
    <n v="80"/>
    <n v="0"/>
    <n v="20"/>
    <n v="3"/>
    <n v="3"/>
    <n v="20"/>
    <n v="16"/>
    <n v="11"/>
    <n v="6"/>
    <x v="1"/>
    <x v="0"/>
    <s v="High"/>
    <x v="2"/>
    <s v="Outstanding"/>
    <s v="Better"/>
    <n v="0"/>
    <s v="3,001–6,000"/>
    <s v="0–5 miles"/>
    <s v="11+ years"/>
  </r>
  <r>
    <n v="29"/>
    <x v="1"/>
    <s v="Travel_Frequently"/>
    <n v="442"/>
    <x v="0"/>
    <n v="2"/>
    <x v="0"/>
    <s v="Life Sciences"/>
    <n v="1"/>
    <n v="388"/>
    <n v="2"/>
    <s v="Male"/>
    <n v="44"/>
    <n v="3"/>
    <n v="2"/>
    <x v="0"/>
    <x v="0"/>
    <s v="Single"/>
    <n v="4554"/>
    <n v="20260"/>
    <n v="1"/>
    <s v="Y"/>
    <x v="1"/>
    <n v="18"/>
    <n v="3"/>
    <n v="1"/>
    <n v="80"/>
    <n v="0"/>
    <n v="10"/>
    <n v="3"/>
    <n v="2"/>
    <n v="10"/>
    <n v="7"/>
    <n v="0"/>
    <n v="9"/>
    <x v="0"/>
    <x v="0"/>
    <s v="High"/>
    <x v="0"/>
    <s v="Excellent"/>
    <s v="Good"/>
    <n v="0"/>
    <s v="3,001–6,000"/>
    <s v="0–5 miles"/>
    <s v="6–10 years"/>
  </r>
  <r>
    <n v="55"/>
    <x v="1"/>
    <s v="Travel_Rarely"/>
    <n v="147"/>
    <x v="1"/>
    <n v="20"/>
    <x v="0"/>
    <s v="Technical Degree"/>
    <n v="1"/>
    <n v="389"/>
    <n v="2"/>
    <s v="Male"/>
    <n v="37"/>
    <n v="3"/>
    <n v="2"/>
    <x v="2"/>
    <x v="0"/>
    <s v="Married"/>
    <n v="5415"/>
    <n v="15972"/>
    <n v="3"/>
    <s v="Y"/>
    <x v="0"/>
    <n v="19"/>
    <n v="3"/>
    <n v="4"/>
    <n v="80"/>
    <n v="1"/>
    <n v="12"/>
    <n v="4"/>
    <n v="3"/>
    <n v="10"/>
    <n v="7"/>
    <n v="0"/>
    <n v="8"/>
    <x v="0"/>
    <x v="0"/>
    <s v="High"/>
    <x v="0"/>
    <s v="Excellent"/>
    <s v="Better"/>
    <n v="0"/>
    <s v="3,001–6,000"/>
    <s v="16+ miles"/>
    <s v="6–10 years"/>
  </r>
  <r>
    <n v="26"/>
    <x v="1"/>
    <s v="Travel_Frequently"/>
    <n v="496"/>
    <x v="1"/>
    <n v="11"/>
    <x v="0"/>
    <s v="Medical"/>
    <n v="1"/>
    <n v="390"/>
    <n v="1"/>
    <s v="Male"/>
    <n v="60"/>
    <n v="3"/>
    <n v="2"/>
    <x v="4"/>
    <x v="3"/>
    <s v="Married"/>
    <n v="4741"/>
    <n v="22722"/>
    <n v="1"/>
    <s v="Y"/>
    <x v="0"/>
    <n v="13"/>
    <n v="3"/>
    <n v="3"/>
    <n v="80"/>
    <n v="1"/>
    <n v="5"/>
    <n v="3"/>
    <n v="3"/>
    <n v="5"/>
    <n v="3"/>
    <n v="3"/>
    <n v="3"/>
    <x v="0"/>
    <x v="3"/>
    <s v="High"/>
    <x v="3"/>
    <s v="Excellent"/>
    <s v="Better"/>
    <n v="0"/>
    <s v="3,001–6,000"/>
    <s v="11–15 miles"/>
    <s v="2–5 years"/>
  </r>
  <r>
    <n v="37"/>
    <x v="1"/>
    <s v="Travel_Rarely"/>
    <n v="1372"/>
    <x v="1"/>
    <n v="1"/>
    <x v="3"/>
    <s v="Life Sciences"/>
    <n v="1"/>
    <n v="391"/>
    <n v="4"/>
    <s v="Female"/>
    <n v="42"/>
    <n v="3"/>
    <n v="1"/>
    <x v="1"/>
    <x v="0"/>
    <s v="Single"/>
    <n v="2115"/>
    <n v="15881"/>
    <n v="1"/>
    <s v="Y"/>
    <x v="1"/>
    <n v="12"/>
    <n v="3"/>
    <n v="2"/>
    <n v="80"/>
    <n v="0"/>
    <n v="17"/>
    <n v="3"/>
    <n v="3"/>
    <n v="17"/>
    <n v="12"/>
    <n v="5"/>
    <n v="7"/>
    <x v="3"/>
    <x v="2"/>
    <s v="High"/>
    <x v="0"/>
    <s v="Excellent"/>
    <s v="Better"/>
    <n v="0"/>
    <s v="0–3,000"/>
    <s v="0–5 miles"/>
    <s v="11+ years"/>
  </r>
  <r>
    <n v="44"/>
    <x v="0"/>
    <s v="Travel_Frequently"/>
    <n v="920"/>
    <x v="1"/>
    <n v="24"/>
    <x v="3"/>
    <s v="Life Sciences"/>
    <n v="1"/>
    <n v="392"/>
    <n v="4"/>
    <s v="Male"/>
    <n v="43"/>
    <n v="3"/>
    <n v="1"/>
    <x v="2"/>
    <x v="2"/>
    <s v="Divorced"/>
    <n v="3161"/>
    <n v="19920"/>
    <n v="3"/>
    <s v="Y"/>
    <x v="0"/>
    <n v="22"/>
    <n v="4"/>
    <n v="4"/>
    <n v="80"/>
    <n v="1"/>
    <n v="19"/>
    <n v="0"/>
    <n v="1"/>
    <n v="1"/>
    <n v="0"/>
    <n v="0"/>
    <n v="0"/>
    <x v="3"/>
    <x v="2"/>
    <s v="High"/>
    <x v="2"/>
    <s v="Outstanding"/>
    <s v="Bad"/>
    <n v="1"/>
    <s v="3,001–6,000"/>
    <s v="16+ miles"/>
    <s v="0–1 years"/>
  </r>
  <r>
    <n v="38"/>
    <x v="1"/>
    <s v="Travel_Rarely"/>
    <n v="688"/>
    <x v="1"/>
    <n v="23"/>
    <x v="2"/>
    <s v="Life Sciences"/>
    <n v="1"/>
    <n v="393"/>
    <n v="4"/>
    <s v="Male"/>
    <n v="82"/>
    <n v="3"/>
    <n v="2"/>
    <x v="4"/>
    <x v="0"/>
    <s v="Divorced"/>
    <n v="5745"/>
    <n v="18899"/>
    <n v="9"/>
    <s v="Y"/>
    <x v="1"/>
    <n v="14"/>
    <n v="3"/>
    <n v="2"/>
    <n v="80"/>
    <n v="1"/>
    <n v="10"/>
    <n v="2"/>
    <n v="3"/>
    <n v="2"/>
    <n v="2"/>
    <n v="1"/>
    <n v="2"/>
    <x v="2"/>
    <x v="2"/>
    <s v="High"/>
    <x v="0"/>
    <s v="Excellent"/>
    <s v="Better"/>
    <n v="0"/>
    <s v="3,001–6,000"/>
    <s v="16+ miles"/>
    <s v="2–5 years"/>
  </r>
  <r>
    <n v="26"/>
    <x v="0"/>
    <s v="Travel_Rarely"/>
    <n v="1449"/>
    <x v="1"/>
    <n v="16"/>
    <x v="2"/>
    <s v="Medical"/>
    <n v="1"/>
    <n v="394"/>
    <n v="1"/>
    <s v="Male"/>
    <n v="45"/>
    <n v="3"/>
    <n v="1"/>
    <x v="2"/>
    <x v="1"/>
    <s v="Divorced"/>
    <n v="2373"/>
    <n v="14180"/>
    <n v="2"/>
    <s v="Y"/>
    <x v="0"/>
    <n v="13"/>
    <n v="3"/>
    <n v="4"/>
    <n v="80"/>
    <n v="1"/>
    <n v="5"/>
    <n v="2"/>
    <n v="3"/>
    <n v="3"/>
    <n v="2"/>
    <n v="0"/>
    <n v="2"/>
    <x v="2"/>
    <x v="3"/>
    <s v="High"/>
    <x v="1"/>
    <s v="Excellent"/>
    <s v="Better"/>
    <n v="1"/>
    <s v="0–3,000"/>
    <s v="16+ miles"/>
    <s v="2–5 years"/>
  </r>
  <r>
    <n v="28"/>
    <x v="1"/>
    <s v="Travel_Rarely"/>
    <n v="1117"/>
    <x v="1"/>
    <n v="8"/>
    <x v="0"/>
    <s v="Life Sciences"/>
    <n v="1"/>
    <n v="395"/>
    <n v="4"/>
    <s v="Female"/>
    <n v="66"/>
    <n v="3"/>
    <n v="1"/>
    <x v="1"/>
    <x v="0"/>
    <s v="Single"/>
    <n v="3310"/>
    <n v="4488"/>
    <n v="1"/>
    <s v="Y"/>
    <x v="1"/>
    <n v="21"/>
    <n v="4"/>
    <n v="4"/>
    <n v="80"/>
    <n v="0"/>
    <n v="5"/>
    <n v="3"/>
    <n v="3"/>
    <n v="5"/>
    <n v="3"/>
    <n v="0"/>
    <n v="2"/>
    <x v="0"/>
    <x v="2"/>
    <s v="High"/>
    <x v="0"/>
    <s v="Outstanding"/>
    <s v="Better"/>
    <n v="0"/>
    <s v="3,001–6,000"/>
    <s v="6–10 miles"/>
    <s v="2–5 years"/>
  </r>
  <r>
    <n v="49"/>
    <x v="1"/>
    <s v="Travel_Frequently"/>
    <n v="636"/>
    <x v="1"/>
    <n v="10"/>
    <x v="2"/>
    <s v="Life Sciences"/>
    <n v="1"/>
    <n v="396"/>
    <n v="3"/>
    <s v="Female"/>
    <n v="35"/>
    <n v="3"/>
    <n v="5"/>
    <x v="7"/>
    <x v="3"/>
    <s v="Single"/>
    <n v="18665"/>
    <n v="25594"/>
    <n v="9"/>
    <s v="Y"/>
    <x v="0"/>
    <n v="11"/>
    <n v="3"/>
    <n v="4"/>
    <n v="80"/>
    <n v="0"/>
    <n v="22"/>
    <n v="4"/>
    <n v="3"/>
    <n v="3"/>
    <n v="2"/>
    <n v="1"/>
    <n v="2"/>
    <x v="2"/>
    <x v="1"/>
    <s v="High"/>
    <x v="3"/>
    <s v="Excellent"/>
    <s v="Better"/>
    <n v="0"/>
    <s v="10,001+"/>
    <s v="6–10 miles"/>
    <s v="2–5 years"/>
  </r>
  <r>
    <n v="36"/>
    <x v="1"/>
    <s v="Travel_Rarely"/>
    <n v="506"/>
    <x v="1"/>
    <n v="3"/>
    <x v="3"/>
    <s v="Technical Degree"/>
    <n v="1"/>
    <n v="397"/>
    <n v="3"/>
    <s v="Male"/>
    <n v="30"/>
    <n v="3"/>
    <n v="2"/>
    <x v="1"/>
    <x v="1"/>
    <s v="Single"/>
    <n v="4485"/>
    <n v="26285"/>
    <n v="4"/>
    <s v="Y"/>
    <x v="1"/>
    <n v="12"/>
    <n v="3"/>
    <n v="4"/>
    <n v="80"/>
    <n v="0"/>
    <n v="10"/>
    <n v="2"/>
    <n v="3"/>
    <n v="8"/>
    <n v="0"/>
    <n v="7"/>
    <n v="7"/>
    <x v="3"/>
    <x v="1"/>
    <s v="High"/>
    <x v="1"/>
    <s v="Excellent"/>
    <s v="Better"/>
    <n v="0"/>
    <s v="3,001–6,000"/>
    <s v="0–5 miles"/>
    <s v="6–10 years"/>
  </r>
  <r>
    <n v="31"/>
    <x v="1"/>
    <s v="Travel_Frequently"/>
    <n v="444"/>
    <x v="0"/>
    <n v="5"/>
    <x v="3"/>
    <s v="Marketing"/>
    <n v="1"/>
    <n v="399"/>
    <n v="4"/>
    <s v="Female"/>
    <n v="84"/>
    <n v="3"/>
    <n v="1"/>
    <x v="6"/>
    <x v="1"/>
    <s v="Divorced"/>
    <n v="2789"/>
    <n v="3909"/>
    <n v="1"/>
    <s v="Y"/>
    <x v="1"/>
    <n v="11"/>
    <n v="3"/>
    <n v="3"/>
    <n v="80"/>
    <n v="1"/>
    <n v="2"/>
    <n v="5"/>
    <n v="2"/>
    <n v="2"/>
    <n v="2"/>
    <n v="2"/>
    <n v="2"/>
    <x v="3"/>
    <x v="2"/>
    <s v="High"/>
    <x v="1"/>
    <s v="Excellent"/>
    <s v="Good"/>
    <n v="0"/>
    <s v="0–3,000"/>
    <s v="0–5 miles"/>
    <s v="2–5 years"/>
  </r>
  <r>
    <n v="26"/>
    <x v="0"/>
    <s v="Travel_Rarely"/>
    <n v="950"/>
    <x v="0"/>
    <n v="4"/>
    <x v="2"/>
    <s v="Marketing"/>
    <n v="1"/>
    <n v="401"/>
    <n v="4"/>
    <s v="Male"/>
    <n v="48"/>
    <n v="2"/>
    <n v="2"/>
    <x v="0"/>
    <x v="0"/>
    <s v="Single"/>
    <n v="5828"/>
    <n v="8450"/>
    <n v="1"/>
    <s v="Y"/>
    <x v="0"/>
    <n v="12"/>
    <n v="3"/>
    <n v="2"/>
    <n v="80"/>
    <n v="0"/>
    <n v="8"/>
    <n v="0"/>
    <n v="3"/>
    <n v="8"/>
    <n v="7"/>
    <n v="7"/>
    <n v="4"/>
    <x v="2"/>
    <x v="2"/>
    <s v="Medium"/>
    <x v="0"/>
    <s v="Excellent"/>
    <s v="Better"/>
    <n v="1"/>
    <s v="3,001–6,000"/>
    <s v="0–5 miles"/>
    <s v="6–10 years"/>
  </r>
  <r>
    <n v="37"/>
    <x v="1"/>
    <s v="Travel_Frequently"/>
    <n v="889"/>
    <x v="1"/>
    <n v="9"/>
    <x v="3"/>
    <s v="Medical"/>
    <n v="1"/>
    <n v="403"/>
    <n v="2"/>
    <s v="Male"/>
    <n v="53"/>
    <n v="3"/>
    <n v="1"/>
    <x v="1"/>
    <x v="0"/>
    <s v="Married"/>
    <n v="2326"/>
    <n v="11411"/>
    <n v="1"/>
    <s v="Y"/>
    <x v="0"/>
    <n v="12"/>
    <n v="3"/>
    <n v="3"/>
    <n v="80"/>
    <n v="3"/>
    <n v="4"/>
    <n v="3"/>
    <n v="2"/>
    <n v="4"/>
    <n v="2"/>
    <n v="1"/>
    <n v="2"/>
    <x v="3"/>
    <x v="0"/>
    <s v="High"/>
    <x v="0"/>
    <s v="Excellent"/>
    <s v="Good"/>
    <n v="0"/>
    <s v="0–3,000"/>
    <s v="6–10 miles"/>
    <s v="2–5 years"/>
  </r>
  <r>
    <n v="42"/>
    <x v="1"/>
    <s v="Travel_Frequently"/>
    <n v="555"/>
    <x v="0"/>
    <n v="26"/>
    <x v="3"/>
    <s v="Marketing"/>
    <n v="1"/>
    <n v="404"/>
    <n v="3"/>
    <s v="Female"/>
    <n v="77"/>
    <n v="3"/>
    <n v="4"/>
    <x v="0"/>
    <x v="1"/>
    <s v="Married"/>
    <n v="13525"/>
    <n v="14864"/>
    <n v="5"/>
    <s v="Y"/>
    <x v="1"/>
    <n v="14"/>
    <n v="3"/>
    <n v="4"/>
    <n v="80"/>
    <n v="1"/>
    <n v="23"/>
    <n v="2"/>
    <n v="4"/>
    <n v="20"/>
    <n v="4"/>
    <n v="4"/>
    <n v="8"/>
    <x v="3"/>
    <x v="1"/>
    <s v="High"/>
    <x v="1"/>
    <s v="Excellent"/>
    <s v="Best"/>
    <n v="0"/>
    <s v="10,001+"/>
    <s v="16+ miles"/>
    <s v="11+ years"/>
  </r>
  <r>
    <n v="18"/>
    <x v="0"/>
    <s v="Travel_Rarely"/>
    <n v="230"/>
    <x v="1"/>
    <n v="3"/>
    <x v="3"/>
    <s v="Life Sciences"/>
    <n v="1"/>
    <n v="405"/>
    <n v="3"/>
    <s v="Male"/>
    <n v="54"/>
    <n v="3"/>
    <n v="1"/>
    <x v="2"/>
    <x v="2"/>
    <s v="Single"/>
    <n v="1420"/>
    <n v="25233"/>
    <n v="1"/>
    <s v="Y"/>
    <x v="1"/>
    <n v="13"/>
    <n v="3"/>
    <n v="3"/>
    <n v="80"/>
    <n v="0"/>
    <n v="0"/>
    <n v="2"/>
    <n v="3"/>
    <n v="0"/>
    <n v="0"/>
    <n v="0"/>
    <n v="0"/>
    <x v="3"/>
    <x v="1"/>
    <s v="High"/>
    <x v="2"/>
    <s v="Excellent"/>
    <s v="Better"/>
    <n v="1"/>
    <s v="0–3,000"/>
    <s v="0–5 miles"/>
    <s v="0–1 years"/>
  </r>
  <r>
    <n v="35"/>
    <x v="1"/>
    <s v="Travel_Rarely"/>
    <n v="1232"/>
    <x v="0"/>
    <n v="16"/>
    <x v="3"/>
    <s v="Marketing"/>
    <n v="1"/>
    <n v="406"/>
    <n v="3"/>
    <s v="Male"/>
    <n v="96"/>
    <n v="3"/>
    <n v="3"/>
    <x v="0"/>
    <x v="1"/>
    <s v="Married"/>
    <n v="8020"/>
    <n v="5100"/>
    <n v="0"/>
    <s v="Y"/>
    <x v="1"/>
    <n v="15"/>
    <n v="3"/>
    <n v="3"/>
    <n v="80"/>
    <n v="2"/>
    <n v="12"/>
    <n v="3"/>
    <n v="2"/>
    <n v="11"/>
    <n v="9"/>
    <n v="6"/>
    <n v="9"/>
    <x v="3"/>
    <x v="1"/>
    <s v="High"/>
    <x v="1"/>
    <s v="Excellent"/>
    <s v="Good"/>
    <n v="0"/>
    <s v="6,001–10,000"/>
    <s v="16+ miles"/>
    <s v="11+ years"/>
  </r>
  <r>
    <n v="36"/>
    <x v="1"/>
    <s v="Travel_Frequently"/>
    <n v="566"/>
    <x v="1"/>
    <n v="18"/>
    <x v="2"/>
    <s v="Life Sciences"/>
    <n v="1"/>
    <n v="407"/>
    <n v="3"/>
    <s v="Male"/>
    <n v="81"/>
    <n v="4"/>
    <n v="1"/>
    <x v="2"/>
    <x v="0"/>
    <s v="Married"/>
    <n v="3688"/>
    <n v="7122"/>
    <n v="4"/>
    <s v="Y"/>
    <x v="1"/>
    <n v="18"/>
    <n v="3"/>
    <n v="4"/>
    <n v="80"/>
    <n v="2"/>
    <n v="4"/>
    <n v="2"/>
    <n v="3"/>
    <n v="1"/>
    <n v="0"/>
    <n v="0"/>
    <n v="0"/>
    <x v="2"/>
    <x v="1"/>
    <s v="Very High"/>
    <x v="0"/>
    <s v="Excellent"/>
    <s v="Better"/>
    <n v="0"/>
    <s v="3,001–6,000"/>
    <s v="16+ miles"/>
    <s v="0–1 years"/>
  </r>
  <r>
    <n v="51"/>
    <x v="1"/>
    <s v="Travel_Rarely"/>
    <n v="1302"/>
    <x v="1"/>
    <n v="2"/>
    <x v="3"/>
    <s v="Medical"/>
    <n v="1"/>
    <n v="408"/>
    <n v="4"/>
    <s v="Male"/>
    <n v="84"/>
    <n v="1"/>
    <n v="2"/>
    <x v="3"/>
    <x v="1"/>
    <s v="Divorced"/>
    <n v="5482"/>
    <n v="16321"/>
    <n v="5"/>
    <s v="Y"/>
    <x v="1"/>
    <n v="18"/>
    <n v="3"/>
    <n v="4"/>
    <n v="80"/>
    <n v="1"/>
    <n v="13"/>
    <n v="3"/>
    <n v="3"/>
    <n v="4"/>
    <n v="1"/>
    <n v="1"/>
    <n v="2"/>
    <x v="3"/>
    <x v="2"/>
    <s v="Low"/>
    <x v="1"/>
    <s v="Excellent"/>
    <s v="Better"/>
    <n v="0"/>
    <s v="3,001–6,000"/>
    <s v="0–5 miles"/>
    <s v="2–5 years"/>
  </r>
  <r>
    <n v="41"/>
    <x v="1"/>
    <s v="Travel_Rarely"/>
    <n v="334"/>
    <x v="0"/>
    <n v="2"/>
    <x v="2"/>
    <s v="Life Sciences"/>
    <n v="1"/>
    <n v="410"/>
    <n v="4"/>
    <s v="Male"/>
    <n v="88"/>
    <n v="3"/>
    <n v="4"/>
    <x v="5"/>
    <x v="1"/>
    <s v="Single"/>
    <n v="16015"/>
    <n v="15896"/>
    <n v="1"/>
    <s v="Y"/>
    <x v="1"/>
    <n v="19"/>
    <n v="3"/>
    <n v="2"/>
    <n v="80"/>
    <n v="0"/>
    <n v="22"/>
    <n v="2"/>
    <n v="3"/>
    <n v="22"/>
    <n v="10"/>
    <n v="0"/>
    <n v="4"/>
    <x v="2"/>
    <x v="2"/>
    <s v="High"/>
    <x v="1"/>
    <s v="Excellent"/>
    <s v="Better"/>
    <n v="0"/>
    <s v="10,001+"/>
    <s v="0–5 miles"/>
    <s v="11+ years"/>
  </r>
  <r>
    <n v="18"/>
    <x v="1"/>
    <s v="Travel_Rarely"/>
    <n v="812"/>
    <x v="0"/>
    <n v="10"/>
    <x v="3"/>
    <s v="Medical"/>
    <n v="1"/>
    <n v="411"/>
    <n v="4"/>
    <s v="Female"/>
    <n v="69"/>
    <n v="2"/>
    <n v="1"/>
    <x v="6"/>
    <x v="2"/>
    <s v="Single"/>
    <n v="1200"/>
    <n v="9724"/>
    <n v="1"/>
    <s v="Y"/>
    <x v="1"/>
    <n v="12"/>
    <n v="3"/>
    <n v="1"/>
    <n v="80"/>
    <n v="0"/>
    <n v="0"/>
    <n v="2"/>
    <n v="3"/>
    <n v="0"/>
    <n v="0"/>
    <n v="0"/>
    <n v="0"/>
    <x v="3"/>
    <x v="2"/>
    <s v="Medium"/>
    <x v="2"/>
    <s v="Excellent"/>
    <s v="Better"/>
    <n v="0"/>
    <s v="0–3,000"/>
    <s v="6–10 miles"/>
    <s v="0–1 years"/>
  </r>
  <r>
    <n v="28"/>
    <x v="1"/>
    <s v="Travel_Rarely"/>
    <n v="1476"/>
    <x v="1"/>
    <n v="16"/>
    <x v="0"/>
    <s v="Medical"/>
    <n v="1"/>
    <n v="412"/>
    <n v="2"/>
    <s v="Male"/>
    <n v="68"/>
    <n v="4"/>
    <n v="2"/>
    <x v="4"/>
    <x v="3"/>
    <s v="Single"/>
    <n v="5661"/>
    <n v="4824"/>
    <n v="0"/>
    <s v="Y"/>
    <x v="1"/>
    <n v="19"/>
    <n v="3"/>
    <n v="3"/>
    <n v="80"/>
    <n v="0"/>
    <n v="9"/>
    <n v="2"/>
    <n v="3"/>
    <n v="8"/>
    <n v="3"/>
    <n v="0"/>
    <n v="7"/>
    <x v="0"/>
    <x v="0"/>
    <s v="Very High"/>
    <x v="3"/>
    <s v="Excellent"/>
    <s v="Better"/>
    <n v="0"/>
    <s v="3,001–6,000"/>
    <s v="16+ miles"/>
    <s v="6–10 years"/>
  </r>
  <r>
    <n v="31"/>
    <x v="1"/>
    <s v="Travel_Rarely"/>
    <n v="218"/>
    <x v="0"/>
    <n v="7"/>
    <x v="3"/>
    <s v="Technical Degree"/>
    <n v="1"/>
    <n v="416"/>
    <n v="2"/>
    <s v="Male"/>
    <n v="100"/>
    <n v="4"/>
    <n v="2"/>
    <x v="0"/>
    <x v="0"/>
    <s v="Married"/>
    <n v="6929"/>
    <n v="12241"/>
    <n v="4"/>
    <s v="Y"/>
    <x v="1"/>
    <n v="11"/>
    <n v="3"/>
    <n v="2"/>
    <n v="80"/>
    <n v="1"/>
    <n v="10"/>
    <n v="3"/>
    <n v="2"/>
    <n v="8"/>
    <n v="7"/>
    <n v="7"/>
    <n v="7"/>
    <x v="3"/>
    <x v="0"/>
    <s v="Very High"/>
    <x v="0"/>
    <s v="Excellent"/>
    <s v="Good"/>
    <n v="0"/>
    <s v="6,001–10,000"/>
    <s v="6–10 miles"/>
    <s v="6–10 years"/>
  </r>
  <r>
    <n v="39"/>
    <x v="1"/>
    <s v="Travel_Rarely"/>
    <n v="1132"/>
    <x v="1"/>
    <n v="1"/>
    <x v="3"/>
    <s v="Medical"/>
    <n v="1"/>
    <n v="417"/>
    <n v="3"/>
    <s v="Male"/>
    <n v="48"/>
    <n v="4"/>
    <n v="3"/>
    <x v="4"/>
    <x v="0"/>
    <s v="Divorced"/>
    <n v="9613"/>
    <n v="10942"/>
    <n v="0"/>
    <s v="Y"/>
    <x v="1"/>
    <n v="17"/>
    <n v="3"/>
    <n v="1"/>
    <n v="80"/>
    <n v="3"/>
    <n v="19"/>
    <n v="5"/>
    <n v="2"/>
    <n v="18"/>
    <n v="10"/>
    <n v="3"/>
    <n v="7"/>
    <x v="3"/>
    <x v="1"/>
    <s v="Very High"/>
    <x v="0"/>
    <s v="Excellent"/>
    <s v="Good"/>
    <n v="0"/>
    <s v="6,001–10,000"/>
    <s v="0–5 miles"/>
    <s v="11+ years"/>
  </r>
  <r>
    <n v="36"/>
    <x v="1"/>
    <s v="Non-Travel"/>
    <n v="1105"/>
    <x v="1"/>
    <n v="24"/>
    <x v="2"/>
    <s v="Life Sciences"/>
    <n v="1"/>
    <n v="419"/>
    <n v="2"/>
    <s v="Female"/>
    <n v="47"/>
    <n v="3"/>
    <n v="2"/>
    <x v="2"/>
    <x v="1"/>
    <s v="Married"/>
    <n v="5674"/>
    <n v="6927"/>
    <n v="7"/>
    <s v="Y"/>
    <x v="1"/>
    <n v="15"/>
    <n v="3"/>
    <n v="3"/>
    <n v="80"/>
    <n v="1"/>
    <n v="11"/>
    <n v="3"/>
    <n v="3"/>
    <n v="9"/>
    <n v="8"/>
    <n v="0"/>
    <n v="8"/>
    <x v="2"/>
    <x v="0"/>
    <s v="High"/>
    <x v="1"/>
    <s v="Excellent"/>
    <s v="Better"/>
    <n v="0"/>
    <s v="3,001–6,000"/>
    <s v="16+ miles"/>
    <s v="6–10 years"/>
  </r>
  <r>
    <n v="32"/>
    <x v="1"/>
    <s v="Travel_Rarely"/>
    <n v="906"/>
    <x v="0"/>
    <n v="7"/>
    <x v="3"/>
    <s v="Life Sciences"/>
    <n v="1"/>
    <n v="420"/>
    <n v="4"/>
    <s v="Male"/>
    <n v="91"/>
    <n v="2"/>
    <n v="2"/>
    <x v="0"/>
    <x v="2"/>
    <s v="Married"/>
    <n v="5484"/>
    <n v="16985"/>
    <n v="1"/>
    <s v="Y"/>
    <x v="1"/>
    <n v="14"/>
    <n v="3"/>
    <n v="3"/>
    <n v="80"/>
    <n v="1"/>
    <n v="13"/>
    <n v="3"/>
    <n v="2"/>
    <n v="13"/>
    <n v="8"/>
    <n v="4"/>
    <n v="8"/>
    <x v="3"/>
    <x v="2"/>
    <s v="Medium"/>
    <x v="2"/>
    <s v="Excellent"/>
    <s v="Good"/>
    <n v="0"/>
    <s v="3,001–6,000"/>
    <s v="6–10 miles"/>
    <s v="11+ years"/>
  </r>
  <r>
    <n v="38"/>
    <x v="1"/>
    <s v="Travel_Rarely"/>
    <n v="849"/>
    <x v="1"/>
    <n v="25"/>
    <x v="0"/>
    <s v="Life Sciences"/>
    <n v="1"/>
    <n v="421"/>
    <n v="1"/>
    <s v="Female"/>
    <n v="81"/>
    <n v="2"/>
    <n v="3"/>
    <x v="7"/>
    <x v="1"/>
    <s v="Married"/>
    <n v="12061"/>
    <n v="26707"/>
    <n v="3"/>
    <s v="Y"/>
    <x v="1"/>
    <n v="17"/>
    <n v="3"/>
    <n v="3"/>
    <n v="80"/>
    <n v="1"/>
    <n v="19"/>
    <n v="2"/>
    <n v="3"/>
    <n v="10"/>
    <n v="8"/>
    <n v="0"/>
    <n v="1"/>
    <x v="0"/>
    <x v="3"/>
    <s v="Medium"/>
    <x v="1"/>
    <s v="Excellent"/>
    <s v="Better"/>
    <n v="0"/>
    <s v="10,001+"/>
    <s v="16+ miles"/>
    <s v="6–10 years"/>
  </r>
  <r>
    <n v="58"/>
    <x v="1"/>
    <s v="Non-Travel"/>
    <n v="390"/>
    <x v="1"/>
    <n v="1"/>
    <x v="2"/>
    <s v="Life Sciences"/>
    <n v="1"/>
    <n v="422"/>
    <n v="4"/>
    <s v="Male"/>
    <n v="32"/>
    <n v="1"/>
    <n v="2"/>
    <x v="4"/>
    <x v="2"/>
    <s v="Divorced"/>
    <n v="5660"/>
    <n v="17056"/>
    <n v="2"/>
    <s v="Y"/>
    <x v="0"/>
    <n v="13"/>
    <n v="3"/>
    <n v="4"/>
    <n v="80"/>
    <n v="1"/>
    <n v="12"/>
    <n v="2"/>
    <n v="3"/>
    <n v="5"/>
    <n v="3"/>
    <n v="1"/>
    <n v="2"/>
    <x v="2"/>
    <x v="2"/>
    <s v="Low"/>
    <x v="2"/>
    <s v="Excellent"/>
    <s v="Better"/>
    <n v="0"/>
    <s v="3,001–6,000"/>
    <s v="0–5 miles"/>
    <s v="2–5 years"/>
  </r>
  <r>
    <n v="31"/>
    <x v="1"/>
    <s v="Travel_Rarely"/>
    <n v="691"/>
    <x v="1"/>
    <n v="5"/>
    <x v="2"/>
    <s v="Technical Degree"/>
    <n v="1"/>
    <n v="423"/>
    <n v="3"/>
    <s v="Male"/>
    <n v="86"/>
    <n v="3"/>
    <n v="1"/>
    <x v="1"/>
    <x v="0"/>
    <s v="Married"/>
    <n v="4821"/>
    <n v="10077"/>
    <n v="0"/>
    <s v="Y"/>
    <x v="0"/>
    <n v="12"/>
    <n v="3"/>
    <n v="3"/>
    <n v="80"/>
    <n v="1"/>
    <n v="6"/>
    <n v="4"/>
    <n v="3"/>
    <n v="5"/>
    <n v="2"/>
    <n v="0"/>
    <n v="3"/>
    <x v="2"/>
    <x v="1"/>
    <s v="High"/>
    <x v="0"/>
    <s v="Excellent"/>
    <s v="Better"/>
    <n v="0"/>
    <s v="3,001–6,000"/>
    <s v="0–5 miles"/>
    <s v="2–5 years"/>
  </r>
  <r>
    <n v="31"/>
    <x v="1"/>
    <s v="Travel_Rarely"/>
    <n v="106"/>
    <x v="2"/>
    <n v="2"/>
    <x v="3"/>
    <s v="Human Resources"/>
    <n v="1"/>
    <n v="424"/>
    <n v="1"/>
    <s v="Male"/>
    <n v="62"/>
    <n v="2"/>
    <n v="2"/>
    <x v="8"/>
    <x v="3"/>
    <s v="Married"/>
    <n v="6410"/>
    <n v="17822"/>
    <n v="3"/>
    <s v="Y"/>
    <x v="1"/>
    <n v="12"/>
    <n v="3"/>
    <n v="4"/>
    <n v="80"/>
    <n v="0"/>
    <n v="9"/>
    <n v="1"/>
    <n v="3"/>
    <n v="2"/>
    <n v="2"/>
    <n v="1"/>
    <n v="0"/>
    <x v="3"/>
    <x v="3"/>
    <s v="Medium"/>
    <x v="3"/>
    <s v="Excellent"/>
    <s v="Better"/>
    <n v="0"/>
    <s v="6,001–10,000"/>
    <s v="0–5 miles"/>
    <s v="2–5 years"/>
  </r>
  <r>
    <n v="45"/>
    <x v="1"/>
    <s v="Travel_Frequently"/>
    <n v="1249"/>
    <x v="1"/>
    <n v="7"/>
    <x v="3"/>
    <s v="Life Sciences"/>
    <n v="1"/>
    <n v="425"/>
    <n v="1"/>
    <s v="Male"/>
    <n v="97"/>
    <n v="3"/>
    <n v="3"/>
    <x v="2"/>
    <x v="3"/>
    <s v="Divorced"/>
    <n v="5210"/>
    <n v="20308"/>
    <n v="1"/>
    <s v="Y"/>
    <x v="1"/>
    <n v="18"/>
    <n v="3"/>
    <n v="1"/>
    <n v="80"/>
    <n v="1"/>
    <n v="24"/>
    <n v="2"/>
    <n v="3"/>
    <n v="24"/>
    <n v="9"/>
    <n v="9"/>
    <n v="11"/>
    <x v="3"/>
    <x v="3"/>
    <s v="High"/>
    <x v="3"/>
    <s v="Excellent"/>
    <s v="Better"/>
    <n v="0"/>
    <s v="3,001–6,000"/>
    <s v="6–10 miles"/>
    <s v="11+ years"/>
  </r>
  <r>
    <n v="31"/>
    <x v="1"/>
    <s v="Travel_Rarely"/>
    <n v="192"/>
    <x v="1"/>
    <n v="2"/>
    <x v="2"/>
    <s v="Life Sciences"/>
    <n v="1"/>
    <n v="426"/>
    <n v="3"/>
    <s v="Male"/>
    <n v="32"/>
    <n v="3"/>
    <n v="1"/>
    <x v="1"/>
    <x v="0"/>
    <s v="Divorced"/>
    <n v="2695"/>
    <n v="7747"/>
    <n v="0"/>
    <s v="Y"/>
    <x v="0"/>
    <n v="18"/>
    <n v="3"/>
    <n v="2"/>
    <n v="80"/>
    <n v="1"/>
    <n v="3"/>
    <n v="2"/>
    <n v="1"/>
    <n v="2"/>
    <n v="2"/>
    <n v="2"/>
    <n v="2"/>
    <x v="2"/>
    <x v="1"/>
    <s v="High"/>
    <x v="0"/>
    <s v="Excellent"/>
    <s v="Bad"/>
    <n v="0"/>
    <s v="0–3,000"/>
    <s v="0–5 miles"/>
    <s v="2–5 years"/>
  </r>
  <r>
    <n v="33"/>
    <x v="1"/>
    <s v="Travel_Frequently"/>
    <n v="553"/>
    <x v="1"/>
    <n v="5"/>
    <x v="2"/>
    <s v="Life Sciences"/>
    <n v="1"/>
    <n v="428"/>
    <n v="4"/>
    <s v="Female"/>
    <n v="74"/>
    <n v="3"/>
    <n v="3"/>
    <x v="5"/>
    <x v="1"/>
    <s v="Married"/>
    <n v="11878"/>
    <n v="23364"/>
    <n v="6"/>
    <s v="Y"/>
    <x v="1"/>
    <n v="11"/>
    <n v="3"/>
    <n v="2"/>
    <n v="80"/>
    <n v="2"/>
    <n v="12"/>
    <n v="2"/>
    <n v="3"/>
    <n v="10"/>
    <n v="6"/>
    <n v="8"/>
    <n v="8"/>
    <x v="2"/>
    <x v="2"/>
    <s v="High"/>
    <x v="1"/>
    <s v="Excellent"/>
    <s v="Better"/>
    <n v="0"/>
    <s v="10,001+"/>
    <s v="0–5 miles"/>
    <s v="6–10 years"/>
  </r>
  <r>
    <n v="39"/>
    <x v="1"/>
    <s v="Travel_Rarely"/>
    <n v="117"/>
    <x v="1"/>
    <n v="10"/>
    <x v="1"/>
    <s v="Medical"/>
    <n v="1"/>
    <n v="429"/>
    <n v="3"/>
    <s v="Male"/>
    <n v="99"/>
    <n v="3"/>
    <n v="4"/>
    <x v="5"/>
    <x v="3"/>
    <s v="Married"/>
    <n v="17068"/>
    <n v="5355"/>
    <n v="1"/>
    <s v="Y"/>
    <x v="0"/>
    <n v="14"/>
    <n v="3"/>
    <n v="4"/>
    <n v="80"/>
    <n v="0"/>
    <n v="21"/>
    <n v="3"/>
    <n v="3"/>
    <n v="21"/>
    <n v="9"/>
    <n v="11"/>
    <n v="10"/>
    <x v="1"/>
    <x v="1"/>
    <s v="High"/>
    <x v="3"/>
    <s v="Excellent"/>
    <s v="Better"/>
    <n v="0"/>
    <s v="10,001+"/>
    <s v="6–10 miles"/>
    <s v="11+ years"/>
  </r>
  <r>
    <n v="43"/>
    <x v="1"/>
    <s v="Travel_Frequently"/>
    <n v="185"/>
    <x v="1"/>
    <n v="10"/>
    <x v="2"/>
    <s v="Life Sciences"/>
    <n v="1"/>
    <n v="430"/>
    <n v="3"/>
    <s v="Female"/>
    <n v="33"/>
    <n v="3"/>
    <n v="1"/>
    <x v="2"/>
    <x v="0"/>
    <s v="Single"/>
    <n v="2455"/>
    <n v="10675"/>
    <n v="0"/>
    <s v="Y"/>
    <x v="1"/>
    <n v="19"/>
    <n v="3"/>
    <n v="1"/>
    <n v="80"/>
    <n v="0"/>
    <n v="9"/>
    <n v="5"/>
    <n v="3"/>
    <n v="8"/>
    <n v="7"/>
    <n v="1"/>
    <n v="7"/>
    <x v="2"/>
    <x v="1"/>
    <s v="High"/>
    <x v="0"/>
    <s v="Excellent"/>
    <s v="Better"/>
    <n v="0"/>
    <s v="0–3,000"/>
    <s v="6–10 miles"/>
    <s v="6–10 years"/>
  </r>
  <r>
    <n v="49"/>
    <x v="1"/>
    <s v="Travel_Rarely"/>
    <n v="1091"/>
    <x v="1"/>
    <n v="1"/>
    <x v="0"/>
    <s v="Technical Degree"/>
    <n v="1"/>
    <n v="431"/>
    <n v="3"/>
    <s v="Female"/>
    <n v="90"/>
    <n v="2"/>
    <n v="4"/>
    <x v="4"/>
    <x v="2"/>
    <s v="Single"/>
    <n v="13964"/>
    <n v="17810"/>
    <n v="7"/>
    <s v="Y"/>
    <x v="0"/>
    <n v="12"/>
    <n v="3"/>
    <n v="4"/>
    <n v="80"/>
    <n v="0"/>
    <n v="25"/>
    <n v="2"/>
    <n v="3"/>
    <n v="7"/>
    <n v="1"/>
    <n v="0"/>
    <n v="7"/>
    <x v="0"/>
    <x v="1"/>
    <s v="Medium"/>
    <x v="2"/>
    <s v="Excellent"/>
    <s v="Better"/>
    <n v="0"/>
    <s v="10,001+"/>
    <s v="0–5 miles"/>
    <s v="6–10 years"/>
  </r>
  <r>
    <n v="52"/>
    <x v="0"/>
    <s v="Travel_Rarely"/>
    <n v="723"/>
    <x v="1"/>
    <n v="8"/>
    <x v="2"/>
    <s v="Medical"/>
    <n v="1"/>
    <n v="433"/>
    <n v="3"/>
    <s v="Male"/>
    <n v="85"/>
    <n v="2"/>
    <n v="2"/>
    <x v="1"/>
    <x v="1"/>
    <s v="Married"/>
    <n v="4941"/>
    <n v="17747"/>
    <n v="2"/>
    <s v="Y"/>
    <x v="1"/>
    <n v="15"/>
    <n v="3"/>
    <n v="1"/>
    <n v="80"/>
    <n v="0"/>
    <n v="11"/>
    <n v="3"/>
    <n v="2"/>
    <n v="8"/>
    <n v="2"/>
    <n v="7"/>
    <n v="7"/>
    <x v="2"/>
    <x v="1"/>
    <s v="Medium"/>
    <x v="1"/>
    <s v="Excellent"/>
    <s v="Good"/>
    <n v="1"/>
    <s v="3,001–6,000"/>
    <s v="6–10 miles"/>
    <s v="6–10 years"/>
  </r>
  <r>
    <n v="27"/>
    <x v="1"/>
    <s v="Travel_Rarely"/>
    <n v="1220"/>
    <x v="1"/>
    <n v="5"/>
    <x v="3"/>
    <s v="Life Sciences"/>
    <n v="1"/>
    <n v="434"/>
    <n v="3"/>
    <s v="Female"/>
    <n v="85"/>
    <n v="3"/>
    <n v="1"/>
    <x v="1"/>
    <x v="1"/>
    <s v="Single"/>
    <n v="2478"/>
    <n v="20938"/>
    <n v="1"/>
    <s v="Y"/>
    <x v="0"/>
    <n v="12"/>
    <n v="3"/>
    <n v="2"/>
    <n v="80"/>
    <n v="0"/>
    <n v="4"/>
    <n v="2"/>
    <n v="2"/>
    <n v="4"/>
    <n v="3"/>
    <n v="1"/>
    <n v="2"/>
    <x v="3"/>
    <x v="1"/>
    <s v="High"/>
    <x v="1"/>
    <s v="Excellent"/>
    <s v="Good"/>
    <n v="0"/>
    <s v="0–3,000"/>
    <s v="0–5 miles"/>
    <s v="2–5 years"/>
  </r>
  <r>
    <n v="32"/>
    <x v="1"/>
    <s v="Travel_Rarely"/>
    <n v="588"/>
    <x v="0"/>
    <n v="8"/>
    <x v="0"/>
    <s v="Technical Degree"/>
    <n v="1"/>
    <n v="436"/>
    <n v="3"/>
    <s v="Female"/>
    <n v="65"/>
    <n v="2"/>
    <n v="2"/>
    <x v="0"/>
    <x v="1"/>
    <s v="Married"/>
    <n v="5228"/>
    <n v="24624"/>
    <n v="1"/>
    <s v="Y"/>
    <x v="0"/>
    <n v="11"/>
    <n v="3"/>
    <n v="4"/>
    <n v="80"/>
    <n v="0"/>
    <n v="13"/>
    <n v="2"/>
    <n v="3"/>
    <n v="13"/>
    <n v="12"/>
    <n v="11"/>
    <n v="9"/>
    <x v="0"/>
    <x v="1"/>
    <s v="Medium"/>
    <x v="1"/>
    <s v="Excellent"/>
    <s v="Better"/>
    <n v="0"/>
    <s v="3,001–6,000"/>
    <s v="6–10 miles"/>
    <s v="11+ years"/>
  </r>
  <r>
    <n v="27"/>
    <x v="1"/>
    <s v="Travel_Rarely"/>
    <n v="1377"/>
    <x v="0"/>
    <n v="2"/>
    <x v="3"/>
    <s v="Life Sciences"/>
    <n v="1"/>
    <n v="437"/>
    <n v="4"/>
    <s v="Male"/>
    <n v="74"/>
    <n v="3"/>
    <n v="2"/>
    <x v="0"/>
    <x v="2"/>
    <s v="Single"/>
    <n v="4478"/>
    <n v="5242"/>
    <n v="1"/>
    <s v="Y"/>
    <x v="0"/>
    <n v="11"/>
    <n v="3"/>
    <n v="1"/>
    <n v="80"/>
    <n v="0"/>
    <n v="5"/>
    <n v="3"/>
    <n v="3"/>
    <n v="5"/>
    <n v="4"/>
    <n v="0"/>
    <n v="4"/>
    <x v="3"/>
    <x v="2"/>
    <s v="High"/>
    <x v="2"/>
    <s v="Excellent"/>
    <s v="Better"/>
    <n v="0"/>
    <s v="3,001–6,000"/>
    <s v="0–5 miles"/>
    <s v="2–5 years"/>
  </r>
  <r>
    <n v="31"/>
    <x v="1"/>
    <s v="Travel_Rarely"/>
    <n v="691"/>
    <x v="0"/>
    <n v="7"/>
    <x v="3"/>
    <s v="Marketing"/>
    <n v="1"/>
    <n v="438"/>
    <n v="4"/>
    <s v="Male"/>
    <n v="73"/>
    <n v="3"/>
    <n v="2"/>
    <x v="0"/>
    <x v="0"/>
    <s v="Divorced"/>
    <n v="7547"/>
    <n v="7143"/>
    <n v="4"/>
    <s v="Y"/>
    <x v="1"/>
    <n v="12"/>
    <n v="3"/>
    <n v="4"/>
    <n v="80"/>
    <n v="3"/>
    <n v="13"/>
    <n v="3"/>
    <n v="3"/>
    <n v="7"/>
    <n v="7"/>
    <n v="1"/>
    <n v="7"/>
    <x v="3"/>
    <x v="2"/>
    <s v="High"/>
    <x v="0"/>
    <s v="Excellent"/>
    <s v="Better"/>
    <n v="0"/>
    <s v="6,001–10,000"/>
    <s v="6–10 miles"/>
    <s v="6–10 years"/>
  </r>
  <r>
    <n v="32"/>
    <x v="1"/>
    <s v="Travel_Rarely"/>
    <n v="1018"/>
    <x v="1"/>
    <n v="2"/>
    <x v="2"/>
    <s v="Medical"/>
    <n v="1"/>
    <n v="439"/>
    <n v="1"/>
    <s v="Female"/>
    <n v="74"/>
    <n v="4"/>
    <n v="2"/>
    <x v="1"/>
    <x v="0"/>
    <s v="Single"/>
    <n v="5055"/>
    <n v="10557"/>
    <n v="7"/>
    <s v="Y"/>
    <x v="1"/>
    <n v="16"/>
    <n v="3"/>
    <n v="3"/>
    <n v="80"/>
    <n v="0"/>
    <n v="10"/>
    <n v="0"/>
    <n v="2"/>
    <n v="7"/>
    <n v="7"/>
    <n v="0"/>
    <n v="7"/>
    <x v="2"/>
    <x v="3"/>
    <s v="Very High"/>
    <x v="0"/>
    <s v="Excellent"/>
    <s v="Good"/>
    <n v="0"/>
    <s v="3,001–6,000"/>
    <s v="0–5 miles"/>
    <s v="6–10 years"/>
  </r>
  <r>
    <n v="28"/>
    <x v="0"/>
    <s v="Travel_Rarely"/>
    <n v="1157"/>
    <x v="1"/>
    <n v="2"/>
    <x v="2"/>
    <s v="Medical"/>
    <n v="1"/>
    <n v="440"/>
    <n v="1"/>
    <s v="Male"/>
    <n v="84"/>
    <n v="1"/>
    <n v="1"/>
    <x v="1"/>
    <x v="0"/>
    <s v="Married"/>
    <n v="3464"/>
    <n v="24737"/>
    <n v="5"/>
    <s v="Y"/>
    <x v="0"/>
    <n v="13"/>
    <n v="3"/>
    <n v="4"/>
    <n v="80"/>
    <n v="0"/>
    <n v="5"/>
    <n v="4"/>
    <n v="2"/>
    <n v="3"/>
    <n v="2"/>
    <n v="2"/>
    <n v="2"/>
    <x v="2"/>
    <x v="3"/>
    <s v="Low"/>
    <x v="0"/>
    <s v="Excellent"/>
    <s v="Good"/>
    <n v="1"/>
    <s v="3,001–6,000"/>
    <s v="0–5 miles"/>
    <s v="2–5 years"/>
  </r>
  <r>
    <n v="30"/>
    <x v="1"/>
    <s v="Travel_Rarely"/>
    <n v="1275"/>
    <x v="1"/>
    <n v="28"/>
    <x v="0"/>
    <s v="Medical"/>
    <n v="1"/>
    <n v="441"/>
    <n v="4"/>
    <s v="Female"/>
    <n v="64"/>
    <n v="3"/>
    <n v="2"/>
    <x v="1"/>
    <x v="0"/>
    <s v="Married"/>
    <n v="5775"/>
    <n v="11934"/>
    <n v="1"/>
    <s v="Y"/>
    <x v="1"/>
    <n v="13"/>
    <n v="3"/>
    <n v="4"/>
    <n v="80"/>
    <n v="2"/>
    <n v="11"/>
    <n v="2"/>
    <n v="3"/>
    <n v="10"/>
    <n v="8"/>
    <n v="1"/>
    <n v="9"/>
    <x v="0"/>
    <x v="2"/>
    <s v="High"/>
    <x v="0"/>
    <s v="Excellent"/>
    <s v="Better"/>
    <n v="0"/>
    <s v="3,001–6,000"/>
    <s v="16+ miles"/>
    <s v="6–10 years"/>
  </r>
  <r>
    <n v="31"/>
    <x v="1"/>
    <s v="Travel_Frequently"/>
    <n v="798"/>
    <x v="1"/>
    <n v="7"/>
    <x v="0"/>
    <s v="Life Sciences"/>
    <n v="1"/>
    <n v="442"/>
    <n v="3"/>
    <s v="Female"/>
    <n v="48"/>
    <n v="2"/>
    <n v="3"/>
    <x v="3"/>
    <x v="2"/>
    <s v="Married"/>
    <n v="8943"/>
    <n v="14034"/>
    <n v="1"/>
    <s v="Y"/>
    <x v="1"/>
    <n v="24"/>
    <n v="4"/>
    <n v="1"/>
    <n v="80"/>
    <n v="1"/>
    <n v="10"/>
    <n v="2"/>
    <n v="3"/>
    <n v="10"/>
    <n v="9"/>
    <n v="8"/>
    <n v="9"/>
    <x v="0"/>
    <x v="1"/>
    <s v="Medium"/>
    <x v="2"/>
    <s v="Outstanding"/>
    <s v="Better"/>
    <n v="0"/>
    <s v="6,001–10,000"/>
    <s v="6–10 miles"/>
    <s v="6–10 years"/>
  </r>
  <r>
    <n v="39"/>
    <x v="1"/>
    <s v="Travel_Frequently"/>
    <n v="672"/>
    <x v="1"/>
    <n v="7"/>
    <x v="0"/>
    <s v="Medical"/>
    <n v="1"/>
    <n v="444"/>
    <n v="3"/>
    <s v="Male"/>
    <n v="54"/>
    <n v="2"/>
    <n v="5"/>
    <x v="5"/>
    <x v="0"/>
    <s v="Married"/>
    <n v="19272"/>
    <n v="21141"/>
    <n v="1"/>
    <s v="Y"/>
    <x v="1"/>
    <n v="15"/>
    <n v="3"/>
    <n v="1"/>
    <n v="80"/>
    <n v="1"/>
    <n v="21"/>
    <n v="2"/>
    <n v="3"/>
    <n v="21"/>
    <n v="9"/>
    <n v="13"/>
    <n v="3"/>
    <x v="0"/>
    <x v="1"/>
    <s v="Medium"/>
    <x v="0"/>
    <s v="Excellent"/>
    <s v="Better"/>
    <n v="0"/>
    <s v="10,001+"/>
    <s v="6–10 miles"/>
    <s v="11+ years"/>
  </r>
  <r>
    <n v="39"/>
    <x v="0"/>
    <s v="Travel_Rarely"/>
    <n v="1162"/>
    <x v="0"/>
    <n v="3"/>
    <x v="0"/>
    <s v="Medical"/>
    <n v="1"/>
    <n v="445"/>
    <n v="4"/>
    <s v="Female"/>
    <n v="41"/>
    <n v="3"/>
    <n v="2"/>
    <x v="0"/>
    <x v="2"/>
    <s v="Married"/>
    <n v="5238"/>
    <n v="17778"/>
    <n v="4"/>
    <s v="Y"/>
    <x v="0"/>
    <n v="18"/>
    <n v="3"/>
    <n v="1"/>
    <n v="80"/>
    <n v="0"/>
    <n v="12"/>
    <n v="3"/>
    <n v="2"/>
    <n v="1"/>
    <n v="0"/>
    <n v="0"/>
    <n v="0"/>
    <x v="0"/>
    <x v="2"/>
    <s v="High"/>
    <x v="2"/>
    <s v="Excellent"/>
    <s v="Good"/>
    <n v="1"/>
    <s v="3,001–6,000"/>
    <s v="0–5 miles"/>
    <s v="0–1 years"/>
  </r>
  <r>
    <n v="33"/>
    <x v="1"/>
    <s v="Travel_Frequently"/>
    <n v="508"/>
    <x v="0"/>
    <n v="10"/>
    <x v="3"/>
    <s v="Marketing"/>
    <n v="1"/>
    <n v="446"/>
    <n v="2"/>
    <s v="Male"/>
    <n v="46"/>
    <n v="2"/>
    <n v="2"/>
    <x v="0"/>
    <x v="0"/>
    <s v="Single"/>
    <n v="4682"/>
    <n v="4317"/>
    <n v="3"/>
    <s v="Y"/>
    <x v="1"/>
    <n v="14"/>
    <n v="3"/>
    <n v="3"/>
    <n v="80"/>
    <n v="0"/>
    <n v="9"/>
    <n v="6"/>
    <n v="2"/>
    <n v="7"/>
    <n v="7"/>
    <n v="0"/>
    <n v="1"/>
    <x v="3"/>
    <x v="0"/>
    <s v="Medium"/>
    <x v="0"/>
    <s v="Excellent"/>
    <s v="Good"/>
    <n v="0"/>
    <s v="3,001–6,000"/>
    <s v="6–10 miles"/>
    <s v="6–10 years"/>
  </r>
  <r>
    <n v="47"/>
    <x v="1"/>
    <s v="Travel_Rarely"/>
    <n v="1482"/>
    <x v="1"/>
    <n v="5"/>
    <x v="4"/>
    <s v="Life Sciences"/>
    <n v="1"/>
    <n v="447"/>
    <n v="4"/>
    <s v="Male"/>
    <n v="42"/>
    <n v="3"/>
    <n v="5"/>
    <x v="7"/>
    <x v="2"/>
    <s v="Married"/>
    <n v="18300"/>
    <n v="16375"/>
    <n v="4"/>
    <s v="Y"/>
    <x v="1"/>
    <n v="11"/>
    <n v="3"/>
    <n v="2"/>
    <n v="80"/>
    <n v="1"/>
    <n v="21"/>
    <n v="2"/>
    <n v="3"/>
    <n v="3"/>
    <n v="2"/>
    <n v="1"/>
    <n v="1"/>
    <x v="4"/>
    <x v="2"/>
    <s v="High"/>
    <x v="2"/>
    <s v="Excellent"/>
    <s v="Better"/>
    <n v="0"/>
    <s v="10,001+"/>
    <s v="0–5 miles"/>
    <s v="2–5 years"/>
  </r>
  <r>
    <n v="43"/>
    <x v="1"/>
    <s v="Travel_Frequently"/>
    <n v="559"/>
    <x v="1"/>
    <n v="10"/>
    <x v="2"/>
    <s v="Life Sciences"/>
    <n v="1"/>
    <n v="448"/>
    <n v="3"/>
    <s v="Female"/>
    <n v="82"/>
    <n v="2"/>
    <n v="2"/>
    <x v="2"/>
    <x v="2"/>
    <s v="Divorced"/>
    <n v="5257"/>
    <n v="6227"/>
    <n v="1"/>
    <s v="Y"/>
    <x v="1"/>
    <n v="11"/>
    <n v="3"/>
    <n v="2"/>
    <n v="80"/>
    <n v="1"/>
    <n v="9"/>
    <n v="3"/>
    <n v="4"/>
    <n v="9"/>
    <n v="7"/>
    <n v="0"/>
    <n v="0"/>
    <x v="2"/>
    <x v="1"/>
    <s v="Medium"/>
    <x v="2"/>
    <s v="Excellent"/>
    <s v="Best"/>
    <n v="0"/>
    <s v="3,001–6,000"/>
    <s v="6–10 miles"/>
    <s v="6–10 years"/>
  </r>
  <r>
    <n v="27"/>
    <x v="1"/>
    <s v="Non-Travel"/>
    <n v="210"/>
    <x v="0"/>
    <n v="1"/>
    <x v="1"/>
    <s v="Marketing"/>
    <n v="1"/>
    <n v="449"/>
    <n v="3"/>
    <s v="Male"/>
    <n v="73"/>
    <n v="3"/>
    <n v="2"/>
    <x v="0"/>
    <x v="1"/>
    <s v="Married"/>
    <n v="6349"/>
    <n v="22107"/>
    <n v="0"/>
    <s v="Y"/>
    <x v="0"/>
    <n v="13"/>
    <n v="3"/>
    <n v="4"/>
    <n v="80"/>
    <n v="1"/>
    <n v="6"/>
    <n v="0"/>
    <n v="3"/>
    <n v="5"/>
    <n v="4"/>
    <n v="1"/>
    <n v="4"/>
    <x v="1"/>
    <x v="1"/>
    <s v="High"/>
    <x v="1"/>
    <s v="Excellent"/>
    <s v="Better"/>
    <n v="0"/>
    <s v="6,001–10,000"/>
    <s v="0–5 miles"/>
    <s v="2–5 years"/>
  </r>
  <r>
    <n v="54"/>
    <x v="1"/>
    <s v="Travel_Frequently"/>
    <n v="928"/>
    <x v="1"/>
    <n v="20"/>
    <x v="2"/>
    <s v="Life Sciences"/>
    <n v="1"/>
    <n v="450"/>
    <n v="4"/>
    <s v="Female"/>
    <n v="31"/>
    <n v="3"/>
    <n v="2"/>
    <x v="1"/>
    <x v="2"/>
    <s v="Single"/>
    <n v="4869"/>
    <n v="16885"/>
    <n v="3"/>
    <s v="Y"/>
    <x v="1"/>
    <n v="12"/>
    <n v="3"/>
    <n v="4"/>
    <n v="80"/>
    <n v="0"/>
    <n v="20"/>
    <n v="4"/>
    <n v="2"/>
    <n v="4"/>
    <n v="3"/>
    <n v="0"/>
    <n v="3"/>
    <x v="2"/>
    <x v="2"/>
    <s v="High"/>
    <x v="2"/>
    <s v="Excellent"/>
    <s v="Good"/>
    <n v="0"/>
    <s v="3,001–6,000"/>
    <s v="16+ miles"/>
    <s v="2–5 years"/>
  </r>
  <r>
    <n v="43"/>
    <x v="1"/>
    <s v="Travel_Rarely"/>
    <n v="1001"/>
    <x v="1"/>
    <n v="7"/>
    <x v="3"/>
    <s v="Life Sciences"/>
    <n v="1"/>
    <n v="451"/>
    <n v="3"/>
    <s v="Female"/>
    <n v="43"/>
    <n v="3"/>
    <n v="3"/>
    <x v="4"/>
    <x v="3"/>
    <s v="Married"/>
    <n v="9985"/>
    <n v="9262"/>
    <n v="8"/>
    <s v="Y"/>
    <x v="1"/>
    <n v="16"/>
    <n v="3"/>
    <n v="1"/>
    <n v="80"/>
    <n v="1"/>
    <n v="10"/>
    <n v="1"/>
    <n v="2"/>
    <n v="1"/>
    <n v="0"/>
    <n v="0"/>
    <n v="0"/>
    <x v="3"/>
    <x v="1"/>
    <s v="High"/>
    <x v="3"/>
    <s v="Excellent"/>
    <s v="Good"/>
    <n v="0"/>
    <s v="6,001–10,000"/>
    <s v="6–10 miles"/>
    <s v="0–1 years"/>
  </r>
  <r>
    <n v="45"/>
    <x v="1"/>
    <s v="Travel_Rarely"/>
    <n v="549"/>
    <x v="1"/>
    <n v="8"/>
    <x v="2"/>
    <s v="Other"/>
    <n v="1"/>
    <n v="452"/>
    <n v="4"/>
    <s v="Male"/>
    <n v="75"/>
    <n v="3"/>
    <n v="2"/>
    <x v="1"/>
    <x v="0"/>
    <s v="Married"/>
    <n v="3697"/>
    <n v="9278"/>
    <n v="9"/>
    <s v="Y"/>
    <x v="1"/>
    <n v="14"/>
    <n v="3"/>
    <n v="1"/>
    <n v="80"/>
    <n v="2"/>
    <n v="12"/>
    <n v="3"/>
    <n v="3"/>
    <n v="10"/>
    <n v="9"/>
    <n v="9"/>
    <n v="8"/>
    <x v="2"/>
    <x v="2"/>
    <s v="High"/>
    <x v="0"/>
    <s v="Excellent"/>
    <s v="Better"/>
    <n v="0"/>
    <s v="3,001–6,000"/>
    <s v="6–10 miles"/>
    <s v="6–10 years"/>
  </r>
  <r>
    <n v="40"/>
    <x v="1"/>
    <s v="Travel_Rarely"/>
    <n v="1124"/>
    <x v="0"/>
    <n v="1"/>
    <x v="0"/>
    <s v="Medical"/>
    <n v="1"/>
    <n v="453"/>
    <n v="2"/>
    <s v="Male"/>
    <n v="57"/>
    <n v="1"/>
    <n v="2"/>
    <x v="0"/>
    <x v="0"/>
    <s v="Married"/>
    <n v="7457"/>
    <n v="13273"/>
    <n v="2"/>
    <s v="Y"/>
    <x v="0"/>
    <n v="22"/>
    <n v="4"/>
    <n v="3"/>
    <n v="80"/>
    <n v="3"/>
    <n v="6"/>
    <n v="2"/>
    <n v="2"/>
    <n v="4"/>
    <n v="3"/>
    <n v="0"/>
    <n v="2"/>
    <x v="0"/>
    <x v="0"/>
    <s v="Low"/>
    <x v="0"/>
    <s v="Outstanding"/>
    <s v="Good"/>
    <n v="0"/>
    <s v="6,001–10,000"/>
    <s v="0–5 miles"/>
    <s v="2–5 years"/>
  </r>
  <r>
    <n v="29"/>
    <x v="0"/>
    <s v="Travel_Rarely"/>
    <n v="318"/>
    <x v="1"/>
    <n v="8"/>
    <x v="2"/>
    <s v="Other"/>
    <n v="1"/>
    <n v="454"/>
    <n v="2"/>
    <s v="Male"/>
    <n v="77"/>
    <n v="1"/>
    <n v="1"/>
    <x v="2"/>
    <x v="3"/>
    <s v="Married"/>
    <n v="2119"/>
    <n v="4759"/>
    <n v="1"/>
    <s v="Y"/>
    <x v="0"/>
    <n v="11"/>
    <n v="3"/>
    <n v="4"/>
    <n v="80"/>
    <n v="0"/>
    <n v="7"/>
    <n v="4"/>
    <n v="2"/>
    <n v="7"/>
    <n v="7"/>
    <n v="0"/>
    <n v="7"/>
    <x v="2"/>
    <x v="0"/>
    <s v="Low"/>
    <x v="3"/>
    <s v="Excellent"/>
    <s v="Good"/>
    <n v="1"/>
    <s v="0–3,000"/>
    <s v="6–10 miles"/>
    <s v="6–10 years"/>
  </r>
  <r>
    <n v="29"/>
    <x v="1"/>
    <s v="Travel_Rarely"/>
    <n v="738"/>
    <x v="1"/>
    <n v="9"/>
    <x v="4"/>
    <s v="Other"/>
    <n v="1"/>
    <n v="455"/>
    <n v="2"/>
    <s v="Male"/>
    <n v="30"/>
    <n v="2"/>
    <n v="1"/>
    <x v="2"/>
    <x v="0"/>
    <s v="Single"/>
    <n v="3983"/>
    <n v="7621"/>
    <n v="0"/>
    <s v="Y"/>
    <x v="1"/>
    <n v="17"/>
    <n v="3"/>
    <n v="3"/>
    <n v="80"/>
    <n v="0"/>
    <n v="4"/>
    <n v="2"/>
    <n v="3"/>
    <n v="3"/>
    <n v="2"/>
    <n v="2"/>
    <n v="2"/>
    <x v="4"/>
    <x v="0"/>
    <s v="Medium"/>
    <x v="0"/>
    <s v="Excellent"/>
    <s v="Better"/>
    <n v="0"/>
    <s v="3,001–6,000"/>
    <s v="6–10 miles"/>
    <s v="2–5 years"/>
  </r>
  <r>
    <n v="30"/>
    <x v="1"/>
    <s v="Travel_Rarely"/>
    <n v="570"/>
    <x v="0"/>
    <n v="5"/>
    <x v="3"/>
    <s v="Marketing"/>
    <n v="1"/>
    <n v="456"/>
    <n v="4"/>
    <s v="Female"/>
    <n v="30"/>
    <n v="2"/>
    <n v="2"/>
    <x v="0"/>
    <x v="2"/>
    <s v="Divorced"/>
    <n v="6118"/>
    <n v="5431"/>
    <n v="1"/>
    <s v="Y"/>
    <x v="1"/>
    <n v="13"/>
    <n v="3"/>
    <n v="3"/>
    <n v="80"/>
    <n v="3"/>
    <n v="10"/>
    <n v="2"/>
    <n v="3"/>
    <n v="10"/>
    <n v="9"/>
    <n v="1"/>
    <n v="2"/>
    <x v="3"/>
    <x v="2"/>
    <s v="Medium"/>
    <x v="2"/>
    <s v="Excellent"/>
    <s v="Better"/>
    <n v="0"/>
    <s v="6,001–10,000"/>
    <s v="0–5 miles"/>
    <s v="6–10 years"/>
  </r>
  <r>
    <n v="27"/>
    <x v="1"/>
    <s v="Travel_Rarely"/>
    <n v="1130"/>
    <x v="0"/>
    <n v="8"/>
    <x v="2"/>
    <s v="Marketing"/>
    <n v="1"/>
    <n v="458"/>
    <n v="2"/>
    <s v="Female"/>
    <n v="56"/>
    <n v="3"/>
    <n v="2"/>
    <x v="0"/>
    <x v="1"/>
    <s v="Married"/>
    <n v="6214"/>
    <n v="3415"/>
    <n v="1"/>
    <s v="Y"/>
    <x v="1"/>
    <n v="18"/>
    <n v="3"/>
    <n v="1"/>
    <n v="80"/>
    <n v="1"/>
    <n v="8"/>
    <n v="3"/>
    <n v="3"/>
    <n v="8"/>
    <n v="7"/>
    <n v="0"/>
    <n v="7"/>
    <x v="2"/>
    <x v="0"/>
    <s v="High"/>
    <x v="1"/>
    <s v="Excellent"/>
    <s v="Better"/>
    <n v="0"/>
    <s v="6,001–10,000"/>
    <s v="6–10 miles"/>
    <s v="6–10 years"/>
  </r>
  <r>
    <n v="37"/>
    <x v="1"/>
    <s v="Travel_Rarely"/>
    <n v="1192"/>
    <x v="1"/>
    <n v="5"/>
    <x v="0"/>
    <s v="Medical"/>
    <n v="1"/>
    <n v="460"/>
    <n v="4"/>
    <s v="Male"/>
    <n v="61"/>
    <n v="3"/>
    <n v="2"/>
    <x v="3"/>
    <x v="0"/>
    <s v="Divorced"/>
    <n v="6347"/>
    <n v="23177"/>
    <n v="7"/>
    <s v="Y"/>
    <x v="1"/>
    <n v="16"/>
    <n v="3"/>
    <n v="3"/>
    <n v="80"/>
    <n v="2"/>
    <n v="8"/>
    <n v="2"/>
    <n v="2"/>
    <n v="6"/>
    <n v="2"/>
    <n v="0"/>
    <n v="4"/>
    <x v="0"/>
    <x v="2"/>
    <s v="High"/>
    <x v="0"/>
    <s v="Excellent"/>
    <s v="Good"/>
    <n v="0"/>
    <s v="6,001–10,000"/>
    <s v="0–5 miles"/>
    <s v="6–10 years"/>
  </r>
  <r>
    <n v="38"/>
    <x v="1"/>
    <s v="Travel_Rarely"/>
    <n v="343"/>
    <x v="1"/>
    <n v="15"/>
    <x v="0"/>
    <s v="Life Sciences"/>
    <n v="1"/>
    <n v="461"/>
    <n v="3"/>
    <s v="Male"/>
    <n v="92"/>
    <n v="2"/>
    <n v="3"/>
    <x v="7"/>
    <x v="0"/>
    <s v="Divorced"/>
    <n v="11510"/>
    <n v="15682"/>
    <n v="0"/>
    <s v="Y"/>
    <x v="0"/>
    <n v="14"/>
    <n v="3"/>
    <n v="2"/>
    <n v="80"/>
    <n v="1"/>
    <n v="12"/>
    <n v="3"/>
    <n v="3"/>
    <n v="11"/>
    <n v="10"/>
    <n v="2"/>
    <n v="9"/>
    <x v="0"/>
    <x v="1"/>
    <s v="Medium"/>
    <x v="0"/>
    <s v="Excellent"/>
    <s v="Better"/>
    <n v="0"/>
    <s v="10,001+"/>
    <s v="11–15 miles"/>
    <s v="11+ years"/>
  </r>
  <r>
    <n v="31"/>
    <x v="1"/>
    <s v="Travel_Rarely"/>
    <n v="1232"/>
    <x v="1"/>
    <n v="7"/>
    <x v="2"/>
    <s v="Medical"/>
    <n v="1"/>
    <n v="462"/>
    <n v="3"/>
    <s v="Female"/>
    <n v="39"/>
    <n v="3"/>
    <n v="3"/>
    <x v="3"/>
    <x v="0"/>
    <s v="Single"/>
    <n v="7143"/>
    <n v="25713"/>
    <n v="1"/>
    <s v="Y"/>
    <x v="0"/>
    <n v="14"/>
    <n v="3"/>
    <n v="3"/>
    <n v="80"/>
    <n v="0"/>
    <n v="11"/>
    <n v="2"/>
    <n v="2"/>
    <n v="11"/>
    <n v="9"/>
    <n v="4"/>
    <n v="10"/>
    <x v="2"/>
    <x v="1"/>
    <s v="High"/>
    <x v="0"/>
    <s v="Excellent"/>
    <s v="Good"/>
    <n v="0"/>
    <s v="6,001–10,000"/>
    <s v="6–10 miles"/>
    <s v="11+ years"/>
  </r>
  <r>
    <n v="29"/>
    <x v="1"/>
    <s v="Travel_Rarely"/>
    <n v="144"/>
    <x v="0"/>
    <n v="10"/>
    <x v="1"/>
    <s v="Marketing"/>
    <n v="1"/>
    <n v="463"/>
    <n v="4"/>
    <s v="Female"/>
    <n v="39"/>
    <n v="2"/>
    <n v="2"/>
    <x v="0"/>
    <x v="1"/>
    <s v="Divorced"/>
    <n v="8268"/>
    <n v="11866"/>
    <n v="1"/>
    <s v="Y"/>
    <x v="0"/>
    <n v="14"/>
    <n v="3"/>
    <n v="1"/>
    <n v="80"/>
    <n v="2"/>
    <n v="7"/>
    <n v="2"/>
    <n v="3"/>
    <n v="7"/>
    <n v="7"/>
    <n v="1"/>
    <n v="7"/>
    <x v="1"/>
    <x v="2"/>
    <s v="Medium"/>
    <x v="1"/>
    <s v="Excellent"/>
    <s v="Better"/>
    <n v="0"/>
    <s v="6,001–10,000"/>
    <s v="6–10 miles"/>
    <s v="6–10 years"/>
  </r>
  <r>
    <n v="35"/>
    <x v="1"/>
    <s v="Travel_Rarely"/>
    <n v="1296"/>
    <x v="1"/>
    <n v="5"/>
    <x v="2"/>
    <s v="Technical Degree"/>
    <n v="1"/>
    <n v="464"/>
    <n v="3"/>
    <s v="Male"/>
    <n v="62"/>
    <n v="3"/>
    <n v="3"/>
    <x v="3"/>
    <x v="1"/>
    <s v="Single"/>
    <n v="8095"/>
    <n v="18264"/>
    <n v="0"/>
    <s v="Y"/>
    <x v="1"/>
    <n v="13"/>
    <n v="3"/>
    <n v="4"/>
    <n v="80"/>
    <n v="0"/>
    <n v="17"/>
    <n v="5"/>
    <n v="3"/>
    <n v="16"/>
    <n v="6"/>
    <n v="0"/>
    <n v="13"/>
    <x v="2"/>
    <x v="1"/>
    <s v="High"/>
    <x v="1"/>
    <s v="Excellent"/>
    <s v="Better"/>
    <n v="0"/>
    <s v="6,001–10,000"/>
    <s v="0–5 miles"/>
    <s v="11+ years"/>
  </r>
  <r>
    <n v="23"/>
    <x v="1"/>
    <s v="Travel_Rarely"/>
    <n v="1309"/>
    <x v="1"/>
    <n v="26"/>
    <x v="1"/>
    <s v="Life Sciences"/>
    <n v="1"/>
    <n v="465"/>
    <n v="3"/>
    <s v="Male"/>
    <n v="83"/>
    <n v="3"/>
    <n v="1"/>
    <x v="1"/>
    <x v="0"/>
    <s v="Divorced"/>
    <n v="2904"/>
    <n v="16092"/>
    <n v="1"/>
    <s v="Y"/>
    <x v="1"/>
    <n v="12"/>
    <n v="3"/>
    <n v="3"/>
    <n v="80"/>
    <n v="2"/>
    <n v="4"/>
    <n v="2"/>
    <n v="2"/>
    <n v="4"/>
    <n v="2"/>
    <n v="0"/>
    <n v="2"/>
    <x v="1"/>
    <x v="1"/>
    <s v="High"/>
    <x v="0"/>
    <s v="Excellent"/>
    <s v="Good"/>
    <n v="0"/>
    <s v="0–3,000"/>
    <s v="16+ miles"/>
    <s v="2–5 years"/>
  </r>
  <r>
    <n v="41"/>
    <x v="1"/>
    <s v="Travel_Rarely"/>
    <n v="483"/>
    <x v="1"/>
    <n v="6"/>
    <x v="3"/>
    <s v="Medical"/>
    <n v="1"/>
    <n v="466"/>
    <n v="4"/>
    <s v="Male"/>
    <n v="95"/>
    <n v="2"/>
    <n v="2"/>
    <x v="3"/>
    <x v="1"/>
    <s v="Single"/>
    <n v="6032"/>
    <n v="10110"/>
    <n v="6"/>
    <s v="Y"/>
    <x v="0"/>
    <n v="15"/>
    <n v="3"/>
    <n v="4"/>
    <n v="80"/>
    <n v="0"/>
    <n v="8"/>
    <n v="3"/>
    <n v="3"/>
    <n v="5"/>
    <n v="4"/>
    <n v="1"/>
    <n v="2"/>
    <x v="3"/>
    <x v="2"/>
    <s v="Medium"/>
    <x v="1"/>
    <s v="Excellent"/>
    <s v="Better"/>
    <n v="0"/>
    <s v="6,001–10,000"/>
    <s v="6–10 miles"/>
    <s v="2–5 years"/>
  </r>
  <r>
    <n v="47"/>
    <x v="1"/>
    <s v="Travel_Frequently"/>
    <n v="1309"/>
    <x v="0"/>
    <n v="4"/>
    <x v="1"/>
    <s v="Medical"/>
    <n v="1"/>
    <n v="467"/>
    <n v="2"/>
    <s v="Male"/>
    <n v="99"/>
    <n v="3"/>
    <n v="2"/>
    <x v="6"/>
    <x v="2"/>
    <s v="Single"/>
    <n v="2976"/>
    <n v="25751"/>
    <n v="3"/>
    <s v="Y"/>
    <x v="1"/>
    <n v="19"/>
    <n v="3"/>
    <n v="1"/>
    <n v="80"/>
    <n v="0"/>
    <n v="5"/>
    <n v="3"/>
    <n v="3"/>
    <n v="0"/>
    <n v="0"/>
    <n v="0"/>
    <n v="0"/>
    <x v="1"/>
    <x v="0"/>
    <s v="High"/>
    <x v="2"/>
    <s v="Excellent"/>
    <s v="Better"/>
    <n v="0"/>
    <s v="0–3,000"/>
    <s v="0–5 miles"/>
    <s v="0–1 years"/>
  </r>
  <r>
    <n v="42"/>
    <x v="1"/>
    <s v="Travel_Rarely"/>
    <n v="810"/>
    <x v="1"/>
    <n v="23"/>
    <x v="4"/>
    <s v="Life Sciences"/>
    <n v="1"/>
    <n v="468"/>
    <n v="1"/>
    <s v="Female"/>
    <n v="44"/>
    <n v="3"/>
    <n v="4"/>
    <x v="7"/>
    <x v="0"/>
    <s v="Single"/>
    <n v="15992"/>
    <n v="15901"/>
    <n v="2"/>
    <s v="Y"/>
    <x v="1"/>
    <n v="14"/>
    <n v="3"/>
    <n v="2"/>
    <n v="80"/>
    <n v="0"/>
    <n v="16"/>
    <n v="2"/>
    <n v="3"/>
    <n v="1"/>
    <n v="0"/>
    <n v="0"/>
    <n v="0"/>
    <x v="4"/>
    <x v="3"/>
    <s v="High"/>
    <x v="0"/>
    <s v="Excellent"/>
    <s v="Better"/>
    <n v="0"/>
    <s v="10,001+"/>
    <s v="16+ miles"/>
    <s v="0–1 years"/>
  </r>
  <r>
    <n v="29"/>
    <x v="1"/>
    <s v="Non-Travel"/>
    <n v="746"/>
    <x v="0"/>
    <n v="2"/>
    <x v="3"/>
    <s v="Life Sciences"/>
    <n v="1"/>
    <n v="469"/>
    <n v="4"/>
    <s v="Male"/>
    <n v="61"/>
    <n v="3"/>
    <n v="2"/>
    <x v="0"/>
    <x v="2"/>
    <s v="Married"/>
    <n v="4649"/>
    <n v="16928"/>
    <n v="1"/>
    <s v="Y"/>
    <x v="1"/>
    <n v="14"/>
    <n v="3"/>
    <n v="1"/>
    <n v="80"/>
    <n v="1"/>
    <n v="4"/>
    <n v="3"/>
    <n v="2"/>
    <n v="4"/>
    <n v="3"/>
    <n v="0"/>
    <n v="2"/>
    <x v="3"/>
    <x v="2"/>
    <s v="High"/>
    <x v="2"/>
    <s v="Excellent"/>
    <s v="Good"/>
    <n v="0"/>
    <s v="3,001–6,000"/>
    <s v="0–5 miles"/>
    <s v="2–5 years"/>
  </r>
  <r>
    <n v="42"/>
    <x v="1"/>
    <s v="Travel_Rarely"/>
    <n v="544"/>
    <x v="2"/>
    <n v="2"/>
    <x v="1"/>
    <s v="Technical Degree"/>
    <n v="1"/>
    <n v="470"/>
    <n v="3"/>
    <s v="Male"/>
    <n v="52"/>
    <n v="3"/>
    <n v="1"/>
    <x v="8"/>
    <x v="2"/>
    <s v="Divorced"/>
    <n v="2696"/>
    <n v="24017"/>
    <n v="0"/>
    <s v="Y"/>
    <x v="0"/>
    <n v="11"/>
    <n v="3"/>
    <n v="3"/>
    <n v="80"/>
    <n v="1"/>
    <n v="4"/>
    <n v="5"/>
    <n v="3"/>
    <n v="3"/>
    <n v="2"/>
    <n v="1"/>
    <n v="0"/>
    <x v="1"/>
    <x v="1"/>
    <s v="High"/>
    <x v="2"/>
    <s v="Excellent"/>
    <s v="Better"/>
    <n v="0"/>
    <s v="0–3,000"/>
    <s v="0–5 miles"/>
    <s v="2–5 years"/>
  </r>
  <r>
    <n v="32"/>
    <x v="1"/>
    <s v="Travel_Rarely"/>
    <n v="1062"/>
    <x v="1"/>
    <n v="2"/>
    <x v="3"/>
    <s v="Medical"/>
    <n v="1"/>
    <n v="471"/>
    <n v="3"/>
    <s v="Female"/>
    <n v="75"/>
    <n v="3"/>
    <n v="1"/>
    <x v="2"/>
    <x v="1"/>
    <s v="Married"/>
    <n v="2370"/>
    <n v="3956"/>
    <n v="1"/>
    <s v="Y"/>
    <x v="1"/>
    <n v="13"/>
    <n v="3"/>
    <n v="3"/>
    <n v="80"/>
    <n v="1"/>
    <n v="8"/>
    <n v="4"/>
    <n v="3"/>
    <n v="8"/>
    <n v="0"/>
    <n v="0"/>
    <n v="7"/>
    <x v="3"/>
    <x v="1"/>
    <s v="High"/>
    <x v="1"/>
    <s v="Excellent"/>
    <s v="Better"/>
    <n v="0"/>
    <s v="0–3,000"/>
    <s v="0–5 miles"/>
    <s v="6–10 years"/>
  </r>
  <r>
    <n v="48"/>
    <x v="1"/>
    <s v="Travel_Rarely"/>
    <n v="530"/>
    <x v="0"/>
    <n v="29"/>
    <x v="1"/>
    <s v="Medical"/>
    <n v="1"/>
    <n v="473"/>
    <n v="1"/>
    <s v="Female"/>
    <n v="91"/>
    <n v="3"/>
    <n v="3"/>
    <x v="5"/>
    <x v="2"/>
    <s v="Married"/>
    <n v="12504"/>
    <n v="23978"/>
    <n v="3"/>
    <s v="Y"/>
    <x v="1"/>
    <n v="21"/>
    <n v="4"/>
    <n v="2"/>
    <n v="80"/>
    <n v="1"/>
    <n v="15"/>
    <n v="3"/>
    <n v="1"/>
    <n v="0"/>
    <n v="0"/>
    <n v="0"/>
    <n v="0"/>
    <x v="1"/>
    <x v="3"/>
    <s v="High"/>
    <x v="2"/>
    <s v="Outstanding"/>
    <s v="Bad"/>
    <n v="0"/>
    <s v="10,001+"/>
    <s v="16+ miles"/>
    <s v="0–1 years"/>
  </r>
  <r>
    <n v="37"/>
    <x v="1"/>
    <s v="Travel_Rarely"/>
    <n v="1319"/>
    <x v="1"/>
    <n v="6"/>
    <x v="3"/>
    <s v="Medical"/>
    <n v="1"/>
    <n v="474"/>
    <n v="3"/>
    <s v="Male"/>
    <n v="51"/>
    <n v="4"/>
    <n v="2"/>
    <x v="1"/>
    <x v="3"/>
    <s v="Divorced"/>
    <n v="5974"/>
    <n v="17001"/>
    <n v="4"/>
    <s v="Y"/>
    <x v="0"/>
    <n v="13"/>
    <n v="3"/>
    <n v="1"/>
    <n v="80"/>
    <n v="2"/>
    <n v="13"/>
    <n v="2"/>
    <n v="3"/>
    <n v="7"/>
    <n v="7"/>
    <n v="6"/>
    <n v="7"/>
    <x v="3"/>
    <x v="1"/>
    <s v="Very High"/>
    <x v="3"/>
    <s v="Excellent"/>
    <s v="Better"/>
    <n v="0"/>
    <s v="3,001–6,000"/>
    <s v="6–10 miles"/>
    <s v="6–10 years"/>
  </r>
  <r>
    <n v="30"/>
    <x v="1"/>
    <s v="Non-Travel"/>
    <n v="641"/>
    <x v="0"/>
    <n v="25"/>
    <x v="0"/>
    <s v="Technical Degree"/>
    <n v="1"/>
    <n v="475"/>
    <n v="4"/>
    <s v="Female"/>
    <n v="85"/>
    <n v="3"/>
    <n v="2"/>
    <x v="0"/>
    <x v="2"/>
    <s v="Married"/>
    <n v="4736"/>
    <n v="6069"/>
    <n v="7"/>
    <s v="Y"/>
    <x v="0"/>
    <n v="12"/>
    <n v="3"/>
    <n v="2"/>
    <n v="80"/>
    <n v="1"/>
    <n v="4"/>
    <n v="2"/>
    <n v="4"/>
    <n v="2"/>
    <n v="2"/>
    <n v="2"/>
    <n v="2"/>
    <x v="0"/>
    <x v="2"/>
    <s v="High"/>
    <x v="2"/>
    <s v="Excellent"/>
    <s v="Best"/>
    <n v="0"/>
    <s v="3,001–6,000"/>
    <s v="16+ miles"/>
    <s v="2–5 years"/>
  </r>
  <r>
    <n v="26"/>
    <x v="1"/>
    <s v="Travel_Rarely"/>
    <n v="933"/>
    <x v="0"/>
    <n v="1"/>
    <x v="3"/>
    <s v="Life Sciences"/>
    <n v="1"/>
    <n v="476"/>
    <n v="3"/>
    <s v="Male"/>
    <n v="57"/>
    <n v="3"/>
    <n v="2"/>
    <x v="0"/>
    <x v="2"/>
    <s v="Married"/>
    <n v="5296"/>
    <n v="20156"/>
    <n v="1"/>
    <s v="Y"/>
    <x v="1"/>
    <n v="17"/>
    <n v="3"/>
    <n v="2"/>
    <n v="80"/>
    <n v="1"/>
    <n v="8"/>
    <n v="3"/>
    <n v="3"/>
    <n v="8"/>
    <n v="7"/>
    <n v="7"/>
    <n v="7"/>
    <x v="3"/>
    <x v="1"/>
    <s v="High"/>
    <x v="2"/>
    <s v="Excellent"/>
    <s v="Better"/>
    <n v="0"/>
    <s v="3,001–6,000"/>
    <s v="0–5 miles"/>
    <s v="6–10 years"/>
  </r>
  <r>
    <n v="42"/>
    <x v="1"/>
    <s v="Travel_Rarely"/>
    <n v="1332"/>
    <x v="1"/>
    <n v="2"/>
    <x v="2"/>
    <s v="Other"/>
    <n v="1"/>
    <n v="477"/>
    <n v="1"/>
    <s v="Male"/>
    <n v="98"/>
    <n v="2"/>
    <n v="2"/>
    <x v="4"/>
    <x v="0"/>
    <s v="Single"/>
    <n v="6781"/>
    <n v="17078"/>
    <n v="3"/>
    <s v="Y"/>
    <x v="1"/>
    <n v="23"/>
    <n v="4"/>
    <n v="2"/>
    <n v="80"/>
    <n v="0"/>
    <n v="14"/>
    <n v="6"/>
    <n v="3"/>
    <n v="1"/>
    <n v="0"/>
    <n v="0"/>
    <n v="0"/>
    <x v="2"/>
    <x v="3"/>
    <s v="Medium"/>
    <x v="0"/>
    <s v="Outstanding"/>
    <s v="Better"/>
    <n v="0"/>
    <s v="6,001–10,000"/>
    <s v="0–5 miles"/>
    <s v="0–1 years"/>
  </r>
  <r>
    <n v="21"/>
    <x v="0"/>
    <s v="Travel_Frequently"/>
    <n v="756"/>
    <x v="0"/>
    <n v="1"/>
    <x v="1"/>
    <s v="Technical Degree"/>
    <n v="1"/>
    <n v="478"/>
    <n v="1"/>
    <s v="Female"/>
    <n v="99"/>
    <n v="2"/>
    <n v="1"/>
    <x v="6"/>
    <x v="1"/>
    <s v="Single"/>
    <n v="2174"/>
    <n v="9150"/>
    <n v="1"/>
    <s v="Y"/>
    <x v="0"/>
    <n v="11"/>
    <n v="3"/>
    <n v="3"/>
    <n v="80"/>
    <n v="0"/>
    <n v="3"/>
    <n v="3"/>
    <n v="3"/>
    <n v="3"/>
    <n v="2"/>
    <n v="1"/>
    <n v="2"/>
    <x v="1"/>
    <x v="3"/>
    <s v="Medium"/>
    <x v="1"/>
    <s v="Excellent"/>
    <s v="Better"/>
    <n v="1"/>
    <s v="0–3,000"/>
    <s v="0–5 miles"/>
    <s v="2–5 years"/>
  </r>
  <r>
    <n v="36"/>
    <x v="1"/>
    <s v="Non-Travel"/>
    <n v="845"/>
    <x v="0"/>
    <n v="1"/>
    <x v="4"/>
    <s v="Medical"/>
    <n v="1"/>
    <n v="479"/>
    <n v="4"/>
    <s v="Female"/>
    <n v="45"/>
    <n v="3"/>
    <n v="2"/>
    <x v="0"/>
    <x v="0"/>
    <s v="Single"/>
    <n v="6653"/>
    <n v="15276"/>
    <n v="4"/>
    <s v="Y"/>
    <x v="1"/>
    <n v="15"/>
    <n v="3"/>
    <n v="2"/>
    <n v="80"/>
    <n v="0"/>
    <n v="7"/>
    <n v="6"/>
    <n v="3"/>
    <n v="1"/>
    <n v="0"/>
    <n v="0"/>
    <n v="0"/>
    <x v="4"/>
    <x v="2"/>
    <s v="High"/>
    <x v="0"/>
    <s v="Excellent"/>
    <s v="Better"/>
    <n v="0"/>
    <s v="6,001–10,000"/>
    <s v="0–5 miles"/>
    <s v="0–1 years"/>
  </r>
  <r>
    <n v="36"/>
    <x v="1"/>
    <s v="Travel_Frequently"/>
    <n v="541"/>
    <x v="0"/>
    <n v="3"/>
    <x v="2"/>
    <s v="Medical"/>
    <n v="1"/>
    <n v="481"/>
    <n v="1"/>
    <s v="Male"/>
    <n v="48"/>
    <n v="2"/>
    <n v="3"/>
    <x v="0"/>
    <x v="0"/>
    <s v="Married"/>
    <n v="9699"/>
    <n v="7246"/>
    <n v="4"/>
    <s v="Y"/>
    <x v="1"/>
    <n v="11"/>
    <n v="3"/>
    <n v="1"/>
    <n v="80"/>
    <n v="1"/>
    <n v="16"/>
    <n v="2"/>
    <n v="3"/>
    <n v="13"/>
    <n v="9"/>
    <n v="1"/>
    <n v="12"/>
    <x v="2"/>
    <x v="3"/>
    <s v="Medium"/>
    <x v="0"/>
    <s v="Excellent"/>
    <s v="Better"/>
    <n v="0"/>
    <s v="6,001–10,000"/>
    <s v="0–5 miles"/>
    <s v="11+ years"/>
  </r>
  <r>
    <n v="57"/>
    <x v="1"/>
    <s v="Travel_Rarely"/>
    <n v="593"/>
    <x v="1"/>
    <n v="1"/>
    <x v="2"/>
    <s v="Medical"/>
    <n v="1"/>
    <n v="482"/>
    <n v="4"/>
    <s v="Male"/>
    <n v="88"/>
    <n v="3"/>
    <n v="2"/>
    <x v="4"/>
    <x v="2"/>
    <s v="Married"/>
    <n v="6755"/>
    <n v="2967"/>
    <n v="2"/>
    <s v="Y"/>
    <x v="1"/>
    <n v="11"/>
    <n v="3"/>
    <n v="3"/>
    <n v="80"/>
    <n v="0"/>
    <n v="15"/>
    <n v="2"/>
    <n v="3"/>
    <n v="3"/>
    <n v="2"/>
    <n v="1"/>
    <n v="2"/>
    <x v="2"/>
    <x v="2"/>
    <s v="High"/>
    <x v="2"/>
    <s v="Excellent"/>
    <s v="Better"/>
    <n v="0"/>
    <s v="6,001–10,000"/>
    <s v="0–5 miles"/>
    <s v="2–5 years"/>
  </r>
  <r>
    <n v="40"/>
    <x v="1"/>
    <s v="Travel_Rarely"/>
    <n v="1171"/>
    <x v="1"/>
    <n v="10"/>
    <x v="2"/>
    <s v="Life Sciences"/>
    <n v="1"/>
    <n v="483"/>
    <n v="4"/>
    <s v="Female"/>
    <n v="46"/>
    <n v="4"/>
    <n v="1"/>
    <x v="2"/>
    <x v="2"/>
    <s v="Married"/>
    <n v="2213"/>
    <n v="22495"/>
    <n v="3"/>
    <s v="Y"/>
    <x v="0"/>
    <n v="13"/>
    <n v="3"/>
    <n v="3"/>
    <n v="80"/>
    <n v="1"/>
    <n v="10"/>
    <n v="3"/>
    <n v="3"/>
    <n v="7"/>
    <n v="7"/>
    <n v="1"/>
    <n v="7"/>
    <x v="2"/>
    <x v="2"/>
    <s v="Very High"/>
    <x v="2"/>
    <s v="Excellent"/>
    <s v="Better"/>
    <n v="0"/>
    <s v="0–3,000"/>
    <s v="6–10 miles"/>
    <s v="6–10 years"/>
  </r>
  <r>
    <n v="21"/>
    <x v="1"/>
    <s v="Non-Travel"/>
    <n v="895"/>
    <x v="0"/>
    <n v="9"/>
    <x v="0"/>
    <s v="Medical"/>
    <n v="1"/>
    <n v="484"/>
    <n v="1"/>
    <s v="Male"/>
    <n v="39"/>
    <n v="3"/>
    <n v="1"/>
    <x v="6"/>
    <x v="0"/>
    <s v="Single"/>
    <n v="2610"/>
    <n v="2851"/>
    <n v="1"/>
    <s v="Y"/>
    <x v="1"/>
    <n v="24"/>
    <n v="4"/>
    <n v="3"/>
    <n v="80"/>
    <n v="0"/>
    <n v="3"/>
    <n v="3"/>
    <n v="2"/>
    <n v="3"/>
    <n v="2"/>
    <n v="2"/>
    <n v="2"/>
    <x v="0"/>
    <x v="3"/>
    <s v="High"/>
    <x v="0"/>
    <s v="Outstanding"/>
    <s v="Good"/>
    <n v="0"/>
    <s v="0–3,000"/>
    <s v="6–10 miles"/>
    <s v="2–5 years"/>
  </r>
  <r>
    <n v="33"/>
    <x v="0"/>
    <s v="Travel_Rarely"/>
    <n v="350"/>
    <x v="0"/>
    <n v="5"/>
    <x v="3"/>
    <s v="Marketing"/>
    <n v="1"/>
    <n v="485"/>
    <n v="4"/>
    <s v="Female"/>
    <n v="34"/>
    <n v="3"/>
    <n v="1"/>
    <x v="6"/>
    <x v="2"/>
    <s v="Single"/>
    <n v="2851"/>
    <n v="9150"/>
    <n v="1"/>
    <s v="Y"/>
    <x v="0"/>
    <n v="13"/>
    <n v="3"/>
    <n v="2"/>
    <n v="80"/>
    <n v="0"/>
    <n v="1"/>
    <n v="2"/>
    <n v="3"/>
    <n v="1"/>
    <n v="0"/>
    <n v="0"/>
    <n v="0"/>
    <x v="3"/>
    <x v="2"/>
    <s v="High"/>
    <x v="2"/>
    <s v="Excellent"/>
    <s v="Better"/>
    <n v="1"/>
    <s v="0–3,000"/>
    <s v="0–5 miles"/>
    <s v="0–1 years"/>
  </r>
  <r>
    <n v="37"/>
    <x v="1"/>
    <s v="Travel_Rarely"/>
    <n v="921"/>
    <x v="1"/>
    <n v="10"/>
    <x v="3"/>
    <s v="Medical"/>
    <n v="1"/>
    <n v="486"/>
    <n v="3"/>
    <s v="Female"/>
    <n v="98"/>
    <n v="3"/>
    <n v="1"/>
    <x v="2"/>
    <x v="3"/>
    <s v="Married"/>
    <n v="3452"/>
    <n v="17663"/>
    <n v="6"/>
    <s v="Y"/>
    <x v="1"/>
    <n v="20"/>
    <n v="4"/>
    <n v="2"/>
    <n v="80"/>
    <n v="1"/>
    <n v="17"/>
    <n v="3"/>
    <n v="3"/>
    <n v="5"/>
    <n v="4"/>
    <n v="0"/>
    <n v="3"/>
    <x v="3"/>
    <x v="1"/>
    <s v="High"/>
    <x v="3"/>
    <s v="Outstanding"/>
    <s v="Better"/>
    <n v="0"/>
    <s v="3,001–6,000"/>
    <s v="6–10 miles"/>
    <s v="2–5 years"/>
  </r>
  <r>
    <n v="46"/>
    <x v="1"/>
    <s v="Non-Travel"/>
    <n v="1144"/>
    <x v="1"/>
    <n v="7"/>
    <x v="2"/>
    <s v="Medical"/>
    <n v="1"/>
    <n v="487"/>
    <n v="3"/>
    <s v="Female"/>
    <n v="30"/>
    <n v="3"/>
    <n v="2"/>
    <x v="3"/>
    <x v="2"/>
    <s v="Married"/>
    <n v="5258"/>
    <n v="16044"/>
    <n v="2"/>
    <s v="Y"/>
    <x v="1"/>
    <n v="14"/>
    <n v="3"/>
    <n v="3"/>
    <n v="80"/>
    <n v="0"/>
    <n v="7"/>
    <n v="2"/>
    <n v="4"/>
    <n v="1"/>
    <n v="0"/>
    <n v="0"/>
    <n v="0"/>
    <x v="2"/>
    <x v="1"/>
    <s v="High"/>
    <x v="2"/>
    <s v="Excellent"/>
    <s v="Best"/>
    <n v="0"/>
    <s v="3,001–6,000"/>
    <s v="6–10 miles"/>
    <s v="0–1 years"/>
  </r>
  <r>
    <n v="41"/>
    <x v="0"/>
    <s v="Travel_Frequently"/>
    <n v="143"/>
    <x v="0"/>
    <n v="4"/>
    <x v="3"/>
    <s v="Marketing"/>
    <n v="1"/>
    <n v="488"/>
    <n v="1"/>
    <s v="Male"/>
    <n v="56"/>
    <n v="3"/>
    <n v="2"/>
    <x v="0"/>
    <x v="1"/>
    <s v="Single"/>
    <n v="9355"/>
    <n v="9558"/>
    <n v="1"/>
    <s v="Y"/>
    <x v="1"/>
    <n v="18"/>
    <n v="3"/>
    <n v="3"/>
    <n v="80"/>
    <n v="0"/>
    <n v="8"/>
    <n v="5"/>
    <n v="3"/>
    <n v="8"/>
    <n v="7"/>
    <n v="7"/>
    <n v="7"/>
    <x v="3"/>
    <x v="3"/>
    <s v="High"/>
    <x v="1"/>
    <s v="Excellent"/>
    <s v="Better"/>
    <n v="1"/>
    <s v="6,001–10,000"/>
    <s v="0–5 miles"/>
    <s v="6–10 years"/>
  </r>
  <r>
    <n v="50"/>
    <x v="1"/>
    <s v="Travel_Rarely"/>
    <n v="1046"/>
    <x v="1"/>
    <n v="10"/>
    <x v="3"/>
    <s v="Technical Degree"/>
    <n v="1"/>
    <n v="491"/>
    <n v="4"/>
    <s v="Male"/>
    <n v="100"/>
    <n v="2"/>
    <n v="3"/>
    <x v="4"/>
    <x v="0"/>
    <s v="Single"/>
    <n v="10496"/>
    <n v="2755"/>
    <n v="6"/>
    <s v="Y"/>
    <x v="1"/>
    <n v="15"/>
    <n v="3"/>
    <n v="4"/>
    <n v="80"/>
    <n v="0"/>
    <n v="20"/>
    <n v="2"/>
    <n v="3"/>
    <n v="4"/>
    <n v="3"/>
    <n v="1"/>
    <n v="3"/>
    <x v="3"/>
    <x v="2"/>
    <s v="Medium"/>
    <x v="0"/>
    <s v="Excellent"/>
    <s v="Better"/>
    <n v="0"/>
    <s v="10,001+"/>
    <s v="6–10 miles"/>
    <s v="2–5 years"/>
  </r>
  <r>
    <n v="40"/>
    <x v="0"/>
    <s v="Travel_Rarely"/>
    <n v="575"/>
    <x v="0"/>
    <n v="22"/>
    <x v="0"/>
    <s v="Marketing"/>
    <n v="1"/>
    <n v="492"/>
    <n v="3"/>
    <s v="Male"/>
    <n v="68"/>
    <n v="2"/>
    <n v="2"/>
    <x v="0"/>
    <x v="2"/>
    <s v="Married"/>
    <n v="6380"/>
    <n v="6110"/>
    <n v="2"/>
    <s v="Y"/>
    <x v="0"/>
    <n v="12"/>
    <n v="3"/>
    <n v="1"/>
    <n v="80"/>
    <n v="2"/>
    <n v="8"/>
    <n v="6"/>
    <n v="3"/>
    <n v="6"/>
    <n v="4"/>
    <n v="1"/>
    <n v="0"/>
    <x v="0"/>
    <x v="1"/>
    <s v="Medium"/>
    <x v="2"/>
    <s v="Excellent"/>
    <s v="Better"/>
    <n v="1"/>
    <s v="6,001–10,000"/>
    <s v="16+ miles"/>
    <s v="6–10 years"/>
  </r>
  <r>
    <n v="31"/>
    <x v="1"/>
    <s v="Travel_Rarely"/>
    <n v="408"/>
    <x v="1"/>
    <n v="9"/>
    <x v="2"/>
    <s v="Life Sciences"/>
    <n v="1"/>
    <n v="493"/>
    <n v="3"/>
    <s v="Male"/>
    <n v="42"/>
    <n v="2"/>
    <n v="1"/>
    <x v="1"/>
    <x v="1"/>
    <s v="Single"/>
    <n v="2657"/>
    <n v="7551"/>
    <n v="0"/>
    <s v="Y"/>
    <x v="0"/>
    <n v="16"/>
    <n v="3"/>
    <n v="4"/>
    <n v="80"/>
    <n v="0"/>
    <n v="3"/>
    <n v="5"/>
    <n v="3"/>
    <n v="2"/>
    <n v="2"/>
    <n v="2"/>
    <n v="2"/>
    <x v="2"/>
    <x v="1"/>
    <s v="Medium"/>
    <x v="1"/>
    <s v="Excellent"/>
    <s v="Better"/>
    <n v="0"/>
    <s v="0–3,000"/>
    <s v="6–10 miles"/>
    <s v="2–5 years"/>
  </r>
  <r>
    <n v="21"/>
    <x v="0"/>
    <s v="Travel_Rarely"/>
    <n v="156"/>
    <x v="0"/>
    <n v="12"/>
    <x v="3"/>
    <s v="Life Sciences"/>
    <n v="1"/>
    <n v="494"/>
    <n v="3"/>
    <s v="Female"/>
    <n v="90"/>
    <n v="4"/>
    <n v="1"/>
    <x v="6"/>
    <x v="1"/>
    <s v="Single"/>
    <n v="2716"/>
    <n v="25422"/>
    <n v="1"/>
    <s v="Y"/>
    <x v="1"/>
    <n v="15"/>
    <n v="3"/>
    <n v="4"/>
    <n v="80"/>
    <n v="0"/>
    <n v="1"/>
    <n v="0"/>
    <n v="3"/>
    <n v="1"/>
    <n v="0"/>
    <n v="0"/>
    <n v="0"/>
    <x v="3"/>
    <x v="1"/>
    <s v="Very High"/>
    <x v="1"/>
    <s v="Excellent"/>
    <s v="Better"/>
    <n v="1"/>
    <s v="0–3,000"/>
    <s v="11–15 miles"/>
    <s v="0–1 years"/>
  </r>
  <r>
    <n v="29"/>
    <x v="1"/>
    <s v="Travel_Rarely"/>
    <n v="1283"/>
    <x v="1"/>
    <n v="23"/>
    <x v="3"/>
    <s v="Life Sciences"/>
    <n v="1"/>
    <n v="495"/>
    <n v="4"/>
    <s v="Male"/>
    <n v="54"/>
    <n v="3"/>
    <n v="1"/>
    <x v="1"/>
    <x v="0"/>
    <s v="Single"/>
    <n v="2201"/>
    <n v="18168"/>
    <n v="9"/>
    <s v="Y"/>
    <x v="1"/>
    <n v="16"/>
    <n v="3"/>
    <n v="4"/>
    <n v="80"/>
    <n v="0"/>
    <n v="6"/>
    <n v="4"/>
    <n v="3"/>
    <n v="3"/>
    <n v="2"/>
    <n v="1"/>
    <n v="2"/>
    <x v="3"/>
    <x v="2"/>
    <s v="High"/>
    <x v="0"/>
    <s v="Excellent"/>
    <s v="Better"/>
    <n v="0"/>
    <s v="0–3,000"/>
    <s v="16+ miles"/>
    <s v="2–5 years"/>
  </r>
  <r>
    <n v="35"/>
    <x v="1"/>
    <s v="Travel_Rarely"/>
    <n v="755"/>
    <x v="1"/>
    <n v="9"/>
    <x v="2"/>
    <s v="Life Sciences"/>
    <n v="1"/>
    <n v="496"/>
    <n v="3"/>
    <s v="Male"/>
    <n v="97"/>
    <n v="2"/>
    <n v="2"/>
    <x v="4"/>
    <x v="1"/>
    <s v="Single"/>
    <n v="6540"/>
    <n v="19394"/>
    <n v="9"/>
    <s v="Y"/>
    <x v="1"/>
    <n v="19"/>
    <n v="3"/>
    <n v="3"/>
    <n v="80"/>
    <n v="0"/>
    <n v="10"/>
    <n v="5"/>
    <n v="3"/>
    <n v="1"/>
    <n v="1"/>
    <n v="0"/>
    <n v="0"/>
    <x v="2"/>
    <x v="1"/>
    <s v="Medium"/>
    <x v="1"/>
    <s v="Excellent"/>
    <s v="Better"/>
    <n v="0"/>
    <s v="6,001–10,000"/>
    <s v="6–10 miles"/>
    <s v="0–1 years"/>
  </r>
  <r>
    <n v="27"/>
    <x v="1"/>
    <s v="Travel_Rarely"/>
    <n v="1469"/>
    <x v="1"/>
    <n v="1"/>
    <x v="0"/>
    <s v="Medical"/>
    <n v="1"/>
    <n v="497"/>
    <n v="4"/>
    <s v="Male"/>
    <n v="82"/>
    <n v="3"/>
    <n v="1"/>
    <x v="2"/>
    <x v="1"/>
    <s v="Divorced"/>
    <n v="3816"/>
    <n v="17881"/>
    <n v="1"/>
    <s v="Y"/>
    <x v="1"/>
    <n v="11"/>
    <n v="3"/>
    <n v="2"/>
    <n v="80"/>
    <n v="1"/>
    <n v="5"/>
    <n v="2"/>
    <n v="3"/>
    <n v="5"/>
    <n v="2"/>
    <n v="0"/>
    <n v="4"/>
    <x v="0"/>
    <x v="2"/>
    <s v="High"/>
    <x v="1"/>
    <s v="Excellent"/>
    <s v="Better"/>
    <n v="0"/>
    <s v="3,001–6,000"/>
    <s v="0–5 miles"/>
    <s v="2–5 years"/>
  </r>
  <r>
    <n v="28"/>
    <x v="1"/>
    <s v="Travel_Rarely"/>
    <n v="304"/>
    <x v="0"/>
    <n v="9"/>
    <x v="2"/>
    <s v="Life Sciences"/>
    <n v="1"/>
    <n v="498"/>
    <n v="2"/>
    <s v="Male"/>
    <n v="92"/>
    <n v="3"/>
    <n v="2"/>
    <x v="0"/>
    <x v="0"/>
    <s v="Single"/>
    <n v="5253"/>
    <n v="20750"/>
    <n v="1"/>
    <s v="Y"/>
    <x v="1"/>
    <n v="16"/>
    <n v="3"/>
    <n v="4"/>
    <n v="80"/>
    <n v="0"/>
    <n v="7"/>
    <n v="1"/>
    <n v="3"/>
    <n v="7"/>
    <n v="5"/>
    <n v="0"/>
    <n v="7"/>
    <x v="2"/>
    <x v="0"/>
    <s v="High"/>
    <x v="0"/>
    <s v="Excellent"/>
    <s v="Better"/>
    <n v="0"/>
    <s v="3,001–6,000"/>
    <s v="6–10 miles"/>
    <s v="6–10 years"/>
  </r>
  <r>
    <n v="49"/>
    <x v="1"/>
    <s v="Travel_Rarely"/>
    <n v="1261"/>
    <x v="1"/>
    <n v="7"/>
    <x v="3"/>
    <s v="Other"/>
    <n v="1"/>
    <n v="499"/>
    <n v="2"/>
    <s v="Male"/>
    <n v="31"/>
    <n v="2"/>
    <n v="3"/>
    <x v="4"/>
    <x v="2"/>
    <s v="Single"/>
    <n v="10965"/>
    <n v="12066"/>
    <n v="8"/>
    <s v="Y"/>
    <x v="1"/>
    <n v="24"/>
    <n v="4"/>
    <n v="3"/>
    <n v="80"/>
    <n v="0"/>
    <n v="26"/>
    <n v="2"/>
    <n v="3"/>
    <n v="5"/>
    <n v="2"/>
    <n v="0"/>
    <n v="0"/>
    <x v="3"/>
    <x v="0"/>
    <s v="Medium"/>
    <x v="2"/>
    <s v="Outstanding"/>
    <s v="Better"/>
    <n v="0"/>
    <s v="10,001+"/>
    <s v="6–10 miles"/>
    <s v="2–5 years"/>
  </r>
  <r>
    <n v="51"/>
    <x v="1"/>
    <s v="Travel_Rarely"/>
    <n v="1178"/>
    <x v="0"/>
    <n v="14"/>
    <x v="0"/>
    <s v="Life Sciences"/>
    <n v="1"/>
    <n v="500"/>
    <n v="3"/>
    <s v="Female"/>
    <n v="87"/>
    <n v="3"/>
    <n v="2"/>
    <x v="0"/>
    <x v="0"/>
    <s v="Married"/>
    <n v="4936"/>
    <n v="14862"/>
    <n v="4"/>
    <s v="Y"/>
    <x v="1"/>
    <n v="11"/>
    <n v="3"/>
    <n v="3"/>
    <n v="80"/>
    <n v="1"/>
    <n v="18"/>
    <n v="2"/>
    <n v="2"/>
    <n v="7"/>
    <n v="7"/>
    <n v="0"/>
    <n v="7"/>
    <x v="0"/>
    <x v="1"/>
    <s v="High"/>
    <x v="0"/>
    <s v="Excellent"/>
    <s v="Good"/>
    <n v="0"/>
    <s v="3,001–6,000"/>
    <s v="11–15 miles"/>
    <s v="6–10 years"/>
  </r>
  <r>
    <n v="36"/>
    <x v="1"/>
    <s v="Travel_Rarely"/>
    <n v="329"/>
    <x v="1"/>
    <n v="2"/>
    <x v="3"/>
    <s v="Life Sciences"/>
    <n v="1"/>
    <n v="501"/>
    <n v="4"/>
    <s v="Female"/>
    <n v="96"/>
    <n v="3"/>
    <n v="1"/>
    <x v="1"/>
    <x v="2"/>
    <s v="Married"/>
    <n v="2543"/>
    <n v="11868"/>
    <n v="4"/>
    <s v="Y"/>
    <x v="1"/>
    <n v="13"/>
    <n v="3"/>
    <n v="2"/>
    <n v="80"/>
    <n v="1"/>
    <n v="6"/>
    <n v="3"/>
    <n v="3"/>
    <n v="2"/>
    <n v="2"/>
    <n v="2"/>
    <n v="2"/>
    <x v="3"/>
    <x v="2"/>
    <s v="High"/>
    <x v="2"/>
    <s v="Excellent"/>
    <s v="Better"/>
    <n v="0"/>
    <s v="0–3,000"/>
    <s v="0–5 miles"/>
    <s v="2–5 years"/>
  </r>
  <r>
    <n v="34"/>
    <x v="0"/>
    <s v="Non-Travel"/>
    <n v="1362"/>
    <x v="0"/>
    <n v="19"/>
    <x v="3"/>
    <s v="Marketing"/>
    <n v="1"/>
    <n v="502"/>
    <n v="1"/>
    <s v="Male"/>
    <n v="67"/>
    <n v="4"/>
    <n v="2"/>
    <x v="0"/>
    <x v="0"/>
    <s v="Single"/>
    <n v="5304"/>
    <n v="4652"/>
    <n v="8"/>
    <s v="Y"/>
    <x v="0"/>
    <n v="13"/>
    <n v="3"/>
    <n v="2"/>
    <n v="80"/>
    <n v="0"/>
    <n v="9"/>
    <n v="3"/>
    <n v="2"/>
    <n v="5"/>
    <n v="2"/>
    <n v="0"/>
    <n v="4"/>
    <x v="3"/>
    <x v="3"/>
    <s v="Very High"/>
    <x v="0"/>
    <s v="Excellent"/>
    <s v="Good"/>
    <n v="1"/>
    <s v="3,001–6,000"/>
    <s v="16+ miles"/>
    <s v="2–5 years"/>
  </r>
  <r>
    <n v="55"/>
    <x v="1"/>
    <s v="Travel_Rarely"/>
    <n v="1311"/>
    <x v="1"/>
    <n v="2"/>
    <x v="3"/>
    <s v="Life Sciences"/>
    <n v="1"/>
    <n v="505"/>
    <n v="3"/>
    <s v="Female"/>
    <n v="97"/>
    <n v="3"/>
    <n v="4"/>
    <x v="5"/>
    <x v="0"/>
    <s v="Single"/>
    <n v="16659"/>
    <n v="23258"/>
    <n v="2"/>
    <s v="Y"/>
    <x v="0"/>
    <n v="13"/>
    <n v="3"/>
    <n v="3"/>
    <n v="80"/>
    <n v="0"/>
    <n v="30"/>
    <n v="2"/>
    <n v="3"/>
    <n v="5"/>
    <n v="4"/>
    <n v="1"/>
    <n v="2"/>
    <x v="3"/>
    <x v="1"/>
    <s v="High"/>
    <x v="0"/>
    <s v="Excellent"/>
    <s v="Better"/>
    <n v="0"/>
    <s v="10,001+"/>
    <s v="0–5 miles"/>
    <s v="2–5 years"/>
  </r>
  <r>
    <n v="24"/>
    <x v="1"/>
    <s v="Travel_Rarely"/>
    <n v="1371"/>
    <x v="0"/>
    <n v="10"/>
    <x v="2"/>
    <s v="Marketing"/>
    <n v="1"/>
    <n v="507"/>
    <n v="4"/>
    <s v="Female"/>
    <n v="77"/>
    <n v="3"/>
    <n v="2"/>
    <x v="0"/>
    <x v="2"/>
    <s v="Divorced"/>
    <n v="4260"/>
    <n v="5915"/>
    <n v="1"/>
    <s v="Y"/>
    <x v="0"/>
    <n v="12"/>
    <n v="3"/>
    <n v="4"/>
    <n v="80"/>
    <n v="1"/>
    <n v="5"/>
    <n v="2"/>
    <n v="4"/>
    <n v="5"/>
    <n v="2"/>
    <n v="0"/>
    <n v="3"/>
    <x v="2"/>
    <x v="2"/>
    <s v="High"/>
    <x v="2"/>
    <s v="Excellent"/>
    <s v="Best"/>
    <n v="0"/>
    <s v="3,001–6,000"/>
    <s v="6–10 miles"/>
    <s v="2–5 years"/>
  </r>
  <r>
    <n v="30"/>
    <x v="1"/>
    <s v="Travel_Rarely"/>
    <n v="202"/>
    <x v="0"/>
    <n v="2"/>
    <x v="1"/>
    <s v="Technical Degree"/>
    <n v="1"/>
    <n v="508"/>
    <n v="3"/>
    <s v="Male"/>
    <n v="72"/>
    <n v="3"/>
    <n v="1"/>
    <x v="6"/>
    <x v="1"/>
    <s v="Married"/>
    <n v="2476"/>
    <n v="17434"/>
    <n v="1"/>
    <s v="Y"/>
    <x v="1"/>
    <n v="18"/>
    <n v="3"/>
    <n v="1"/>
    <n v="80"/>
    <n v="1"/>
    <n v="1"/>
    <n v="3"/>
    <n v="3"/>
    <n v="1"/>
    <n v="0"/>
    <n v="0"/>
    <n v="0"/>
    <x v="1"/>
    <x v="1"/>
    <s v="High"/>
    <x v="1"/>
    <s v="Excellent"/>
    <s v="Better"/>
    <n v="0"/>
    <s v="0–3,000"/>
    <s v="0–5 miles"/>
    <s v="0–1 years"/>
  </r>
  <r>
    <n v="26"/>
    <x v="0"/>
    <s v="Travel_Frequently"/>
    <n v="575"/>
    <x v="1"/>
    <n v="3"/>
    <x v="1"/>
    <s v="Technical Degree"/>
    <n v="1"/>
    <n v="510"/>
    <n v="3"/>
    <s v="Male"/>
    <n v="73"/>
    <n v="3"/>
    <n v="1"/>
    <x v="1"/>
    <x v="3"/>
    <s v="Single"/>
    <n v="3102"/>
    <n v="6582"/>
    <n v="0"/>
    <s v="Y"/>
    <x v="1"/>
    <n v="22"/>
    <n v="4"/>
    <n v="3"/>
    <n v="80"/>
    <n v="0"/>
    <n v="7"/>
    <n v="2"/>
    <n v="3"/>
    <n v="6"/>
    <n v="4"/>
    <n v="0"/>
    <n v="4"/>
    <x v="1"/>
    <x v="1"/>
    <s v="High"/>
    <x v="3"/>
    <s v="Outstanding"/>
    <s v="Better"/>
    <n v="1"/>
    <s v="3,001–6,000"/>
    <s v="0–5 miles"/>
    <s v="6–10 years"/>
  </r>
  <r>
    <n v="22"/>
    <x v="1"/>
    <s v="Travel_Rarely"/>
    <n v="253"/>
    <x v="1"/>
    <n v="11"/>
    <x v="3"/>
    <s v="Medical"/>
    <n v="1"/>
    <n v="511"/>
    <n v="1"/>
    <s v="Female"/>
    <n v="43"/>
    <n v="3"/>
    <n v="1"/>
    <x v="1"/>
    <x v="1"/>
    <s v="Married"/>
    <n v="2244"/>
    <n v="24440"/>
    <n v="1"/>
    <s v="Y"/>
    <x v="1"/>
    <n v="13"/>
    <n v="3"/>
    <n v="4"/>
    <n v="80"/>
    <n v="1"/>
    <n v="2"/>
    <n v="1"/>
    <n v="3"/>
    <n v="2"/>
    <n v="1"/>
    <n v="1"/>
    <n v="2"/>
    <x v="3"/>
    <x v="3"/>
    <s v="High"/>
    <x v="1"/>
    <s v="Excellent"/>
    <s v="Better"/>
    <n v="0"/>
    <s v="0–3,000"/>
    <s v="11–15 miles"/>
    <s v="2–5 years"/>
  </r>
  <r>
    <n v="36"/>
    <x v="1"/>
    <s v="Travel_Rarely"/>
    <n v="164"/>
    <x v="0"/>
    <n v="2"/>
    <x v="0"/>
    <s v="Medical"/>
    <n v="1"/>
    <n v="513"/>
    <n v="2"/>
    <s v="Male"/>
    <n v="61"/>
    <n v="2"/>
    <n v="3"/>
    <x v="0"/>
    <x v="2"/>
    <s v="Married"/>
    <n v="7596"/>
    <n v="3809"/>
    <n v="1"/>
    <s v="Y"/>
    <x v="1"/>
    <n v="13"/>
    <n v="3"/>
    <n v="2"/>
    <n v="80"/>
    <n v="2"/>
    <n v="10"/>
    <n v="2"/>
    <n v="3"/>
    <n v="10"/>
    <n v="9"/>
    <n v="9"/>
    <n v="0"/>
    <x v="0"/>
    <x v="0"/>
    <s v="Medium"/>
    <x v="2"/>
    <s v="Excellent"/>
    <s v="Better"/>
    <n v="0"/>
    <s v="6,001–10,000"/>
    <s v="0–5 miles"/>
    <s v="6–10 years"/>
  </r>
  <r>
    <n v="30"/>
    <x v="0"/>
    <s v="Travel_Frequently"/>
    <n v="464"/>
    <x v="1"/>
    <n v="4"/>
    <x v="3"/>
    <s v="Technical Degree"/>
    <n v="1"/>
    <n v="514"/>
    <n v="3"/>
    <s v="Male"/>
    <n v="40"/>
    <n v="3"/>
    <n v="1"/>
    <x v="1"/>
    <x v="0"/>
    <s v="Single"/>
    <n v="2285"/>
    <n v="3427"/>
    <n v="9"/>
    <s v="Y"/>
    <x v="0"/>
    <n v="23"/>
    <n v="4"/>
    <n v="3"/>
    <n v="80"/>
    <n v="0"/>
    <n v="3"/>
    <n v="4"/>
    <n v="3"/>
    <n v="1"/>
    <n v="0"/>
    <n v="0"/>
    <n v="0"/>
    <x v="3"/>
    <x v="1"/>
    <s v="High"/>
    <x v="0"/>
    <s v="Outstanding"/>
    <s v="Better"/>
    <n v="1"/>
    <s v="0–3,000"/>
    <s v="0–5 miles"/>
    <s v="0–1 years"/>
  </r>
  <r>
    <n v="37"/>
    <x v="1"/>
    <s v="Travel_Rarely"/>
    <n v="1107"/>
    <x v="1"/>
    <n v="14"/>
    <x v="3"/>
    <s v="Life Sciences"/>
    <n v="1"/>
    <n v="515"/>
    <n v="4"/>
    <s v="Female"/>
    <n v="95"/>
    <n v="3"/>
    <n v="1"/>
    <x v="2"/>
    <x v="3"/>
    <s v="Divorced"/>
    <n v="3034"/>
    <n v="26914"/>
    <n v="1"/>
    <s v="Y"/>
    <x v="1"/>
    <n v="12"/>
    <n v="3"/>
    <n v="3"/>
    <n v="80"/>
    <n v="1"/>
    <n v="18"/>
    <n v="2"/>
    <n v="2"/>
    <n v="18"/>
    <n v="7"/>
    <n v="12"/>
    <n v="17"/>
    <x v="3"/>
    <x v="2"/>
    <s v="High"/>
    <x v="3"/>
    <s v="Excellent"/>
    <s v="Good"/>
    <n v="0"/>
    <s v="3,001–6,000"/>
    <s v="11–15 miles"/>
    <s v="11+ years"/>
  </r>
  <r>
    <n v="40"/>
    <x v="1"/>
    <s v="Travel_Rarely"/>
    <n v="759"/>
    <x v="0"/>
    <n v="2"/>
    <x v="0"/>
    <s v="Marketing"/>
    <n v="1"/>
    <n v="516"/>
    <n v="4"/>
    <s v="Female"/>
    <n v="46"/>
    <n v="3"/>
    <n v="2"/>
    <x v="0"/>
    <x v="1"/>
    <s v="Divorced"/>
    <n v="5715"/>
    <n v="22553"/>
    <n v="7"/>
    <s v="Y"/>
    <x v="1"/>
    <n v="12"/>
    <n v="3"/>
    <n v="3"/>
    <n v="80"/>
    <n v="2"/>
    <n v="8"/>
    <n v="5"/>
    <n v="3"/>
    <n v="5"/>
    <n v="4"/>
    <n v="1"/>
    <n v="3"/>
    <x v="0"/>
    <x v="2"/>
    <s v="High"/>
    <x v="1"/>
    <s v="Excellent"/>
    <s v="Better"/>
    <n v="0"/>
    <s v="3,001–6,000"/>
    <s v="0–5 miles"/>
    <s v="2–5 years"/>
  </r>
  <r>
    <n v="42"/>
    <x v="1"/>
    <s v="Travel_Rarely"/>
    <n v="201"/>
    <x v="1"/>
    <n v="1"/>
    <x v="2"/>
    <s v="Life Sciences"/>
    <n v="1"/>
    <n v="517"/>
    <n v="2"/>
    <s v="Female"/>
    <n v="95"/>
    <n v="3"/>
    <n v="1"/>
    <x v="2"/>
    <x v="3"/>
    <s v="Divorced"/>
    <n v="2576"/>
    <n v="20490"/>
    <n v="3"/>
    <s v="Y"/>
    <x v="1"/>
    <n v="16"/>
    <n v="3"/>
    <n v="2"/>
    <n v="80"/>
    <n v="1"/>
    <n v="8"/>
    <n v="5"/>
    <n v="3"/>
    <n v="5"/>
    <n v="2"/>
    <n v="1"/>
    <n v="2"/>
    <x v="2"/>
    <x v="0"/>
    <s v="High"/>
    <x v="3"/>
    <s v="Excellent"/>
    <s v="Better"/>
    <n v="0"/>
    <s v="0–3,000"/>
    <s v="0–5 miles"/>
    <s v="2–5 years"/>
  </r>
  <r>
    <n v="37"/>
    <x v="1"/>
    <s v="Travel_Rarely"/>
    <n v="1305"/>
    <x v="1"/>
    <n v="10"/>
    <x v="2"/>
    <s v="Life Sciences"/>
    <n v="1"/>
    <n v="518"/>
    <n v="3"/>
    <s v="Male"/>
    <n v="49"/>
    <n v="3"/>
    <n v="2"/>
    <x v="3"/>
    <x v="1"/>
    <s v="Single"/>
    <n v="4197"/>
    <n v="21123"/>
    <n v="2"/>
    <s v="Y"/>
    <x v="0"/>
    <n v="12"/>
    <n v="3"/>
    <n v="4"/>
    <n v="80"/>
    <n v="0"/>
    <n v="18"/>
    <n v="2"/>
    <n v="2"/>
    <n v="1"/>
    <n v="0"/>
    <n v="0"/>
    <n v="1"/>
    <x v="2"/>
    <x v="1"/>
    <s v="High"/>
    <x v="1"/>
    <s v="Excellent"/>
    <s v="Good"/>
    <n v="0"/>
    <s v="3,001–6,000"/>
    <s v="6–10 miles"/>
    <s v="0–1 years"/>
  </r>
  <r>
    <n v="43"/>
    <x v="1"/>
    <s v="Travel_Rarely"/>
    <n v="982"/>
    <x v="1"/>
    <n v="12"/>
    <x v="3"/>
    <s v="Life Sciences"/>
    <n v="1"/>
    <n v="520"/>
    <n v="1"/>
    <s v="Male"/>
    <n v="59"/>
    <n v="2"/>
    <n v="4"/>
    <x v="7"/>
    <x v="1"/>
    <s v="Divorced"/>
    <n v="14336"/>
    <n v="4345"/>
    <n v="1"/>
    <s v="Y"/>
    <x v="1"/>
    <n v="11"/>
    <n v="3"/>
    <n v="3"/>
    <n v="80"/>
    <n v="1"/>
    <n v="25"/>
    <n v="3"/>
    <n v="3"/>
    <n v="25"/>
    <n v="10"/>
    <n v="3"/>
    <n v="9"/>
    <x v="3"/>
    <x v="3"/>
    <s v="Medium"/>
    <x v="1"/>
    <s v="Excellent"/>
    <s v="Better"/>
    <n v="0"/>
    <s v="10,001+"/>
    <s v="11–15 miles"/>
    <s v="11+ years"/>
  </r>
  <r>
    <n v="40"/>
    <x v="1"/>
    <s v="Travel_Rarely"/>
    <n v="555"/>
    <x v="1"/>
    <n v="2"/>
    <x v="3"/>
    <s v="Medical"/>
    <n v="1"/>
    <n v="521"/>
    <n v="2"/>
    <s v="Female"/>
    <n v="78"/>
    <n v="2"/>
    <n v="2"/>
    <x v="2"/>
    <x v="2"/>
    <s v="Married"/>
    <n v="3448"/>
    <n v="13436"/>
    <n v="6"/>
    <s v="Y"/>
    <x v="1"/>
    <n v="22"/>
    <n v="4"/>
    <n v="2"/>
    <n v="80"/>
    <n v="1"/>
    <n v="20"/>
    <n v="3"/>
    <n v="3"/>
    <n v="1"/>
    <n v="0"/>
    <n v="0"/>
    <n v="0"/>
    <x v="3"/>
    <x v="0"/>
    <s v="Medium"/>
    <x v="2"/>
    <s v="Outstanding"/>
    <s v="Better"/>
    <n v="0"/>
    <s v="3,001–6,000"/>
    <s v="0–5 miles"/>
    <s v="0–1 years"/>
  </r>
  <r>
    <n v="54"/>
    <x v="1"/>
    <s v="Travel_Rarely"/>
    <n v="821"/>
    <x v="1"/>
    <n v="5"/>
    <x v="0"/>
    <s v="Medical"/>
    <n v="1"/>
    <n v="522"/>
    <n v="1"/>
    <s v="Male"/>
    <n v="86"/>
    <n v="3"/>
    <n v="5"/>
    <x v="7"/>
    <x v="3"/>
    <s v="Married"/>
    <n v="19406"/>
    <n v="8509"/>
    <n v="4"/>
    <s v="Y"/>
    <x v="1"/>
    <n v="11"/>
    <n v="3"/>
    <n v="3"/>
    <n v="80"/>
    <n v="1"/>
    <n v="24"/>
    <n v="4"/>
    <n v="2"/>
    <n v="4"/>
    <n v="2"/>
    <n v="1"/>
    <n v="2"/>
    <x v="0"/>
    <x v="3"/>
    <s v="High"/>
    <x v="3"/>
    <s v="Excellent"/>
    <s v="Good"/>
    <n v="0"/>
    <s v="10,001+"/>
    <s v="0–5 miles"/>
    <s v="2–5 years"/>
  </r>
  <r>
    <n v="34"/>
    <x v="1"/>
    <s v="Non-Travel"/>
    <n v="1381"/>
    <x v="0"/>
    <n v="4"/>
    <x v="2"/>
    <s v="Marketing"/>
    <n v="1"/>
    <n v="523"/>
    <n v="3"/>
    <s v="Female"/>
    <n v="72"/>
    <n v="3"/>
    <n v="2"/>
    <x v="0"/>
    <x v="2"/>
    <s v="Married"/>
    <n v="6538"/>
    <n v="12740"/>
    <n v="9"/>
    <s v="Y"/>
    <x v="1"/>
    <n v="15"/>
    <n v="3"/>
    <n v="1"/>
    <n v="80"/>
    <n v="1"/>
    <n v="6"/>
    <n v="3"/>
    <n v="3"/>
    <n v="3"/>
    <n v="2"/>
    <n v="1"/>
    <n v="2"/>
    <x v="2"/>
    <x v="1"/>
    <s v="High"/>
    <x v="2"/>
    <s v="Excellent"/>
    <s v="Better"/>
    <n v="0"/>
    <s v="6,001–10,000"/>
    <s v="0–5 miles"/>
    <s v="2–5 years"/>
  </r>
  <r>
    <n v="31"/>
    <x v="1"/>
    <s v="Travel_Rarely"/>
    <n v="480"/>
    <x v="1"/>
    <n v="7"/>
    <x v="0"/>
    <s v="Medical"/>
    <n v="1"/>
    <n v="524"/>
    <n v="2"/>
    <s v="Female"/>
    <n v="31"/>
    <n v="3"/>
    <n v="2"/>
    <x v="3"/>
    <x v="3"/>
    <s v="Married"/>
    <n v="4306"/>
    <n v="4156"/>
    <n v="1"/>
    <s v="Y"/>
    <x v="1"/>
    <n v="12"/>
    <n v="3"/>
    <n v="2"/>
    <n v="80"/>
    <n v="1"/>
    <n v="13"/>
    <n v="5"/>
    <n v="1"/>
    <n v="13"/>
    <n v="10"/>
    <n v="3"/>
    <n v="12"/>
    <x v="0"/>
    <x v="0"/>
    <s v="High"/>
    <x v="3"/>
    <s v="Excellent"/>
    <s v="Bad"/>
    <n v="0"/>
    <s v="3,001–6,000"/>
    <s v="6–10 miles"/>
    <s v="11+ years"/>
  </r>
  <r>
    <n v="43"/>
    <x v="1"/>
    <s v="Travel_Frequently"/>
    <n v="313"/>
    <x v="1"/>
    <n v="21"/>
    <x v="3"/>
    <s v="Medical"/>
    <n v="1"/>
    <n v="525"/>
    <n v="4"/>
    <s v="Male"/>
    <n v="61"/>
    <n v="3"/>
    <n v="1"/>
    <x v="2"/>
    <x v="0"/>
    <s v="Married"/>
    <n v="2258"/>
    <n v="15238"/>
    <n v="7"/>
    <s v="Y"/>
    <x v="1"/>
    <n v="20"/>
    <n v="4"/>
    <n v="1"/>
    <n v="80"/>
    <n v="1"/>
    <n v="8"/>
    <n v="1"/>
    <n v="3"/>
    <n v="3"/>
    <n v="2"/>
    <n v="1"/>
    <n v="2"/>
    <x v="3"/>
    <x v="2"/>
    <s v="High"/>
    <x v="0"/>
    <s v="Outstanding"/>
    <s v="Better"/>
    <n v="0"/>
    <s v="0–3,000"/>
    <s v="16+ miles"/>
    <s v="2–5 years"/>
  </r>
  <r>
    <n v="43"/>
    <x v="1"/>
    <s v="Travel_Rarely"/>
    <n v="1473"/>
    <x v="1"/>
    <n v="8"/>
    <x v="2"/>
    <s v="Other"/>
    <n v="1"/>
    <n v="526"/>
    <n v="3"/>
    <s v="Female"/>
    <n v="74"/>
    <n v="3"/>
    <n v="2"/>
    <x v="4"/>
    <x v="2"/>
    <s v="Divorced"/>
    <n v="4522"/>
    <n v="2227"/>
    <n v="4"/>
    <s v="Y"/>
    <x v="0"/>
    <n v="14"/>
    <n v="3"/>
    <n v="4"/>
    <n v="80"/>
    <n v="0"/>
    <n v="8"/>
    <n v="3"/>
    <n v="3"/>
    <n v="5"/>
    <n v="2"/>
    <n v="0"/>
    <n v="2"/>
    <x v="2"/>
    <x v="1"/>
    <s v="High"/>
    <x v="2"/>
    <s v="Excellent"/>
    <s v="Better"/>
    <n v="0"/>
    <s v="3,001–6,000"/>
    <s v="6–10 miles"/>
    <s v="2–5 years"/>
  </r>
  <r>
    <n v="25"/>
    <x v="1"/>
    <s v="Travel_Rarely"/>
    <n v="891"/>
    <x v="0"/>
    <n v="4"/>
    <x v="0"/>
    <s v="Life Sciences"/>
    <n v="1"/>
    <n v="527"/>
    <n v="2"/>
    <s v="Female"/>
    <n v="99"/>
    <n v="2"/>
    <n v="2"/>
    <x v="0"/>
    <x v="0"/>
    <s v="Single"/>
    <n v="4487"/>
    <n v="12090"/>
    <n v="1"/>
    <s v="Y"/>
    <x v="0"/>
    <n v="11"/>
    <n v="3"/>
    <n v="2"/>
    <n v="80"/>
    <n v="0"/>
    <n v="5"/>
    <n v="3"/>
    <n v="3"/>
    <n v="5"/>
    <n v="4"/>
    <n v="1"/>
    <n v="3"/>
    <x v="0"/>
    <x v="0"/>
    <s v="Medium"/>
    <x v="0"/>
    <s v="Excellent"/>
    <s v="Better"/>
    <n v="0"/>
    <s v="3,001–6,000"/>
    <s v="0–5 miles"/>
    <s v="2–5 years"/>
  </r>
  <r>
    <n v="37"/>
    <x v="1"/>
    <s v="Non-Travel"/>
    <n v="1063"/>
    <x v="1"/>
    <n v="25"/>
    <x v="4"/>
    <s v="Medical"/>
    <n v="1"/>
    <n v="529"/>
    <n v="2"/>
    <s v="Female"/>
    <n v="72"/>
    <n v="3"/>
    <n v="2"/>
    <x v="1"/>
    <x v="2"/>
    <s v="Married"/>
    <n v="4449"/>
    <n v="23866"/>
    <n v="3"/>
    <s v="Y"/>
    <x v="0"/>
    <n v="15"/>
    <n v="3"/>
    <n v="1"/>
    <n v="80"/>
    <n v="2"/>
    <n v="15"/>
    <n v="2"/>
    <n v="3"/>
    <n v="13"/>
    <n v="11"/>
    <n v="10"/>
    <n v="7"/>
    <x v="4"/>
    <x v="0"/>
    <s v="High"/>
    <x v="2"/>
    <s v="Excellent"/>
    <s v="Better"/>
    <n v="0"/>
    <s v="3,001–6,000"/>
    <s v="16+ miles"/>
    <s v="11+ years"/>
  </r>
  <r>
    <n v="31"/>
    <x v="1"/>
    <s v="Travel_Rarely"/>
    <n v="329"/>
    <x v="1"/>
    <n v="1"/>
    <x v="0"/>
    <s v="Life Sciences"/>
    <n v="1"/>
    <n v="530"/>
    <n v="4"/>
    <s v="Male"/>
    <n v="98"/>
    <n v="2"/>
    <n v="1"/>
    <x v="2"/>
    <x v="3"/>
    <s v="Married"/>
    <n v="2218"/>
    <n v="16193"/>
    <n v="1"/>
    <s v="Y"/>
    <x v="1"/>
    <n v="12"/>
    <n v="3"/>
    <n v="3"/>
    <n v="80"/>
    <n v="1"/>
    <n v="4"/>
    <n v="3"/>
    <n v="3"/>
    <n v="4"/>
    <n v="2"/>
    <n v="3"/>
    <n v="2"/>
    <x v="0"/>
    <x v="2"/>
    <s v="Medium"/>
    <x v="3"/>
    <s v="Excellent"/>
    <s v="Better"/>
    <n v="0"/>
    <s v="0–3,000"/>
    <s v="0–5 miles"/>
    <s v="2–5 years"/>
  </r>
  <r>
    <n v="39"/>
    <x v="1"/>
    <s v="Travel_Frequently"/>
    <n v="1218"/>
    <x v="1"/>
    <n v="1"/>
    <x v="1"/>
    <s v="Life Sciences"/>
    <n v="1"/>
    <n v="531"/>
    <n v="2"/>
    <s v="Male"/>
    <n v="52"/>
    <n v="3"/>
    <n v="5"/>
    <x v="5"/>
    <x v="2"/>
    <s v="Divorced"/>
    <n v="19197"/>
    <n v="8213"/>
    <n v="1"/>
    <s v="Y"/>
    <x v="0"/>
    <n v="14"/>
    <n v="3"/>
    <n v="3"/>
    <n v="80"/>
    <n v="1"/>
    <n v="21"/>
    <n v="3"/>
    <n v="3"/>
    <n v="21"/>
    <n v="8"/>
    <n v="1"/>
    <n v="6"/>
    <x v="1"/>
    <x v="0"/>
    <s v="High"/>
    <x v="2"/>
    <s v="Excellent"/>
    <s v="Better"/>
    <n v="0"/>
    <s v="10,001+"/>
    <s v="0–5 miles"/>
    <s v="11+ years"/>
  </r>
  <r>
    <n v="56"/>
    <x v="1"/>
    <s v="Travel_Frequently"/>
    <n v="906"/>
    <x v="0"/>
    <n v="6"/>
    <x v="3"/>
    <s v="Life Sciences"/>
    <n v="1"/>
    <n v="532"/>
    <n v="3"/>
    <s v="Female"/>
    <n v="86"/>
    <n v="4"/>
    <n v="4"/>
    <x v="0"/>
    <x v="3"/>
    <s v="Married"/>
    <n v="13212"/>
    <n v="18256"/>
    <n v="9"/>
    <s v="Y"/>
    <x v="1"/>
    <n v="11"/>
    <n v="3"/>
    <n v="4"/>
    <n v="80"/>
    <n v="3"/>
    <n v="36"/>
    <n v="0"/>
    <n v="2"/>
    <n v="7"/>
    <n v="7"/>
    <n v="7"/>
    <n v="7"/>
    <x v="3"/>
    <x v="1"/>
    <s v="Very High"/>
    <x v="3"/>
    <s v="Excellent"/>
    <s v="Good"/>
    <n v="0"/>
    <s v="10,001+"/>
    <s v="6–10 miles"/>
    <s v="6–10 years"/>
  </r>
  <r>
    <n v="30"/>
    <x v="1"/>
    <s v="Travel_Rarely"/>
    <n v="1082"/>
    <x v="0"/>
    <n v="12"/>
    <x v="3"/>
    <s v="Technical Degree"/>
    <n v="1"/>
    <n v="533"/>
    <n v="2"/>
    <s v="Female"/>
    <n v="83"/>
    <n v="3"/>
    <n v="2"/>
    <x v="0"/>
    <x v="2"/>
    <s v="Single"/>
    <n v="6577"/>
    <n v="19558"/>
    <n v="0"/>
    <s v="Y"/>
    <x v="1"/>
    <n v="11"/>
    <n v="3"/>
    <n v="2"/>
    <n v="80"/>
    <n v="0"/>
    <n v="6"/>
    <n v="6"/>
    <n v="3"/>
    <n v="5"/>
    <n v="4"/>
    <n v="4"/>
    <n v="4"/>
    <x v="3"/>
    <x v="0"/>
    <s v="High"/>
    <x v="2"/>
    <s v="Excellent"/>
    <s v="Better"/>
    <n v="0"/>
    <s v="6,001–10,000"/>
    <s v="11–15 miles"/>
    <s v="2–5 years"/>
  </r>
  <r>
    <n v="41"/>
    <x v="1"/>
    <s v="Travel_Rarely"/>
    <n v="645"/>
    <x v="0"/>
    <n v="1"/>
    <x v="3"/>
    <s v="Marketing"/>
    <n v="1"/>
    <n v="534"/>
    <n v="2"/>
    <s v="Male"/>
    <n v="49"/>
    <n v="4"/>
    <n v="3"/>
    <x v="0"/>
    <x v="3"/>
    <s v="Married"/>
    <n v="8392"/>
    <n v="19566"/>
    <n v="1"/>
    <s v="Y"/>
    <x v="1"/>
    <n v="16"/>
    <n v="3"/>
    <n v="3"/>
    <n v="80"/>
    <n v="1"/>
    <n v="10"/>
    <n v="2"/>
    <n v="3"/>
    <n v="10"/>
    <n v="7"/>
    <n v="0"/>
    <n v="7"/>
    <x v="3"/>
    <x v="0"/>
    <s v="Very High"/>
    <x v="3"/>
    <s v="Excellent"/>
    <s v="Better"/>
    <n v="0"/>
    <s v="6,001–10,000"/>
    <s v="0–5 miles"/>
    <s v="6–10 years"/>
  </r>
  <r>
    <n v="28"/>
    <x v="1"/>
    <s v="Travel_Rarely"/>
    <n v="1300"/>
    <x v="1"/>
    <n v="17"/>
    <x v="0"/>
    <s v="Medical"/>
    <n v="1"/>
    <n v="536"/>
    <n v="3"/>
    <s v="Male"/>
    <n v="79"/>
    <n v="3"/>
    <n v="2"/>
    <x v="2"/>
    <x v="3"/>
    <s v="Divorced"/>
    <n v="4558"/>
    <n v="13535"/>
    <n v="1"/>
    <s v="Y"/>
    <x v="1"/>
    <n v="12"/>
    <n v="3"/>
    <n v="4"/>
    <n v="80"/>
    <n v="1"/>
    <n v="10"/>
    <n v="2"/>
    <n v="3"/>
    <n v="10"/>
    <n v="0"/>
    <n v="1"/>
    <n v="8"/>
    <x v="0"/>
    <x v="1"/>
    <s v="High"/>
    <x v="3"/>
    <s v="Excellent"/>
    <s v="Better"/>
    <n v="0"/>
    <s v="3,001–6,000"/>
    <s v="16+ miles"/>
    <s v="6–10 years"/>
  </r>
  <r>
    <n v="25"/>
    <x v="0"/>
    <s v="Travel_Rarely"/>
    <n v="688"/>
    <x v="1"/>
    <n v="3"/>
    <x v="3"/>
    <s v="Medical"/>
    <n v="1"/>
    <n v="538"/>
    <n v="1"/>
    <s v="Male"/>
    <n v="91"/>
    <n v="3"/>
    <n v="1"/>
    <x v="2"/>
    <x v="3"/>
    <s v="Married"/>
    <n v="4031"/>
    <n v="9396"/>
    <n v="5"/>
    <s v="Y"/>
    <x v="1"/>
    <n v="13"/>
    <n v="3"/>
    <n v="3"/>
    <n v="80"/>
    <n v="1"/>
    <n v="6"/>
    <n v="5"/>
    <n v="3"/>
    <n v="2"/>
    <n v="2"/>
    <n v="0"/>
    <n v="2"/>
    <x v="3"/>
    <x v="3"/>
    <s v="High"/>
    <x v="3"/>
    <s v="Excellent"/>
    <s v="Better"/>
    <n v="1"/>
    <s v="3,001–6,000"/>
    <s v="0–5 miles"/>
    <s v="2–5 years"/>
  </r>
  <r>
    <n v="52"/>
    <x v="1"/>
    <s v="Travel_Rarely"/>
    <n v="319"/>
    <x v="1"/>
    <n v="3"/>
    <x v="3"/>
    <s v="Medical"/>
    <n v="1"/>
    <n v="543"/>
    <n v="4"/>
    <s v="Male"/>
    <n v="39"/>
    <n v="2"/>
    <n v="3"/>
    <x v="3"/>
    <x v="2"/>
    <s v="Married"/>
    <n v="7969"/>
    <n v="19609"/>
    <n v="2"/>
    <s v="Y"/>
    <x v="0"/>
    <n v="14"/>
    <n v="3"/>
    <n v="3"/>
    <n v="80"/>
    <n v="0"/>
    <n v="28"/>
    <n v="4"/>
    <n v="3"/>
    <n v="5"/>
    <n v="4"/>
    <n v="0"/>
    <n v="4"/>
    <x v="3"/>
    <x v="2"/>
    <s v="Medium"/>
    <x v="2"/>
    <s v="Excellent"/>
    <s v="Better"/>
    <n v="0"/>
    <s v="6,001–10,000"/>
    <s v="0–5 miles"/>
    <s v="2–5 years"/>
  </r>
  <r>
    <n v="45"/>
    <x v="1"/>
    <s v="Travel_Rarely"/>
    <n v="192"/>
    <x v="1"/>
    <n v="10"/>
    <x v="0"/>
    <s v="Life Sciences"/>
    <n v="1"/>
    <n v="544"/>
    <n v="1"/>
    <s v="Male"/>
    <n v="69"/>
    <n v="3"/>
    <n v="1"/>
    <x v="1"/>
    <x v="0"/>
    <s v="Married"/>
    <n v="2654"/>
    <n v="9655"/>
    <n v="3"/>
    <s v="Y"/>
    <x v="1"/>
    <n v="21"/>
    <n v="4"/>
    <n v="4"/>
    <n v="80"/>
    <n v="2"/>
    <n v="8"/>
    <n v="3"/>
    <n v="2"/>
    <n v="2"/>
    <n v="2"/>
    <n v="0"/>
    <n v="2"/>
    <x v="0"/>
    <x v="3"/>
    <s v="High"/>
    <x v="0"/>
    <s v="Outstanding"/>
    <s v="Good"/>
    <n v="0"/>
    <s v="0–3,000"/>
    <s v="6–10 miles"/>
    <s v="2–5 years"/>
  </r>
  <r>
    <n v="52"/>
    <x v="1"/>
    <s v="Travel_Rarely"/>
    <n v="1490"/>
    <x v="1"/>
    <n v="4"/>
    <x v="0"/>
    <s v="Life Sciences"/>
    <n v="1"/>
    <n v="546"/>
    <n v="4"/>
    <s v="Female"/>
    <n v="30"/>
    <n v="3"/>
    <n v="4"/>
    <x v="5"/>
    <x v="0"/>
    <s v="Married"/>
    <n v="16555"/>
    <n v="10310"/>
    <n v="2"/>
    <s v="Y"/>
    <x v="1"/>
    <n v="13"/>
    <n v="3"/>
    <n v="4"/>
    <n v="80"/>
    <n v="0"/>
    <n v="31"/>
    <n v="2"/>
    <n v="1"/>
    <n v="5"/>
    <n v="2"/>
    <n v="1"/>
    <n v="4"/>
    <x v="0"/>
    <x v="2"/>
    <s v="High"/>
    <x v="0"/>
    <s v="Excellent"/>
    <s v="Bad"/>
    <n v="0"/>
    <s v="10,001+"/>
    <s v="0–5 miles"/>
    <s v="2–5 years"/>
  </r>
  <r>
    <n v="42"/>
    <x v="1"/>
    <s v="Travel_Frequently"/>
    <n v="532"/>
    <x v="1"/>
    <n v="29"/>
    <x v="0"/>
    <s v="Life Sciences"/>
    <n v="1"/>
    <n v="547"/>
    <n v="1"/>
    <s v="Female"/>
    <n v="92"/>
    <n v="3"/>
    <n v="2"/>
    <x v="1"/>
    <x v="2"/>
    <s v="Divorced"/>
    <n v="4556"/>
    <n v="12932"/>
    <n v="2"/>
    <s v="Y"/>
    <x v="1"/>
    <n v="11"/>
    <n v="3"/>
    <n v="2"/>
    <n v="80"/>
    <n v="1"/>
    <n v="19"/>
    <n v="3"/>
    <n v="3"/>
    <n v="5"/>
    <n v="4"/>
    <n v="0"/>
    <n v="2"/>
    <x v="0"/>
    <x v="3"/>
    <s v="High"/>
    <x v="2"/>
    <s v="Excellent"/>
    <s v="Better"/>
    <n v="0"/>
    <s v="3,001–6,000"/>
    <s v="16+ miles"/>
    <s v="2–5 years"/>
  </r>
  <r>
    <n v="30"/>
    <x v="1"/>
    <s v="Travel_Rarely"/>
    <n v="317"/>
    <x v="1"/>
    <n v="2"/>
    <x v="3"/>
    <s v="Life Sciences"/>
    <n v="1"/>
    <n v="548"/>
    <n v="3"/>
    <s v="Female"/>
    <n v="43"/>
    <n v="1"/>
    <n v="2"/>
    <x v="3"/>
    <x v="0"/>
    <s v="Single"/>
    <n v="6091"/>
    <n v="24793"/>
    <n v="2"/>
    <s v="Y"/>
    <x v="1"/>
    <n v="20"/>
    <n v="4"/>
    <n v="3"/>
    <n v="80"/>
    <n v="0"/>
    <n v="11"/>
    <n v="2"/>
    <n v="3"/>
    <n v="5"/>
    <n v="4"/>
    <n v="0"/>
    <n v="2"/>
    <x v="3"/>
    <x v="1"/>
    <s v="Low"/>
    <x v="0"/>
    <s v="Outstanding"/>
    <s v="Better"/>
    <n v="0"/>
    <s v="6,001–10,000"/>
    <s v="0–5 miles"/>
    <s v="2–5 years"/>
  </r>
  <r>
    <n v="60"/>
    <x v="1"/>
    <s v="Travel_Rarely"/>
    <n v="422"/>
    <x v="1"/>
    <n v="7"/>
    <x v="3"/>
    <s v="Life Sciences"/>
    <n v="1"/>
    <n v="549"/>
    <n v="1"/>
    <s v="Female"/>
    <n v="41"/>
    <n v="3"/>
    <n v="5"/>
    <x v="5"/>
    <x v="3"/>
    <s v="Married"/>
    <n v="19566"/>
    <n v="3854"/>
    <n v="5"/>
    <s v="Y"/>
    <x v="1"/>
    <n v="11"/>
    <n v="3"/>
    <n v="4"/>
    <n v="80"/>
    <n v="0"/>
    <n v="33"/>
    <n v="5"/>
    <n v="1"/>
    <n v="29"/>
    <n v="8"/>
    <n v="11"/>
    <n v="10"/>
    <x v="3"/>
    <x v="3"/>
    <s v="High"/>
    <x v="3"/>
    <s v="Excellent"/>
    <s v="Bad"/>
    <n v="0"/>
    <s v="10,001+"/>
    <s v="6–10 miles"/>
    <s v="11+ years"/>
  </r>
  <r>
    <n v="46"/>
    <x v="1"/>
    <s v="Travel_Rarely"/>
    <n v="1485"/>
    <x v="1"/>
    <n v="18"/>
    <x v="3"/>
    <s v="Medical"/>
    <n v="1"/>
    <n v="550"/>
    <n v="3"/>
    <s v="Female"/>
    <n v="87"/>
    <n v="3"/>
    <n v="2"/>
    <x v="3"/>
    <x v="2"/>
    <s v="Divorced"/>
    <n v="4810"/>
    <n v="26314"/>
    <n v="2"/>
    <s v="Y"/>
    <x v="1"/>
    <n v="14"/>
    <n v="3"/>
    <n v="3"/>
    <n v="80"/>
    <n v="1"/>
    <n v="19"/>
    <n v="5"/>
    <n v="2"/>
    <n v="10"/>
    <n v="7"/>
    <n v="0"/>
    <n v="8"/>
    <x v="3"/>
    <x v="1"/>
    <s v="High"/>
    <x v="2"/>
    <s v="Excellent"/>
    <s v="Good"/>
    <n v="0"/>
    <s v="3,001–6,000"/>
    <s v="16+ miles"/>
    <s v="6–10 years"/>
  </r>
  <r>
    <n v="42"/>
    <x v="1"/>
    <s v="Travel_Frequently"/>
    <n v="1368"/>
    <x v="1"/>
    <n v="28"/>
    <x v="2"/>
    <s v="Technical Degree"/>
    <n v="1"/>
    <n v="551"/>
    <n v="4"/>
    <s v="Female"/>
    <n v="88"/>
    <n v="2"/>
    <n v="2"/>
    <x v="4"/>
    <x v="0"/>
    <s v="Married"/>
    <n v="4523"/>
    <n v="4386"/>
    <n v="0"/>
    <s v="Y"/>
    <x v="1"/>
    <n v="11"/>
    <n v="3"/>
    <n v="4"/>
    <n v="80"/>
    <n v="3"/>
    <n v="7"/>
    <n v="4"/>
    <n v="4"/>
    <n v="6"/>
    <n v="5"/>
    <n v="0"/>
    <n v="4"/>
    <x v="2"/>
    <x v="2"/>
    <s v="Medium"/>
    <x v="0"/>
    <s v="Excellent"/>
    <s v="Best"/>
    <n v="0"/>
    <s v="3,001–6,000"/>
    <s v="16+ miles"/>
    <s v="6–10 years"/>
  </r>
  <r>
    <n v="24"/>
    <x v="0"/>
    <s v="Travel_Rarely"/>
    <n v="1448"/>
    <x v="0"/>
    <n v="1"/>
    <x v="1"/>
    <s v="Technical Degree"/>
    <n v="1"/>
    <n v="554"/>
    <n v="1"/>
    <s v="Female"/>
    <n v="62"/>
    <n v="3"/>
    <n v="1"/>
    <x v="6"/>
    <x v="1"/>
    <s v="Single"/>
    <n v="3202"/>
    <n v="21972"/>
    <n v="1"/>
    <s v="Y"/>
    <x v="0"/>
    <n v="16"/>
    <n v="3"/>
    <n v="2"/>
    <n v="80"/>
    <n v="0"/>
    <n v="6"/>
    <n v="4"/>
    <n v="3"/>
    <n v="5"/>
    <n v="3"/>
    <n v="1"/>
    <n v="4"/>
    <x v="1"/>
    <x v="3"/>
    <s v="High"/>
    <x v="1"/>
    <s v="Excellent"/>
    <s v="Better"/>
    <n v="1"/>
    <s v="3,001–6,000"/>
    <s v="0–5 miles"/>
    <s v="2–5 years"/>
  </r>
  <r>
    <n v="34"/>
    <x v="0"/>
    <s v="Travel_Frequently"/>
    <n v="296"/>
    <x v="0"/>
    <n v="6"/>
    <x v="0"/>
    <s v="Marketing"/>
    <n v="1"/>
    <n v="555"/>
    <n v="4"/>
    <s v="Female"/>
    <n v="33"/>
    <n v="1"/>
    <n v="1"/>
    <x v="6"/>
    <x v="2"/>
    <s v="Divorced"/>
    <n v="2351"/>
    <n v="12253"/>
    <n v="0"/>
    <s v="Y"/>
    <x v="1"/>
    <n v="16"/>
    <n v="3"/>
    <n v="4"/>
    <n v="80"/>
    <n v="1"/>
    <n v="3"/>
    <n v="3"/>
    <n v="2"/>
    <n v="2"/>
    <n v="2"/>
    <n v="1"/>
    <n v="0"/>
    <x v="0"/>
    <x v="2"/>
    <s v="Low"/>
    <x v="2"/>
    <s v="Excellent"/>
    <s v="Good"/>
    <n v="1"/>
    <s v="0–3,000"/>
    <s v="6–10 miles"/>
    <s v="2–5 years"/>
  </r>
  <r>
    <n v="38"/>
    <x v="1"/>
    <s v="Travel_Frequently"/>
    <n v="1490"/>
    <x v="1"/>
    <n v="2"/>
    <x v="0"/>
    <s v="Life Sciences"/>
    <n v="1"/>
    <n v="556"/>
    <n v="4"/>
    <s v="Male"/>
    <n v="42"/>
    <n v="3"/>
    <n v="1"/>
    <x v="2"/>
    <x v="0"/>
    <s v="Married"/>
    <n v="1702"/>
    <n v="12106"/>
    <n v="1"/>
    <s v="Y"/>
    <x v="0"/>
    <n v="23"/>
    <n v="4"/>
    <n v="3"/>
    <n v="80"/>
    <n v="1"/>
    <n v="1"/>
    <n v="3"/>
    <n v="3"/>
    <n v="1"/>
    <n v="0"/>
    <n v="0"/>
    <n v="0"/>
    <x v="0"/>
    <x v="2"/>
    <s v="High"/>
    <x v="0"/>
    <s v="Outstanding"/>
    <s v="Better"/>
    <n v="0"/>
    <s v="0–3,000"/>
    <s v="0–5 miles"/>
    <s v="0–1 years"/>
  </r>
  <r>
    <n v="40"/>
    <x v="1"/>
    <s v="Travel_Rarely"/>
    <n v="1398"/>
    <x v="0"/>
    <n v="2"/>
    <x v="2"/>
    <s v="Life Sciences"/>
    <n v="1"/>
    <n v="558"/>
    <n v="3"/>
    <s v="Female"/>
    <n v="79"/>
    <n v="3"/>
    <n v="5"/>
    <x v="5"/>
    <x v="2"/>
    <s v="Married"/>
    <n v="18041"/>
    <n v="13022"/>
    <n v="0"/>
    <s v="Y"/>
    <x v="1"/>
    <n v="14"/>
    <n v="3"/>
    <n v="4"/>
    <n v="80"/>
    <n v="0"/>
    <n v="21"/>
    <n v="2"/>
    <n v="3"/>
    <n v="20"/>
    <n v="15"/>
    <n v="1"/>
    <n v="12"/>
    <x v="2"/>
    <x v="1"/>
    <s v="High"/>
    <x v="2"/>
    <s v="Excellent"/>
    <s v="Better"/>
    <n v="0"/>
    <s v="10,001+"/>
    <s v="0–5 miles"/>
    <s v="11+ years"/>
  </r>
  <r>
    <n v="26"/>
    <x v="1"/>
    <s v="Travel_Rarely"/>
    <n v="1349"/>
    <x v="1"/>
    <n v="23"/>
    <x v="3"/>
    <s v="Life Sciences"/>
    <n v="1"/>
    <n v="560"/>
    <n v="1"/>
    <s v="Female"/>
    <n v="90"/>
    <n v="3"/>
    <n v="1"/>
    <x v="1"/>
    <x v="0"/>
    <s v="Divorced"/>
    <n v="2886"/>
    <n v="3032"/>
    <n v="1"/>
    <s v="Y"/>
    <x v="1"/>
    <n v="22"/>
    <n v="4"/>
    <n v="2"/>
    <n v="80"/>
    <n v="2"/>
    <n v="3"/>
    <n v="3"/>
    <n v="1"/>
    <n v="3"/>
    <n v="2"/>
    <n v="0"/>
    <n v="2"/>
    <x v="3"/>
    <x v="3"/>
    <s v="High"/>
    <x v="0"/>
    <s v="Outstanding"/>
    <s v="Bad"/>
    <n v="0"/>
    <s v="0–3,000"/>
    <s v="16+ miles"/>
    <s v="2–5 years"/>
  </r>
  <r>
    <n v="30"/>
    <x v="1"/>
    <s v="Non-Travel"/>
    <n v="1400"/>
    <x v="1"/>
    <n v="3"/>
    <x v="3"/>
    <s v="Life Sciences"/>
    <n v="1"/>
    <n v="562"/>
    <n v="3"/>
    <s v="Male"/>
    <n v="53"/>
    <n v="3"/>
    <n v="1"/>
    <x v="2"/>
    <x v="0"/>
    <s v="Married"/>
    <n v="2097"/>
    <n v="16734"/>
    <n v="4"/>
    <s v="Y"/>
    <x v="1"/>
    <n v="15"/>
    <n v="3"/>
    <n v="3"/>
    <n v="80"/>
    <n v="1"/>
    <n v="9"/>
    <n v="3"/>
    <n v="1"/>
    <n v="5"/>
    <n v="3"/>
    <n v="1"/>
    <n v="4"/>
    <x v="3"/>
    <x v="1"/>
    <s v="High"/>
    <x v="0"/>
    <s v="Excellent"/>
    <s v="Bad"/>
    <n v="0"/>
    <s v="0–3,000"/>
    <s v="0–5 miles"/>
    <s v="2–5 years"/>
  </r>
  <r>
    <n v="29"/>
    <x v="1"/>
    <s v="Travel_Rarely"/>
    <n v="986"/>
    <x v="1"/>
    <n v="3"/>
    <x v="2"/>
    <s v="Medical"/>
    <n v="1"/>
    <n v="564"/>
    <n v="2"/>
    <s v="Male"/>
    <n v="93"/>
    <n v="2"/>
    <n v="3"/>
    <x v="7"/>
    <x v="2"/>
    <s v="Married"/>
    <n v="11935"/>
    <n v="21526"/>
    <n v="1"/>
    <s v="Y"/>
    <x v="1"/>
    <n v="18"/>
    <n v="3"/>
    <n v="3"/>
    <n v="80"/>
    <n v="0"/>
    <n v="10"/>
    <n v="2"/>
    <n v="3"/>
    <n v="10"/>
    <n v="2"/>
    <n v="0"/>
    <n v="7"/>
    <x v="2"/>
    <x v="0"/>
    <s v="Medium"/>
    <x v="2"/>
    <s v="Excellent"/>
    <s v="Better"/>
    <n v="0"/>
    <s v="10,001+"/>
    <s v="0–5 miles"/>
    <s v="6–10 years"/>
  </r>
  <r>
    <n v="29"/>
    <x v="0"/>
    <s v="Travel_Rarely"/>
    <n v="408"/>
    <x v="1"/>
    <n v="25"/>
    <x v="4"/>
    <s v="Technical Degree"/>
    <n v="1"/>
    <n v="565"/>
    <n v="3"/>
    <s v="Female"/>
    <n v="71"/>
    <n v="2"/>
    <n v="1"/>
    <x v="1"/>
    <x v="1"/>
    <s v="Married"/>
    <n v="2546"/>
    <n v="18300"/>
    <n v="5"/>
    <s v="Y"/>
    <x v="1"/>
    <n v="16"/>
    <n v="3"/>
    <n v="2"/>
    <n v="80"/>
    <n v="0"/>
    <n v="6"/>
    <n v="2"/>
    <n v="4"/>
    <n v="2"/>
    <n v="2"/>
    <n v="1"/>
    <n v="1"/>
    <x v="4"/>
    <x v="1"/>
    <s v="Medium"/>
    <x v="1"/>
    <s v="Excellent"/>
    <s v="Best"/>
    <n v="1"/>
    <s v="0–3,000"/>
    <s v="16+ miles"/>
    <s v="2–5 years"/>
  </r>
  <r>
    <n v="19"/>
    <x v="0"/>
    <s v="Travel_Rarely"/>
    <n v="489"/>
    <x v="2"/>
    <n v="2"/>
    <x v="0"/>
    <s v="Technical Degree"/>
    <n v="1"/>
    <n v="566"/>
    <n v="1"/>
    <s v="Male"/>
    <n v="52"/>
    <n v="2"/>
    <n v="1"/>
    <x v="8"/>
    <x v="0"/>
    <s v="Single"/>
    <n v="2564"/>
    <n v="18437"/>
    <n v="1"/>
    <s v="Y"/>
    <x v="1"/>
    <n v="12"/>
    <n v="3"/>
    <n v="3"/>
    <n v="80"/>
    <n v="0"/>
    <n v="1"/>
    <n v="3"/>
    <n v="4"/>
    <n v="1"/>
    <n v="0"/>
    <n v="0"/>
    <n v="0"/>
    <x v="0"/>
    <x v="3"/>
    <s v="Medium"/>
    <x v="0"/>
    <s v="Excellent"/>
    <s v="Best"/>
    <n v="1"/>
    <s v="0–3,000"/>
    <s v="0–5 miles"/>
    <s v="0–1 years"/>
  </r>
  <r>
    <n v="30"/>
    <x v="1"/>
    <s v="Non-Travel"/>
    <n v="1398"/>
    <x v="0"/>
    <n v="22"/>
    <x v="2"/>
    <s v="Other"/>
    <n v="1"/>
    <n v="567"/>
    <n v="3"/>
    <s v="Female"/>
    <n v="69"/>
    <n v="3"/>
    <n v="3"/>
    <x v="0"/>
    <x v="3"/>
    <s v="Married"/>
    <n v="8412"/>
    <n v="2890"/>
    <n v="0"/>
    <s v="Y"/>
    <x v="1"/>
    <n v="11"/>
    <n v="3"/>
    <n v="3"/>
    <n v="80"/>
    <n v="0"/>
    <n v="10"/>
    <n v="3"/>
    <n v="3"/>
    <n v="9"/>
    <n v="8"/>
    <n v="7"/>
    <n v="8"/>
    <x v="2"/>
    <x v="1"/>
    <s v="High"/>
    <x v="3"/>
    <s v="Excellent"/>
    <s v="Better"/>
    <n v="0"/>
    <s v="6,001–10,000"/>
    <s v="16+ miles"/>
    <s v="6–10 years"/>
  </r>
  <r>
    <n v="57"/>
    <x v="1"/>
    <s v="Travel_Rarely"/>
    <n v="210"/>
    <x v="0"/>
    <n v="29"/>
    <x v="3"/>
    <s v="Marketing"/>
    <n v="1"/>
    <n v="568"/>
    <n v="1"/>
    <s v="Male"/>
    <n v="56"/>
    <n v="2"/>
    <n v="4"/>
    <x v="5"/>
    <x v="0"/>
    <s v="Divorced"/>
    <n v="14118"/>
    <n v="22102"/>
    <n v="3"/>
    <s v="Y"/>
    <x v="1"/>
    <n v="12"/>
    <n v="3"/>
    <n v="3"/>
    <n v="80"/>
    <n v="1"/>
    <n v="32"/>
    <n v="3"/>
    <n v="2"/>
    <n v="1"/>
    <n v="0"/>
    <n v="0"/>
    <n v="0"/>
    <x v="3"/>
    <x v="3"/>
    <s v="Medium"/>
    <x v="0"/>
    <s v="Excellent"/>
    <s v="Good"/>
    <n v="0"/>
    <s v="10,001+"/>
    <s v="16+ miles"/>
    <s v="0–1 years"/>
  </r>
  <r>
    <n v="50"/>
    <x v="1"/>
    <s v="Travel_Rarely"/>
    <n v="1099"/>
    <x v="1"/>
    <n v="29"/>
    <x v="2"/>
    <s v="Life Sciences"/>
    <n v="1"/>
    <n v="569"/>
    <n v="2"/>
    <s v="Male"/>
    <n v="88"/>
    <n v="2"/>
    <n v="4"/>
    <x v="5"/>
    <x v="2"/>
    <s v="Married"/>
    <n v="17046"/>
    <n v="9314"/>
    <n v="0"/>
    <s v="Y"/>
    <x v="1"/>
    <n v="15"/>
    <n v="3"/>
    <n v="2"/>
    <n v="80"/>
    <n v="1"/>
    <n v="28"/>
    <n v="2"/>
    <n v="3"/>
    <n v="27"/>
    <n v="10"/>
    <n v="15"/>
    <n v="7"/>
    <x v="2"/>
    <x v="0"/>
    <s v="Medium"/>
    <x v="2"/>
    <s v="Excellent"/>
    <s v="Better"/>
    <n v="0"/>
    <s v="10,001+"/>
    <s v="16+ miles"/>
    <s v="11+ years"/>
  </r>
  <r>
    <n v="30"/>
    <x v="1"/>
    <s v="Non-Travel"/>
    <n v="1116"/>
    <x v="1"/>
    <n v="2"/>
    <x v="3"/>
    <s v="Medical"/>
    <n v="1"/>
    <n v="571"/>
    <n v="3"/>
    <s v="Female"/>
    <n v="49"/>
    <n v="3"/>
    <n v="1"/>
    <x v="2"/>
    <x v="0"/>
    <s v="Single"/>
    <n v="2564"/>
    <n v="7181"/>
    <n v="0"/>
    <s v="Y"/>
    <x v="1"/>
    <n v="14"/>
    <n v="3"/>
    <n v="3"/>
    <n v="80"/>
    <n v="0"/>
    <n v="12"/>
    <n v="2"/>
    <n v="2"/>
    <n v="11"/>
    <n v="7"/>
    <n v="6"/>
    <n v="7"/>
    <x v="3"/>
    <x v="1"/>
    <s v="High"/>
    <x v="0"/>
    <s v="Excellent"/>
    <s v="Good"/>
    <n v="0"/>
    <s v="0–3,000"/>
    <s v="0–5 miles"/>
    <s v="11+ years"/>
  </r>
  <r>
    <n v="60"/>
    <x v="1"/>
    <s v="Travel_Frequently"/>
    <n v="1499"/>
    <x v="0"/>
    <n v="28"/>
    <x v="3"/>
    <s v="Marketing"/>
    <n v="1"/>
    <n v="573"/>
    <n v="3"/>
    <s v="Female"/>
    <n v="80"/>
    <n v="2"/>
    <n v="3"/>
    <x v="0"/>
    <x v="3"/>
    <s v="Married"/>
    <n v="10266"/>
    <n v="2845"/>
    <n v="4"/>
    <s v="Y"/>
    <x v="1"/>
    <n v="19"/>
    <n v="3"/>
    <n v="4"/>
    <n v="80"/>
    <n v="0"/>
    <n v="22"/>
    <n v="5"/>
    <n v="4"/>
    <n v="18"/>
    <n v="13"/>
    <n v="13"/>
    <n v="11"/>
    <x v="3"/>
    <x v="1"/>
    <s v="Medium"/>
    <x v="3"/>
    <s v="Excellent"/>
    <s v="Best"/>
    <n v="0"/>
    <s v="10,001+"/>
    <s v="16+ miles"/>
    <s v="11+ years"/>
  </r>
  <r>
    <n v="47"/>
    <x v="1"/>
    <s v="Travel_Rarely"/>
    <n v="983"/>
    <x v="1"/>
    <n v="2"/>
    <x v="0"/>
    <s v="Medical"/>
    <n v="1"/>
    <n v="574"/>
    <n v="1"/>
    <s v="Female"/>
    <n v="65"/>
    <n v="3"/>
    <n v="2"/>
    <x v="3"/>
    <x v="0"/>
    <s v="Divorced"/>
    <n v="5070"/>
    <n v="7389"/>
    <n v="5"/>
    <s v="Y"/>
    <x v="1"/>
    <n v="13"/>
    <n v="3"/>
    <n v="3"/>
    <n v="80"/>
    <n v="3"/>
    <n v="20"/>
    <n v="2"/>
    <n v="3"/>
    <n v="5"/>
    <n v="0"/>
    <n v="0"/>
    <n v="4"/>
    <x v="0"/>
    <x v="3"/>
    <s v="High"/>
    <x v="0"/>
    <s v="Excellent"/>
    <s v="Better"/>
    <n v="0"/>
    <s v="3,001–6,000"/>
    <s v="0–5 miles"/>
    <s v="2–5 years"/>
  </r>
  <r>
    <n v="46"/>
    <x v="1"/>
    <s v="Travel_Rarely"/>
    <n v="1009"/>
    <x v="1"/>
    <n v="2"/>
    <x v="3"/>
    <s v="Life Sciences"/>
    <n v="1"/>
    <n v="575"/>
    <n v="1"/>
    <s v="Male"/>
    <n v="51"/>
    <n v="3"/>
    <n v="4"/>
    <x v="7"/>
    <x v="2"/>
    <s v="Married"/>
    <n v="17861"/>
    <n v="2288"/>
    <n v="6"/>
    <s v="Y"/>
    <x v="1"/>
    <n v="13"/>
    <n v="3"/>
    <n v="3"/>
    <n v="80"/>
    <n v="0"/>
    <n v="26"/>
    <n v="2"/>
    <n v="1"/>
    <n v="3"/>
    <n v="2"/>
    <n v="0"/>
    <n v="1"/>
    <x v="3"/>
    <x v="3"/>
    <s v="High"/>
    <x v="2"/>
    <s v="Excellent"/>
    <s v="Bad"/>
    <n v="0"/>
    <s v="10,001+"/>
    <s v="0–5 miles"/>
    <s v="2–5 years"/>
  </r>
  <r>
    <n v="35"/>
    <x v="1"/>
    <s v="Travel_Rarely"/>
    <n v="144"/>
    <x v="1"/>
    <n v="22"/>
    <x v="3"/>
    <s v="Life Sciences"/>
    <n v="1"/>
    <n v="577"/>
    <n v="4"/>
    <s v="Male"/>
    <n v="46"/>
    <n v="1"/>
    <n v="1"/>
    <x v="2"/>
    <x v="2"/>
    <s v="Single"/>
    <n v="4230"/>
    <n v="19225"/>
    <n v="0"/>
    <s v="Y"/>
    <x v="1"/>
    <n v="15"/>
    <n v="3"/>
    <n v="3"/>
    <n v="80"/>
    <n v="0"/>
    <n v="6"/>
    <n v="2"/>
    <n v="3"/>
    <n v="5"/>
    <n v="4"/>
    <n v="4"/>
    <n v="3"/>
    <x v="3"/>
    <x v="2"/>
    <s v="Low"/>
    <x v="2"/>
    <s v="Excellent"/>
    <s v="Better"/>
    <n v="0"/>
    <s v="3,001–6,000"/>
    <s v="16+ miles"/>
    <s v="2–5 years"/>
  </r>
  <r>
    <n v="54"/>
    <x v="1"/>
    <s v="Travel_Rarely"/>
    <n v="548"/>
    <x v="1"/>
    <n v="8"/>
    <x v="2"/>
    <s v="Life Sciences"/>
    <n v="1"/>
    <n v="578"/>
    <n v="3"/>
    <s v="Female"/>
    <n v="42"/>
    <n v="3"/>
    <n v="2"/>
    <x v="2"/>
    <x v="2"/>
    <s v="Single"/>
    <n v="3780"/>
    <n v="23428"/>
    <n v="7"/>
    <s v="Y"/>
    <x v="1"/>
    <n v="11"/>
    <n v="3"/>
    <n v="3"/>
    <n v="80"/>
    <n v="0"/>
    <n v="19"/>
    <n v="3"/>
    <n v="3"/>
    <n v="1"/>
    <n v="0"/>
    <n v="0"/>
    <n v="0"/>
    <x v="2"/>
    <x v="1"/>
    <s v="High"/>
    <x v="2"/>
    <s v="Excellent"/>
    <s v="Better"/>
    <n v="0"/>
    <s v="3,001–6,000"/>
    <s v="6–10 miles"/>
    <s v="0–1 years"/>
  </r>
  <r>
    <n v="34"/>
    <x v="1"/>
    <s v="Travel_Rarely"/>
    <n v="1303"/>
    <x v="1"/>
    <n v="2"/>
    <x v="2"/>
    <s v="Life Sciences"/>
    <n v="1"/>
    <n v="579"/>
    <n v="4"/>
    <s v="Male"/>
    <n v="62"/>
    <n v="2"/>
    <n v="1"/>
    <x v="1"/>
    <x v="2"/>
    <s v="Divorced"/>
    <n v="2768"/>
    <n v="8416"/>
    <n v="3"/>
    <s v="Y"/>
    <x v="1"/>
    <n v="12"/>
    <n v="3"/>
    <n v="3"/>
    <n v="80"/>
    <n v="1"/>
    <n v="14"/>
    <n v="3"/>
    <n v="3"/>
    <n v="7"/>
    <n v="3"/>
    <n v="5"/>
    <n v="7"/>
    <x v="2"/>
    <x v="2"/>
    <s v="Medium"/>
    <x v="2"/>
    <s v="Excellent"/>
    <s v="Better"/>
    <n v="0"/>
    <s v="0–3,000"/>
    <s v="0–5 miles"/>
    <s v="6–10 years"/>
  </r>
  <r>
    <n v="46"/>
    <x v="1"/>
    <s v="Travel_Rarely"/>
    <n v="1125"/>
    <x v="0"/>
    <n v="10"/>
    <x v="3"/>
    <s v="Marketing"/>
    <n v="1"/>
    <n v="580"/>
    <n v="3"/>
    <s v="Female"/>
    <n v="94"/>
    <n v="2"/>
    <n v="3"/>
    <x v="0"/>
    <x v="0"/>
    <s v="Married"/>
    <n v="9071"/>
    <n v="11563"/>
    <n v="2"/>
    <s v="Y"/>
    <x v="0"/>
    <n v="19"/>
    <n v="3"/>
    <n v="3"/>
    <n v="80"/>
    <n v="1"/>
    <n v="15"/>
    <n v="3"/>
    <n v="3"/>
    <n v="3"/>
    <n v="2"/>
    <n v="1"/>
    <n v="2"/>
    <x v="3"/>
    <x v="1"/>
    <s v="Medium"/>
    <x v="0"/>
    <s v="Excellent"/>
    <s v="Better"/>
    <n v="0"/>
    <s v="6,001–10,000"/>
    <s v="6–10 miles"/>
    <s v="2–5 years"/>
  </r>
  <r>
    <n v="31"/>
    <x v="1"/>
    <s v="Travel_Rarely"/>
    <n v="1274"/>
    <x v="1"/>
    <n v="9"/>
    <x v="1"/>
    <s v="Life Sciences"/>
    <n v="1"/>
    <n v="581"/>
    <n v="3"/>
    <s v="Male"/>
    <n v="33"/>
    <n v="3"/>
    <n v="3"/>
    <x v="3"/>
    <x v="1"/>
    <s v="Divorced"/>
    <n v="10648"/>
    <n v="14394"/>
    <n v="1"/>
    <s v="Y"/>
    <x v="1"/>
    <n v="25"/>
    <n v="4"/>
    <n v="4"/>
    <n v="80"/>
    <n v="1"/>
    <n v="13"/>
    <n v="6"/>
    <n v="4"/>
    <n v="13"/>
    <n v="8"/>
    <n v="0"/>
    <n v="8"/>
    <x v="1"/>
    <x v="1"/>
    <s v="High"/>
    <x v="1"/>
    <s v="Outstanding"/>
    <s v="Best"/>
    <n v="0"/>
    <s v="10,001+"/>
    <s v="6–10 miles"/>
    <s v="11+ years"/>
  </r>
  <r>
    <n v="33"/>
    <x v="0"/>
    <s v="Travel_Rarely"/>
    <n v="1277"/>
    <x v="1"/>
    <n v="15"/>
    <x v="1"/>
    <s v="Medical"/>
    <n v="1"/>
    <n v="582"/>
    <n v="2"/>
    <s v="Male"/>
    <n v="56"/>
    <n v="3"/>
    <n v="3"/>
    <x v="5"/>
    <x v="2"/>
    <s v="Married"/>
    <n v="13610"/>
    <n v="24619"/>
    <n v="7"/>
    <s v="Y"/>
    <x v="0"/>
    <n v="12"/>
    <n v="3"/>
    <n v="4"/>
    <n v="80"/>
    <n v="0"/>
    <n v="15"/>
    <n v="2"/>
    <n v="4"/>
    <n v="7"/>
    <n v="6"/>
    <n v="7"/>
    <n v="7"/>
    <x v="1"/>
    <x v="0"/>
    <s v="High"/>
    <x v="2"/>
    <s v="Excellent"/>
    <s v="Best"/>
    <n v="1"/>
    <s v="10,001+"/>
    <s v="11–15 miles"/>
    <s v="6–10 years"/>
  </r>
  <r>
    <n v="33"/>
    <x v="0"/>
    <s v="Travel_Rarely"/>
    <n v="587"/>
    <x v="1"/>
    <n v="10"/>
    <x v="1"/>
    <s v="Medical"/>
    <n v="1"/>
    <n v="584"/>
    <n v="1"/>
    <s v="Male"/>
    <n v="38"/>
    <n v="1"/>
    <n v="1"/>
    <x v="2"/>
    <x v="0"/>
    <s v="Divorced"/>
    <n v="3408"/>
    <n v="6705"/>
    <n v="7"/>
    <s v="Y"/>
    <x v="1"/>
    <n v="13"/>
    <n v="3"/>
    <n v="1"/>
    <n v="80"/>
    <n v="3"/>
    <n v="8"/>
    <n v="2"/>
    <n v="3"/>
    <n v="4"/>
    <n v="3"/>
    <n v="1"/>
    <n v="3"/>
    <x v="1"/>
    <x v="3"/>
    <s v="Low"/>
    <x v="0"/>
    <s v="Excellent"/>
    <s v="Better"/>
    <n v="1"/>
    <s v="3,001–6,000"/>
    <s v="6–10 miles"/>
    <s v="2–5 years"/>
  </r>
  <r>
    <n v="30"/>
    <x v="1"/>
    <s v="Travel_Rarely"/>
    <n v="413"/>
    <x v="0"/>
    <n v="7"/>
    <x v="1"/>
    <s v="Marketing"/>
    <n v="1"/>
    <n v="585"/>
    <n v="4"/>
    <s v="Male"/>
    <n v="57"/>
    <n v="3"/>
    <n v="1"/>
    <x v="6"/>
    <x v="1"/>
    <s v="Single"/>
    <n v="2983"/>
    <n v="18398"/>
    <n v="0"/>
    <s v="Y"/>
    <x v="1"/>
    <n v="14"/>
    <n v="3"/>
    <n v="1"/>
    <n v="80"/>
    <n v="0"/>
    <n v="4"/>
    <n v="3"/>
    <n v="3"/>
    <n v="3"/>
    <n v="2"/>
    <n v="1"/>
    <n v="2"/>
    <x v="1"/>
    <x v="2"/>
    <s v="High"/>
    <x v="1"/>
    <s v="Excellent"/>
    <s v="Better"/>
    <n v="0"/>
    <s v="0–3,000"/>
    <s v="6–10 miles"/>
    <s v="2–5 years"/>
  </r>
  <r>
    <n v="35"/>
    <x v="1"/>
    <s v="Travel_Rarely"/>
    <n v="1276"/>
    <x v="1"/>
    <n v="16"/>
    <x v="3"/>
    <s v="Life Sciences"/>
    <n v="1"/>
    <n v="586"/>
    <n v="4"/>
    <s v="Male"/>
    <n v="72"/>
    <n v="3"/>
    <n v="3"/>
    <x v="4"/>
    <x v="2"/>
    <s v="Married"/>
    <n v="7632"/>
    <n v="14295"/>
    <n v="4"/>
    <s v="Y"/>
    <x v="0"/>
    <n v="12"/>
    <n v="3"/>
    <n v="3"/>
    <n v="80"/>
    <n v="0"/>
    <n v="10"/>
    <n v="2"/>
    <n v="3"/>
    <n v="8"/>
    <n v="7"/>
    <n v="0"/>
    <n v="0"/>
    <x v="3"/>
    <x v="2"/>
    <s v="High"/>
    <x v="2"/>
    <s v="Excellent"/>
    <s v="Better"/>
    <n v="0"/>
    <s v="6,001–10,000"/>
    <s v="16+ miles"/>
    <s v="6–10 years"/>
  </r>
  <r>
    <n v="31"/>
    <x v="0"/>
    <s v="Travel_Frequently"/>
    <n v="534"/>
    <x v="1"/>
    <n v="20"/>
    <x v="3"/>
    <s v="Life Sciences"/>
    <n v="1"/>
    <n v="587"/>
    <n v="1"/>
    <s v="Male"/>
    <n v="66"/>
    <n v="3"/>
    <n v="3"/>
    <x v="4"/>
    <x v="2"/>
    <s v="Married"/>
    <n v="9824"/>
    <n v="22908"/>
    <n v="3"/>
    <s v="Y"/>
    <x v="1"/>
    <n v="12"/>
    <n v="3"/>
    <n v="1"/>
    <n v="80"/>
    <n v="0"/>
    <n v="12"/>
    <n v="2"/>
    <n v="3"/>
    <n v="1"/>
    <n v="0"/>
    <n v="0"/>
    <n v="0"/>
    <x v="3"/>
    <x v="3"/>
    <s v="High"/>
    <x v="2"/>
    <s v="Excellent"/>
    <s v="Better"/>
    <n v="1"/>
    <s v="6,001–10,000"/>
    <s v="16+ miles"/>
    <s v="0–1 years"/>
  </r>
  <r>
    <n v="34"/>
    <x v="0"/>
    <s v="Travel_Frequently"/>
    <n v="988"/>
    <x v="2"/>
    <n v="23"/>
    <x v="3"/>
    <s v="Human Resources"/>
    <n v="1"/>
    <n v="590"/>
    <n v="2"/>
    <s v="Female"/>
    <n v="43"/>
    <n v="3"/>
    <n v="3"/>
    <x v="8"/>
    <x v="3"/>
    <s v="Divorced"/>
    <n v="9950"/>
    <n v="11533"/>
    <n v="9"/>
    <s v="Y"/>
    <x v="0"/>
    <n v="15"/>
    <n v="3"/>
    <n v="3"/>
    <n v="80"/>
    <n v="3"/>
    <n v="11"/>
    <n v="2"/>
    <n v="3"/>
    <n v="3"/>
    <n v="2"/>
    <n v="0"/>
    <n v="2"/>
    <x v="3"/>
    <x v="0"/>
    <s v="High"/>
    <x v="3"/>
    <s v="Excellent"/>
    <s v="Better"/>
    <n v="1"/>
    <s v="6,001–10,000"/>
    <s v="16+ miles"/>
    <s v="2–5 years"/>
  </r>
  <r>
    <n v="42"/>
    <x v="1"/>
    <s v="Travel_Frequently"/>
    <n v="1474"/>
    <x v="1"/>
    <n v="5"/>
    <x v="0"/>
    <s v="Other"/>
    <n v="1"/>
    <n v="591"/>
    <n v="2"/>
    <s v="Male"/>
    <n v="97"/>
    <n v="3"/>
    <n v="1"/>
    <x v="2"/>
    <x v="2"/>
    <s v="Married"/>
    <n v="2093"/>
    <n v="9260"/>
    <n v="4"/>
    <s v="Y"/>
    <x v="1"/>
    <n v="17"/>
    <n v="3"/>
    <n v="4"/>
    <n v="80"/>
    <n v="1"/>
    <n v="8"/>
    <n v="4"/>
    <n v="3"/>
    <n v="2"/>
    <n v="2"/>
    <n v="2"/>
    <n v="0"/>
    <x v="0"/>
    <x v="0"/>
    <s v="High"/>
    <x v="2"/>
    <s v="Excellent"/>
    <s v="Better"/>
    <n v="0"/>
    <s v="0–3,000"/>
    <s v="0–5 miles"/>
    <s v="2–5 years"/>
  </r>
  <r>
    <n v="36"/>
    <x v="1"/>
    <s v="Non-Travel"/>
    <n v="635"/>
    <x v="0"/>
    <n v="10"/>
    <x v="2"/>
    <s v="Medical"/>
    <n v="1"/>
    <n v="592"/>
    <n v="2"/>
    <s v="Male"/>
    <n v="32"/>
    <n v="3"/>
    <n v="3"/>
    <x v="0"/>
    <x v="0"/>
    <s v="Single"/>
    <n v="9980"/>
    <n v="15318"/>
    <n v="1"/>
    <s v="Y"/>
    <x v="1"/>
    <n v="14"/>
    <n v="3"/>
    <n v="4"/>
    <n v="80"/>
    <n v="0"/>
    <n v="10"/>
    <n v="3"/>
    <n v="2"/>
    <n v="10"/>
    <n v="3"/>
    <n v="9"/>
    <n v="7"/>
    <x v="2"/>
    <x v="0"/>
    <s v="High"/>
    <x v="0"/>
    <s v="Excellent"/>
    <s v="Good"/>
    <n v="0"/>
    <s v="6,001–10,000"/>
    <s v="6–10 miles"/>
    <s v="6–10 years"/>
  </r>
  <r>
    <n v="22"/>
    <x v="0"/>
    <s v="Travel_Frequently"/>
    <n v="1368"/>
    <x v="1"/>
    <n v="4"/>
    <x v="1"/>
    <s v="Technical Degree"/>
    <n v="1"/>
    <n v="593"/>
    <n v="3"/>
    <s v="Male"/>
    <n v="99"/>
    <n v="2"/>
    <n v="1"/>
    <x v="2"/>
    <x v="2"/>
    <s v="Single"/>
    <n v="3894"/>
    <n v="9129"/>
    <n v="5"/>
    <s v="Y"/>
    <x v="1"/>
    <n v="16"/>
    <n v="3"/>
    <n v="3"/>
    <n v="80"/>
    <n v="0"/>
    <n v="4"/>
    <n v="3"/>
    <n v="3"/>
    <n v="2"/>
    <n v="2"/>
    <n v="1"/>
    <n v="2"/>
    <x v="1"/>
    <x v="1"/>
    <s v="Medium"/>
    <x v="2"/>
    <s v="Excellent"/>
    <s v="Better"/>
    <n v="1"/>
    <s v="3,001–6,000"/>
    <s v="0–5 miles"/>
    <s v="2–5 years"/>
  </r>
  <r>
    <n v="48"/>
    <x v="1"/>
    <s v="Travel_Rarely"/>
    <n v="163"/>
    <x v="0"/>
    <n v="2"/>
    <x v="4"/>
    <s v="Marketing"/>
    <n v="1"/>
    <n v="595"/>
    <n v="2"/>
    <s v="Female"/>
    <n v="37"/>
    <n v="3"/>
    <n v="2"/>
    <x v="0"/>
    <x v="0"/>
    <s v="Married"/>
    <n v="4051"/>
    <n v="19658"/>
    <n v="2"/>
    <s v="Y"/>
    <x v="1"/>
    <n v="14"/>
    <n v="3"/>
    <n v="1"/>
    <n v="80"/>
    <n v="1"/>
    <n v="14"/>
    <n v="2"/>
    <n v="3"/>
    <n v="9"/>
    <n v="7"/>
    <n v="6"/>
    <n v="7"/>
    <x v="4"/>
    <x v="0"/>
    <s v="High"/>
    <x v="0"/>
    <s v="Excellent"/>
    <s v="Better"/>
    <n v="0"/>
    <s v="3,001–6,000"/>
    <s v="0–5 miles"/>
    <s v="6–10 years"/>
  </r>
  <r>
    <n v="55"/>
    <x v="1"/>
    <s v="Travel_Rarely"/>
    <n v="1117"/>
    <x v="0"/>
    <n v="18"/>
    <x v="4"/>
    <s v="Life Sciences"/>
    <n v="1"/>
    <n v="597"/>
    <n v="1"/>
    <s v="Female"/>
    <n v="83"/>
    <n v="3"/>
    <n v="4"/>
    <x v="5"/>
    <x v="1"/>
    <s v="Single"/>
    <n v="16835"/>
    <n v="9873"/>
    <n v="3"/>
    <s v="Y"/>
    <x v="1"/>
    <n v="23"/>
    <n v="4"/>
    <n v="4"/>
    <n v="80"/>
    <n v="0"/>
    <n v="37"/>
    <n v="2"/>
    <n v="3"/>
    <n v="10"/>
    <n v="9"/>
    <n v="7"/>
    <n v="7"/>
    <x v="4"/>
    <x v="3"/>
    <s v="High"/>
    <x v="1"/>
    <s v="Outstanding"/>
    <s v="Better"/>
    <n v="0"/>
    <s v="10,001+"/>
    <s v="16+ miles"/>
    <s v="6–10 years"/>
  </r>
  <r>
    <n v="41"/>
    <x v="1"/>
    <s v="Non-Travel"/>
    <n v="267"/>
    <x v="0"/>
    <n v="10"/>
    <x v="0"/>
    <s v="Life Sciences"/>
    <n v="1"/>
    <n v="599"/>
    <n v="4"/>
    <s v="Male"/>
    <n v="56"/>
    <n v="3"/>
    <n v="2"/>
    <x v="0"/>
    <x v="0"/>
    <s v="Single"/>
    <n v="6230"/>
    <n v="13430"/>
    <n v="7"/>
    <s v="Y"/>
    <x v="1"/>
    <n v="14"/>
    <n v="3"/>
    <n v="4"/>
    <n v="80"/>
    <n v="0"/>
    <n v="16"/>
    <n v="3"/>
    <n v="3"/>
    <n v="14"/>
    <n v="3"/>
    <n v="1"/>
    <n v="10"/>
    <x v="0"/>
    <x v="2"/>
    <s v="High"/>
    <x v="0"/>
    <s v="Excellent"/>
    <s v="Better"/>
    <n v="0"/>
    <s v="6,001–10,000"/>
    <s v="6–10 miles"/>
    <s v="11+ years"/>
  </r>
  <r>
    <n v="35"/>
    <x v="1"/>
    <s v="Travel_Rarely"/>
    <n v="619"/>
    <x v="0"/>
    <n v="1"/>
    <x v="3"/>
    <s v="Marketing"/>
    <n v="1"/>
    <n v="600"/>
    <n v="2"/>
    <s v="Male"/>
    <n v="85"/>
    <n v="3"/>
    <n v="2"/>
    <x v="0"/>
    <x v="2"/>
    <s v="Married"/>
    <n v="4717"/>
    <n v="18659"/>
    <n v="9"/>
    <s v="Y"/>
    <x v="1"/>
    <n v="11"/>
    <n v="3"/>
    <n v="3"/>
    <n v="80"/>
    <n v="0"/>
    <n v="15"/>
    <n v="2"/>
    <n v="3"/>
    <n v="11"/>
    <n v="9"/>
    <n v="6"/>
    <n v="9"/>
    <x v="3"/>
    <x v="0"/>
    <s v="High"/>
    <x v="2"/>
    <s v="Excellent"/>
    <s v="Better"/>
    <n v="0"/>
    <s v="3,001–6,000"/>
    <s v="0–5 miles"/>
    <s v="11+ years"/>
  </r>
  <r>
    <n v="40"/>
    <x v="1"/>
    <s v="Travel_Rarely"/>
    <n v="302"/>
    <x v="1"/>
    <n v="6"/>
    <x v="3"/>
    <s v="Life Sciences"/>
    <n v="1"/>
    <n v="601"/>
    <n v="2"/>
    <s v="Female"/>
    <n v="75"/>
    <n v="3"/>
    <n v="4"/>
    <x v="3"/>
    <x v="2"/>
    <s v="Single"/>
    <n v="13237"/>
    <n v="20364"/>
    <n v="7"/>
    <s v="Y"/>
    <x v="1"/>
    <n v="15"/>
    <n v="3"/>
    <n v="3"/>
    <n v="80"/>
    <n v="0"/>
    <n v="22"/>
    <n v="3"/>
    <n v="3"/>
    <n v="20"/>
    <n v="6"/>
    <n v="5"/>
    <n v="13"/>
    <x v="3"/>
    <x v="0"/>
    <s v="High"/>
    <x v="2"/>
    <s v="Excellent"/>
    <s v="Better"/>
    <n v="0"/>
    <s v="10,001+"/>
    <s v="6–10 miles"/>
    <s v="11+ years"/>
  </r>
  <r>
    <n v="39"/>
    <x v="1"/>
    <s v="Travel_Frequently"/>
    <n v="443"/>
    <x v="1"/>
    <n v="8"/>
    <x v="1"/>
    <s v="Life Sciences"/>
    <n v="1"/>
    <n v="602"/>
    <n v="3"/>
    <s v="Female"/>
    <n v="48"/>
    <n v="3"/>
    <n v="1"/>
    <x v="2"/>
    <x v="2"/>
    <s v="Married"/>
    <n v="3755"/>
    <n v="17872"/>
    <n v="1"/>
    <s v="Y"/>
    <x v="1"/>
    <n v="11"/>
    <n v="3"/>
    <n v="1"/>
    <n v="80"/>
    <n v="1"/>
    <n v="8"/>
    <n v="3"/>
    <n v="3"/>
    <n v="8"/>
    <n v="3"/>
    <n v="0"/>
    <n v="7"/>
    <x v="1"/>
    <x v="1"/>
    <s v="High"/>
    <x v="2"/>
    <s v="Excellent"/>
    <s v="Better"/>
    <n v="0"/>
    <s v="3,001–6,000"/>
    <s v="6–10 miles"/>
    <s v="6–10 years"/>
  </r>
  <r>
    <n v="31"/>
    <x v="1"/>
    <s v="Travel_Rarely"/>
    <n v="828"/>
    <x v="0"/>
    <n v="2"/>
    <x v="1"/>
    <s v="Life Sciences"/>
    <n v="1"/>
    <n v="604"/>
    <n v="2"/>
    <s v="Male"/>
    <n v="77"/>
    <n v="3"/>
    <n v="2"/>
    <x v="0"/>
    <x v="0"/>
    <s v="Single"/>
    <n v="6582"/>
    <n v="8346"/>
    <n v="4"/>
    <s v="Y"/>
    <x v="0"/>
    <n v="13"/>
    <n v="3"/>
    <n v="3"/>
    <n v="80"/>
    <n v="0"/>
    <n v="10"/>
    <n v="2"/>
    <n v="4"/>
    <n v="6"/>
    <n v="5"/>
    <n v="0"/>
    <n v="5"/>
    <x v="1"/>
    <x v="0"/>
    <s v="High"/>
    <x v="0"/>
    <s v="Excellent"/>
    <s v="Best"/>
    <n v="0"/>
    <s v="6,001–10,000"/>
    <s v="0–5 miles"/>
    <s v="6–10 years"/>
  </r>
  <r>
    <n v="42"/>
    <x v="1"/>
    <s v="Travel_Rarely"/>
    <n v="319"/>
    <x v="1"/>
    <n v="24"/>
    <x v="3"/>
    <s v="Medical"/>
    <n v="1"/>
    <n v="605"/>
    <n v="4"/>
    <s v="Male"/>
    <n v="56"/>
    <n v="3"/>
    <n v="3"/>
    <x v="3"/>
    <x v="3"/>
    <s v="Married"/>
    <n v="7406"/>
    <n v="6950"/>
    <n v="1"/>
    <s v="Y"/>
    <x v="0"/>
    <n v="21"/>
    <n v="4"/>
    <n v="4"/>
    <n v="80"/>
    <n v="1"/>
    <n v="10"/>
    <n v="5"/>
    <n v="2"/>
    <n v="10"/>
    <n v="9"/>
    <n v="5"/>
    <n v="8"/>
    <x v="3"/>
    <x v="2"/>
    <s v="High"/>
    <x v="3"/>
    <s v="Outstanding"/>
    <s v="Good"/>
    <n v="0"/>
    <s v="6,001–10,000"/>
    <s v="16+ miles"/>
    <s v="6–10 years"/>
  </r>
  <r>
    <n v="45"/>
    <x v="1"/>
    <s v="Travel_Rarely"/>
    <n v="561"/>
    <x v="0"/>
    <n v="2"/>
    <x v="3"/>
    <s v="Other"/>
    <n v="1"/>
    <n v="606"/>
    <n v="4"/>
    <s v="Male"/>
    <n v="61"/>
    <n v="3"/>
    <n v="2"/>
    <x v="0"/>
    <x v="1"/>
    <s v="Married"/>
    <n v="4805"/>
    <n v="16177"/>
    <n v="0"/>
    <s v="Y"/>
    <x v="1"/>
    <n v="19"/>
    <n v="3"/>
    <n v="2"/>
    <n v="80"/>
    <n v="1"/>
    <n v="9"/>
    <n v="3"/>
    <n v="4"/>
    <n v="8"/>
    <n v="7"/>
    <n v="3"/>
    <n v="7"/>
    <x v="3"/>
    <x v="2"/>
    <s v="High"/>
    <x v="1"/>
    <s v="Excellent"/>
    <s v="Best"/>
    <n v="0"/>
    <s v="3,001–6,000"/>
    <s v="0–5 miles"/>
    <s v="6–10 years"/>
  </r>
  <r>
    <n v="26"/>
    <x v="0"/>
    <s v="Travel_Frequently"/>
    <n v="426"/>
    <x v="2"/>
    <n v="17"/>
    <x v="2"/>
    <s v="Life Sciences"/>
    <n v="1"/>
    <n v="608"/>
    <n v="2"/>
    <s v="Female"/>
    <n v="58"/>
    <n v="3"/>
    <n v="1"/>
    <x v="8"/>
    <x v="2"/>
    <s v="Divorced"/>
    <n v="2741"/>
    <n v="22808"/>
    <n v="0"/>
    <s v="Y"/>
    <x v="0"/>
    <n v="11"/>
    <n v="3"/>
    <n v="2"/>
    <n v="80"/>
    <n v="1"/>
    <n v="8"/>
    <n v="2"/>
    <n v="2"/>
    <n v="7"/>
    <n v="7"/>
    <n v="1"/>
    <n v="0"/>
    <x v="2"/>
    <x v="0"/>
    <s v="High"/>
    <x v="2"/>
    <s v="Excellent"/>
    <s v="Good"/>
    <n v="1"/>
    <s v="0–3,000"/>
    <s v="16+ miles"/>
    <s v="6–10 years"/>
  </r>
  <r>
    <n v="29"/>
    <x v="1"/>
    <s v="Travel_Rarely"/>
    <n v="232"/>
    <x v="1"/>
    <n v="19"/>
    <x v="3"/>
    <s v="Technical Degree"/>
    <n v="1"/>
    <n v="611"/>
    <n v="4"/>
    <s v="Male"/>
    <n v="34"/>
    <n v="3"/>
    <n v="2"/>
    <x v="3"/>
    <x v="0"/>
    <s v="Divorced"/>
    <n v="4262"/>
    <n v="22645"/>
    <n v="4"/>
    <s v="Y"/>
    <x v="1"/>
    <n v="12"/>
    <n v="3"/>
    <n v="2"/>
    <n v="80"/>
    <n v="2"/>
    <n v="8"/>
    <n v="2"/>
    <n v="4"/>
    <n v="3"/>
    <n v="2"/>
    <n v="1"/>
    <n v="2"/>
    <x v="3"/>
    <x v="2"/>
    <s v="High"/>
    <x v="0"/>
    <s v="Excellent"/>
    <s v="Best"/>
    <n v="0"/>
    <s v="3,001–6,000"/>
    <s v="16+ miles"/>
    <s v="2–5 years"/>
  </r>
  <r>
    <n v="33"/>
    <x v="1"/>
    <s v="Travel_Rarely"/>
    <n v="922"/>
    <x v="1"/>
    <n v="1"/>
    <x v="4"/>
    <s v="Medical"/>
    <n v="1"/>
    <n v="612"/>
    <n v="1"/>
    <s v="Female"/>
    <n v="95"/>
    <n v="4"/>
    <n v="4"/>
    <x v="7"/>
    <x v="2"/>
    <s v="Divorced"/>
    <n v="16184"/>
    <n v="22578"/>
    <n v="4"/>
    <s v="Y"/>
    <x v="1"/>
    <n v="19"/>
    <n v="3"/>
    <n v="3"/>
    <n v="80"/>
    <n v="1"/>
    <n v="10"/>
    <n v="2"/>
    <n v="3"/>
    <n v="6"/>
    <n v="1"/>
    <n v="0"/>
    <n v="5"/>
    <x v="4"/>
    <x v="3"/>
    <s v="Very High"/>
    <x v="2"/>
    <s v="Excellent"/>
    <s v="Better"/>
    <n v="0"/>
    <s v="10,001+"/>
    <s v="0–5 miles"/>
    <s v="6–10 years"/>
  </r>
  <r>
    <n v="31"/>
    <x v="1"/>
    <s v="Travel_Rarely"/>
    <n v="688"/>
    <x v="0"/>
    <n v="7"/>
    <x v="3"/>
    <s v="Life Sciences"/>
    <n v="1"/>
    <n v="613"/>
    <n v="3"/>
    <s v="Male"/>
    <n v="44"/>
    <n v="2"/>
    <n v="3"/>
    <x v="5"/>
    <x v="0"/>
    <s v="Divorced"/>
    <n v="11557"/>
    <n v="25291"/>
    <n v="9"/>
    <s v="Y"/>
    <x v="1"/>
    <n v="21"/>
    <n v="4"/>
    <n v="3"/>
    <n v="80"/>
    <n v="1"/>
    <n v="10"/>
    <n v="3"/>
    <n v="2"/>
    <n v="5"/>
    <n v="4"/>
    <n v="0"/>
    <n v="1"/>
    <x v="3"/>
    <x v="1"/>
    <s v="Medium"/>
    <x v="0"/>
    <s v="Outstanding"/>
    <s v="Good"/>
    <n v="0"/>
    <s v="10,001+"/>
    <s v="6–10 miles"/>
    <s v="2–5 years"/>
  </r>
  <r>
    <n v="18"/>
    <x v="0"/>
    <s v="Travel_Frequently"/>
    <n v="1306"/>
    <x v="0"/>
    <n v="5"/>
    <x v="3"/>
    <s v="Marketing"/>
    <n v="1"/>
    <n v="614"/>
    <n v="2"/>
    <s v="Male"/>
    <n v="69"/>
    <n v="3"/>
    <n v="1"/>
    <x v="6"/>
    <x v="1"/>
    <s v="Single"/>
    <n v="1878"/>
    <n v="8059"/>
    <n v="1"/>
    <s v="Y"/>
    <x v="0"/>
    <n v="14"/>
    <n v="3"/>
    <n v="4"/>
    <n v="80"/>
    <n v="0"/>
    <n v="0"/>
    <n v="3"/>
    <n v="3"/>
    <n v="0"/>
    <n v="0"/>
    <n v="0"/>
    <n v="0"/>
    <x v="3"/>
    <x v="0"/>
    <s v="High"/>
    <x v="1"/>
    <s v="Excellent"/>
    <s v="Better"/>
    <n v="1"/>
    <s v="0–3,000"/>
    <s v="0–5 miles"/>
    <s v="0–1 years"/>
  </r>
  <r>
    <n v="40"/>
    <x v="1"/>
    <s v="Non-Travel"/>
    <n v="1094"/>
    <x v="0"/>
    <n v="28"/>
    <x v="3"/>
    <s v="Other"/>
    <n v="1"/>
    <n v="615"/>
    <n v="3"/>
    <s v="Male"/>
    <n v="58"/>
    <n v="1"/>
    <n v="3"/>
    <x v="0"/>
    <x v="3"/>
    <s v="Divorced"/>
    <n v="10932"/>
    <n v="11373"/>
    <n v="3"/>
    <s v="Y"/>
    <x v="1"/>
    <n v="15"/>
    <n v="3"/>
    <n v="3"/>
    <n v="80"/>
    <n v="1"/>
    <n v="20"/>
    <n v="2"/>
    <n v="3"/>
    <n v="1"/>
    <n v="0"/>
    <n v="0"/>
    <n v="1"/>
    <x v="3"/>
    <x v="1"/>
    <s v="Low"/>
    <x v="3"/>
    <s v="Excellent"/>
    <s v="Better"/>
    <n v="0"/>
    <s v="10,001+"/>
    <s v="16+ miles"/>
    <s v="0–1 years"/>
  </r>
  <r>
    <n v="41"/>
    <x v="1"/>
    <s v="Non-Travel"/>
    <n v="509"/>
    <x v="1"/>
    <n v="2"/>
    <x v="2"/>
    <s v="Other"/>
    <n v="1"/>
    <n v="616"/>
    <n v="1"/>
    <s v="Female"/>
    <n v="62"/>
    <n v="2"/>
    <n v="2"/>
    <x v="4"/>
    <x v="2"/>
    <s v="Single"/>
    <n v="6811"/>
    <n v="2112"/>
    <n v="2"/>
    <s v="Y"/>
    <x v="0"/>
    <n v="17"/>
    <n v="3"/>
    <n v="1"/>
    <n v="80"/>
    <n v="0"/>
    <n v="10"/>
    <n v="3"/>
    <n v="3"/>
    <n v="8"/>
    <n v="7"/>
    <n v="0"/>
    <n v="7"/>
    <x v="2"/>
    <x v="3"/>
    <s v="Medium"/>
    <x v="2"/>
    <s v="Excellent"/>
    <s v="Better"/>
    <n v="0"/>
    <s v="6,001–10,000"/>
    <s v="0–5 miles"/>
    <s v="6–10 years"/>
  </r>
  <r>
    <n v="26"/>
    <x v="1"/>
    <s v="Travel_Rarely"/>
    <n v="775"/>
    <x v="0"/>
    <n v="29"/>
    <x v="0"/>
    <s v="Medical"/>
    <n v="1"/>
    <n v="618"/>
    <n v="1"/>
    <s v="Male"/>
    <n v="45"/>
    <n v="3"/>
    <n v="2"/>
    <x v="0"/>
    <x v="2"/>
    <s v="Divorced"/>
    <n v="4306"/>
    <n v="4267"/>
    <n v="5"/>
    <s v="Y"/>
    <x v="1"/>
    <n v="12"/>
    <n v="3"/>
    <n v="1"/>
    <n v="80"/>
    <n v="2"/>
    <n v="8"/>
    <n v="5"/>
    <n v="3"/>
    <n v="0"/>
    <n v="0"/>
    <n v="0"/>
    <n v="0"/>
    <x v="0"/>
    <x v="3"/>
    <s v="High"/>
    <x v="2"/>
    <s v="Excellent"/>
    <s v="Better"/>
    <n v="0"/>
    <s v="3,001–6,000"/>
    <s v="16+ miles"/>
    <s v="0–1 years"/>
  </r>
  <r>
    <n v="35"/>
    <x v="1"/>
    <s v="Travel_Rarely"/>
    <n v="195"/>
    <x v="0"/>
    <n v="1"/>
    <x v="3"/>
    <s v="Medical"/>
    <n v="1"/>
    <n v="620"/>
    <n v="1"/>
    <s v="Female"/>
    <n v="80"/>
    <n v="3"/>
    <n v="2"/>
    <x v="0"/>
    <x v="2"/>
    <s v="Single"/>
    <n v="4859"/>
    <n v="6698"/>
    <n v="1"/>
    <s v="Y"/>
    <x v="1"/>
    <n v="16"/>
    <n v="3"/>
    <n v="4"/>
    <n v="80"/>
    <n v="0"/>
    <n v="5"/>
    <n v="3"/>
    <n v="3"/>
    <n v="5"/>
    <n v="4"/>
    <n v="0"/>
    <n v="3"/>
    <x v="3"/>
    <x v="3"/>
    <s v="High"/>
    <x v="2"/>
    <s v="Excellent"/>
    <s v="Better"/>
    <n v="0"/>
    <s v="3,001–6,000"/>
    <s v="0–5 miles"/>
    <s v="2–5 years"/>
  </r>
  <r>
    <n v="34"/>
    <x v="1"/>
    <s v="Travel_Rarely"/>
    <n v="258"/>
    <x v="0"/>
    <n v="21"/>
    <x v="2"/>
    <s v="Life Sciences"/>
    <n v="1"/>
    <n v="621"/>
    <n v="4"/>
    <s v="Male"/>
    <n v="74"/>
    <n v="4"/>
    <n v="2"/>
    <x v="0"/>
    <x v="0"/>
    <s v="Single"/>
    <n v="5337"/>
    <n v="19921"/>
    <n v="1"/>
    <s v="Y"/>
    <x v="1"/>
    <n v="12"/>
    <n v="3"/>
    <n v="4"/>
    <n v="80"/>
    <n v="0"/>
    <n v="10"/>
    <n v="3"/>
    <n v="3"/>
    <n v="10"/>
    <n v="7"/>
    <n v="5"/>
    <n v="7"/>
    <x v="2"/>
    <x v="2"/>
    <s v="Very High"/>
    <x v="0"/>
    <s v="Excellent"/>
    <s v="Better"/>
    <n v="0"/>
    <s v="3,001–6,000"/>
    <s v="16+ miles"/>
    <s v="6–10 years"/>
  </r>
  <r>
    <n v="26"/>
    <x v="0"/>
    <s v="Travel_Rarely"/>
    <n v="471"/>
    <x v="1"/>
    <n v="24"/>
    <x v="3"/>
    <s v="Technical Degree"/>
    <n v="1"/>
    <n v="622"/>
    <n v="3"/>
    <s v="Male"/>
    <n v="66"/>
    <n v="1"/>
    <n v="1"/>
    <x v="2"/>
    <x v="0"/>
    <s v="Single"/>
    <n v="2340"/>
    <n v="23213"/>
    <n v="1"/>
    <s v="Y"/>
    <x v="0"/>
    <n v="18"/>
    <n v="3"/>
    <n v="2"/>
    <n v="80"/>
    <n v="0"/>
    <n v="1"/>
    <n v="3"/>
    <n v="1"/>
    <n v="1"/>
    <n v="0"/>
    <n v="0"/>
    <n v="0"/>
    <x v="3"/>
    <x v="1"/>
    <s v="Low"/>
    <x v="0"/>
    <s v="Excellent"/>
    <s v="Bad"/>
    <n v="1"/>
    <s v="0–3,000"/>
    <s v="16+ miles"/>
    <s v="0–1 years"/>
  </r>
  <r>
    <n v="37"/>
    <x v="1"/>
    <s v="Travel_Rarely"/>
    <n v="799"/>
    <x v="1"/>
    <n v="1"/>
    <x v="3"/>
    <s v="Technical Degree"/>
    <n v="1"/>
    <n v="623"/>
    <n v="2"/>
    <s v="Female"/>
    <n v="59"/>
    <n v="3"/>
    <n v="3"/>
    <x v="3"/>
    <x v="0"/>
    <s v="Single"/>
    <n v="7491"/>
    <n v="23848"/>
    <n v="4"/>
    <s v="Y"/>
    <x v="1"/>
    <n v="17"/>
    <n v="3"/>
    <n v="4"/>
    <n v="80"/>
    <n v="0"/>
    <n v="12"/>
    <n v="3"/>
    <n v="4"/>
    <n v="6"/>
    <n v="5"/>
    <n v="1"/>
    <n v="2"/>
    <x v="3"/>
    <x v="0"/>
    <s v="High"/>
    <x v="0"/>
    <s v="Excellent"/>
    <s v="Best"/>
    <n v="0"/>
    <s v="6,001–10,000"/>
    <s v="0–5 miles"/>
    <s v="6–10 years"/>
  </r>
  <r>
    <n v="46"/>
    <x v="1"/>
    <s v="Travel_Frequently"/>
    <n v="1034"/>
    <x v="1"/>
    <n v="18"/>
    <x v="1"/>
    <s v="Medical"/>
    <n v="1"/>
    <n v="624"/>
    <n v="1"/>
    <s v="Female"/>
    <n v="86"/>
    <n v="3"/>
    <n v="3"/>
    <x v="4"/>
    <x v="2"/>
    <s v="Married"/>
    <n v="10527"/>
    <n v="8984"/>
    <n v="5"/>
    <s v="Y"/>
    <x v="1"/>
    <n v="11"/>
    <n v="3"/>
    <n v="4"/>
    <n v="80"/>
    <n v="0"/>
    <n v="28"/>
    <n v="3"/>
    <n v="2"/>
    <n v="2"/>
    <n v="2"/>
    <n v="1"/>
    <n v="2"/>
    <x v="1"/>
    <x v="3"/>
    <s v="High"/>
    <x v="2"/>
    <s v="Excellent"/>
    <s v="Good"/>
    <n v="0"/>
    <s v="10,001+"/>
    <s v="16+ miles"/>
    <s v="2–5 years"/>
  </r>
  <r>
    <n v="41"/>
    <x v="1"/>
    <s v="Travel_Rarely"/>
    <n v="1276"/>
    <x v="0"/>
    <n v="2"/>
    <x v="4"/>
    <s v="Life Sciences"/>
    <n v="1"/>
    <n v="625"/>
    <n v="2"/>
    <s v="Female"/>
    <n v="91"/>
    <n v="3"/>
    <n v="4"/>
    <x v="5"/>
    <x v="3"/>
    <s v="Married"/>
    <n v="16595"/>
    <n v="5626"/>
    <n v="7"/>
    <s v="Y"/>
    <x v="1"/>
    <n v="16"/>
    <n v="3"/>
    <n v="2"/>
    <n v="80"/>
    <n v="1"/>
    <n v="22"/>
    <n v="2"/>
    <n v="3"/>
    <n v="18"/>
    <n v="16"/>
    <n v="11"/>
    <n v="8"/>
    <x v="4"/>
    <x v="0"/>
    <s v="High"/>
    <x v="3"/>
    <s v="Excellent"/>
    <s v="Better"/>
    <n v="0"/>
    <s v="10,001+"/>
    <s v="0–5 miles"/>
    <s v="11+ years"/>
  </r>
  <r>
    <n v="37"/>
    <x v="1"/>
    <s v="Non-Travel"/>
    <n v="142"/>
    <x v="0"/>
    <n v="9"/>
    <x v="2"/>
    <s v="Medical"/>
    <n v="1"/>
    <n v="626"/>
    <n v="1"/>
    <s v="Male"/>
    <n v="69"/>
    <n v="3"/>
    <n v="3"/>
    <x v="0"/>
    <x v="1"/>
    <s v="Divorced"/>
    <n v="8834"/>
    <n v="24666"/>
    <n v="1"/>
    <s v="Y"/>
    <x v="1"/>
    <n v="13"/>
    <n v="3"/>
    <n v="4"/>
    <n v="80"/>
    <n v="1"/>
    <n v="9"/>
    <n v="6"/>
    <n v="3"/>
    <n v="9"/>
    <n v="5"/>
    <n v="7"/>
    <n v="7"/>
    <x v="2"/>
    <x v="3"/>
    <s v="High"/>
    <x v="1"/>
    <s v="Excellent"/>
    <s v="Better"/>
    <n v="0"/>
    <s v="6,001–10,000"/>
    <s v="6–10 miles"/>
    <s v="6–10 years"/>
  </r>
  <r>
    <n v="52"/>
    <x v="1"/>
    <s v="Travel_Rarely"/>
    <n v="956"/>
    <x v="1"/>
    <n v="6"/>
    <x v="0"/>
    <s v="Technical Degree"/>
    <n v="1"/>
    <n v="630"/>
    <n v="4"/>
    <s v="Male"/>
    <n v="78"/>
    <n v="3"/>
    <n v="2"/>
    <x v="1"/>
    <x v="3"/>
    <s v="Divorced"/>
    <n v="5577"/>
    <n v="22087"/>
    <n v="3"/>
    <s v="Y"/>
    <x v="0"/>
    <n v="12"/>
    <n v="3"/>
    <n v="2"/>
    <n v="80"/>
    <n v="2"/>
    <n v="18"/>
    <n v="3"/>
    <n v="3"/>
    <n v="10"/>
    <n v="9"/>
    <n v="6"/>
    <n v="9"/>
    <x v="0"/>
    <x v="2"/>
    <s v="High"/>
    <x v="3"/>
    <s v="Excellent"/>
    <s v="Better"/>
    <n v="0"/>
    <s v="3,001–6,000"/>
    <s v="6–10 miles"/>
    <s v="6–10 years"/>
  </r>
  <r>
    <n v="32"/>
    <x v="0"/>
    <s v="Non-Travel"/>
    <n v="1474"/>
    <x v="0"/>
    <n v="11"/>
    <x v="2"/>
    <s v="Other"/>
    <n v="1"/>
    <n v="631"/>
    <n v="4"/>
    <s v="Male"/>
    <n v="60"/>
    <n v="4"/>
    <n v="2"/>
    <x v="0"/>
    <x v="2"/>
    <s v="Married"/>
    <n v="4707"/>
    <n v="23914"/>
    <n v="8"/>
    <s v="Y"/>
    <x v="1"/>
    <n v="12"/>
    <n v="3"/>
    <n v="4"/>
    <n v="80"/>
    <n v="0"/>
    <n v="6"/>
    <n v="2"/>
    <n v="3"/>
    <n v="4"/>
    <n v="2"/>
    <n v="1"/>
    <n v="2"/>
    <x v="2"/>
    <x v="2"/>
    <s v="Very High"/>
    <x v="2"/>
    <s v="Excellent"/>
    <s v="Better"/>
    <n v="1"/>
    <s v="3,001–6,000"/>
    <s v="11–15 miles"/>
    <s v="2–5 years"/>
  </r>
  <r>
    <n v="24"/>
    <x v="1"/>
    <s v="Travel_Frequently"/>
    <n v="535"/>
    <x v="0"/>
    <n v="24"/>
    <x v="3"/>
    <s v="Medical"/>
    <n v="1"/>
    <n v="632"/>
    <n v="4"/>
    <s v="Male"/>
    <n v="38"/>
    <n v="3"/>
    <n v="1"/>
    <x v="6"/>
    <x v="0"/>
    <s v="Married"/>
    <n v="2400"/>
    <n v="5530"/>
    <n v="0"/>
    <s v="Y"/>
    <x v="1"/>
    <n v="13"/>
    <n v="3"/>
    <n v="3"/>
    <n v="80"/>
    <n v="2"/>
    <n v="3"/>
    <n v="3"/>
    <n v="3"/>
    <n v="2"/>
    <n v="2"/>
    <n v="2"/>
    <n v="1"/>
    <x v="3"/>
    <x v="2"/>
    <s v="High"/>
    <x v="0"/>
    <s v="Excellent"/>
    <s v="Better"/>
    <n v="0"/>
    <s v="0–3,000"/>
    <s v="16+ miles"/>
    <s v="2–5 years"/>
  </r>
  <r>
    <n v="38"/>
    <x v="1"/>
    <s v="Travel_Rarely"/>
    <n v="1495"/>
    <x v="1"/>
    <n v="10"/>
    <x v="3"/>
    <s v="Medical"/>
    <n v="1"/>
    <n v="634"/>
    <n v="3"/>
    <s v="Female"/>
    <n v="76"/>
    <n v="3"/>
    <n v="2"/>
    <x v="4"/>
    <x v="2"/>
    <s v="Married"/>
    <n v="9824"/>
    <n v="22174"/>
    <n v="3"/>
    <s v="Y"/>
    <x v="1"/>
    <n v="19"/>
    <n v="3"/>
    <n v="3"/>
    <n v="80"/>
    <n v="1"/>
    <n v="18"/>
    <n v="4"/>
    <n v="3"/>
    <n v="1"/>
    <n v="0"/>
    <n v="0"/>
    <n v="0"/>
    <x v="3"/>
    <x v="1"/>
    <s v="High"/>
    <x v="2"/>
    <s v="Excellent"/>
    <s v="Better"/>
    <n v="0"/>
    <s v="6,001–10,000"/>
    <s v="6–10 miles"/>
    <s v="0–1 years"/>
  </r>
  <r>
    <n v="37"/>
    <x v="1"/>
    <s v="Travel_Rarely"/>
    <n v="446"/>
    <x v="1"/>
    <n v="1"/>
    <x v="2"/>
    <s v="Life Sciences"/>
    <n v="1"/>
    <n v="635"/>
    <n v="2"/>
    <s v="Female"/>
    <n v="65"/>
    <n v="3"/>
    <n v="2"/>
    <x v="3"/>
    <x v="1"/>
    <s v="Married"/>
    <n v="6447"/>
    <n v="15701"/>
    <n v="6"/>
    <s v="Y"/>
    <x v="1"/>
    <n v="12"/>
    <n v="3"/>
    <n v="2"/>
    <n v="80"/>
    <n v="1"/>
    <n v="8"/>
    <n v="2"/>
    <n v="2"/>
    <n v="6"/>
    <n v="5"/>
    <n v="4"/>
    <n v="3"/>
    <x v="2"/>
    <x v="0"/>
    <s v="High"/>
    <x v="1"/>
    <s v="Excellent"/>
    <s v="Good"/>
    <n v="0"/>
    <s v="6,001–10,000"/>
    <s v="0–5 miles"/>
    <s v="6–10 years"/>
  </r>
  <r>
    <n v="49"/>
    <x v="1"/>
    <s v="Travel_Rarely"/>
    <n v="1245"/>
    <x v="1"/>
    <n v="18"/>
    <x v="2"/>
    <s v="Life Sciences"/>
    <n v="1"/>
    <n v="638"/>
    <n v="4"/>
    <s v="Male"/>
    <n v="58"/>
    <n v="2"/>
    <n v="5"/>
    <x v="7"/>
    <x v="2"/>
    <s v="Divorced"/>
    <n v="19502"/>
    <n v="2125"/>
    <n v="1"/>
    <s v="Y"/>
    <x v="0"/>
    <n v="17"/>
    <n v="3"/>
    <n v="3"/>
    <n v="80"/>
    <n v="1"/>
    <n v="31"/>
    <n v="5"/>
    <n v="3"/>
    <n v="31"/>
    <n v="9"/>
    <n v="0"/>
    <n v="9"/>
    <x v="2"/>
    <x v="2"/>
    <s v="Medium"/>
    <x v="2"/>
    <s v="Excellent"/>
    <s v="Better"/>
    <n v="0"/>
    <s v="10,001+"/>
    <s v="16+ miles"/>
    <s v="11+ years"/>
  </r>
  <r>
    <n v="24"/>
    <x v="1"/>
    <s v="Travel_Rarely"/>
    <n v="691"/>
    <x v="1"/>
    <n v="23"/>
    <x v="3"/>
    <s v="Medical"/>
    <n v="1"/>
    <n v="639"/>
    <n v="2"/>
    <s v="Male"/>
    <n v="89"/>
    <n v="4"/>
    <n v="1"/>
    <x v="1"/>
    <x v="0"/>
    <s v="Married"/>
    <n v="2725"/>
    <n v="21630"/>
    <n v="1"/>
    <s v="Y"/>
    <x v="0"/>
    <n v="11"/>
    <n v="3"/>
    <n v="2"/>
    <n v="80"/>
    <n v="2"/>
    <n v="6"/>
    <n v="3"/>
    <n v="3"/>
    <n v="6"/>
    <n v="5"/>
    <n v="1"/>
    <n v="4"/>
    <x v="3"/>
    <x v="0"/>
    <s v="Very High"/>
    <x v="0"/>
    <s v="Excellent"/>
    <s v="Better"/>
    <n v="0"/>
    <s v="0–3,000"/>
    <s v="16+ miles"/>
    <s v="6–10 years"/>
  </r>
  <r>
    <n v="26"/>
    <x v="1"/>
    <s v="Travel_Rarely"/>
    <n v="703"/>
    <x v="0"/>
    <n v="28"/>
    <x v="0"/>
    <s v="Marketing"/>
    <n v="1"/>
    <n v="641"/>
    <n v="1"/>
    <s v="Male"/>
    <n v="66"/>
    <n v="3"/>
    <n v="2"/>
    <x v="0"/>
    <x v="1"/>
    <s v="Married"/>
    <n v="6272"/>
    <n v="7428"/>
    <n v="1"/>
    <s v="Y"/>
    <x v="1"/>
    <n v="20"/>
    <n v="4"/>
    <n v="4"/>
    <n v="80"/>
    <n v="2"/>
    <n v="6"/>
    <n v="5"/>
    <n v="4"/>
    <n v="5"/>
    <n v="3"/>
    <n v="1"/>
    <n v="4"/>
    <x v="0"/>
    <x v="3"/>
    <s v="High"/>
    <x v="1"/>
    <s v="Outstanding"/>
    <s v="Best"/>
    <n v="0"/>
    <s v="6,001–10,000"/>
    <s v="16+ miles"/>
    <s v="2–5 years"/>
  </r>
  <r>
    <n v="24"/>
    <x v="1"/>
    <s v="Travel_Rarely"/>
    <n v="823"/>
    <x v="1"/>
    <n v="17"/>
    <x v="0"/>
    <s v="Other"/>
    <n v="1"/>
    <n v="643"/>
    <n v="4"/>
    <s v="Male"/>
    <n v="94"/>
    <n v="2"/>
    <n v="1"/>
    <x v="2"/>
    <x v="1"/>
    <s v="Married"/>
    <n v="2127"/>
    <n v="9100"/>
    <n v="1"/>
    <s v="Y"/>
    <x v="1"/>
    <n v="21"/>
    <n v="4"/>
    <n v="4"/>
    <n v="80"/>
    <n v="1"/>
    <n v="1"/>
    <n v="2"/>
    <n v="3"/>
    <n v="1"/>
    <n v="0"/>
    <n v="0"/>
    <n v="0"/>
    <x v="0"/>
    <x v="2"/>
    <s v="Medium"/>
    <x v="1"/>
    <s v="Outstanding"/>
    <s v="Better"/>
    <n v="0"/>
    <s v="0–3,000"/>
    <s v="16+ miles"/>
    <s v="0–1 years"/>
  </r>
  <r>
    <n v="50"/>
    <x v="1"/>
    <s v="Travel_Frequently"/>
    <n v="1246"/>
    <x v="2"/>
    <n v="3"/>
    <x v="3"/>
    <s v="Medical"/>
    <n v="1"/>
    <n v="644"/>
    <n v="1"/>
    <s v="Male"/>
    <n v="99"/>
    <n v="3"/>
    <n v="5"/>
    <x v="5"/>
    <x v="1"/>
    <s v="Married"/>
    <n v="18200"/>
    <n v="7999"/>
    <n v="1"/>
    <s v="Y"/>
    <x v="1"/>
    <n v="11"/>
    <n v="3"/>
    <n v="3"/>
    <n v="80"/>
    <n v="1"/>
    <n v="32"/>
    <n v="2"/>
    <n v="3"/>
    <n v="32"/>
    <n v="5"/>
    <n v="10"/>
    <n v="7"/>
    <x v="3"/>
    <x v="3"/>
    <s v="High"/>
    <x v="1"/>
    <s v="Excellent"/>
    <s v="Better"/>
    <n v="0"/>
    <s v="10,001+"/>
    <s v="0–5 miles"/>
    <s v="11+ years"/>
  </r>
  <r>
    <n v="25"/>
    <x v="1"/>
    <s v="Travel_Rarely"/>
    <n v="622"/>
    <x v="0"/>
    <n v="13"/>
    <x v="1"/>
    <s v="Medical"/>
    <n v="1"/>
    <n v="645"/>
    <n v="2"/>
    <s v="Male"/>
    <n v="40"/>
    <n v="3"/>
    <n v="1"/>
    <x v="6"/>
    <x v="2"/>
    <s v="Married"/>
    <n v="2096"/>
    <n v="26376"/>
    <n v="1"/>
    <s v="Y"/>
    <x v="1"/>
    <n v="11"/>
    <n v="3"/>
    <n v="3"/>
    <n v="80"/>
    <n v="0"/>
    <n v="7"/>
    <n v="1"/>
    <n v="3"/>
    <n v="7"/>
    <n v="4"/>
    <n v="0"/>
    <n v="6"/>
    <x v="1"/>
    <x v="0"/>
    <s v="High"/>
    <x v="2"/>
    <s v="Excellent"/>
    <s v="Better"/>
    <n v="0"/>
    <s v="0–3,000"/>
    <s v="11–15 miles"/>
    <s v="6–10 years"/>
  </r>
  <r>
    <n v="24"/>
    <x v="0"/>
    <s v="Travel_Frequently"/>
    <n v="1287"/>
    <x v="1"/>
    <n v="7"/>
    <x v="3"/>
    <s v="Life Sciences"/>
    <n v="1"/>
    <n v="647"/>
    <n v="1"/>
    <s v="Female"/>
    <n v="55"/>
    <n v="3"/>
    <n v="1"/>
    <x v="2"/>
    <x v="2"/>
    <s v="Married"/>
    <n v="2886"/>
    <n v="14168"/>
    <n v="1"/>
    <s v="Y"/>
    <x v="0"/>
    <n v="16"/>
    <n v="3"/>
    <n v="4"/>
    <n v="80"/>
    <n v="1"/>
    <n v="6"/>
    <n v="4"/>
    <n v="3"/>
    <n v="6"/>
    <n v="3"/>
    <n v="1"/>
    <n v="2"/>
    <x v="3"/>
    <x v="3"/>
    <s v="High"/>
    <x v="2"/>
    <s v="Excellent"/>
    <s v="Better"/>
    <n v="1"/>
    <s v="0–3,000"/>
    <s v="6–10 miles"/>
    <s v="6–10 years"/>
  </r>
  <r>
    <n v="30"/>
    <x v="0"/>
    <s v="Travel_Frequently"/>
    <n v="448"/>
    <x v="0"/>
    <n v="12"/>
    <x v="2"/>
    <s v="Life Sciences"/>
    <n v="1"/>
    <n v="648"/>
    <n v="2"/>
    <s v="Male"/>
    <n v="74"/>
    <n v="2"/>
    <n v="1"/>
    <x v="6"/>
    <x v="3"/>
    <s v="Married"/>
    <n v="2033"/>
    <n v="14470"/>
    <n v="1"/>
    <s v="Y"/>
    <x v="1"/>
    <n v="18"/>
    <n v="3"/>
    <n v="3"/>
    <n v="80"/>
    <n v="1"/>
    <n v="1"/>
    <n v="2"/>
    <n v="4"/>
    <n v="1"/>
    <n v="0"/>
    <n v="0"/>
    <n v="0"/>
    <x v="2"/>
    <x v="0"/>
    <s v="Medium"/>
    <x v="3"/>
    <s v="Excellent"/>
    <s v="Best"/>
    <n v="1"/>
    <s v="0–3,000"/>
    <s v="11–15 miles"/>
    <s v="0–1 years"/>
  </r>
  <r>
    <n v="34"/>
    <x v="1"/>
    <s v="Travel_Rarely"/>
    <n v="254"/>
    <x v="1"/>
    <n v="1"/>
    <x v="0"/>
    <s v="Life Sciences"/>
    <n v="1"/>
    <n v="649"/>
    <n v="2"/>
    <s v="Male"/>
    <n v="83"/>
    <n v="2"/>
    <n v="1"/>
    <x v="1"/>
    <x v="0"/>
    <s v="Married"/>
    <n v="3622"/>
    <n v="22794"/>
    <n v="1"/>
    <s v="Y"/>
    <x v="0"/>
    <n v="13"/>
    <n v="3"/>
    <n v="4"/>
    <n v="80"/>
    <n v="1"/>
    <n v="6"/>
    <n v="3"/>
    <n v="3"/>
    <n v="6"/>
    <n v="5"/>
    <n v="1"/>
    <n v="3"/>
    <x v="0"/>
    <x v="0"/>
    <s v="Medium"/>
    <x v="0"/>
    <s v="Excellent"/>
    <s v="Better"/>
    <n v="0"/>
    <s v="3,001–6,000"/>
    <s v="0–5 miles"/>
    <s v="6–10 years"/>
  </r>
  <r>
    <n v="31"/>
    <x v="0"/>
    <s v="Travel_Rarely"/>
    <n v="1365"/>
    <x v="0"/>
    <n v="13"/>
    <x v="2"/>
    <s v="Medical"/>
    <n v="1"/>
    <n v="650"/>
    <n v="2"/>
    <s v="Male"/>
    <n v="46"/>
    <n v="3"/>
    <n v="2"/>
    <x v="0"/>
    <x v="3"/>
    <s v="Divorced"/>
    <n v="4233"/>
    <n v="11512"/>
    <n v="2"/>
    <s v="Y"/>
    <x v="1"/>
    <n v="17"/>
    <n v="3"/>
    <n v="3"/>
    <n v="80"/>
    <n v="0"/>
    <n v="9"/>
    <n v="2"/>
    <n v="1"/>
    <n v="3"/>
    <n v="1"/>
    <n v="1"/>
    <n v="2"/>
    <x v="2"/>
    <x v="0"/>
    <s v="High"/>
    <x v="3"/>
    <s v="Excellent"/>
    <s v="Bad"/>
    <n v="1"/>
    <s v="3,001–6,000"/>
    <s v="11–15 miles"/>
    <s v="2–5 years"/>
  </r>
  <r>
    <n v="35"/>
    <x v="1"/>
    <s v="Travel_Rarely"/>
    <n v="538"/>
    <x v="1"/>
    <n v="25"/>
    <x v="0"/>
    <s v="Other"/>
    <n v="1"/>
    <n v="652"/>
    <n v="1"/>
    <s v="Male"/>
    <n v="54"/>
    <n v="2"/>
    <n v="2"/>
    <x v="2"/>
    <x v="0"/>
    <s v="Single"/>
    <n v="3681"/>
    <n v="14004"/>
    <n v="4"/>
    <s v="Y"/>
    <x v="1"/>
    <n v="14"/>
    <n v="3"/>
    <n v="4"/>
    <n v="80"/>
    <n v="0"/>
    <n v="9"/>
    <n v="3"/>
    <n v="3"/>
    <n v="3"/>
    <n v="2"/>
    <n v="0"/>
    <n v="2"/>
    <x v="0"/>
    <x v="3"/>
    <s v="Medium"/>
    <x v="0"/>
    <s v="Excellent"/>
    <s v="Better"/>
    <n v="0"/>
    <s v="3,001–6,000"/>
    <s v="16+ miles"/>
    <s v="2–5 years"/>
  </r>
  <r>
    <n v="31"/>
    <x v="1"/>
    <s v="Travel_Rarely"/>
    <n v="525"/>
    <x v="0"/>
    <n v="6"/>
    <x v="2"/>
    <s v="Medical"/>
    <n v="1"/>
    <n v="653"/>
    <n v="1"/>
    <s v="Male"/>
    <n v="66"/>
    <n v="4"/>
    <n v="2"/>
    <x v="0"/>
    <x v="0"/>
    <s v="Divorced"/>
    <n v="5460"/>
    <n v="6219"/>
    <n v="4"/>
    <s v="Y"/>
    <x v="1"/>
    <n v="22"/>
    <n v="4"/>
    <n v="4"/>
    <n v="80"/>
    <n v="2"/>
    <n v="13"/>
    <n v="4"/>
    <n v="4"/>
    <n v="7"/>
    <n v="7"/>
    <n v="5"/>
    <n v="7"/>
    <x v="2"/>
    <x v="3"/>
    <s v="Very High"/>
    <x v="0"/>
    <s v="Outstanding"/>
    <s v="Best"/>
    <n v="0"/>
    <s v="3,001–6,000"/>
    <s v="6–10 miles"/>
    <s v="6–10 years"/>
  </r>
  <r>
    <n v="27"/>
    <x v="1"/>
    <s v="Travel_Rarely"/>
    <n v="798"/>
    <x v="1"/>
    <n v="6"/>
    <x v="2"/>
    <s v="Medical"/>
    <n v="1"/>
    <n v="655"/>
    <n v="1"/>
    <s v="Female"/>
    <n v="66"/>
    <n v="2"/>
    <n v="1"/>
    <x v="1"/>
    <x v="2"/>
    <s v="Divorced"/>
    <n v="2187"/>
    <n v="5013"/>
    <n v="0"/>
    <s v="Y"/>
    <x v="1"/>
    <n v="12"/>
    <n v="3"/>
    <n v="3"/>
    <n v="80"/>
    <n v="2"/>
    <n v="6"/>
    <n v="5"/>
    <n v="2"/>
    <n v="5"/>
    <n v="3"/>
    <n v="0"/>
    <n v="3"/>
    <x v="2"/>
    <x v="3"/>
    <s v="Medium"/>
    <x v="2"/>
    <s v="Excellent"/>
    <s v="Good"/>
    <n v="0"/>
    <s v="0–3,000"/>
    <s v="6–10 miles"/>
    <s v="2–5 years"/>
  </r>
  <r>
    <n v="37"/>
    <x v="1"/>
    <s v="Travel_Rarely"/>
    <n v="558"/>
    <x v="0"/>
    <n v="2"/>
    <x v="3"/>
    <s v="Marketing"/>
    <n v="1"/>
    <n v="656"/>
    <n v="4"/>
    <s v="Male"/>
    <n v="75"/>
    <n v="3"/>
    <n v="2"/>
    <x v="0"/>
    <x v="2"/>
    <s v="Married"/>
    <n v="9602"/>
    <n v="3010"/>
    <n v="4"/>
    <s v="Y"/>
    <x v="0"/>
    <n v="11"/>
    <n v="3"/>
    <n v="3"/>
    <n v="80"/>
    <n v="1"/>
    <n v="17"/>
    <n v="3"/>
    <n v="2"/>
    <n v="3"/>
    <n v="0"/>
    <n v="1"/>
    <n v="0"/>
    <x v="3"/>
    <x v="2"/>
    <s v="High"/>
    <x v="2"/>
    <s v="Excellent"/>
    <s v="Good"/>
    <n v="0"/>
    <s v="6,001–10,000"/>
    <s v="0–5 miles"/>
    <s v="2–5 years"/>
  </r>
  <r>
    <n v="20"/>
    <x v="1"/>
    <s v="Travel_Rarely"/>
    <n v="959"/>
    <x v="1"/>
    <n v="1"/>
    <x v="3"/>
    <s v="Life Sciences"/>
    <n v="1"/>
    <n v="657"/>
    <n v="4"/>
    <s v="Female"/>
    <n v="83"/>
    <n v="2"/>
    <n v="1"/>
    <x v="1"/>
    <x v="1"/>
    <s v="Single"/>
    <n v="2836"/>
    <n v="11757"/>
    <n v="1"/>
    <s v="Y"/>
    <x v="1"/>
    <n v="13"/>
    <n v="3"/>
    <n v="4"/>
    <n v="80"/>
    <n v="0"/>
    <n v="1"/>
    <n v="0"/>
    <n v="4"/>
    <n v="1"/>
    <n v="0"/>
    <n v="0"/>
    <n v="0"/>
    <x v="3"/>
    <x v="2"/>
    <s v="Medium"/>
    <x v="1"/>
    <s v="Excellent"/>
    <s v="Best"/>
    <n v="0"/>
    <s v="0–3,000"/>
    <s v="0–5 miles"/>
    <s v="0–1 years"/>
  </r>
  <r>
    <n v="42"/>
    <x v="1"/>
    <s v="Travel_Rarely"/>
    <n v="622"/>
    <x v="1"/>
    <n v="2"/>
    <x v="2"/>
    <s v="Life Sciences"/>
    <n v="1"/>
    <n v="659"/>
    <n v="3"/>
    <s v="Female"/>
    <n v="81"/>
    <n v="3"/>
    <n v="2"/>
    <x v="4"/>
    <x v="0"/>
    <s v="Married"/>
    <n v="4089"/>
    <n v="5718"/>
    <n v="1"/>
    <s v="Y"/>
    <x v="1"/>
    <n v="13"/>
    <n v="3"/>
    <n v="2"/>
    <n v="80"/>
    <n v="2"/>
    <n v="10"/>
    <n v="4"/>
    <n v="3"/>
    <n v="10"/>
    <n v="2"/>
    <n v="2"/>
    <n v="2"/>
    <x v="2"/>
    <x v="1"/>
    <s v="High"/>
    <x v="0"/>
    <s v="Excellent"/>
    <s v="Better"/>
    <n v="0"/>
    <s v="3,001–6,000"/>
    <s v="0–5 miles"/>
    <s v="6–10 years"/>
  </r>
  <r>
    <n v="43"/>
    <x v="1"/>
    <s v="Travel_Rarely"/>
    <n v="782"/>
    <x v="1"/>
    <n v="6"/>
    <x v="2"/>
    <s v="Other"/>
    <n v="1"/>
    <n v="661"/>
    <n v="2"/>
    <s v="Male"/>
    <n v="50"/>
    <n v="2"/>
    <n v="4"/>
    <x v="7"/>
    <x v="0"/>
    <s v="Divorced"/>
    <n v="16627"/>
    <n v="2671"/>
    <n v="4"/>
    <s v="Y"/>
    <x v="0"/>
    <n v="14"/>
    <n v="3"/>
    <n v="3"/>
    <n v="80"/>
    <n v="1"/>
    <n v="21"/>
    <n v="3"/>
    <n v="2"/>
    <n v="1"/>
    <n v="0"/>
    <n v="0"/>
    <n v="0"/>
    <x v="2"/>
    <x v="0"/>
    <s v="Medium"/>
    <x v="0"/>
    <s v="Excellent"/>
    <s v="Good"/>
    <n v="0"/>
    <s v="10,001+"/>
    <s v="6–10 miles"/>
    <s v="0–1 years"/>
  </r>
  <r>
    <n v="38"/>
    <x v="1"/>
    <s v="Travel_Rarely"/>
    <n v="362"/>
    <x v="1"/>
    <n v="1"/>
    <x v="1"/>
    <s v="Life Sciences"/>
    <n v="1"/>
    <n v="662"/>
    <n v="3"/>
    <s v="Female"/>
    <n v="43"/>
    <n v="3"/>
    <n v="1"/>
    <x v="1"/>
    <x v="3"/>
    <s v="Single"/>
    <n v="2619"/>
    <n v="14561"/>
    <n v="3"/>
    <s v="Y"/>
    <x v="1"/>
    <n v="17"/>
    <n v="3"/>
    <n v="4"/>
    <n v="80"/>
    <n v="0"/>
    <n v="8"/>
    <n v="3"/>
    <n v="2"/>
    <n v="0"/>
    <n v="0"/>
    <n v="0"/>
    <n v="0"/>
    <x v="1"/>
    <x v="1"/>
    <s v="High"/>
    <x v="3"/>
    <s v="Excellent"/>
    <s v="Good"/>
    <n v="0"/>
    <s v="0–3,000"/>
    <s v="0–5 miles"/>
    <s v="0–1 years"/>
  </r>
  <r>
    <n v="43"/>
    <x v="1"/>
    <s v="Travel_Frequently"/>
    <n v="1001"/>
    <x v="1"/>
    <n v="9"/>
    <x v="4"/>
    <s v="Medical"/>
    <n v="1"/>
    <n v="663"/>
    <n v="4"/>
    <s v="Male"/>
    <n v="72"/>
    <n v="3"/>
    <n v="2"/>
    <x v="2"/>
    <x v="2"/>
    <s v="Divorced"/>
    <n v="5679"/>
    <n v="19627"/>
    <n v="3"/>
    <s v="Y"/>
    <x v="0"/>
    <n v="13"/>
    <n v="3"/>
    <n v="2"/>
    <n v="80"/>
    <n v="1"/>
    <n v="10"/>
    <n v="3"/>
    <n v="3"/>
    <n v="8"/>
    <n v="7"/>
    <n v="4"/>
    <n v="7"/>
    <x v="4"/>
    <x v="2"/>
    <s v="High"/>
    <x v="2"/>
    <s v="Excellent"/>
    <s v="Better"/>
    <n v="0"/>
    <s v="3,001–6,000"/>
    <s v="6–10 miles"/>
    <s v="6–10 years"/>
  </r>
  <r>
    <n v="48"/>
    <x v="1"/>
    <s v="Travel_Rarely"/>
    <n v="1236"/>
    <x v="1"/>
    <n v="1"/>
    <x v="2"/>
    <s v="Life Sciences"/>
    <n v="1"/>
    <n v="664"/>
    <n v="4"/>
    <s v="Female"/>
    <n v="40"/>
    <n v="2"/>
    <n v="4"/>
    <x v="5"/>
    <x v="3"/>
    <s v="Married"/>
    <n v="15402"/>
    <n v="17997"/>
    <n v="7"/>
    <s v="Y"/>
    <x v="1"/>
    <n v="11"/>
    <n v="3"/>
    <n v="1"/>
    <n v="80"/>
    <n v="1"/>
    <n v="21"/>
    <n v="3"/>
    <n v="1"/>
    <n v="3"/>
    <n v="2"/>
    <n v="0"/>
    <n v="2"/>
    <x v="2"/>
    <x v="2"/>
    <s v="Medium"/>
    <x v="3"/>
    <s v="Excellent"/>
    <s v="Bad"/>
    <n v="0"/>
    <s v="10,001+"/>
    <s v="0–5 miles"/>
    <s v="2–5 years"/>
  </r>
  <r>
    <n v="44"/>
    <x v="1"/>
    <s v="Travel_Rarely"/>
    <n v="1112"/>
    <x v="2"/>
    <n v="1"/>
    <x v="2"/>
    <s v="Life Sciences"/>
    <n v="1"/>
    <n v="665"/>
    <n v="1"/>
    <s v="Female"/>
    <n v="50"/>
    <n v="2"/>
    <n v="2"/>
    <x v="8"/>
    <x v="2"/>
    <s v="Single"/>
    <n v="5985"/>
    <n v="26894"/>
    <n v="4"/>
    <s v="Y"/>
    <x v="1"/>
    <n v="11"/>
    <n v="3"/>
    <n v="2"/>
    <n v="80"/>
    <n v="0"/>
    <n v="10"/>
    <n v="1"/>
    <n v="4"/>
    <n v="2"/>
    <n v="2"/>
    <n v="0"/>
    <n v="2"/>
    <x v="2"/>
    <x v="3"/>
    <s v="Medium"/>
    <x v="2"/>
    <s v="Excellent"/>
    <s v="Best"/>
    <n v="0"/>
    <s v="3,001–6,000"/>
    <s v="0–5 miles"/>
    <s v="2–5 years"/>
  </r>
  <r>
    <n v="34"/>
    <x v="1"/>
    <s v="Travel_Rarely"/>
    <n v="204"/>
    <x v="0"/>
    <n v="14"/>
    <x v="3"/>
    <s v="Technical Degree"/>
    <n v="1"/>
    <n v="666"/>
    <n v="3"/>
    <s v="Female"/>
    <n v="31"/>
    <n v="3"/>
    <n v="1"/>
    <x v="6"/>
    <x v="2"/>
    <s v="Divorced"/>
    <n v="2579"/>
    <n v="2912"/>
    <n v="1"/>
    <s v="Y"/>
    <x v="0"/>
    <n v="18"/>
    <n v="3"/>
    <n v="4"/>
    <n v="80"/>
    <n v="2"/>
    <n v="8"/>
    <n v="3"/>
    <n v="3"/>
    <n v="8"/>
    <n v="2"/>
    <n v="0"/>
    <n v="6"/>
    <x v="3"/>
    <x v="1"/>
    <s v="High"/>
    <x v="2"/>
    <s v="Excellent"/>
    <s v="Better"/>
    <n v="0"/>
    <s v="0–3,000"/>
    <s v="11–15 miles"/>
    <s v="6–10 years"/>
  </r>
  <r>
    <n v="27"/>
    <x v="0"/>
    <s v="Travel_Rarely"/>
    <n v="1420"/>
    <x v="0"/>
    <n v="2"/>
    <x v="1"/>
    <s v="Marketing"/>
    <n v="1"/>
    <n v="667"/>
    <n v="3"/>
    <s v="Male"/>
    <n v="85"/>
    <n v="3"/>
    <n v="1"/>
    <x v="6"/>
    <x v="3"/>
    <s v="Divorced"/>
    <n v="3041"/>
    <n v="16346"/>
    <n v="0"/>
    <s v="Y"/>
    <x v="1"/>
    <n v="11"/>
    <n v="3"/>
    <n v="2"/>
    <n v="80"/>
    <n v="1"/>
    <n v="5"/>
    <n v="3"/>
    <n v="3"/>
    <n v="4"/>
    <n v="3"/>
    <n v="0"/>
    <n v="2"/>
    <x v="1"/>
    <x v="1"/>
    <s v="High"/>
    <x v="3"/>
    <s v="Excellent"/>
    <s v="Better"/>
    <n v="1"/>
    <s v="3,001–6,000"/>
    <s v="0–5 miles"/>
    <s v="2–5 years"/>
  </r>
  <r>
    <n v="21"/>
    <x v="1"/>
    <s v="Travel_Rarely"/>
    <n v="1343"/>
    <x v="0"/>
    <n v="22"/>
    <x v="1"/>
    <s v="Technical Degree"/>
    <n v="1"/>
    <n v="669"/>
    <n v="3"/>
    <s v="Male"/>
    <n v="49"/>
    <n v="3"/>
    <n v="1"/>
    <x v="6"/>
    <x v="2"/>
    <s v="Single"/>
    <n v="3447"/>
    <n v="24444"/>
    <n v="1"/>
    <s v="Y"/>
    <x v="1"/>
    <n v="11"/>
    <n v="3"/>
    <n v="3"/>
    <n v="80"/>
    <n v="0"/>
    <n v="3"/>
    <n v="2"/>
    <n v="3"/>
    <n v="3"/>
    <n v="2"/>
    <n v="1"/>
    <n v="2"/>
    <x v="1"/>
    <x v="1"/>
    <s v="High"/>
    <x v="2"/>
    <s v="Excellent"/>
    <s v="Better"/>
    <n v="0"/>
    <s v="3,001–6,000"/>
    <s v="16+ miles"/>
    <s v="2–5 years"/>
  </r>
  <r>
    <n v="44"/>
    <x v="1"/>
    <s v="Travel_Rarely"/>
    <n v="1315"/>
    <x v="1"/>
    <n v="3"/>
    <x v="2"/>
    <s v="Other"/>
    <n v="1"/>
    <n v="671"/>
    <n v="4"/>
    <s v="Male"/>
    <n v="35"/>
    <n v="3"/>
    <n v="5"/>
    <x v="5"/>
    <x v="0"/>
    <s v="Married"/>
    <n v="19513"/>
    <n v="9358"/>
    <n v="4"/>
    <s v="Y"/>
    <x v="0"/>
    <n v="12"/>
    <n v="3"/>
    <n v="1"/>
    <n v="80"/>
    <n v="1"/>
    <n v="26"/>
    <n v="2"/>
    <n v="4"/>
    <n v="2"/>
    <n v="2"/>
    <n v="0"/>
    <n v="1"/>
    <x v="2"/>
    <x v="2"/>
    <s v="High"/>
    <x v="0"/>
    <s v="Excellent"/>
    <s v="Best"/>
    <n v="0"/>
    <s v="10,001+"/>
    <s v="0–5 miles"/>
    <s v="2–5 years"/>
  </r>
  <r>
    <n v="22"/>
    <x v="1"/>
    <s v="Travel_Rarely"/>
    <n v="604"/>
    <x v="1"/>
    <n v="6"/>
    <x v="1"/>
    <s v="Medical"/>
    <n v="1"/>
    <n v="675"/>
    <n v="1"/>
    <s v="Male"/>
    <n v="69"/>
    <n v="3"/>
    <n v="1"/>
    <x v="1"/>
    <x v="2"/>
    <s v="Married"/>
    <n v="2773"/>
    <n v="12145"/>
    <n v="0"/>
    <s v="Y"/>
    <x v="1"/>
    <n v="20"/>
    <n v="4"/>
    <n v="4"/>
    <n v="80"/>
    <n v="0"/>
    <n v="3"/>
    <n v="3"/>
    <n v="3"/>
    <n v="2"/>
    <n v="2"/>
    <n v="2"/>
    <n v="2"/>
    <x v="1"/>
    <x v="3"/>
    <s v="High"/>
    <x v="2"/>
    <s v="Outstanding"/>
    <s v="Better"/>
    <n v="0"/>
    <s v="0–3,000"/>
    <s v="6–10 miles"/>
    <s v="2–5 years"/>
  </r>
  <r>
    <n v="33"/>
    <x v="1"/>
    <s v="Travel_Rarely"/>
    <n v="1216"/>
    <x v="0"/>
    <n v="8"/>
    <x v="2"/>
    <s v="Marketing"/>
    <n v="1"/>
    <n v="677"/>
    <n v="3"/>
    <s v="Male"/>
    <n v="39"/>
    <n v="3"/>
    <n v="2"/>
    <x v="0"/>
    <x v="2"/>
    <s v="Divorced"/>
    <n v="7104"/>
    <n v="20431"/>
    <n v="0"/>
    <s v="Y"/>
    <x v="1"/>
    <n v="12"/>
    <n v="3"/>
    <n v="4"/>
    <n v="80"/>
    <n v="0"/>
    <n v="6"/>
    <n v="3"/>
    <n v="3"/>
    <n v="5"/>
    <n v="0"/>
    <n v="1"/>
    <n v="2"/>
    <x v="2"/>
    <x v="1"/>
    <s v="High"/>
    <x v="2"/>
    <s v="Excellent"/>
    <s v="Better"/>
    <n v="0"/>
    <s v="6,001–10,000"/>
    <s v="6–10 miles"/>
    <s v="2–5 years"/>
  </r>
  <r>
    <n v="32"/>
    <x v="1"/>
    <s v="Travel_Rarely"/>
    <n v="646"/>
    <x v="1"/>
    <n v="9"/>
    <x v="2"/>
    <s v="Life Sciences"/>
    <n v="1"/>
    <n v="679"/>
    <n v="1"/>
    <s v="Female"/>
    <n v="92"/>
    <n v="3"/>
    <n v="2"/>
    <x v="1"/>
    <x v="0"/>
    <s v="Married"/>
    <n v="6322"/>
    <n v="18089"/>
    <n v="1"/>
    <s v="Y"/>
    <x v="0"/>
    <n v="12"/>
    <n v="3"/>
    <n v="4"/>
    <n v="80"/>
    <n v="1"/>
    <n v="6"/>
    <n v="2"/>
    <n v="2"/>
    <n v="6"/>
    <n v="4"/>
    <n v="0"/>
    <n v="5"/>
    <x v="2"/>
    <x v="3"/>
    <s v="High"/>
    <x v="0"/>
    <s v="Excellent"/>
    <s v="Good"/>
    <n v="0"/>
    <s v="6,001–10,000"/>
    <s v="6–10 miles"/>
    <s v="6–10 years"/>
  </r>
  <r>
    <n v="30"/>
    <x v="1"/>
    <s v="Travel_Frequently"/>
    <n v="160"/>
    <x v="1"/>
    <n v="3"/>
    <x v="3"/>
    <s v="Medical"/>
    <n v="1"/>
    <n v="680"/>
    <n v="3"/>
    <s v="Female"/>
    <n v="71"/>
    <n v="3"/>
    <n v="1"/>
    <x v="1"/>
    <x v="2"/>
    <s v="Divorced"/>
    <n v="2083"/>
    <n v="22653"/>
    <n v="1"/>
    <s v="Y"/>
    <x v="1"/>
    <n v="20"/>
    <n v="4"/>
    <n v="3"/>
    <n v="80"/>
    <n v="1"/>
    <n v="1"/>
    <n v="2"/>
    <n v="3"/>
    <n v="1"/>
    <n v="0"/>
    <n v="0"/>
    <n v="0"/>
    <x v="3"/>
    <x v="1"/>
    <s v="High"/>
    <x v="2"/>
    <s v="Outstanding"/>
    <s v="Better"/>
    <n v="0"/>
    <s v="0–3,000"/>
    <s v="0–5 miles"/>
    <s v="0–1 years"/>
  </r>
  <r>
    <n v="53"/>
    <x v="1"/>
    <s v="Travel_Rarely"/>
    <n v="238"/>
    <x v="0"/>
    <n v="1"/>
    <x v="1"/>
    <s v="Medical"/>
    <n v="1"/>
    <n v="682"/>
    <n v="4"/>
    <s v="Female"/>
    <n v="34"/>
    <n v="3"/>
    <n v="2"/>
    <x v="0"/>
    <x v="3"/>
    <s v="Single"/>
    <n v="8381"/>
    <n v="7507"/>
    <n v="7"/>
    <s v="Y"/>
    <x v="1"/>
    <n v="20"/>
    <n v="4"/>
    <n v="4"/>
    <n v="80"/>
    <n v="0"/>
    <n v="18"/>
    <n v="2"/>
    <n v="4"/>
    <n v="14"/>
    <n v="7"/>
    <n v="8"/>
    <n v="10"/>
    <x v="1"/>
    <x v="2"/>
    <s v="High"/>
    <x v="3"/>
    <s v="Outstanding"/>
    <s v="Best"/>
    <n v="0"/>
    <s v="6,001–10,000"/>
    <s v="0–5 miles"/>
    <s v="11+ years"/>
  </r>
  <r>
    <n v="34"/>
    <x v="1"/>
    <s v="Travel_Rarely"/>
    <n v="1397"/>
    <x v="1"/>
    <n v="1"/>
    <x v="4"/>
    <s v="Life Sciences"/>
    <n v="1"/>
    <n v="683"/>
    <n v="2"/>
    <s v="Male"/>
    <n v="42"/>
    <n v="3"/>
    <n v="1"/>
    <x v="1"/>
    <x v="0"/>
    <s v="Married"/>
    <n v="2691"/>
    <n v="7660"/>
    <n v="1"/>
    <s v="Y"/>
    <x v="1"/>
    <n v="12"/>
    <n v="3"/>
    <n v="4"/>
    <n v="80"/>
    <n v="1"/>
    <n v="10"/>
    <n v="4"/>
    <n v="2"/>
    <n v="10"/>
    <n v="9"/>
    <n v="8"/>
    <n v="8"/>
    <x v="4"/>
    <x v="0"/>
    <s v="High"/>
    <x v="0"/>
    <s v="Excellent"/>
    <s v="Good"/>
    <n v="0"/>
    <s v="0–3,000"/>
    <s v="0–5 miles"/>
    <s v="6–10 years"/>
  </r>
  <r>
    <n v="45"/>
    <x v="0"/>
    <s v="Travel_Frequently"/>
    <n v="306"/>
    <x v="0"/>
    <n v="26"/>
    <x v="2"/>
    <s v="Life Sciences"/>
    <n v="1"/>
    <n v="684"/>
    <n v="1"/>
    <s v="Female"/>
    <n v="100"/>
    <n v="3"/>
    <n v="2"/>
    <x v="0"/>
    <x v="3"/>
    <s v="Married"/>
    <n v="4286"/>
    <n v="5630"/>
    <n v="2"/>
    <s v="Y"/>
    <x v="1"/>
    <n v="14"/>
    <n v="3"/>
    <n v="4"/>
    <n v="80"/>
    <n v="2"/>
    <n v="5"/>
    <n v="4"/>
    <n v="3"/>
    <n v="1"/>
    <n v="1"/>
    <n v="0"/>
    <n v="0"/>
    <x v="2"/>
    <x v="3"/>
    <s v="High"/>
    <x v="3"/>
    <s v="Excellent"/>
    <s v="Better"/>
    <n v="1"/>
    <s v="3,001–6,000"/>
    <s v="16+ miles"/>
    <s v="0–1 years"/>
  </r>
  <r>
    <n v="26"/>
    <x v="1"/>
    <s v="Travel_Rarely"/>
    <n v="991"/>
    <x v="1"/>
    <n v="6"/>
    <x v="3"/>
    <s v="Life Sciences"/>
    <n v="1"/>
    <n v="686"/>
    <n v="3"/>
    <s v="Female"/>
    <n v="71"/>
    <n v="3"/>
    <n v="1"/>
    <x v="2"/>
    <x v="0"/>
    <s v="Married"/>
    <n v="2659"/>
    <n v="17759"/>
    <n v="1"/>
    <s v="Y"/>
    <x v="0"/>
    <n v="13"/>
    <n v="3"/>
    <n v="3"/>
    <n v="80"/>
    <n v="1"/>
    <n v="3"/>
    <n v="2"/>
    <n v="3"/>
    <n v="3"/>
    <n v="2"/>
    <n v="0"/>
    <n v="2"/>
    <x v="3"/>
    <x v="1"/>
    <s v="High"/>
    <x v="0"/>
    <s v="Excellent"/>
    <s v="Better"/>
    <n v="0"/>
    <s v="0–3,000"/>
    <s v="6–10 miles"/>
    <s v="2–5 years"/>
  </r>
  <r>
    <n v="37"/>
    <x v="1"/>
    <s v="Travel_Rarely"/>
    <n v="482"/>
    <x v="1"/>
    <n v="3"/>
    <x v="3"/>
    <s v="Other"/>
    <n v="1"/>
    <n v="689"/>
    <n v="3"/>
    <s v="Male"/>
    <n v="36"/>
    <n v="3"/>
    <n v="3"/>
    <x v="3"/>
    <x v="2"/>
    <s v="Married"/>
    <n v="9434"/>
    <n v="9606"/>
    <n v="1"/>
    <s v="Y"/>
    <x v="1"/>
    <n v="15"/>
    <n v="3"/>
    <n v="3"/>
    <n v="80"/>
    <n v="1"/>
    <n v="10"/>
    <n v="2"/>
    <n v="3"/>
    <n v="10"/>
    <n v="7"/>
    <n v="7"/>
    <n v="8"/>
    <x v="3"/>
    <x v="1"/>
    <s v="High"/>
    <x v="2"/>
    <s v="Excellent"/>
    <s v="Better"/>
    <n v="0"/>
    <s v="6,001–10,000"/>
    <s v="0–5 miles"/>
    <s v="6–10 years"/>
  </r>
  <r>
    <n v="29"/>
    <x v="1"/>
    <s v="Travel_Rarely"/>
    <n v="1176"/>
    <x v="0"/>
    <n v="3"/>
    <x v="0"/>
    <s v="Medical"/>
    <n v="1"/>
    <n v="690"/>
    <n v="2"/>
    <s v="Female"/>
    <n v="62"/>
    <n v="3"/>
    <n v="2"/>
    <x v="0"/>
    <x v="2"/>
    <s v="Married"/>
    <n v="5561"/>
    <n v="3487"/>
    <n v="1"/>
    <s v="Y"/>
    <x v="1"/>
    <n v="14"/>
    <n v="3"/>
    <n v="1"/>
    <n v="80"/>
    <n v="1"/>
    <n v="6"/>
    <n v="5"/>
    <n v="2"/>
    <n v="6"/>
    <n v="0"/>
    <n v="1"/>
    <n v="2"/>
    <x v="0"/>
    <x v="0"/>
    <s v="High"/>
    <x v="2"/>
    <s v="Excellent"/>
    <s v="Good"/>
    <n v="0"/>
    <s v="3,001–6,000"/>
    <s v="0–5 miles"/>
    <s v="6–10 years"/>
  </r>
  <r>
    <n v="35"/>
    <x v="1"/>
    <s v="Travel_Rarely"/>
    <n v="1017"/>
    <x v="1"/>
    <n v="6"/>
    <x v="2"/>
    <s v="Life Sciences"/>
    <n v="1"/>
    <n v="691"/>
    <n v="2"/>
    <s v="Male"/>
    <n v="82"/>
    <n v="1"/>
    <n v="2"/>
    <x v="1"/>
    <x v="0"/>
    <s v="Single"/>
    <n v="6646"/>
    <n v="19368"/>
    <n v="1"/>
    <s v="Y"/>
    <x v="1"/>
    <n v="13"/>
    <n v="3"/>
    <n v="2"/>
    <n v="80"/>
    <n v="0"/>
    <n v="17"/>
    <n v="3"/>
    <n v="3"/>
    <n v="17"/>
    <n v="11"/>
    <n v="11"/>
    <n v="8"/>
    <x v="2"/>
    <x v="0"/>
    <s v="Low"/>
    <x v="0"/>
    <s v="Excellent"/>
    <s v="Better"/>
    <n v="0"/>
    <s v="6,001–10,000"/>
    <s v="6–10 miles"/>
    <s v="11+ years"/>
  </r>
  <r>
    <n v="33"/>
    <x v="1"/>
    <s v="Travel_Frequently"/>
    <n v="1296"/>
    <x v="1"/>
    <n v="6"/>
    <x v="3"/>
    <s v="Life Sciences"/>
    <n v="1"/>
    <n v="692"/>
    <n v="3"/>
    <s v="Male"/>
    <n v="30"/>
    <n v="3"/>
    <n v="2"/>
    <x v="4"/>
    <x v="0"/>
    <s v="Divorced"/>
    <n v="7725"/>
    <n v="5335"/>
    <n v="3"/>
    <s v="Y"/>
    <x v="1"/>
    <n v="23"/>
    <n v="4"/>
    <n v="3"/>
    <n v="80"/>
    <n v="1"/>
    <n v="15"/>
    <n v="2"/>
    <n v="1"/>
    <n v="13"/>
    <n v="11"/>
    <n v="4"/>
    <n v="7"/>
    <x v="3"/>
    <x v="1"/>
    <s v="High"/>
    <x v="0"/>
    <s v="Outstanding"/>
    <s v="Bad"/>
    <n v="0"/>
    <s v="6,001–10,000"/>
    <s v="6–10 miles"/>
    <s v="11+ years"/>
  </r>
  <r>
    <n v="54"/>
    <x v="1"/>
    <s v="Travel_Rarely"/>
    <n v="397"/>
    <x v="2"/>
    <n v="19"/>
    <x v="2"/>
    <s v="Medical"/>
    <n v="1"/>
    <n v="698"/>
    <n v="3"/>
    <s v="Male"/>
    <n v="88"/>
    <n v="3"/>
    <n v="3"/>
    <x v="8"/>
    <x v="1"/>
    <s v="Married"/>
    <n v="10725"/>
    <n v="6729"/>
    <n v="2"/>
    <s v="Y"/>
    <x v="1"/>
    <n v="15"/>
    <n v="3"/>
    <n v="3"/>
    <n v="80"/>
    <n v="1"/>
    <n v="16"/>
    <n v="1"/>
    <n v="4"/>
    <n v="9"/>
    <n v="7"/>
    <n v="7"/>
    <n v="1"/>
    <x v="2"/>
    <x v="1"/>
    <s v="High"/>
    <x v="1"/>
    <s v="Excellent"/>
    <s v="Best"/>
    <n v="0"/>
    <s v="10,001+"/>
    <s v="16+ miles"/>
    <s v="6–10 years"/>
  </r>
  <r>
    <n v="36"/>
    <x v="1"/>
    <s v="Travel_Rarely"/>
    <n v="913"/>
    <x v="1"/>
    <n v="9"/>
    <x v="0"/>
    <s v="Medical"/>
    <n v="1"/>
    <n v="699"/>
    <n v="2"/>
    <s v="Male"/>
    <n v="48"/>
    <n v="2"/>
    <n v="2"/>
    <x v="3"/>
    <x v="1"/>
    <s v="Divorced"/>
    <n v="8847"/>
    <n v="13934"/>
    <n v="2"/>
    <s v="Y"/>
    <x v="0"/>
    <n v="11"/>
    <n v="3"/>
    <n v="3"/>
    <n v="80"/>
    <n v="1"/>
    <n v="13"/>
    <n v="2"/>
    <n v="3"/>
    <n v="3"/>
    <n v="2"/>
    <n v="0"/>
    <n v="2"/>
    <x v="0"/>
    <x v="0"/>
    <s v="Medium"/>
    <x v="1"/>
    <s v="Excellent"/>
    <s v="Better"/>
    <n v="0"/>
    <s v="6,001–10,000"/>
    <s v="6–10 miles"/>
    <s v="2–5 years"/>
  </r>
  <r>
    <n v="27"/>
    <x v="1"/>
    <s v="Travel_Rarely"/>
    <n v="1115"/>
    <x v="1"/>
    <n v="3"/>
    <x v="2"/>
    <s v="Medical"/>
    <n v="1"/>
    <n v="700"/>
    <n v="1"/>
    <s v="Male"/>
    <n v="54"/>
    <n v="2"/>
    <n v="1"/>
    <x v="1"/>
    <x v="0"/>
    <s v="Single"/>
    <n v="2045"/>
    <n v="15174"/>
    <n v="0"/>
    <s v="Y"/>
    <x v="1"/>
    <n v="13"/>
    <n v="3"/>
    <n v="4"/>
    <n v="80"/>
    <n v="0"/>
    <n v="5"/>
    <n v="0"/>
    <n v="3"/>
    <n v="4"/>
    <n v="2"/>
    <n v="1"/>
    <n v="1"/>
    <x v="2"/>
    <x v="3"/>
    <s v="Medium"/>
    <x v="0"/>
    <s v="Excellent"/>
    <s v="Better"/>
    <n v="0"/>
    <s v="0–3,000"/>
    <s v="0–5 miles"/>
    <s v="2–5 years"/>
  </r>
  <r>
    <n v="20"/>
    <x v="0"/>
    <s v="Travel_Rarely"/>
    <n v="1362"/>
    <x v="1"/>
    <n v="10"/>
    <x v="1"/>
    <s v="Medical"/>
    <n v="1"/>
    <n v="701"/>
    <n v="4"/>
    <s v="Male"/>
    <n v="32"/>
    <n v="3"/>
    <n v="1"/>
    <x v="1"/>
    <x v="2"/>
    <s v="Single"/>
    <n v="1009"/>
    <n v="26999"/>
    <n v="1"/>
    <s v="Y"/>
    <x v="0"/>
    <n v="11"/>
    <n v="3"/>
    <n v="4"/>
    <n v="80"/>
    <n v="0"/>
    <n v="1"/>
    <n v="5"/>
    <n v="3"/>
    <n v="1"/>
    <n v="0"/>
    <n v="1"/>
    <n v="1"/>
    <x v="1"/>
    <x v="2"/>
    <s v="High"/>
    <x v="2"/>
    <s v="Excellent"/>
    <s v="Better"/>
    <n v="1"/>
    <s v="0–3,000"/>
    <s v="6–10 miles"/>
    <s v="0–1 years"/>
  </r>
  <r>
    <n v="33"/>
    <x v="0"/>
    <s v="Travel_Frequently"/>
    <n v="1076"/>
    <x v="1"/>
    <n v="3"/>
    <x v="3"/>
    <s v="Life Sciences"/>
    <n v="1"/>
    <n v="702"/>
    <n v="1"/>
    <s v="Male"/>
    <n v="70"/>
    <n v="3"/>
    <n v="1"/>
    <x v="1"/>
    <x v="3"/>
    <s v="Single"/>
    <n v="3348"/>
    <n v="3164"/>
    <n v="1"/>
    <s v="Y"/>
    <x v="0"/>
    <n v="11"/>
    <n v="3"/>
    <n v="1"/>
    <n v="80"/>
    <n v="0"/>
    <n v="10"/>
    <n v="3"/>
    <n v="3"/>
    <n v="10"/>
    <n v="8"/>
    <n v="9"/>
    <n v="7"/>
    <x v="3"/>
    <x v="3"/>
    <s v="High"/>
    <x v="3"/>
    <s v="Excellent"/>
    <s v="Better"/>
    <n v="1"/>
    <s v="3,001–6,000"/>
    <s v="0–5 miles"/>
    <s v="6–10 years"/>
  </r>
  <r>
    <n v="35"/>
    <x v="1"/>
    <s v="Non-Travel"/>
    <n v="727"/>
    <x v="1"/>
    <n v="3"/>
    <x v="3"/>
    <s v="Life Sciences"/>
    <n v="1"/>
    <n v="704"/>
    <n v="3"/>
    <s v="Male"/>
    <n v="41"/>
    <n v="2"/>
    <n v="1"/>
    <x v="2"/>
    <x v="2"/>
    <s v="Married"/>
    <n v="1281"/>
    <n v="16900"/>
    <n v="1"/>
    <s v="Y"/>
    <x v="1"/>
    <n v="18"/>
    <n v="3"/>
    <n v="3"/>
    <n v="80"/>
    <n v="2"/>
    <n v="1"/>
    <n v="3"/>
    <n v="3"/>
    <n v="1"/>
    <n v="0"/>
    <n v="0"/>
    <n v="0"/>
    <x v="3"/>
    <x v="1"/>
    <s v="Medium"/>
    <x v="2"/>
    <s v="Excellent"/>
    <s v="Better"/>
    <n v="0"/>
    <s v="0–3,000"/>
    <s v="0–5 miles"/>
    <s v="0–1 years"/>
  </r>
  <r>
    <n v="23"/>
    <x v="1"/>
    <s v="Travel_Rarely"/>
    <n v="885"/>
    <x v="1"/>
    <n v="4"/>
    <x v="3"/>
    <s v="Medical"/>
    <n v="1"/>
    <n v="705"/>
    <n v="1"/>
    <s v="Male"/>
    <n v="58"/>
    <n v="4"/>
    <n v="1"/>
    <x v="1"/>
    <x v="3"/>
    <s v="Married"/>
    <n v="2819"/>
    <n v="8544"/>
    <n v="2"/>
    <s v="Y"/>
    <x v="1"/>
    <n v="16"/>
    <n v="3"/>
    <n v="1"/>
    <n v="80"/>
    <n v="1"/>
    <n v="5"/>
    <n v="3"/>
    <n v="4"/>
    <n v="3"/>
    <n v="2"/>
    <n v="0"/>
    <n v="2"/>
    <x v="3"/>
    <x v="3"/>
    <s v="Very High"/>
    <x v="3"/>
    <s v="Excellent"/>
    <s v="Best"/>
    <n v="0"/>
    <s v="0–3,000"/>
    <s v="0–5 miles"/>
    <s v="2–5 years"/>
  </r>
  <r>
    <n v="25"/>
    <x v="1"/>
    <s v="Travel_Rarely"/>
    <n v="810"/>
    <x v="0"/>
    <n v="8"/>
    <x v="3"/>
    <s v="Life Sciences"/>
    <n v="1"/>
    <n v="707"/>
    <n v="4"/>
    <s v="Male"/>
    <n v="57"/>
    <n v="4"/>
    <n v="2"/>
    <x v="0"/>
    <x v="1"/>
    <s v="Married"/>
    <n v="4851"/>
    <n v="15678"/>
    <n v="0"/>
    <s v="Y"/>
    <x v="1"/>
    <n v="22"/>
    <n v="4"/>
    <n v="3"/>
    <n v="80"/>
    <n v="1"/>
    <n v="4"/>
    <n v="4"/>
    <n v="3"/>
    <n v="3"/>
    <n v="2"/>
    <n v="1"/>
    <n v="2"/>
    <x v="3"/>
    <x v="2"/>
    <s v="Very High"/>
    <x v="1"/>
    <s v="Outstanding"/>
    <s v="Better"/>
    <n v="0"/>
    <s v="3,001–6,000"/>
    <s v="6–10 miles"/>
    <s v="2–5 years"/>
  </r>
  <r>
    <n v="38"/>
    <x v="1"/>
    <s v="Travel_Rarely"/>
    <n v="243"/>
    <x v="0"/>
    <n v="7"/>
    <x v="2"/>
    <s v="Marketing"/>
    <n v="1"/>
    <n v="709"/>
    <n v="4"/>
    <s v="Female"/>
    <n v="46"/>
    <n v="2"/>
    <n v="2"/>
    <x v="0"/>
    <x v="0"/>
    <s v="Single"/>
    <n v="4028"/>
    <n v="7791"/>
    <n v="0"/>
    <s v="Y"/>
    <x v="1"/>
    <n v="20"/>
    <n v="4"/>
    <n v="1"/>
    <n v="80"/>
    <n v="0"/>
    <n v="8"/>
    <n v="2"/>
    <n v="3"/>
    <n v="7"/>
    <n v="7"/>
    <n v="0"/>
    <n v="5"/>
    <x v="2"/>
    <x v="2"/>
    <s v="Medium"/>
    <x v="0"/>
    <s v="Outstanding"/>
    <s v="Better"/>
    <n v="0"/>
    <s v="3,001–6,000"/>
    <s v="6–10 miles"/>
    <s v="6–10 years"/>
  </r>
  <r>
    <n v="29"/>
    <x v="1"/>
    <s v="Travel_Frequently"/>
    <n v="806"/>
    <x v="1"/>
    <n v="1"/>
    <x v="2"/>
    <s v="Life Sciences"/>
    <n v="1"/>
    <n v="710"/>
    <n v="2"/>
    <s v="Male"/>
    <n v="76"/>
    <n v="1"/>
    <n v="1"/>
    <x v="1"/>
    <x v="0"/>
    <s v="Divorced"/>
    <n v="2720"/>
    <n v="18959"/>
    <n v="1"/>
    <s v="Y"/>
    <x v="1"/>
    <n v="18"/>
    <n v="3"/>
    <n v="4"/>
    <n v="80"/>
    <n v="1"/>
    <n v="10"/>
    <n v="5"/>
    <n v="3"/>
    <n v="10"/>
    <n v="7"/>
    <n v="2"/>
    <n v="8"/>
    <x v="2"/>
    <x v="0"/>
    <s v="Low"/>
    <x v="0"/>
    <s v="Excellent"/>
    <s v="Better"/>
    <n v="0"/>
    <s v="0–3,000"/>
    <s v="0–5 miles"/>
    <s v="6–10 years"/>
  </r>
  <r>
    <n v="48"/>
    <x v="1"/>
    <s v="Travel_Rarely"/>
    <n v="817"/>
    <x v="0"/>
    <n v="2"/>
    <x v="1"/>
    <s v="Marketing"/>
    <n v="1"/>
    <n v="712"/>
    <n v="2"/>
    <s v="Male"/>
    <n v="56"/>
    <n v="4"/>
    <n v="2"/>
    <x v="0"/>
    <x v="1"/>
    <s v="Married"/>
    <n v="8120"/>
    <n v="18597"/>
    <n v="3"/>
    <s v="Y"/>
    <x v="1"/>
    <n v="12"/>
    <n v="3"/>
    <n v="4"/>
    <n v="80"/>
    <n v="0"/>
    <n v="12"/>
    <n v="3"/>
    <n v="3"/>
    <n v="2"/>
    <n v="2"/>
    <n v="2"/>
    <n v="2"/>
    <x v="1"/>
    <x v="0"/>
    <s v="Very High"/>
    <x v="1"/>
    <s v="Excellent"/>
    <s v="Better"/>
    <n v="0"/>
    <s v="6,001–10,000"/>
    <s v="0–5 miles"/>
    <s v="2–5 years"/>
  </r>
  <r>
    <n v="27"/>
    <x v="1"/>
    <s v="Travel_Frequently"/>
    <n v="1410"/>
    <x v="0"/>
    <n v="3"/>
    <x v="1"/>
    <s v="Medical"/>
    <n v="1"/>
    <n v="714"/>
    <n v="4"/>
    <s v="Female"/>
    <n v="71"/>
    <n v="4"/>
    <n v="2"/>
    <x v="0"/>
    <x v="0"/>
    <s v="Divorced"/>
    <n v="4647"/>
    <n v="16673"/>
    <n v="1"/>
    <s v="Y"/>
    <x v="0"/>
    <n v="20"/>
    <n v="4"/>
    <n v="2"/>
    <n v="80"/>
    <n v="2"/>
    <n v="6"/>
    <n v="3"/>
    <n v="3"/>
    <n v="6"/>
    <n v="5"/>
    <n v="0"/>
    <n v="4"/>
    <x v="1"/>
    <x v="2"/>
    <s v="Very High"/>
    <x v="0"/>
    <s v="Outstanding"/>
    <s v="Better"/>
    <n v="0"/>
    <s v="3,001–6,000"/>
    <s v="0–5 miles"/>
    <s v="6–10 years"/>
  </r>
  <r>
    <n v="37"/>
    <x v="1"/>
    <s v="Travel_Rarely"/>
    <n v="1225"/>
    <x v="1"/>
    <n v="10"/>
    <x v="0"/>
    <s v="Life Sciences"/>
    <n v="1"/>
    <n v="715"/>
    <n v="4"/>
    <s v="Male"/>
    <n v="80"/>
    <n v="4"/>
    <n v="1"/>
    <x v="1"/>
    <x v="0"/>
    <s v="Single"/>
    <n v="4680"/>
    <n v="15232"/>
    <n v="3"/>
    <s v="Y"/>
    <x v="1"/>
    <n v="17"/>
    <n v="3"/>
    <n v="1"/>
    <n v="80"/>
    <n v="0"/>
    <n v="4"/>
    <n v="2"/>
    <n v="3"/>
    <n v="1"/>
    <n v="0"/>
    <n v="0"/>
    <n v="0"/>
    <x v="0"/>
    <x v="2"/>
    <s v="Very High"/>
    <x v="0"/>
    <s v="Excellent"/>
    <s v="Better"/>
    <n v="0"/>
    <s v="3,001–6,000"/>
    <s v="6–10 miles"/>
    <s v="0–1 years"/>
  </r>
  <r>
    <n v="50"/>
    <x v="1"/>
    <s v="Travel_Rarely"/>
    <n v="1207"/>
    <x v="1"/>
    <n v="28"/>
    <x v="1"/>
    <s v="Medical"/>
    <n v="1"/>
    <n v="716"/>
    <n v="4"/>
    <s v="Male"/>
    <n v="74"/>
    <n v="4"/>
    <n v="1"/>
    <x v="2"/>
    <x v="2"/>
    <s v="Married"/>
    <n v="3221"/>
    <n v="3297"/>
    <n v="1"/>
    <s v="Y"/>
    <x v="0"/>
    <n v="11"/>
    <n v="3"/>
    <n v="3"/>
    <n v="80"/>
    <n v="3"/>
    <n v="20"/>
    <n v="3"/>
    <n v="3"/>
    <n v="20"/>
    <n v="8"/>
    <n v="3"/>
    <n v="8"/>
    <x v="1"/>
    <x v="2"/>
    <s v="Very High"/>
    <x v="2"/>
    <s v="Excellent"/>
    <s v="Better"/>
    <n v="0"/>
    <s v="3,001–6,000"/>
    <s v="16+ miles"/>
    <s v="11+ years"/>
  </r>
  <r>
    <n v="34"/>
    <x v="1"/>
    <s v="Travel_Rarely"/>
    <n v="1442"/>
    <x v="1"/>
    <n v="9"/>
    <x v="3"/>
    <s v="Medical"/>
    <n v="1"/>
    <n v="717"/>
    <n v="4"/>
    <s v="Female"/>
    <n v="46"/>
    <n v="2"/>
    <n v="3"/>
    <x v="4"/>
    <x v="1"/>
    <s v="Single"/>
    <n v="8621"/>
    <n v="17654"/>
    <n v="1"/>
    <s v="Y"/>
    <x v="1"/>
    <n v="14"/>
    <n v="3"/>
    <n v="2"/>
    <n v="80"/>
    <n v="0"/>
    <n v="9"/>
    <n v="3"/>
    <n v="4"/>
    <n v="8"/>
    <n v="7"/>
    <n v="7"/>
    <n v="7"/>
    <x v="3"/>
    <x v="2"/>
    <s v="Medium"/>
    <x v="1"/>
    <s v="Excellent"/>
    <s v="Best"/>
    <n v="0"/>
    <s v="6,001–10,000"/>
    <s v="6–10 miles"/>
    <s v="6–10 years"/>
  </r>
  <r>
    <n v="24"/>
    <x v="0"/>
    <s v="Travel_Rarely"/>
    <n v="693"/>
    <x v="0"/>
    <n v="3"/>
    <x v="0"/>
    <s v="Life Sciences"/>
    <n v="1"/>
    <n v="720"/>
    <n v="1"/>
    <s v="Female"/>
    <n v="65"/>
    <n v="3"/>
    <n v="2"/>
    <x v="0"/>
    <x v="2"/>
    <s v="Single"/>
    <n v="4577"/>
    <n v="24785"/>
    <n v="9"/>
    <s v="Y"/>
    <x v="1"/>
    <n v="14"/>
    <n v="3"/>
    <n v="1"/>
    <n v="80"/>
    <n v="0"/>
    <n v="4"/>
    <n v="3"/>
    <n v="3"/>
    <n v="2"/>
    <n v="2"/>
    <n v="2"/>
    <n v="0"/>
    <x v="0"/>
    <x v="3"/>
    <s v="High"/>
    <x v="2"/>
    <s v="Excellent"/>
    <s v="Better"/>
    <n v="1"/>
    <s v="3,001–6,000"/>
    <s v="0–5 miles"/>
    <s v="2–5 years"/>
  </r>
  <r>
    <n v="39"/>
    <x v="1"/>
    <s v="Travel_Rarely"/>
    <n v="408"/>
    <x v="1"/>
    <n v="2"/>
    <x v="2"/>
    <s v="Technical Degree"/>
    <n v="1"/>
    <n v="721"/>
    <n v="4"/>
    <s v="Female"/>
    <n v="80"/>
    <n v="2"/>
    <n v="2"/>
    <x v="4"/>
    <x v="2"/>
    <s v="Single"/>
    <n v="4553"/>
    <n v="20978"/>
    <n v="1"/>
    <s v="Y"/>
    <x v="1"/>
    <n v="11"/>
    <n v="3"/>
    <n v="1"/>
    <n v="80"/>
    <n v="0"/>
    <n v="20"/>
    <n v="4"/>
    <n v="3"/>
    <n v="20"/>
    <n v="7"/>
    <n v="11"/>
    <n v="10"/>
    <x v="2"/>
    <x v="2"/>
    <s v="Medium"/>
    <x v="2"/>
    <s v="Excellent"/>
    <s v="Better"/>
    <n v="0"/>
    <s v="3,001–6,000"/>
    <s v="0–5 miles"/>
    <s v="11+ years"/>
  </r>
  <r>
    <n v="32"/>
    <x v="1"/>
    <s v="Travel_Rarely"/>
    <n v="929"/>
    <x v="0"/>
    <n v="10"/>
    <x v="3"/>
    <s v="Marketing"/>
    <n v="1"/>
    <n v="722"/>
    <n v="4"/>
    <s v="Male"/>
    <n v="55"/>
    <n v="3"/>
    <n v="2"/>
    <x v="0"/>
    <x v="0"/>
    <s v="Single"/>
    <n v="5396"/>
    <n v="21703"/>
    <n v="1"/>
    <s v="Y"/>
    <x v="1"/>
    <n v="12"/>
    <n v="3"/>
    <n v="4"/>
    <n v="80"/>
    <n v="0"/>
    <n v="10"/>
    <n v="2"/>
    <n v="2"/>
    <n v="10"/>
    <n v="7"/>
    <n v="0"/>
    <n v="8"/>
    <x v="3"/>
    <x v="2"/>
    <s v="High"/>
    <x v="0"/>
    <s v="Excellent"/>
    <s v="Good"/>
    <n v="0"/>
    <s v="3,001–6,000"/>
    <s v="6–10 miles"/>
    <s v="6–10 years"/>
  </r>
  <r>
    <n v="50"/>
    <x v="0"/>
    <s v="Travel_Frequently"/>
    <n v="562"/>
    <x v="0"/>
    <n v="8"/>
    <x v="0"/>
    <s v="Technical Degree"/>
    <n v="1"/>
    <n v="723"/>
    <n v="2"/>
    <s v="Male"/>
    <n v="50"/>
    <n v="3"/>
    <n v="2"/>
    <x v="0"/>
    <x v="2"/>
    <s v="Married"/>
    <n v="6796"/>
    <n v="23452"/>
    <n v="3"/>
    <s v="Y"/>
    <x v="0"/>
    <n v="14"/>
    <n v="3"/>
    <n v="1"/>
    <n v="80"/>
    <n v="1"/>
    <n v="18"/>
    <n v="4"/>
    <n v="3"/>
    <n v="4"/>
    <n v="3"/>
    <n v="1"/>
    <n v="3"/>
    <x v="0"/>
    <x v="0"/>
    <s v="High"/>
    <x v="2"/>
    <s v="Excellent"/>
    <s v="Better"/>
    <n v="1"/>
    <s v="6,001–10,000"/>
    <s v="6–10 miles"/>
    <s v="2–5 years"/>
  </r>
  <r>
    <n v="38"/>
    <x v="1"/>
    <s v="Travel_Rarely"/>
    <n v="827"/>
    <x v="1"/>
    <n v="1"/>
    <x v="2"/>
    <s v="Life Sciences"/>
    <n v="1"/>
    <n v="724"/>
    <n v="2"/>
    <s v="Female"/>
    <n v="33"/>
    <n v="4"/>
    <n v="2"/>
    <x v="4"/>
    <x v="0"/>
    <s v="Single"/>
    <n v="7625"/>
    <n v="19383"/>
    <n v="0"/>
    <s v="Y"/>
    <x v="1"/>
    <n v="13"/>
    <n v="3"/>
    <n v="3"/>
    <n v="80"/>
    <n v="0"/>
    <n v="10"/>
    <n v="4"/>
    <n v="2"/>
    <n v="9"/>
    <n v="7"/>
    <n v="1"/>
    <n v="8"/>
    <x v="2"/>
    <x v="0"/>
    <s v="Very High"/>
    <x v="0"/>
    <s v="Excellent"/>
    <s v="Good"/>
    <n v="0"/>
    <s v="6,001–10,000"/>
    <s v="0–5 miles"/>
    <s v="6–10 years"/>
  </r>
  <r>
    <n v="27"/>
    <x v="1"/>
    <s v="Travel_Rarely"/>
    <n v="608"/>
    <x v="1"/>
    <n v="1"/>
    <x v="0"/>
    <s v="Life Sciences"/>
    <n v="1"/>
    <n v="725"/>
    <n v="3"/>
    <s v="Female"/>
    <n v="68"/>
    <n v="3"/>
    <n v="3"/>
    <x v="3"/>
    <x v="3"/>
    <s v="Married"/>
    <n v="7412"/>
    <n v="6009"/>
    <n v="1"/>
    <s v="Y"/>
    <x v="1"/>
    <n v="11"/>
    <n v="3"/>
    <n v="4"/>
    <n v="80"/>
    <n v="0"/>
    <n v="9"/>
    <n v="3"/>
    <n v="3"/>
    <n v="9"/>
    <n v="7"/>
    <n v="0"/>
    <n v="7"/>
    <x v="0"/>
    <x v="1"/>
    <s v="High"/>
    <x v="3"/>
    <s v="Excellent"/>
    <s v="Better"/>
    <n v="0"/>
    <s v="6,001–10,000"/>
    <s v="0–5 miles"/>
    <s v="6–10 years"/>
  </r>
  <r>
    <n v="32"/>
    <x v="1"/>
    <s v="Travel_Rarely"/>
    <n v="1018"/>
    <x v="1"/>
    <n v="3"/>
    <x v="0"/>
    <s v="Life Sciences"/>
    <n v="1"/>
    <n v="727"/>
    <n v="3"/>
    <s v="Female"/>
    <n v="39"/>
    <n v="3"/>
    <n v="3"/>
    <x v="7"/>
    <x v="0"/>
    <s v="Single"/>
    <n v="11159"/>
    <n v="19373"/>
    <n v="3"/>
    <s v="Y"/>
    <x v="1"/>
    <n v="15"/>
    <n v="3"/>
    <n v="4"/>
    <n v="80"/>
    <n v="0"/>
    <n v="10"/>
    <n v="6"/>
    <n v="3"/>
    <n v="7"/>
    <n v="7"/>
    <n v="7"/>
    <n v="7"/>
    <x v="0"/>
    <x v="1"/>
    <s v="High"/>
    <x v="0"/>
    <s v="Excellent"/>
    <s v="Better"/>
    <n v="0"/>
    <s v="10,001+"/>
    <s v="0–5 miles"/>
    <s v="6–10 years"/>
  </r>
  <r>
    <n v="47"/>
    <x v="1"/>
    <s v="Travel_Rarely"/>
    <n v="703"/>
    <x v="0"/>
    <n v="14"/>
    <x v="2"/>
    <s v="Marketing"/>
    <n v="1"/>
    <n v="728"/>
    <n v="4"/>
    <s v="Male"/>
    <n v="42"/>
    <n v="3"/>
    <n v="2"/>
    <x v="0"/>
    <x v="3"/>
    <s v="Single"/>
    <n v="4960"/>
    <n v="11825"/>
    <n v="2"/>
    <s v="Y"/>
    <x v="1"/>
    <n v="12"/>
    <n v="3"/>
    <n v="4"/>
    <n v="80"/>
    <n v="0"/>
    <n v="20"/>
    <n v="2"/>
    <n v="3"/>
    <n v="7"/>
    <n v="7"/>
    <n v="1"/>
    <n v="7"/>
    <x v="2"/>
    <x v="2"/>
    <s v="High"/>
    <x v="3"/>
    <s v="Excellent"/>
    <s v="Better"/>
    <n v="0"/>
    <s v="3,001–6,000"/>
    <s v="11–15 miles"/>
    <s v="6–10 years"/>
  </r>
  <r>
    <n v="40"/>
    <x v="1"/>
    <s v="Travel_Frequently"/>
    <n v="580"/>
    <x v="0"/>
    <n v="5"/>
    <x v="2"/>
    <s v="Life Sciences"/>
    <n v="1"/>
    <n v="729"/>
    <n v="4"/>
    <s v="Male"/>
    <n v="48"/>
    <n v="2"/>
    <n v="3"/>
    <x v="0"/>
    <x v="3"/>
    <s v="Married"/>
    <n v="10475"/>
    <n v="23772"/>
    <n v="5"/>
    <s v="Y"/>
    <x v="0"/>
    <n v="21"/>
    <n v="4"/>
    <n v="3"/>
    <n v="80"/>
    <n v="1"/>
    <n v="20"/>
    <n v="2"/>
    <n v="3"/>
    <n v="18"/>
    <n v="13"/>
    <n v="1"/>
    <n v="12"/>
    <x v="2"/>
    <x v="2"/>
    <s v="Medium"/>
    <x v="3"/>
    <s v="Outstanding"/>
    <s v="Better"/>
    <n v="0"/>
    <s v="10,001+"/>
    <s v="0–5 miles"/>
    <s v="11+ years"/>
  </r>
  <r>
    <n v="53"/>
    <x v="1"/>
    <s v="Travel_Rarely"/>
    <n v="970"/>
    <x v="1"/>
    <n v="7"/>
    <x v="3"/>
    <s v="Life Sciences"/>
    <n v="1"/>
    <n v="730"/>
    <n v="3"/>
    <s v="Male"/>
    <n v="59"/>
    <n v="4"/>
    <n v="4"/>
    <x v="7"/>
    <x v="2"/>
    <s v="Married"/>
    <n v="14814"/>
    <n v="13514"/>
    <n v="3"/>
    <s v="Y"/>
    <x v="1"/>
    <n v="19"/>
    <n v="3"/>
    <n v="3"/>
    <n v="80"/>
    <n v="0"/>
    <n v="32"/>
    <n v="3"/>
    <n v="3"/>
    <n v="5"/>
    <n v="1"/>
    <n v="1"/>
    <n v="3"/>
    <x v="3"/>
    <x v="1"/>
    <s v="Very High"/>
    <x v="2"/>
    <s v="Excellent"/>
    <s v="Better"/>
    <n v="0"/>
    <s v="10,001+"/>
    <s v="6–10 miles"/>
    <s v="2–5 years"/>
  </r>
  <r>
    <n v="41"/>
    <x v="1"/>
    <s v="Travel_Rarely"/>
    <n v="427"/>
    <x v="2"/>
    <n v="10"/>
    <x v="2"/>
    <s v="Human Resources"/>
    <n v="1"/>
    <n v="731"/>
    <n v="2"/>
    <s v="Male"/>
    <n v="73"/>
    <n v="2"/>
    <n v="5"/>
    <x v="5"/>
    <x v="0"/>
    <s v="Divorced"/>
    <n v="19141"/>
    <n v="8861"/>
    <n v="3"/>
    <s v="Y"/>
    <x v="1"/>
    <n v="15"/>
    <n v="3"/>
    <n v="2"/>
    <n v="80"/>
    <n v="3"/>
    <n v="23"/>
    <n v="2"/>
    <n v="2"/>
    <n v="21"/>
    <n v="6"/>
    <n v="12"/>
    <n v="6"/>
    <x v="2"/>
    <x v="0"/>
    <s v="Medium"/>
    <x v="0"/>
    <s v="Excellent"/>
    <s v="Good"/>
    <n v="0"/>
    <s v="10,001+"/>
    <s v="6–10 miles"/>
    <s v="11+ years"/>
  </r>
  <r>
    <n v="60"/>
    <x v="1"/>
    <s v="Travel_Rarely"/>
    <n v="1179"/>
    <x v="0"/>
    <n v="16"/>
    <x v="2"/>
    <s v="Marketing"/>
    <n v="1"/>
    <n v="732"/>
    <n v="1"/>
    <s v="Male"/>
    <n v="84"/>
    <n v="3"/>
    <n v="2"/>
    <x v="0"/>
    <x v="3"/>
    <s v="Single"/>
    <n v="5405"/>
    <n v="11924"/>
    <n v="8"/>
    <s v="Y"/>
    <x v="1"/>
    <n v="14"/>
    <n v="3"/>
    <n v="4"/>
    <n v="80"/>
    <n v="0"/>
    <n v="10"/>
    <n v="1"/>
    <n v="3"/>
    <n v="2"/>
    <n v="2"/>
    <n v="2"/>
    <n v="2"/>
    <x v="2"/>
    <x v="3"/>
    <s v="High"/>
    <x v="3"/>
    <s v="Excellent"/>
    <s v="Better"/>
    <n v="0"/>
    <s v="3,001–6,000"/>
    <s v="16+ miles"/>
    <s v="2–5 years"/>
  </r>
  <r>
    <n v="27"/>
    <x v="1"/>
    <s v="Travel_Frequently"/>
    <n v="294"/>
    <x v="1"/>
    <n v="10"/>
    <x v="0"/>
    <s v="Life Sciences"/>
    <n v="1"/>
    <n v="733"/>
    <n v="4"/>
    <s v="Male"/>
    <n v="32"/>
    <n v="3"/>
    <n v="3"/>
    <x v="3"/>
    <x v="3"/>
    <s v="Divorced"/>
    <n v="8793"/>
    <n v="4809"/>
    <n v="1"/>
    <s v="Y"/>
    <x v="1"/>
    <n v="21"/>
    <n v="4"/>
    <n v="3"/>
    <n v="80"/>
    <n v="2"/>
    <n v="9"/>
    <n v="4"/>
    <n v="2"/>
    <n v="9"/>
    <n v="7"/>
    <n v="1"/>
    <n v="7"/>
    <x v="0"/>
    <x v="2"/>
    <s v="High"/>
    <x v="3"/>
    <s v="Outstanding"/>
    <s v="Good"/>
    <n v="0"/>
    <s v="6,001–10,000"/>
    <s v="6–10 miles"/>
    <s v="6–10 years"/>
  </r>
  <r>
    <n v="41"/>
    <x v="1"/>
    <s v="Travel_Rarely"/>
    <n v="314"/>
    <x v="2"/>
    <n v="1"/>
    <x v="3"/>
    <s v="Human Resources"/>
    <n v="1"/>
    <n v="734"/>
    <n v="4"/>
    <s v="Male"/>
    <n v="59"/>
    <n v="2"/>
    <n v="5"/>
    <x v="5"/>
    <x v="2"/>
    <s v="Married"/>
    <n v="19189"/>
    <n v="19562"/>
    <n v="1"/>
    <s v="Y"/>
    <x v="1"/>
    <n v="12"/>
    <n v="3"/>
    <n v="2"/>
    <n v="80"/>
    <n v="1"/>
    <n v="22"/>
    <n v="3"/>
    <n v="3"/>
    <n v="22"/>
    <n v="7"/>
    <n v="2"/>
    <n v="10"/>
    <x v="3"/>
    <x v="2"/>
    <s v="Medium"/>
    <x v="2"/>
    <s v="Excellent"/>
    <s v="Better"/>
    <n v="0"/>
    <s v="10,001+"/>
    <s v="0–5 miles"/>
    <s v="11+ years"/>
  </r>
  <r>
    <n v="50"/>
    <x v="1"/>
    <s v="Travel_Rarely"/>
    <n v="316"/>
    <x v="0"/>
    <n v="8"/>
    <x v="2"/>
    <s v="Marketing"/>
    <n v="1"/>
    <n v="738"/>
    <n v="4"/>
    <s v="Male"/>
    <n v="54"/>
    <n v="3"/>
    <n v="1"/>
    <x v="6"/>
    <x v="1"/>
    <s v="Married"/>
    <n v="3875"/>
    <n v="9983"/>
    <n v="7"/>
    <s v="Y"/>
    <x v="1"/>
    <n v="15"/>
    <n v="3"/>
    <n v="4"/>
    <n v="80"/>
    <n v="1"/>
    <n v="4"/>
    <n v="2"/>
    <n v="3"/>
    <n v="2"/>
    <n v="2"/>
    <n v="2"/>
    <n v="2"/>
    <x v="2"/>
    <x v="2"/>
    <s v="High"/>
    <x v="1"/>
    <s v="Excellent"/>
    <s v="Better"/>
    <n v="0"/>
    <s v="3,001–6,000"/>
    <s v="6–10 miles"/>
    <s v="2–5 years"/>
  </r>
  <r>
    <n v="28"/>
    <x v="0"/>
    <s v="Travel_Rarely"/>
    <n v="654"/>
    <x v="1"/>
    <n v="1"/>
    <x v="0"/>
    <s v="Life Sciences"/>
    <n v="1"/>
    <n v="741"/>
    <n v="1"/>
    <s v="Female"/>
    <n v="67"/>
    <n v="1"/>
    <n v="1"/>
    <x v="1"/>
    <x v="1"/>
    <s v="Single"/>
    <n v="2216"/>
    <n v="3872"/>
    <n v="7"/>
    <s v="Y"/>
    <x v="0"/>
    <n v="13"/>
    <n v="3"/>
    <n v="4"/>
    <n v="80"/>
    <n v="0"/>
    <n v="10"/>
    <n v="4"/>
    <n v="3"/>
    <n v="7"/>
    <n v="7"/>
    <n v="3"/>
    <n v="7"/>
    <x v="0"/>
    <x v="3"/>
    <s v="Low"/>
    <x v="1"/>
    <s v="Excellent"/>
    <s v="Better"/>
    <n v="1"/>
    <s v="0–3,000"/>
    <s v="0–5 miles"/>
    <s v="6–10 years"/>
  </r>
  <r>
    <n v="36"/>
    <x v="1"/>
    <s v="Non-Travel"/>
    <n v="427"/>
    <x v="1"/>
    <n v="8"/>
    <x v="3"/>
    <s v="Life Sciences"/>
    <n v="1"/>
    <n v="742"/>
    <n v="1"/>
    <s v="Female"/>
    <n v="63"/>
    <n v="4"/>
    <n v="3"/>
    <x v="7"/>
    <x v="3"/>
    <s v="Married"/>
    <n v="11713"/>
    <n v="20335"/>
    <n v="9"/>
    <s v="Y"/>
    <x v="1"/>
    <n v="14"/>
    <n v="3"/>
    <n v="1"/>
    <n v="80"/>
    <n v="1"/>
    <n v="10"/>
    <n v="2"/>
    <n v="3"/>
    <n v="8"/>
    <n v="7"/>
    <n v="0"/>
    <n v="5"/>
    <x v="3"/>
    <x v="3"/>
    <s v="Very High"/>
    <x v="3"/>
    <s v="Excellent"/>
    <s v="Better"/>
    <n v="0"/>
    <s v="10,001+"/>
    <s v="6–10 miles"/>
    <s v="6–10 years"/>
  </r>
  <r>
    <n v="38"/>
    <x v="1"/>
    <s v="Travel_Rarely"/>
    <n v="168"/>
    <x v="1"/>
    <n v="1"/>
    <x v="3"/>
    <s v="Life Sciences"/>
    <n v="1"/>
    <n v="743"/>
    <n v="3"/>
    <s v="Female"/>
    <n v="81"/>
    <n v="3"/>
    <n v="3"/>
    <x v="3"/>
    <x v="2"/>
    <s v="Single"/>
    <n v="7861"/>
    <n v="15397"/>
    <n v="4"/>
    <s v="Y"/>
    <x v="0"/>
    <n v="14"/>
    <n v="3"/>
    <n v="4"/>
    <n v="80"/>
    <n v="0"/>
    <n v="10"/>
    <n v="4"/>
    <n v="4"/>
    <n v="1"/>
    <n v="0"/>
    <n v="0"/>
    <n v="0"/>
    <x v="3"/>
    <x v="1"/>
    <s v="High"/>
    <x v="2"/>
    <s v="Excellent"/>
    <s v="Best"/>
    <n v="0"/>
    <s v="6,001–10,000"/>
    <s v="0–5 miles"/>
    <s v="0–1 years"/>
  </r>
  <r>
    <n v="44"/>
    <x v="1"/>
    <s v="Non-Travel"/>
    <n v="381"/>
    <x v="1"/>
    <n v="24"/>
    <x v="3"/>
    <s v="Medical"/>
    <n v="1"/>
    <n v="744"/>
    <n v="1"/>
    <s v="Male"/>
    <n v="49"/>
    <n v="1"/>
    <n v="1"/>
    <x v="2"/>
    <x v="2"/>
    <s v="Single"/>
    <n v="3708"/>
    <n v="2104"/>
    <n v="2"/>
    <s v="Y"/>
    <x v="1"/>
    <n v="14"/>
    <n v="3"/>
    <n v="3"/>
    <n v="80"/>
    <n v="0"/>
    <n v="9"/>
    <n v="5"/>
    <n v="3"/>
    <n v="5"/>
    <n v="2"/>
    <n v="1"/>
    <n v="4"/>
    <x v="3"/>
    <x v="3"/>
    <s v="Low"/>
    <x v="2"/>
    <s v="Excellent"/>
    <s v="Better"/>
    <n v="0"/>
    <s v="3,001–6,000"/>
    <s v="16+ miles"/>
    <s v="2–5 years"/>
  </r>
  <r>
    <n v="47"/>
    <x v="1"/>
    <s v="Travel_Frequently"/>
    <n v="217"/>
    <x v="0"/>
    <n v="3"/>
    <x v="3"/>
    <s v="Medical"/>
    <n v="1"/>
    <n v="746"/>
    <n v="4"/>
    <s v="Female"/>
    <n v="49"/>
    <n v="3"/>
    <n v="4"/>
    <x v="0"/>
    <x v="2"/>
    <s v="Divorced"/>
    <n v="13770"/>
    <n v="10225"/>
    <n v="9"/>
    <s v="Y"/>
    <x v="0"/>
    <n v="12"/>
    <n v="3"/>
    <n v="4"/>
    <n v="80"/>
    <n v="2"/>
    <n v="28"/>
    <n v="2"/>
    <n v="2"/>
    <n v="22"/>
    <n v="2"/>
    <n v="11"/>
    <n v="13"/>
    <x v="3"/>
    <x v="2"/>
    <s v="High"/>
    <x v="2"/>
    <s v="Excellent"/>
    <s v="Good"/>
    <n v="0"/>
    <s v="10,001+"/>
    <s v="0–5 miles"/>
    <s v="11+ years"/>
  </r>
  <r>
    <n v="30"/>
    <x v="1"/>
    <s v="Travel_Rarely"/>
    <n v="501"/>
    <x v="0"/>
    <n v="27"/>
    <x v="4"/>
    <s v="Marketing"/>
    <n v="1"/>
    <n v="747"/>
    <n v="3"/>
    <s v="Male"/>
    <n v="99"/>
    <n v="3"/>
    <n v="2"/>
    <x v="0"/>
    <x v="0"/>
    <s v="Divorced"/>
    <n v="5304"/>
    <n v="25275"/>
    <n v="7"/>
    <s v="Y"/>
    <x v="1"/>
    <n v="23"/>
    <n v="4"/>
    <n v="4"/>
    <n v="80"/>
    <n v="1"/>
    <n v="10"/>
    <n v="2"/>
    <n v="2"/>
    <n v="8"/>
    <n v="7"/>
    <n v="7"/>
    <n v="7"/>
    <x v="4"/>
    <x v="1"/>
    <s v="High"/>
    <x v="0"/>
    <s v="Outstanding"/>
    <s v="Good"/>
    <n v="0"/>
    <s v="3,001–6,000"/>
    <s v="16+ miles"/>
    <s v="6–10 years"/>
  </r>
  <r>
    <n v="29"/>
    <x v="1"/>
    <s v="Travel_Rarely"/>
    <n v="1396"/>
    <x v="0"/>
    <n v="10"/>
    <x v="3"/>
    <s v="Life Sciences"/>
    <n v="1"/>
    <n v="749"/>
    <n v="3"/>
    <s v="Male"/>
    <n v="99"/>
    <n v="3"/>
    <n v="1"/>
    <x v="6"/>
    <x v="2"/>
    <s v="Single"/>
    <n v="2642"/>
    <n v="2755"/>
    <n v="1"/>
    <s v="Y"/>
    <x v="1"/>
    <n v="11"/>
    <n v="3"/>
    <n v="3"/>
    <n v="80"/>
    <n v="0"/>
    <n v="1"/>
    <n v="6"/>
    <n v="3"/>
    <n v="1"/>
    <n v="0"/>
    <n v="0"/>
    <n v="0"/>
    <x v="3"/>
    <x v="1"/>
    <s v="High"/>
    <x v="2"/>
    <s v="Excellent"/>
    <s v="Better"/>
    <n v="0"/>
    <s v="0–3,000"/>
    <s v="6–10 miles"/>
    <s v="0–1 years"/>
  </r>
  <r>
    <n v="42"/>
    <x v="0"/>
    <s v="Travel_Frequently"/>
    <n v="933"/>
    <x v="1"/>
    <n v="19"/>
    <x v="3"/>
    <s v="Medical"/>
    <n v="1"/>
    <n v="752"/>
    <n v="3"/>
    <s v="Male"/>
    <n v="57"/>
    <n v="4"/>
    <n v="1"/>
    <x v="1"/>
    <x v="2"/>
    <s v="Divorced"/>
    <n v="2759"/>
    <n v="20366"/>
    <n v="6"/>
    <s v="Y"/>
    <x v="0"/>
    <n v="12"/>
    <n v="3"/>
    <n v="4"/>
    <n v="80"/>
    <n v="0"/>
    <n v="7"/>
    <n v="2"/>
    <n v="3"/>
    <n v="2"/>
    <n v="2"/>
    <n v="2"/>
    <n v="2"/>
    <x v="3"/>
    <x v="1"/>
    <s v="Very High"/>
    <x v="2"/>
    <s v="Excellent"/>
    <s v="Better"/>
    <n v="1"/>
    <s v="0–3,000"/>
    <s v="16+ miles"/>
    <s v="2–5 years"/>
  </r>
  <r>
    <n v="43"/>
    <x v="1"/>
    <s v="Travel_Frequently"/>
    <n v="775"/>
    <x v="0"/>
    <n v="15"/>
    <x v="3"/>
    <s v="Life Sciences"/>
    <n v="1"/>
    <n v="754"/>
    <n v="4"/>
    <s v="Male"/>
    <n v="47"/>
    <n v="2"/>
    <n v="2"/>
    <x v="0"/>
    <x v="0"/>
    <s v="Married"/>
    <n v="6804"/>
    <n v="23683"/>
    <n v="3"/>
    <s v="Y"/>
    <x v="1"/>
    <n v="18"/>
    <n v="3"/>
    <n v="3"/>
    <n v="80"/>
    <n v="1"/>
    <n v="7"/>
    <n v="5"/>
    <n v="3"/>
    <n v="2"/>
    <n v="2"/>
    <n v="2"/>
    <n v="2"/>
    <x v="3"/>
    <x v="2"/>
    <s v="Medium"/>
    <x v="0"/>
    <s v="Excellent"/>
    <s v="Better"/>
    <n v="0"/>
    <s v="6,001–10,000"/>
    <s v="11–15 miles"/>
    <s v="2–5 years"/>
  </r>
  <r>
    <n v="34"/>
    <x v="1"/>
    <s v="Travel_Rarely"/>
    <n v="970"/>
    <x v="1"/>
    <n v="8"/>
    <x v="0"/>
    <s v="Medical"/>
    <n v="1"/>
    <n v="757"/>
    <n v="2"/>
    <s v="Female"/>
    <n v="96"/>
    <n v="3"/>
    <n v="2"/>
    <x v="4"/>
    <x v="2"/>
    <s v="Single"/>
    <n v="6142"/>
    <n v="7360"/>
    <n v="3"/>
    <s v="Y"/>
    <x v="1"/>
    <n v="11"/>
    <n v="3"/>
    <n v="4"/>
    <n v="80"/>
    <n v="0"/>
    <n v="10"/>
    <n v="2"/>
    <n v="3"/>
    <n v="5"/>
    <n v="1"/>
    <n v="4"/>
    <n v="3"/>
    <x v="0"/>
    <x v="0"/>
    <s v="High"/>
    <x v="2"/>
    <s v="Excellent"/>
    <s v="Better"/>
    <n v="0"/>
    <s v="6,001–10,000"/>
    <s v="6–10 miles"/>
    <s v="2–5 years"/>
  </r>
  <r>
    <n v="23"/>
    <x v="1"/>
    <s v="Travel_Rarely"/>
    <n v="650"/>
    <x v="1"/>
    <n v="9"/>
    <x v="1"/>
    <s v="Medical"/>
    <n v="1"/>
    <n v="758"/>
    <n v="2"/>
    <s v="Male"/>
    <n v="37"/>
    <n v="3"/>
    <n v="1"/>
    <x v="2"/>
    <x v="3"/>
    <s v="Married"/>
    <n v="2500"/>
    <n v="4344"/>
    <n v="1"/>
    <s v="Y"/>
    <x v="1"/>
    <n v="14"/>
    <n v="3"/>
    <n v="4"/>
    <n v="80"/>
    <n v="1"/>
    <n v="5"/>
    <n v="2"/>
    <n v="4"/>
    <n v="4"/>
    <n v="3"/>
    <n v="0"/>
    <n v="2"/>
    <x v="1"/>
    <x v="0"/>
    <s v="High"/>
    <x v="3"/>
    <s v="Excellent"/>
    <s v="Best"/>
    <n v="0"/>
    <s v="0–3,000"/>
    <s v="6–10 miles"/>
    <s v="2–5 years"/>
  </r>
  <r>
    <n v="39"/>
    <x v="1"/>
    <s v="Travel_Rarely"/>
    <n v="141"/>
    <x v="2"/>
    <n v="3"/>
    <x v="3"/>
    <s v="Human Resources"/>
    <n v="1"/>
    <n v="760"/>
    <n v="3"/>
    <s v="Female"/>
    <n v="44"/>
    <n v="4"/>
    <n v="2"/>
    <x v="8"/>
    <x v="1"/>
    <s v="Married"/>
    <n v="6389"/>
    <n v="18767"/>
    <n v="9"/>
    <s v="Y"/>
    <x v="1"/>
    <n v="15"/>
    <n v="3"/>
    <n v="3"/>
    <n v="80"/>
    <n v="1"/>
    <n v="12"/>
    <n v="3"/>
    <n v="1"/>
    <n v="8"/>
    <n v="3"/>
    <n v="3"/>
    <n v="6"/>
    <x v="3"/>
    <x v="1"/>
    <s v="Very High"/>
    <x v="1"/>
    <s v="Excellent"/>
    <s v="Bad"/>
    <n v="0"/>
    <s v="6,001–10,000"/>
    <s v="0–5 miles"/>
    <s v="6–10 years"/>
  </r>
  <r>
    <n v="56"/>
    <x v="1"/>
    <s v="Travel_Rarely"/>
    <n v="832"/>
    <x v="1"/>
    <n v="9"/>
    <x v="3"/>
    <s v="Medical"/>
    <n v="1"/>
    <n v="762"/>
    <n v="3"/>
    <s v="Male"/>
    <n v="81"/>
    <n v="3"/>
    <n v="4"/>
    <x v="4"/>
    <x v="0"/>
    <s v="Married"/>
    <n v="11103"/>
    <n v="20420"/>
    <n v="7"/>
    <s v="Y"/>
    <x v="1"/>
    <n v="11"/>
    <n v="3"/>
    <n v="3"/>
    <n v="80"/>
    <n v="0"/>
    <n v="30"/>
    <n v="1"/>
    <n v="2"/>
    <n v="10"/>
    <n v="7"/>
    <n v="1"/>
    <n v="1"/>
    <x v="3"/>
    <x v="1"/>
    <s v="High"/>
    <x v="0"/>
    <s v="Excellent"/>
    <s v="Good"/>
    <n v="0"/>
    <s v="10,001+"/>
    <s v="6–10 miles"/>
    <s v="6–10 years"/>
  </r>
  <r>
    <n v="40"/>
    <x v="1"/>
    <s v="Travel_Rarely"/>
    <n v="804"/>
    <x v="1"/>
    <n v="2"/>
    <x v="1"/>
    <s v="Medical"/>
    <n v="1"/>
    <n v="763"/>
    <n v="4"/>
    <s v="Female"/>
    <n v="86"/>
    <n v="2"/>
    <n v="1"/>
    <x v="1"/>
    <x v="0"/>
    <s v="Single"/>
    <n v="2342"/>
    <n v="22929"/>
    <n v="0"/>
    <s v="Y"/>
    <x v="0"/>
    <n v="20"/>
    <n v="4"/>
    <n v="4"/>
    <n v="80"/>
    <n v="0"/>
    <n v="5"/>
    <n v="2"/>
    <n v="2"/>
    <n v="4"/>
    <n v="2"/>
    <n v="2"/>
    <n v="3"/>
    <x v="1"/>
    <x v="2"/>
    <s v="Medium"/>
    <x v="0"/>
    <s v="Outstanding"/>
    <s v="Good"/>
    <n v="0"/>
    <s v="0–3,000"/>
    <s v="0–5 miles"/>
    <s v="2–5 years"/>
  </r>
  <r>
    <n v="27"/>
    <x v="1"/>
    <s v="Travel_Rarely"/>
    <n v="975"/>
    <x v="1"/>
    <n v="7"/>
    <x v="3"/>
    <s v="Medical"/>
    <n v="1"/>
    <n v="764"/>
    <n v="4"/>
    <s v="Female"/>
    <n v="55"/>
    <n v="2"/>
    <n v="2"/>
    <x v="4"/>
    <x v="3"/>
    <s v="Single"/>
    <n v="6811"/>
    <n v="23398"/>
    <n v="8"/>
    <s v="Y"/>
    <x v="1"/>
    <n v="19"/>
    <n v="3"/>
    <n v="1"/>
    <n v="80"/>
    <n v="0"/>
    <n v="9"/>
    <n v="2"/>
    <n v="1"/>
    <n v="7"/>
    <n v="6"/>
    <n v="0"/>
    <n v="7"/>
    <x v="3"/>
    <x v="2"/>
    <s v="Medium"/>
    <x v="3"/>
    <s v="Excellent"/>
    <s v="Bad"/>
    <n v="0"/>
    <s v="6,001–10,000"/>
    <s v="6–10 miles"/>
    <s v="6–10 years"/>
  </r>
  <r>
    <n v="29"/>
    <x v="1"/>
    <s v="Travel_Rarely"/>
    <n v="1090"/>
    <x v="0"/>
    <n v="10"/>
    <x v="3"/>
    <s v="Marketing"/>
    <n v="1"/>
    <n v="766"/>
    <n v="4"/>
    <s v="Male"/>
    <n v="83"/>
    <n v="3"/>
    <n v="1"/>
    <x v="6"/>
    <x v="1"/>
    <s v="Divorced"/>
    <n v="2297"/>
    <n v="17967"/>
    <n v="1"/>
    <s v="Y"/>
    <x v="1"/>
    <n v="14"/>
    <n v="3"/>
    <n v="4"/>
    <n v="80"/>
    <n v="2"/>
    <n v="2"/>
    <n v="2"/>
    <n v="3"/>
    <n v="2"/>
    <n v="2"/>
    <n v="2"/>
    <n v="2"/>
    <x v="3"/>
    <x v="2"/>
    <s v="High"/>
    <x v="1"/>
    <s v="Excellent"/>
    <s v="Better"/>
    <n v="0"/>
    <s v="0–3,000"/>
    <s v="6–10 miles"/>
    <s v="2–5 years"/>
  </r>
  <r>
    <n v="53"/>
    <x v="1"/>
    <s v="Travel_Rarely"/>
    <n v="346"/>
    <x v="1"/>
    <n v="6"/>
    <x v="3"/>
    <s v="Life Sciences"/>
    <n v="1"/>
    <n v="769"/>
    <n v="4"/>
    <s v="Male"/>
    <n v="86"/>
    <n v="3"/>
    <n v="2"/>
    <x v="2"/>
    <x v="0"/>
    <s v="Single"/>
    <n v="2450"/>
    <n v="10919"/>
    <n v="2"/>
    <s v="Y"/>
    <x v="1"/>
    <n v="17"/>
    <n v="3"/>
    <n v="4"/>
    <n v="80"/>
    <n v="0"/>
    <n v="19"/>
    <n v="4"/>
    <n v="3"/>
    <n v="2"/>
    <n v="2"/>
    <n v="2"/>
    <n v="2"/>
    <x v="3"/>
    <x v="2"/>
    <s v="High"/>
    <x v="0"/>
    <s v="Excellent"/>
    <s v="Better"/>
    <n v="0"/>
    <s v="0–3,000"/>
    <s v="6–10 miles"/>
    <s v="2–5 years"/>
  </r>
  <r>
    <n v="35"/>
    <x v="1"/>
    <s v="Non-Travel"/>
    <n v="1225"/>
    <x v="1"/>
    <n v="2"/>
    <x v="2"/>
    <s v="Life Sciences"/>
    <n v="1"/>
    <n v="771"/>
    <n v="4"/>
    <s v="Female"/>
    <n v="61"/>
    <n v="3"/>
    <n v="2"/>
    <x v="4"/>
    <x v="3"/>
    <s v="Divorced"/>
    <n v="5093"/>
    <n v="4761"/>
    <n v="2"/>
    <s v="Y"/>
    <x v="1"/>
    <n v="11"/>
    <n v="3"/>
    <n v="1"/>
    <n v="80"/>
    <n v="1"/>
    <n v="16"/>
    <n v="2"/>
    <n v="4"/>
    <n v="1"/>
    <n v="0"/>
    <n v="0"/>
    <n v="0"/>
    <x v="2"/>
    <x v="2"/>
    <s v="High"/>
    <x v="3"/>
    <s v="Excellent"/>
    <s v="Best"/>
    <n v="0"/>
    <s v="3,001–6,000"/>
    <s v="0–5 miles"/>
    <s v="0–1 years"/>
  </r>
  <r>
    <n v="32"/>
    <x v="1"/>
    <s v="Travel_Frequently"/>
    <n v="430"/>
    <x v="1"/>
    <n v="24"/>
    <x v="2"/>
    <s v="Life Sciences"/>
    <n v="1"/>
    <n v="772"/>
    <n v="1"/>
    <s v="Male"/>
    <n v="80"/>
    <n v="3"/>
    <n v="2"/>
    <x v="2"/>
    <x v="0"/>
    <s v="Married"/>
    <n v="5309"/>
    <n v="21146"/>
    <n v="1"/>
    <s v="Y"/>
    <x v="1"/>
    <n v="15"/>
    <n v="3"/>
    <n v="4"/>
    <n v="80"/>
    <n v="2"/>
    <n v="10"/>
    <n v="2"/>
    <n v="3"/>
    <n v="10"/>
    <n v="8"/>
    <n v="4"/>
    <n v="7"/>
    <x v="2"/>
    <x v="3"/>
    <s v="High"/>
    <x v="0"/>
    <s v="Excellent"/>
    <s v="Better"/>
    <n v="0"/>
    <s v="3,001–6,000"/>
    <s v="16+ miles"/>
    <s v="6–10 years"/>
  </r>
  <r>
    <n v="38"/>
    <x v="1"/>
    <s v="Travel_Rarely"/>
    <n v="268"/>
    <x v="1"/>
    <n v="2"/>
    <x v="4"/>
    <s v="Medical"/>
    <n v="1"/>
    <n v="773"/>
    <n v="4"/>
    <s v="Male"/>
    <n v="92"/>
    <n v="3"/>
    <n v="1"/>
    <x v="1"/>
    <x v="2"/>
    <s v="Married"/>
    <n v="3057"/>
    <n v="20471"/>
    <n v="6"/>
    <s v="Y"/>
    <x v="0"/>
    <n v="13"/>
    <n v="3"/>
    <n v="2"/>
    <n v="80"/>
    <n v="1"/>
    <n v="6"/>
    <n v="0"/>
    <n v="1"/>
    <n v="1"/>
    <n v="0"/>
    <n v="0"/>
    <n v="1"/>
    <x v="4"/>
    <x v="2"/>
    <s v="High"/>
    <x v="2"/>
    <s v="Excellent"/>
    <s v="Bad"/>
    <n v="0"/>
    <s v="3,001–6,000"/>
    <s v="0–5 miles"/>
    <s v="0–1 years"/>
  </r>
  <r>
    <n v="34"/>
    <x v="1"/>
    <s v="Travel_Rarely"/>
    <n v="167"/>
    <x v="1"/>
    <n v="8"/>
    <x v="4"/>
    <s v="Life Sciences"/>
    <n v="1"/>
    <n v="775"/>
    <n v="2"/>
    <s v="Female"/>
    <n v="32"/>
    <n v="3"/>
    <n v="2"/>
    <x v="3"/>
    <x v="3"/>
    <s v="Divorced"/>
    <n v="5121"/>
    <n v="4187"/>
    <n v="3"/>
    <s v="Y"/>
    <x v="1"/>
    <n v="14"/>
    <n v="3"/>
    <n v="3"/>
    <n v="80"/>
    <n v="1"/>
    <n v="7"/>
    <n v="3"/>
    <n v="3"/>
    <n v="0"/>
    <n v="0"/>
    <n v="0"/>
    <n v="0"/>
    <x v="4"/>
    <x v="0"/>
    <s v="High"/>
    <x v="3"/>
    <s v="Excellent"/>
    <s v="Better"/>
    <n v="0"/>
    <s v="3,001–6,000"/>
    <s v="6–10 miles"/>
    <s v="0–1 years"/>
  </r>
  <r>
    <n v="52"/>
    <x v="1"/>
    <s v="Travel_Rarely"/>
    <n v="621"/>
    <x v="0"/>
    <n v="3"/>
    <x v="2"/>
    <s v="Marketing"/>
    <n v="1"/>
    <n v="776"/>
    <n v="3"/>
    <s v="Male"/>
    <n v="31"/>
    <n v="2"/>
    <n v="4"/>
    <x v="5"/>
    <x v="3"/>
    <s v="Married"/>
    <n v="16856"/>
    <n v="10084"/>
    <n v="1"/>
    <s v="Y"/>
    <x v="1"/>
    <n v="11"/>
    <n v="3"/>
    <n v="1"/>
    <n v="80"/>
    <n v="0"/>
    <n v="34"/>
    <n v="3"/>
    <n v="4"/>
    <n v="34"/>
    <n v="6"/>
    <n v="1"/>
    <n v="16"/>
    <x v="2"/>
    <x v="1"/>
    <s v="Medium"/>
    <x v="3"/>
    <s v="Excellent"/>
    <s v="Best"/>
    <n v="0"/>
    <s v="10,001+"/>
    <s v="0–5 miles"/>
    <s v="11+ years"/>
  </r>
  <r>
    <n v="33"/>
    <x v="0"/>
    <s v="Travel_Rarely"/>
    <n v="527"/>
    <x v="1"/>
    <n v="1"/>
    <x v="2"/>
    <s v="Other"/>
    <n v="1"/>
    <n v="780"/>
    <n v="4"/>
    <s v="Male"/>
    <n v="63"/>
    <n v="3"/>
    <n v="1"/>
    <x v="1"/>
    <x v="0"/>
    <s v="Single"/>
    <n v="2686"/>
    <n v="5207"/>
    <n v="1"/>
    <s v="Y"/>
    <x v="0"/>
    <n v="13"/>
    <n v="3"/>
    <n v="3"/>
    <n v="80"/>
    <n v="0"/>
    <n v="10"/>
    <n v="2"/>
    <n v="2"/>
    <n v="10"/>
    <n v="9"/>
    <n v="7"/>
    <n v="8"/>
    <x v="2"/>
    <x v="2"/>
    <s v="High"/>
    <x v="0"/>
    <s v="Excellent"/>
    <s v="Good"/>
    <n v="1"/>
    <s v="0–3,000"/>
    <s v="0–5 miles"/>
    <s v="6–10 years"/>
  </r>
  <r>
    <n v="25"/>
    <x v="1"/>
    <s v="Travel_Rarely"/>
    <n v="883"/>
    <x v="0"/>
    <n v="26"/>
    <x v="1"/>
    <s v="Medical"/>
    <n v="1"/>
    <n v="781"/>
    <n v="3"/>
    <s v="Female"/>
    <n v="32"/>
    <n v="3"/>
    <n v="2"/>
    <x v="0"/>
    <x v="0"/>
    <s v="Single"/>
    <n v="6180"/>
    <n v="22807"/>
    <n v="1"/>
    <s v="Y"/>
    <x v="1"/>
    <n v="23"/>
    <n v="4"/>
    <n v="2"/>
    <n v="80"/>
    <n v="0"/>
    <n v="6"/>
    <n v="5"/>
    <n v="2"/>
    <n v="6"/>
    <n v="5"/>
    <n v="1"/>
    <n v="4"/>
    <x v="1"/>
    <x v="1"/>
    <s v="High"/>
    <x v="0"/>
    <s v="Outstanding"/>
    <s v="Good"/>
    <n v="0"/>
    <s v="6,001–10,000"/>
    <s v="16+ miles"/>
    <s v="6–10 years"/>
  </r>
  <r>
    <n v="45"/>
    <x v="1"/>
    <s v="Travel_Rarely"/>
    <n v="954"/>
    <x v="0"/>
    <n v="2"/>
    <x v="0"/>
    <s v="Technical Degree"/>
    <n v="1"/>
    <n v="783"/>
    <n v="2"/>
    <s v="Male"/>
    <n v="46"/>
    <n v="1"/>
    <n v="2"/>
    <x v="6"/>
    <x v="2"/>
    <s v="Single"/>
    <n v="6632"/>
    <n v="12388"/>
    <n v="0"/>
    <s v="Y"/>
    <x v="1"/>
    <n v="13"/>
    <n v="3"/>
    <n v="1"/>
    <n v="80"/>
    <n v="0"/>
    <n v="9"/>
    <n v="3"/>
    <n v="3"/>
    <n v="8"/>
    <n v="7"/>
    <n v="3"/>
    <n v="1"/>
    <x v="0"/>
    <x v="0"/>
    <s v="Low"/>
    <x v="2"/>
    <s v="Excellent"/>
    <s v="Better"/>
    <n v="0"/>
    <s v="6,001–10,000"/>
    <s v="0–5 miles"/>
    <s v="6–10 years"/>
  </r>
  <r>
    <n v="23"/>
    <x v="1"/>
    <s v="Travel_Rarely"/>
    <n v="310"/>
    <x v="1"/>
    <n v="10"/>
    <x v="1"/>
    <s v="Medical"/>
    <n v="1"/>
    <n v="784"/>
    <n v="1"/>
    <s v="Male"/>
    <n v="79"/>
    <n v="4"/>
    <n v="1"/>
    <x v="1"/>
    <x v="2"/>
    <s v="Single"/>
    <n v="3505"/>
    <n v="19630"/>
    <n v="1"/>
    <s v="Y"/>
    <x v="1"/>
    <n v="18"/>
    <n v="3"/>
    <n v="4"/>
    <n v="80"/>
    <n v="0"/>
    <n v="2"/>
    <n v="3"/>
    <n v="3"/>
    <n v="2"/>
    <n v="2"/>
    <n v="0"/>
    <n v="2"/>
    <x v="1"/>
    <x v="3"/>
    <s v="Very High"/>
    <x v="2"/>
    <s v="Excellent"/>
    <s v="Better"/>
    <n v="0"/>
    <s v="3,001–6,000"/>
    <s v="6–10 miles"/>
    <s v="2–5 years"/>
  </r>
  <r>
    <n v="47"/>
    <x v="0"/>
    <s v="Travel_Frequently"/>
    <n v="719"/>
    <x v="0"/>
    <n v="27"/>
    <x v="0"/>
    <s v="Life Sciences"/>
    <n v="1"/>
    <n v="785"/>
    <n v="2"/>
    <s v="Female"/>
    <n v="77"/>
    <n v="4"/>
    <n v="2"/>
    <x v="0"/>
    <x v="2"/>
    <s v="Single"/>
    <n v="6397"/>
    <n v="10339"/>
    <n v="4"/>
    <s v="Y"/>
    <x v="0"/>
    <n v="12"/>
    <n v="3"/>
    <n v="4"/>
    <n v="80"/>
    <n v="0"/>
    <n v="8"/>
    <n v="2"/>
    <n v="3"/>
    <n v="5"/>
    <n v="4"/>
    <n v="1"/>
    <n v="3"/>
    <x v="0"/>
    <x v="0"/>
    <s v="Very High"/>
    <x v="2"/>
    <s v="Excellent"/>
    <s v="Better"/>
    <n v="1"/>
    <s v="6,001–10,000"/>
    <s v="16+ miles"/>
    <s v="2–5 years"/>
  </r>
  <r>
    <n v="34"/>
    <x v="1"/>
    <s v="Travel_Rarely"/>
    <n v="304"/>
    <x v="0"/>
    <n v="2"/>
    <x v="3"/>
    <s v="Other"/>
    <n v="1"/>
    <n v="786"/>
    <n v="4"/>
    <s v="Male"/>
    <n v="60"/>
    <n v="3"/>
    <n v="2"/>
    <x v="0"/>
    <x v="0"/>
    <s v="Single"/>
    <n v="6274"/>
    <n v="18686"/>
    <n v="1"/>
    <s v="Y"/>
    <x v="1"/>
    <n v="22"/>
    <n v="4"/>
    <n v="3"/>
    <n v="80"/>
    <n v="0"/>
    <n v="6"/>
    <n v="5"/>
    <n v="3"/>
    <n v="6"/>
    <n v="5"/>
    <n v="1"/>
    <n v="4"/>
    <x v="3"/>
    <x v="2"/>
    <s v="High"/>
    <x v="0"/>
    <s v="Outstanding"/>
    <s v="Better"/>
    <n v="0"/>
    <s v="6,001–10,000"/>
    <s v="0–5 miles"/>
    <s v="6–10 years"/>
  </r>
  <r>
    <n v="55"/>
    <x v="0"/>
    <s v="Travel_Rarely"/>
    <n v="725"/>
    <x v="1"/>
    <n v="2"/>
    <x v="3"/>
    <s v="Medical"/>
    <n v="1"/>
    <n v="787"/>
    <n v="4"/>
    <s v="Male"/>
    <n v="78"/>
    <n v="3"/>
    <n v="5"/>
    <x v="5"/>
    <x v="3"/>
    <s v="Married"/>
    <n v="19859"/>
    <n v="21199"/>
    <n v="5"/>
    <s v="Y"/>
    <x v="0"/>
    <n v="13"/>
    <n v="3"/>
    <n v="4"/>
    <n v="80"/>
    <n v="1"/>
    <n v="24"/>
    <n v="2"/>
    <n v="3"/>
    <n v="5"/>
    <n v="2"/>
    <n v="1"/>
    <n v="4"/>
    <x v="3"/>
    <x v="2"/>
    <s v="High"/>
    <x v="3"/>
    <s v="Excellent"/>
    <s v="Better"/>
    <n v="1"/>
    <s v="10,001+"/>
    <s v="0–5 miles"/>
    <s v="2–5 years"/>
  </r>
  <r>
    <n v="36"/>
    <x v="1"/>
    <s v="Non-Travel"/>
    <n v="1434"/>
    <x v="0"/>
    <n v="8"/>
    <x v="2"/>
    <s v="Life Sciences"/>
    <n v="1"/>
    <n v="789"/>
    <n v="1"/>
    <s v="Male"/>
    <n v="76"/>
    <n v="2"/>
    <n v="3"/>
    <x v="0"/>
    <x v="3"/>
    <s v="Single"/>
    <n v="7587"/>
    <n v="14229"/>
    <n v="1"/>
    <s v="Y"/>
    <x v="1"/>
    <n v="15"/>
    <n v="3"/>
    <n v="2"/>
    <n v="80"/>
    <n v="0"/>
    <n v="10"/>
    <n v="1"/>
    <n v="3"/>
    <n v="10"/>
    <n v="7"/>
    <n v="0"/>
    <n v="9"/>
    <x v="2"/>
    <x v="3"/>
    <s v="Medium"/>
    <x v="3"/>
    <s v="Excellent"/>
    <s v="Better"/>
    <n v="0"/>
    <s v="6,001–10,000"/>
    <s v="6–10 miles"/>
    <s v="6–10 years"/>
  </r>
  <r>
    <n v="52"/>
    <x v="1"/>
    <s v="Non-Travel"/>
    <n v="715"/>
    <x v="1"/>
    <n v="19"/>
    <x v="2"/>
    <s v="Medical"/>
    <n v="1"/>
    <n v="791"/>
    <n v="4"/>
    <s v="Male"/>
    <n v="41"/>
    <n v="3"/>
    <n v="1"/>
    <x v="1"/>
    <x v="0"/>
    <s v="Married"/>
    <n v="4258"/>
    <n v="26589"/>
    <n v="0"/>
    <s v="Y"/>
    <x v="1"/>
    <n v="18"/>
    <n v="3"/>
    <n v="1"/>
    <n v="80"/>
    <n v="1"/>
    <n v="5"/>
    <n v="3"/>
    <n v="3"/>
    <n v="4"/>
    <n v="3"/>
    <n v="1"/>
    <n v="2"/>
    <x v="2"/>
    <x v="2"/>
    <s v="High"/>
    <x v="0"/>
    <s v="Excellent"/>
    <s v="Better"/>
    <n v="0"/>
    <s v="3,001–6,000"/>
    <s v="16+ miles"/>
    <s v="2–5 years"/>
  </r>
  <r>
    <n v="26"/>
    <x v="1"/>
    <s v="Travel_Frequently"/>
    <n v="575"/>
    <x v="1"/>
    <n v="1"/>
    <x v="0"/>
    <s v="Life Sciences"/>
    <n v="1"/>
    <n v="792"/>
    <n v="1"/>
    <s v="Female"/>
    <n v="71"/>
    <n v="1"/>
    <n v="1"/>
    <x v="2"/>
    <x v="0"/>
    <s v="Divorced"/>
    <n v="4364"/>
    <n v="5288"/>
    <n v="3"/>
    <s v="Y"/>
    <x v="1"/>
    <n v="14"/>
    <n v="3"/>
    <n v="1"/>
    <n v="80"/>
    <n v="1"/>
    <n v="5"/>
    <n v="2"/>
    <n v="3"/>
    <n v="2"/>
    <n v="2"/>
    <n v="2"/>
    <n v="0"/>
    <x v="0"/>
    <x v="3"/>
    <s v="Low"/>
    <x v="0"/>
    <s v="Excellent"/>
    <s v="Better"/>
    <n v="0"/>
    <s v="3,001–6,000"/>
    <s v="0–5 miles"/>
    <s v="2–5 years"/>
  </r>
  <r>
    <n v="29"/>
    <x v="1"/>
    <s v="Travel_Rarely"/>
    <n v="657"/>
    <x v="1"/>
    <n v="27"/>
    <x v="3"/>
    <s v="Medical"/>
    <n v="1"/>
    <n v="793"/>
    <n v="2"/>
    <s v="Female"/>
    <n v="66"/>
    <n v="3"/>
    <n v="2"/>
    <x v="4"/>
    <x v="2"/>
    <s v="Married"/>
    <n v="4335"/>
    <n v="25549"/>
    <n v="4"/>
    <s v="Y"/>
    <x v="1"/>
    <n v="12"/>
    <n v="3"/>
    <n v="1"/>
    <n v="80"/>
    <n v="1"/>
    <n v="11"/>
    <n v="3"/>
    <n v="2"/>
    <n v="8"/>
    <n v="7"/>
    <n v="1"/>
    <n v="1"/>
    <x v="3"/>
    <x v="0"/>
    <s v="High"/>
    <x v="2"/>
    <s v="Excellent"/>
    <s v="Good"/>
    <n v="0"/>
    <s v="3,001–6,000"/>
    <s v="16+ miles"/>
    <s v="6–10 years"/>
  </r>
  <r>
    <n v="26"/>
    <x v="0"/>
    <s v="Travel_Rarely"/>
    <n v="1146"/>
    <x v="0"/>
    <n v="8"/>
    <x v="3"/>
    <s v="Technical Degree"/>
    <n v="1"/>
    <n v="796"/>
    <n v="4"/>
    <s v="Male"/>
    <n v="38"/>
    <n v="2"/>
    <n v="2"/>
    <x v="0"/>
    <x v="3"/>
    <s v="Single"/>
    <n v="5326"/>
    <n v="3064"/>
    <n v="6"/>
    <s v="Y"/>
    <x v="1"/>
    <n v="17"/>
    <n v="3"/>
    <n v="3"/>
    <n v="80"/>
    <n v="0"/>
    <n v="6"/>
    <n v="2"/>
    <n v="2"/>
    <n v="4"/>
    <n v="3"/>
    <n v="1"/>
    <n v="2"/>
    <x v="3"/>
    <x v="2"/>
    <s v="Medium"/>
    <x v="3"/>
    <s v="Excellent"/>
    <s v="Good"/>
    <n v="1"/>
    <s v="3,001–6,000"/>
    <s v="6–10 miles"/>
    <s v="2–5 years"/>
  </r>
  <r>
    <n v="34"/>
    <x v="1"/>
    <s v="Travel_Rarely"/>
    <n v="182"/>
    <x v="1"/>
    <n v="1"/>
    <x v="2"/>
    <s v="Life Sciences"/>
    <n v="1"/>
    <n v="797"/>
    <n v="2"/>
    <s v="Female"/>
    <n v="72"/>
    <n v="4"/>
    <n v="1"/>
    <x v="1"/>
    <x v="0"/>
    <s v="Single"/>
    <n v="3280"/>
    <n v="13551"/>
    <n v="2"/>
    <s v="Y"/>
    <x v="1"/>
    <n v="16"/>
    <n v="3"/>
    <n v="3"/>
    <n v="80"/>
    <n v="0"/>
    <n v="10"/>
    <n v="2"/>
    <n v="3"/>
    <n v="4"/>
    <n v="2"/>
    <n v="1"/>
    <n v="3"/>
    <x v="2"/>
    <x v="0"/>
    <s v="Very High"/>
    <x v="0"/>
    <s v="Excellent"/>
    <s v="Better"/>
    <n v="0"/>
    <s v="3,001–6,000"/>
    <s v="0–5 miles"/>
    <s v="2–5 years"/>
  </r>
  <r>
    <n v="54"/>
    <x v="1"/>
    <s v="Travel_Rarely"/>
    <n v="376"/>
    <x v="1"/>
    <n v="19"/>
    <x v="2"/>
    <s v="Medical"/>
    <n v="1"/>
    <n v="799"/>
    <n v="4"/>
    <s v="Female"/>
    <n v="95"/>
    <n v="3"/>
    <n v="2"/>
    <x v="3"/>
    <x v="3"/>
    <s v="Divorced"/>
    <n v="5485"/>
    <n v="22670"/>
    <n v="9"/>
    <s v="Y"/>
    <x v="0"/>
    <n v="11"/>
    <n v="3"/>
    <n v="2"/>
    <n v="80"/>
    <n v="2"/>
    <n v="9"/>
    <n v="4"/>
    <n v="3"/>
    <n v="5"/>
    <n v="3"/>
    <n v="1"/>
    <n v="4"/>
    <x v="2"/>
    <x v="2"/>
    <s v="High"/>
    <x v="3"/>
    <s v="Excellent"/>
    <s v="Better"/>
    <n v="0"/>
    <s v="3,001–6,000"/>
    <s v="16+ miles"/>
    <s v="2–5 years"/>
  </r>
  <r>
    <n v="27"/>
    <x v="1"/>
    <s v="Travel_Frequently"/>
    <n v="829"/>
    <x v="0"/>
    <n v="8"/>
    <x v="1"/>
    <s v="Marketing"/>
    <n v="1"/>
    <n v="800"/>
    <n v="3"/>
    <s v="Male"/>
    <n v="84"/>
    <n v="3"/>
    <n v="2"/>
    <x v="0"/>
    <x v="0"/>
    <s v="Married"/>
    <n v="4342"/>
    <n v="24008"/>
    <n v="0"/>
    <s v="Y"/>
    <x v="1"/>
    <n v="19"/>
    <n v="3"/>
    <n v="2"/>
    <n v="80"/>
    <n v="1"/>
    <n v="5"/>
    <n v="3"/>
    <n v="3"/>
    <n v="4"/>
    <n v="2"/>
    <n v="1"/>
    <n v="1"/>
    <x v="1"/>
    <x v="1"/>
    <s v="High"/>
    <x v="0"/>
    <s v="Excellent"/>
    <s v="Better"/>
    <n v="0"/>
    <s v="3,001–6,000"/>
    <s v="6–10 miles"/>
    <s v="2–5 years"/>
  </r>
  <r>
    <n v="37"/>
    <x v="1"/>
    <s v="Travel_Rarely"/>
    <n v="571"/>
    <x v="1"/>
    <n v="10"/>
    <x v="1"/>
    <s v="Life Sciences"/>
    <n v="1"/>
    <n v="802"/>
    <n v="4"/>
    <s v="Female"/>
    <n v="82"/>
    <n v="3"/>
    <n v="1"/>
    <x v="1"/>
    <x v="3"/>
    <s v="Divorced"/>
    <n v="2782"/>
    <n v="19905"/>
    <n v="0"/>
    <s v="Y"/>
    <x v="0"/>
    <n v="13"/>
    <n v="3"/>
    <n v="2"/>
    <n v="80"/>
    <n v="2"/>
    <n v="6"/>
    <n v="3"/>
    <n v="2"/>
    <n v="5"/>
    <n v="3"/>
    <n v="4"/>
    <n v="3"/>
    <x v="1"/>
    <x v="2"/>
    <s v="High"/>
    <x v="3"/>
    <s v="Excellent"/>
    <s v="Good"/>
    <n v="0"/>
    <s v="0–3,000"/>
    <s v="6–10 miles"/>
    <s v="2–5 years"/>
  </r>
  <r>
    <n v="38"/>
    <x v="1"/>
    <s v="Travel_Frequently"/>
    <n v="240"/>
    <x v="1"/>
    <n v="2"/>
    <x v="2"/>
    <s v="Life Sciences"/>
    <n v="1"/>
    <n v="803"/>
    <n v="1"/>
    <s v="Female"/>
    <n v="75"/>
    <n v="4"/>
    <n v="2"/>
    <x v="3"/>
    <x v="3"/>
    <s v="Single"/>
    <n v="5980"/>
    <n v="26085"/>
    <n v="6"/>
    <s v="Y"/>
    <x v="0"/>
    <n v="12"/>
    <n v="3"/>
    <n v="4"/>
    <n v="80"/>
    <n v="0"/>
    <n v="17"/>
    <n v="2"/>
    <n v="3"/>
    <n v="15"/>
    <n v="7"/>
    <n v="4"/>
    <n v="12"/>
    <x v="2"/>
    <x v="3"/>
    <s v="Very High"/>
    <x v="3"/>
    <s v="Excellent"/>
    <s v="Better"/>
    <n v="0"/>
    <s v="3,001–6,000"/>
    <s v="0–5 miles"/>
    <s v="11+ years"/>
  </r>
  <r>
    <n v="34"/>
    <x v="1"/>
    <s v="Travel_Rarely"/>
    <n v="121"/>
    <x v="1"/>
    <n v="2"/>
    <x v="2"/>
    <s v="Medical"/>
    <n v="1"/>
    <n v="804"/>
    <n v="3"/>
    <s v="Female"/>
    <n v="86"/>
    <n v="2"/>
    <n v="1"/>
    <x v="1"/>
    <x v="3"/>
    <s v="Single"/>
    <n v="4381"/>
    <n v="7530"/>
    <n v="1"/>
    <s v="Y"/>
    <x v="1"/>
    <n v="11"/>
    <n v="3"/>
    <n v="3"/>
    <n v="80"/>
    <n v="0"/>
    <n v="6"/>
    <n v="3"/>
    <n v="3"/>
    <n v="6"/>
    <n v="5"/>
    <n v="1"/>
    <n v="3"/>
    <x v="2"/>
    <x v="1"/>
    <s v="Medium"/>
    <x v="3"/>
    <s v="Excellent"/>
    <s v="Better"/>
    <n v="0"/>
    <s v="3,001–6,000"/>
    <s v="0–5 miles"/>
    <s v="6–10 years"/>
  </r>
  <r>
    <n v="35"/>
    <x v="1"/>
    <s v="Travel_Rarely"/>
    <n v="384"/>
    <x v="0"/>
    <n v="8"/>
    <x v="2"/>
    <s v="Life Sciences"/>
    <n v="1"/>
    <n v="805"/>
    <n v="1"/>
    <s v="Female"/>
    <n v="72"/>
    <n v="3"/>
    <n v="1"/>
    <x v="6"/>
    <x v="0"/>
    <s v="Married"/>
    <n v="2572"/>
    <n v="20317"/>
    <n v="1"/>
    <s v="Y"/>
    <x v="1"/>
    <n v="16"/>
    <n v="3"/>
    <n v="2"/>
    <n v="80"/>
    <n v="1"/>
    <n v="3"/>
    <n v="1"/>
    <n v="2"/>
    <n v="3"/>
    <n v="2"/>
    <n v="0"/>
    <n v="2"/>
    <x v="2"/>
    <x v="3"/>
    <s v="High"/>
    <x v="0"/>
    <s v="Excellent"/>
    <s v="Good"/>
    <n v="0"/>
    <s v="0–3,000"/>
    <s v="6–10 miles"/>
    <s v="2–5 years"/>
  </r>
  <r>
    <n v="30"/>
    <x v="1"/>
    <s v="Travel_Rarely"/>
    <n v="921"/>
    <x v="1"/>
    <n v="1"/>
    <x v="3"/>
    <s v="Life Sciences"/>
    <n v="1"/>
    <n v="806"/>
    <n v="4"/>
    <s v="Male"/>
    <n v="38"/>
    <n v="1"/>
    <n v="1"/>
    <x v="2"/>
    <x v="2"/>
    <s v="Married"/>
    <n v="3833"/>
    <n v="24375"/>
    <n v="3"/>
    <s v="Y"/>
    <x v="1"/>
    <n v="21"/>
    <n v="4"/>
    <n v="3"/>
    <n v="80"/>
    <n v="2"/>
    <n v="7"/>
    <n v="2"/>
    <n v="3"/>
    <n v="2"/>
    <n v="2"/>
    <n v="0"/>
    <n v="2"/>
    <x v="3"/>
    <x v="2"/>
    <s v="Low"/>
    <x v="2"/>
    <s v="Outstanding"/>
    <s v="Better"/>
    <n v="0"/>
    <s v="3,001–6,000"/>
    <s v="0–5 miles"/>
    <s v="2–5 years"/>
  </r>
  <r>
    <n v="40"/>
    <x v="1"/>
    <s v="Travel_Frequently"/>
    <n v="791"/>
    <x v="1"/>
    <n v="2"/>
    <x v="0"/>
    <s v="Medical"/>
    <n v="1"/>
    <n v="807"/>
    <n v="3"/>
    <s v="Female"/>
    <n v="38"/>
    <n v="4"/>
    <n v="2"/>
    <x v="4"/>
    <x v="1"/>
    <s v="Married"/>
    <n v="4244"/>
    <n v="9931"/>
    <n v="1"/>
    <s v="Y"/>
    <x v="1"/>
    <n v="24"/>
    <n v="4"/>
    <n v="4"/>
    <n v="80"/>
    <n v="1"/>
    <n v="8"/>
    <n v="2"/>
    <n v="3"/>
    <n v="8"/>
    <n v="7"/>
    <n v="3"/>
    <n v="7"/>
    <x v="0"/>
    <x v="1"/>
    <s v="Very High"/>
    <x v="1"/>
    <s v="Outstanding"/>
    <s v="Better"/>
    <n v="0"/>
    <s v="3,001–6,000"/>
    <s v="0–5 miles"/>
    <s v="6–10 years"/>
  </r>
  <r>
    <n v="34"/>
    <x v="1"/>
    <s v="Travel_Rarely"/>
    <n v="1111"/>
    <x v="0"/>
    <n v="8"/>
    <x v="0"/>
    <s v="Life Sciences"/>
    <n v="1"/>
    <n v="808"/>
    <n v="3"/>
    <s v="Female"/>
    <n v="93"/>
    <n v="3"/>
    <n v="2"/>
    <x v="0"/>
    <x v="3"/>
    <s v="Married"/>
    <n v="6500"/>
    <n v="13305"/>
    <n v="5"/>
    <s v="Y"/>
    <x v="1"/>
    <n v="17"/>
    <n v="3"/>
    <n v="2"/>
    <n v="80"/>
    <n v="1"/>
    <n v="6"/>
    <n v="1"/>
    <n v="3"/>
    <n v="3"/>
    <n v="2"/>
    <n v="1"/>
    <n v="2"/>
    <x v="0"/>
    <x v="1"/>
    <s v="High"/>
    <x v="3"/>
    <s v="Excellent"/>
    <s v="Better"/>
    <n v="0"/>
    <s v="6,001–10,000"/>
    <s v="6–10 miles"/>
    <s v="2–5 years"/>
  </r>
  <r>
    <n v="42"/>
    <x v="1"/>
    <s v="Travel_Frequently"/>
    <n v="570"/>
    <x v="1"/>
    <n v="8"/>
    <x v="3"/>
    <s v="Life Sciences"/>
    <n v="1"/>
    <n v="809"/>
    <n v="2"/>
    <s v="Male"/>
    <n v="66"/>
    <n v="3"/>
    <n v="5"/>
    <x v="5"/>
    <x v="0"/>
    <s v="Divorced"/>
    <n v="18430"/>
    <n v="16225"/>
    <n v="1"/>
    <s v="Y"/>
    <x v="1"/>
    <n v="13"/>
    <n v="3"/>
    <n v="2"/>
    <n v="80"/>
    <n v="1"/>
    <n v="24"/>
    <n v="4"/>
    <n v="2"/>
    <n v="24"/>
    <n v="7"/>
    <n v="14"/>
    <n v="9"/>
    <x v="3"/>
    <x v="0"/>
    <s v="High"/>
    <x v="0"/>
    <s v="Excellent"/>
    <s v="Good"/>
    <n v="0"/>
    <s v="10,001+"/>
    <s v="6–10 miles"/>
    <s v="11+ years"/>
  </r>
  <r>
    <n v="23"/>
    <x v="0"/>
    <s v="Travel_Rarely"/>
    <n v="1243"/>
    <x v="1"/>
    <n v="6"/>
    <x v="3"/>
    <s v="Life Sciences"/>
    <n v="1"/>
    <n v="811"/>
    <n v="3"/>
    <s v="Male"/>
    <n v="63"/>
    <n v="4"/>
    <n v="1"/>
    <x v="2"/>
    <x v="3"/>
    <s v="Married"/>
    <n v="1601"/>
    <n v="3445"/>
    <n v="1"/>
    <s v="Y"/>
    <x v="0"/>
    <n v="21"/>
    <n v="4"/>
    <n v="3"/>
    <n v="80"/>
    <n v="2"/>
    <n v="1"/>
    <n v="2"/>
    <n v="3"/>
    <n v="0"/>
    <n v="0"/>
    <n v="0"/>
    <n v="0"/>
    <x v="3"/>
    <x v="1"/>
    <s v="Very High"/>
    <x v="3"/>
    <s v="Outstanding"/>
    <s v="Better"/>
    <n v="1"/>
    <s v="0–3,000"/>
    <s v="6–10 miles"/>
    <s v="0–1 years"/>
  </r>
  <r>
    <n v="24"/>
    <x v="1"/>
    <s v="Non-Travel"/>
    <n v="1092"/>
    <x v="1"/>
    <n v="9"/>
    <x v="3"/>
    <s v="Life Sciences"/>
    <n v="1"/>
    <n v="812"/>
    <n v="3"/>
    <s v="Male"/>
    <n v="60"/>
    <n v="2"/>
    <n v="1"/>
    <x v="2"/>
    <x v="1"/>
    <s v="Divorced"/>
    <n v="2694"/>
    <n v="26551"/>
    <n v="1"/>
    <s v="Y"/>
    <x v="1"/>
    <n v="11"/>
    <n v="3"/>
    <n v="3"/>
    <n v="80"/>
    <n v="3"/>
    <n v="1"/>
    <n v="4"/>
    <n v="3"/>
    <n v="1"/>
    <n v="0"/>
    <n v="0"/>
    <n v="0"/>
    <x v="3"/>
    <x v="1"/>
    <s v="Medium"/>
    <x v="1"/>
    <s v="Excellent"/>
    <s v="Better"/>
    <n v="0"/>
    <s v="0–3,000"/>
    <s v="6–10 miles"/>
    <s v="0–1 years"/>
  </r>
  <r>
    <n v="52"/>
    <x v="1"/>
    <s v="Travel_Rarely"/>
    <n v="1325"/>
    <x v="1"/>
    <n v="11"/>
    <x v="2"/>
    <s v="Life Sciences"/>
    <n v="1"/>
    <n v="813"/>
    <n v="4"/>
    <s v="Female"/>
    <n v="82"/>
    <n v="3"/>
    <n v="2"/>
    <x v="2"/>
    <x v="2"/>
    <s v="Married"/>
    <n v="3149"/>
    <n v="21821"/>
    <n v="8"/>
    <s v="Y"/>
    <x v="1"/>
    <n v="20"/>
    <n v="4"/>
    <n v="2"/>
    <n v="80"/>
    <n v="1"/>
    <n v="9"/>
    <n v="3"/>
    <n v="3"/>
    <n v="5"/>
    <n v="2"/>
    <n v="1"/>
    <n v="4"/>
    <x v="2"/>
    <x v="2"/>
    <s v="High"/>
    <x v="2"/>
    <s v="Outstanding"/>
    <s v="Better"/>
    <n v="0"/>
    <s v="3,001–6,000"/>
    <s v="11–15 miles"/>
    <s v="2–5 years"/>
  </r>
  <r>
    <n v="50"/>
    <x v="1"/>
    <s v="Travel_Rarely"/>
    <n v="691"/>
    <x v="1"/>
    <n v="2"/>
    <x v="3"/>
    <s v="Medical"/>
    <n v="1"/>
    <n v="815"/>
    <n v="3"/>
    <s v="Male"/>
    <n v="64"/>
    <n v="3"/>
    <n v="4"/>
    <x v="7"/>
    <x v="2"/>
    <s v="Married"/>
    <n v="17639"/>
    <n v="6881"/>
    <n v="5"/>
    <s v="Y"/>
    <x v="1"/>
    <n v="16"/>
    <n v="3"/>
    <n v="4"/>
    <n v="80"/>
    <n v="0"/>
    <n v="30"/>
    <n v="3"/>
    <n v="3"/>
    <n v="4"/>
    <n v="3"/>
    <n v="0"/>
    <n v="3"/>
    <x v="3"/>
    <x v="1"/>
    <s v="High"/>
    <x v="2"/>
    <s v="Excellent"/>
    <s v="Better"/>
    <n v="0"/>
    <s v="10,001+"/>
    <s v="0–5 miles"/>
    <s v="2–5 years"/>
  </r>
  <r>
    <n v="29"/>
    <x v="0"/>
    <s v="Travel_Rarely"/>
    <n v="805"/>
    <x v="1"/>
    <n v="1"/>
    <x v="0"/>
    <s v="Life Sciences"/>
    <n v="1"/>
    <n v="816"/>
    <n v="2"/>
    <s v="Female"/>
    <n v="36"/>
    <n v="2"/>
    <n v="1"/>
    <x v="2"/>
    <x v="3"/>
    <s v="Married"/>
    <n v="2319"/>
    <n v="6689"/>
    <n v="1"/>
    <s v="Y"/>
    <x v="0"/>
    <n v="11"/>
    <n v="3"/>
    <n v="4"/>
    <n v="80"/>
    <n v="1"/>
    <n v="1"/>
    <n v="1"/>
    <n v="3"/>
    <n v="1"/>
    <n v="0"/>
    <n v="0"/>
    <n v="0"/>
    <x v="0"/>
    <x v="0"/>
    <s v="Medium"/>
    <x v="3"/>
    <s v="Excellent"/>
    <s v="Better"/>
    <n v="1"/>
    <s v="0–3,000"/>
    <s v="0–5 miles"/>
    <s v="0–1 years"/>
  </r>
  <r>
    <n v="33"/>
    <x v="1"/>
    <s v="Travel_Rarely"/>
    <n v="213"/>
    <x v="1"/>
    <n v="7"/>
    <x v="3"/>
    <s v="Medical"/>
    <n v="1"/>
    <n v="817"/>
    <n v="3"/>
    <s v="Male"/>
    <n v="49"/>
    <n v="3"/>
    <n v="3"/>
    <x v="7"/>
    <x v="2"/>
    <s v="Married"/>
    <n v="11691"/>
    <n v="25995"/>
    <n v="0"/>
    <s v="Y"/>
    <x v="1"/>
    <n v="11"/>
    <n v="3"/>
    <n v="4"/>
    <n v="80"/>
    <n v="0"/>
    <n v="14"/>
    <n v="3"/>
    <n v="4"/>
    <n v="13"/>
    <n v="9"/>
    <n v="3"/>
    <n v="7"/>
    <x v="3"/>
    <x v="1"/>
    <s v="High"/>
    <x v="2"/>
    <s v="Excellent"/>
    <s v="Best"/>
    <n v="0"/>
    <s v="10,001+"/>
    <s v="6–10 miles"/>
    <s v="11+ years"/>
  </r>
  <r>
    <n v="33"/>
    <x v="0"/>
    <s v="Travel_Rarely"/>
    <n v="118"/>
    <x v="0"/>
    <n v="16"/>
    <x v="3"/>
    <s v="Marketing"/>
    <n v="1"/>
    <n v="819"/>
    <n v="1"/>
    <s v="Female"/>
    <n v="69"/>
    <n v="3"/>
    <n v="2"/>
    <x v="0"/>
    <x v="3"/>
    <s v="Single"/>
    <n v="5324"/>
    <n v="26507"/>
    <n v="5"/>
    <s v="Y"/>
    <x v="1"/>
    <n v="15"/>
    <n v="3"/>
    <n v="3"/>
    <n v="80"/>
    <n v="0"/>
    <n v="6"/>
    <n v="3"/>
    <n v="3"/>
    <n v="3"/>
    <n v="2"/>
    <n v="0"/>
    <n v="2"/>
    <x v="3"/>
    <x v="3"/>
    <s v="High"/>
    <x v="3"/>
    <s v="Excellent"/>
    <s v="Better"/>
    <n v="1"/>
    <s v="3,001–6,000"/>
    <s v="16+ miles"/>
    <s v="2–5 years"/>
  </r>
  <r>
    <n v="47"/>
    <x v="1"/>
    <s v="Travel_Rarely"/>
    <n v="202"/>
    <x v="1"/>
    <n v="2"/>
    <x v="0"/>
    <s v="Other"/>
    <n v="1"/>
    <n v="820"/>
    <n v="3"/>
    <s v="Female"/>
    <n v="33"/>
    <n v="3"/>
    <n v="4"/>
    <x v="5"/>
    <x v="0"/>
    <s v="Married"/>
    <n v="16752"/>
    <n v="12982"/>
    <n v="1"/>
    <s v="Y"/>
    <x v="0"/>
    <n v="11"/>
    <n v="3"/>
    <n v="3"/>
    <n v="80"/>
    <n v="1"/>
    <n v="26"/>
    <n v="3"/>
    <n v="2"/>
    <n v="26"/>
    <n v="14"/>
    <n v="3"/>
    <n v="0"/>
    <x v="0"/>
    <x v="1"/>
    <s v="High"/>
    <x v="0"/>
    <s v="Excellent"/>
    <s v="Good"/>
    <n v="0"/>
    <s v="10,001+"/>
    <s v="0–5 miles"/>
    <s v="11+ years"/>
  </r>
  <r>
    <n v="36"/>
    <x v="1"/>
    <s v="Travel_Rarely"/>
    <n v="676"/>
    <x v="1"/>
    <n v="1"/>
    <x v="3"/>
    <s v="Other"/>
    <n v="1"/>
    <n v="823"/>
    <n v="3"/>
    <s v="Female"/>
    <n v="35"/>
    <n v="3"/>
    <n v="2"/>
    <x v="3"/>
    <x v="1"/>
    <s v="Married"/>
    <n v="5228"/>
    <n v="23361"/>
    <n v="0"/>
    <s v="Y"/>
    <x v="1"/>
    <n v="15"/>
    <n v="3"/>
    <n v="1"/>
    <n v="80"/>
    <n v="1"/>
    <n v="10"/>
    <n v="2"/>
    <n v="3"/>
    <n v="9"/>
    <n v="7"/>
    <n v="0"/>
    <n v="5"/>
    <x v="3"/>
    <x v="1"/>
    <s v="High"/>
    <x v="1"/>
    <s v="Excellent"/>
    <s v="Better"/>
    <n v="0"/>
    <s v="3,001–6,000"/>
    <s v="0–5 miles"/>
    <s v="6–10 years"/>
  </r>
  <r>
    <n v="29"/>
    <x v="1"/>
    <s v="Travel_Rarely"/>
    <n v="1252"/>
    <x v="1"/>
    <n v="23"/>
    <x v="0"/>
    <s v="Life Sciences"/>
    <n v="1"/>
    <n v="824"/>
    <n v="3"/>
    <s v="Male"/>
    <n v="81"/>
    <n v="4"/>
    <n v="1"/>
    <x v="1"/>
    <x v="2"/>
    <s v="Married"/>
    <n v="2700"/>
    <n v="23779"/>
    <n v="1"/>
    <s v="Y"/>
    <x v="1"/>
    <n v="24"/>
    <n v="4"/>
    <n v="3"/>
    <n v="80"/>
    <n v="1"/>
    <n v="10"/>
    <n v="3"/>
    <n v="3"/>
    <n v="10"/>
    <n v="7"/>
    <n v="0"/>
    <n v="7"/>
    <x v="0"/>
    <x v="1"/>
    <s v="Very High"/>
    <x v="2"/>
    <s v="Outstanding"/>
    <s v="Better"/>
    <n v="0"/>
    <s v="0–3,000"/>
    <s v="16+ miles"/>
    <s v="6–10 years"/>
  </r>
  <r>
    <n v="58"/>
    <x v="0"/>
    <s v="Travel_Rarely"/>
    <n v="286"/>
    <x v="1"/>
    <n v="2"/>
    <x v="2"/>
    <s v="Life Sciences"/>
    <n v="1"/>
    <n v="825"/>
    <n v="4"/>
    <s v="Male"/>
    <n v="31"/>
    <n v="3"/>
    <n v="5"/>
    <x v="7"/>
    <x v="1"/>
    <s v="Single"/>
    <n v="19246"/>
    <n v="25761"/>
    <n v="7"/>
    <s v="Y"/>
    <x v="0"/>
    <n v="12"/>
    <n v="3"/>
    <n v="4"/>
    <n v="80"/>
    <n v="0"/>
    <n v="40"/>
    <n v="2"/>
    <n v="3"/>
    <n v="31"/>
    <n v="15"/>
    <n v="13"/>
    <n v="8"/>
    <x v="2"/>
    <x v="2"/>
    <s v="High"/>
    <x v="1"/>
    <s v="Excellent"/>
    <s v="Better"/>
    <n v="1"/>
    <s v="10,001+"/>
    <s v="0–5 miles"/>
    <s v="11+ years"/>
  </r>
  <r>
    <n v="35"/>
    <x v="1"/>
    <s v="Travel_Rarely"/>
    <n v="1258"/>
    <x v="1"/>
    <n v="1"/>
    <x v="2"/>
    <s v="Life Sciences"/>
    <n v="1"/>
    <n v="826"/>
    <n v="4"/>
    <s v="Female"/>
    <n v="40"/>
    <n v="4"/>
    <n v="1"/>
    <x v="1"/>
    <x v="2"/>
    <s v="Single"/>
    <n v="2506"/>
    <n v="13301"/>
    <n v="3"/>
    <s v="Y"/>
    <x v="1"/>
    <n v="13"/>
    <n v="3"/>
    <n v="3"/>
    <n v="80"/>
    <n v="0"/>
    <n v="7"/>
    <n v="0"/>
    <n v="3"/>
    <n v="2"/>
    <n v="2"/>
    <n v="2"/>
    <n v="2"/>
    <x v="2"/>
    <x v="2"/>
    <s v="Very High"/>
    <x v="2"/>
    <s v="Excellent"/>
    <s v="Better"/>
    <n v="0"/>
    <s v="0–3,000"/>
    <s v="0–5 miles"/>
    <s v="2–5 years"/>
  </r>
  <r>
    <n v="42"/>
    <x v="1"/>
    <s v="Travel_Rarely"/>
    <n v="932"/>
    <x v="1"/>
    <n v="1"/>
    <x v="0"/>
    <s v="Life Sciences"/>
    <n v="1"/>
    <n v="827"/>
    <n v="4"/>
    <s v="Female"/>
    <n v="43"/>
    <n v="2"/>
    <n v="2"/>
    <x v="3"/>
    <x v="0"/>
    <s v="Married"/>
    <n v="6062"/>
    <n v="4051"/>
    <n v="9"/>
    <s v="Y"/>
    <x v="0"/>
    <n v="13"/>
    <n v="3"/>
    <n v="4"/>
    <n v="80"/>
    <n v="1"/>
    <n v="8"/>
    <n v="4"/>
    <n v="3"/>
    <n v="4"/>
    <n v="3"/>
    <n v="0"/>
    <n v="2"/>
    <x v="0"/>
    <x v="2"/>
    <s v="Medium"/>
    <x v="0"/>
    <s v="Excellent"/>
    <s v="Better"/>
    <n v="0"/>
    <s v="6,001–10,000"/>
    <s v="0–5 miles"/>
    <s v="2–5 years"/>
  </r>
  <r>
    <n v="28"/>
    <x v="0"/>
    <s v="Travel_Rarely"/>
    <n v="890"/>
    <x v="1"/>
    <n v="2"/>
    <x v="2"/>
    <s v="Medical"/>
    <n v="1"/>
    <n v="828"/>
    <n v="3"/>
    <s v="Male"/>
    <n v="46"/>
    <n v="3"/>
    <n v="1"/>
    <x v="1"/>
    <x v="2"/>
    <s v="Single"/>
    <n v="4382"/>
    <n v="16374"/>
    <n v="6"/>
    <s v="Y"/>
    <x v="1"/>
    <n v="17"/>
    <n v="3"/>
    <n v="4"/>
    <n v="80"/>
    <n v="0"/>
    <n v="5"/>
    <n v="3"/>
    <n v="2"/>
    <n v="2"/>
    <n v="2"/>
    <n v="2"/>
    <n v="1"/>
    <x v="2"/>
    <x v="1"/>
    <s v="High"/>
    <x v="2"/>
    <s v="Excellent"/>
    <s v="Good"/>
    <n v="1"/>
    <s v="3,001–6,000"/>
    <s v="0–5 miles"/>
    <s v="2–5 years"/>
  </r>
  <r>
    <n v="36"/>
    <x v="1"/>
    <s v="Travel_Rarely"/>
    <n v="1041"/>
    <x v="2"/>
    <n v="13"/>
    <x v="3"/>
    <s v="Human Resources"/>
    <n v="1"/>
    <n v="829"/>
    <n v="3"/>
    <s v="Male"/>
    <n v="36"/>
    <n v="3"/>
    <n v="1"/>
    <x v="8"/>
    <x v="1"/>
    <s v="Married"/>
    <n v="2143"/>
    <n v="25527"/>
    <n v="4"/>
    <s v="Y"/>
    <x v="1"/>
    <n v="13"/>
    <n v="3"/>
    <n v="2"/>
    <n v="80"/>
    <n v="1"/>
    <n v="8"/>
    <n v="2"/>
    <n v="3"/>
    <n v="5"/>
    <n v="2"/>
    <n v="0"/>
    <n v="4"/>
    <x v="3"/>
    <x v="1"/>
    <s v="High"/>
    <x v="1"/>
    <s v="Excellent"/>
    <s v="Better"/>
    <n v="0"/>
    <s v="0–3,000"/>
    <s v="11–15 miles"/>
    <s v="2–5 years"/>
  </r>
  <r>
    <n v="32"/>
    <x v="1"/>
    <s v="Travel_Rarely"/>
    <n v="859"/>
    <x v="1"/>
    <n v="4"/>
    <x v="3"/>
    <s v="Life Sciences"/>
    <n v="1"/>
    <n v="830"/>
    <n v="3"/>
    <s v="Female"/>
    <n v="98"/>
    <n v="2"/>
    <n v="2"/>
    <x v="3"/>
    <x v="2"/>
    <s v="Married"/>
    <n v="6162"/>
    <n v="19124"/>
    <n v="1"/>
    <s v="Y"/>
    <x v="1"/>
    <n v="12"/>
    <n v="3"/>
    <n v="3"/>
    <n v="80"/>
    <n v="1"/>
    <n v="14"/>
    <n v="3"/>
    <n v="3"/>
    <n v="14"/>
    <n v="13"/>
    <n v="6"/>
    <n v="8"/>
    <x v="3"/>
    <x v="1"/>
    <s v="Medium"/>
    <x v="2"/>
    <s v="Excellent"/>
    <s v="Better"/>
    <n v="0"/>
    <s v="6,001–10,000"/>
    <s v="0–5 miles"/>
    <s v="11+ years"/>
  </r>
  <r>
    <n v="40"/>
    <x v="1"/>
    <s v="Travel_Frequently"/>
    <n v="720"/>
    <x v="1"/>
    <n v="16"/>
    <x v="2"/>
    <s v="Medical"/>
    <n v="1"/>
    <n v="832"/>
    <n v="1"/>
    <s v="Male"/>
    <n v="51"/>
    <n v="2"/>
    <n v="2"/>
    <x v="2"/>
    <x v="2"/>
    <s v="Single"/>
    <n v="5094"/>
    <n v="11983"/>
    <n v="6"/>
    <s v="Y"/>
    <x v="1"/>
    <n v="14"/>
    <n v="3"/>
    <n v="4"/>
    <n v="80"/>
    <n v="0"/>
    <n v="10"/>
    <n v="6"/>
    <n v="3"/>
    <n v="1"/>
    <n v="0"/>
    <n v="0"/>
    <n v="0"/>
    <x v="2"/>
    <x v="3"/>
    <s v="Medium"/>
    <x v="2"/>
    <s v="Excellent"/>
    <s v="Better"/>
    <n v="0"/>
    <s v="3,001–6,000"/>
    <s v="16+ miles"/>
    <s v="0–1 years"/>
  </r>
  <r>
    <n v="30"/>
    <x v="1"/>
    <s v="Travel_Rarely"/>
    <n v="946"/>
    <x v="1"/>
    <n v="2"/>
    <x v="3"/>
    <s v="Medical"/>
    <n v="1"/>
    <n v="833"/>
    <n v="3"/>
    <s v="Female"/>
    <n v="52"/>
    <n v="2"/>
    <n v="2"/>
    <x v="3"/>
    <x v="0"/>
    <s v="Single"/>
    <n v="6877"/>
    <n v="20234"/>
    <n v="5"/>
    <s v="Y"/>
    <x v="0"/>
    <n v="24"/>
    <n v="4"/>
    <n v="2"/>
    <n v="80"/>
    <n v="0"/>
    <n v="12"/>
    <n v="4"/>
    <n v="2"/>
    <n v="0"/>
    <n v="0"/>
    <n v="0"/>
    <n v="0"/>
    <x v="3"/>
    <x v="1"/>
    <s v="Medium"/>
    <x v="0"/>
    <s v="Outstanding"/>
    <s v="Good"/>
    <n v="0"/>
    <s v="6,001–10,000"/>
    <s v="0–5 miles"/>
    <s v="0–1 years"/>
  </r>
  <r>
    <n v="45"/>
    <x v="1"/>
    <s v="Travel_Rarely"/>
    <n v="252"/>
    <x v="1"/>
    <n v="2"/>
    <x v="3"/>
    <s v="Life Sciences"/>
    <n v="1"/>
    <n v="834"/>
    <n v="2"/>
    <s v="Female"/>
    <n v="95"/>
    <n v="2"/>
    <n v="1"/>
    <x v="1"/>
    <x v="2"/>
    <s v="Single"/>
    <n v="2274"/>
    <n v="6153"/>
    <n v="1"/>
    <s v="Y"/>
    <x v="1"/>
    <n v="14"/>
    <n v="3"/>
    <n v="4"/>
    <n v="80"/>
    <n v="0"/>
    <n v="1"/>
    <n v="3"/>
    <n v="3"/>
    <n v="1"/>
    <n v="0"/>
    <n v="0"/>
    <n v="0"/>
    <x v="3"/>
    <x v="0"/>
    <s v="Medium"/>
    <x v="2"/>
    <s v="Excellent"/>
    <s v="Better"/>
    <n v="0"/>
    <s v="0–3,000"/>
    <s v="0–5 miles"/>
    <s v="0–1 years"/>
  </r>
  <r>
    <n v="42"/>
    <x v="1"/>
    <s v="Travel_Rarely"/>
    <n v="933"/>
    <x v="1"/>
    <n v="29"/>
    <x v="3"/>
    <s v="Life Sciences"/>
    <n v="1"/>
    <n v="836"/>
    <n v="2"/>
    <s v="Male"/>
    <n v="98"/>
    <n v="3"/>
    <n v="2"/>
    <x v="3"/>
    <x v="1"/>
    <s v="Married"/>
    <n v="4434"/>
    <n v="11806"/>
    <n v="1"/>
    <s v="Y"/>
    <x v="1"/>
    <n v="13"/>
    <n v="3"/>
    <n v="4"/>
    <n v="80"/>
    <n v="1"/>
    <n v="10"/>
    <n v="3"/>
    <n v="2"/>
    <n v="9"/>
    <n v="8"/>
    <n v="7"/>
    <n v="8"/>
    <x v="3"/>
    <x v="0"/>
    <s v="High"/>
    <x v="1"/>
    <s v="Excellent"/>
    <s v="Good"/>
    <n v="0"/>
    <s v="3,001–6,000"/>
    <s v="16+ miles"/>
    <s v="6–10 years"/>
  </r>
  <r>
    <n v="38"/>
    <x v="1"/>
    <s v="Travel_Frequently"/>
    <n v="471"/>
    <x v="1"/>
    <n v="12"/>
    <x v="3"/>
    <s v="Life Sciences"/>
    <n v="1"/>
    <n v="837"/>
    <n v="1"/>
    <s v="Male"/>
    <n v="45"/>
    <n v="2"/>
    <n v="2"/>
    <x v="4"/>
    <x v="3"/>
    <s v="Divorced"/>
    <n v="6288"/>
    <n v="4284"/>
    <n v="2"/>
    <s v="Y"/>
    <x v="1"/>
    <n v="15"/>
    <n v="3"/>
    <n v="3"/>
    <n v="80"/>
    <n v="1"/>
    <n v="13"/>
    <n v="3"/>
    <n v="2"/>
    <n v="4"/>
    <n v="3"/>
    <n v="1"/>
    <n v="2"/>
    <x v="3"/>
    <x v="3"/>
    <s v="Medium"/>
    <x v="3"/>
    <s v="Excellent"/>
    <s v="Good"/>
    <n v="0"/>
    <s v="6,001–10,000"/>
    <s v="11–15 miles"/>
    <s v="2–5 years"/>
  </r>
  <r>
    <n v="34"/>
    <x v="1"/>
    <s v="Travel_Frequently"/>
    <n v="702"/>
    <x v="1"/>
    <n v="16"/>
    <x v="2"/>
    <s v="Life Sciences"/>
    <n v="1"/>
    <n v="838"/>
    <n v="3"/>
    <s v="Female"/>
    <n v="100"/>
    <n v="2"/>
    <n v="1"/>
    <x v="1"/>
    <x v="0"/>
    <s v="Single"/>
    <n v="2553"/>
    <n v="8306"/>
    <n v="1"/>
    <s v="Y"/>
    <x v="1"/>
    <n v="16"/>
    <n v="3"/>
    <n v="3"/>
    <n v="80"/>
    <n v="0"/>
    <n v="6"/>
    <n v="3"/>
    <n v="3"/>
    <n v="5"/>
    <n v="2"/>
    <n v="1"/>
    <n v="3"/>
    <x v="2"/>
    <x v="1"/>
    <s v="Medium"/>
    <x v="0"/>
    <s v="Excellent"/>
    <s v="Better"/>
    <n v="0"/>
    <s v="0–3,000"/>
    <s v="16+ miles"/>
    <s v="2–5 years"/>
  </r>
  <r>
    <n v="49"/>
    <x v="0"/>
    <s v="Travel_Rarely"/>
    <n v="1184"/>
    <x v="0"/>
    <n v="11"/>
    <x v="3"/>
    <s v="Marketing"/>
    <n v="1"/>
    <n v="840"/>
    <n v="3"/>
    <s v="Female"/>
    <n v="43"/>
    <n v="3"/>
    <n v="3"/>
    <x v="0"/>
    <x v="0"/>
    <s v="Married"/>
    <n v="7654"/>
    <n v="5860"/>
    <n v="1"/>
    <s v="Y"/>
    <x v="1"/>
    <n v="18"/>
    <n v="3"/>
    <n v="1"/>
    <n v="80"/>
    <n v="2"/>
    <n v="9"/>
    <n v="3"/>
    <n v="4"/>
    <n v="9"/>
    <n v="8"/>
    <n v="7"/>
    <n v="7"/>
    <x v="3"/>
    <x v="1"/>
    <s v="High"/>
    <x v="0"/>
    <s v="Excellent"/>
    <s v="Best"/>
    <n v="1"/>
    <s v="6,001–10,000"/>
    <s v="11–15 miles"/>
    <s v="6–10 years"/>
  </r>
  <r>
    <n v="55"/>
    <x v="0"/>
    <s v="Travel_Rarely"/>
    <n v="436"/>
    <x v="0"/>
    <n v="2"/>
    <x v="1"/>
    <s v="Medical"/>
    <n v="1"/>
    <n v="842"/>
    <n v="3"/>
    <s v="Male"/>
    <n v="37"/>
    <n v="3"/>
    <n v="2"/>
    <x v="0"/>
    <x v="0"/>
    <s v="Single"/>
    <n v="5160"/>
    <n v="21519"/>
    <n v="4"/>
    <s v="Y"/>
    <x v="1"/>
    <n v="16"/>
    <n v="3"/>
    <n v="3"/>
    <n v="80"/>
    <n v="0"/>
    <n v="12"/>
    <n v="3"/>
    <n v="2"/>
    <n v="9"/>
    <n v="7"/>
    <n v="7"/>
    <n v="3"/>
    <x v="1"/>
    <x v="1"/>
    <s v="High"/>
    <x v="0"/>
    <s v="Excellent"/>
    <s v="Good"/>
    <n v="1"/>
    <s v="3,001–6,000"/>
    <s v="0–5 miles"/>
    <s v="6–10 years"/>
  </r>
  <r>
    <n v="43"/>
    <x v="1"/>
    <s v="Travel_Rarely"/>
    <n v="589"/>
    <x v="1"/>
    <n v="14"/>
    <x v="0"/>
    <s v="Life Sciences"/>
    <n v="1"/>
    <n v="843"/>
    <n v="2"/>
    <s v="Male"/>
    <n v="94"/>
    <n v="3"/>
    <n v="4"/>
    <x v="7"/>
    <x v="3"/>
    <s v="Married"/>
    <n v="17159"/>
    <n v="5200"/>
    <n v="6"/>
    <s v="Y"/>
    <x v="1"/>
    <n v="24"/>
    <n v="4"/>
    <n v="3"/>
    <n v="80"/>
    <n v="1"/>
    <n v="22"/>
    <n v="3"/>
    <n v="3"/>
    <n v="4"/>
    <n v="1"/>
    <n v="1"/>
    <n v="0"/>
    <x v="0"/>
    <x v="0"/>
    <s v="High"/>
    <x v="3"/>
    <s v="Outstanding"/>
    <s v="Better"/>
    <n v="0"/>
    <s v="10,001+"/>
    <s v="11–15 miles"/>
    <s v="2–5 years"/>
  </r>
  <r>
    <n v="27"/>
    <x v="1"/>
    <s v="Travel_Rarely"/>
    <n v="269"/>
    <x v="1"/>
    <n v="5"/>
    <x v="1"/>
    <s v="Technical Degree"/>
    <n v="1"/>
    <n v="844"/>
    <n v="3"/>
    <s v="Male"/>
    <n v="42"/>
    <n v="2"/>
    <n v="3"/>
    <x v="7"/>
    <x v="0"/>
    <s v="Divorced"/>
    <n v="12808"/>
    <n v="8842"/>
    <n v="1"/>
    <s v="Y"/>
    <x v="0"/>
    <n v="16"/>
    <n v="3"/>
    <n v="2"/>
    <n v="80"/>
    <n v="1"/>
    <n v="9"/>
    <n v="3"/>
    <n v="3"/>
    <n v="9"/>
    <n v="8"/>
    <n v="0"/>
    <n v="8"/>
    <x v="1"/>
    <x v="1"/>
    <s v="Medium"/>
    <x v="0"/>
    <s v="Excellent"/>
    <s v="Better"/>
    <n v="0"/>
    <s v="10,001+"/>
    <s v="0–5 miles"/>
    <s v="6–10 years"/>
  </r>
  <r>
    <n v="35"/>
    <x v="1"/>
    <s v="Travel_Rarely"/>
    <n v="950"/>
    <x v="1"/>
    <n v="7"/>
    <x v="3"/>
    <s v="Other"/>
    <n v="1"/>
    <n v="845"/>
    <n v="3"/>
    <s v="Male"/>
    <n v="59"/>
    <n v="3"/>
    <n v="3"/>
    <x v="3"/>
    <x v="2"/>
    <s v="Single"/>
    <n v="10221"/>
    <n v="18869"/>
    <n v="3"/>
    <s v="Y"/>
    <x v="1"/>
    <n v="21"/>
    <n v="4"/>
    <n v="2"/>
    <n v="80"/>
    <n v="0"/>
    <n v="17"/>
    <n v="3"/>
    <n v="4"/>
    <n v="8"/>
    <n v="5"/>
    <n v="1"/>
    <n v="6"/>
    <x v="3"/>
    <x v="1"/>
    <s v="High"/>
    <x v="2"/>
    <s v="Outstanding"/>
    <s v="Best"/>
    <n v="0"/>
    <s v="10,001+"/>
    <s v="6–10 miles"/>
    <s v="6–10 years"/>
  </r>
  <r>
    <n v="28"/>
    <x v="1"/>
    <s v="Travel_Rarely"/>
    <n v="760"/>
    <x v="0"/>
    <n v="2"/>
    <x v="2"/>
    <s v="Marketing"/>
    <n v="1"/>
    <n v="846"/>
    <n v="2"/>
    <s v="Female"/>
    <n v="81"/>
    <n v="3"/>
    <n v="2"/>
    <x v="0"/>
    <x v="1"/>
    <s v="Married"/>
    <n v="4779"/>
    <n v="3698"/>
    <n v="1"/>
    <s v="Y"/>
    <x v="0"/>
    <n v="20"/>
    <n v="4"/>
    <n v="1"/>
    <n v="80"/>
    <n v="0"/>
    <n v="8"/>
    <n v="2"/>
    <n v="3"/>
    <n v="8"/>
    <n v="7"/>
    <n v="7"/>
    <n v="5"/>
    <x v="2"/>
    <x v="0"/>
    <s v="High"/>
    <x v="1"/>
    <s v="Outstanding"/>
    <s v="Better"/>
    <n v="0"/>
    <s v="3,001–6,000"/>
    <s v="0–5 miles"/>
    <s v="6–10 years"/>
  </r>
  <r>
    <n v="34"/>
    <x v="1"/>
    <s v="Travel_Rarely"/>
    <n v="829"/>
    <x v="2"/>
    <n v="3"/>
    <x v="0"/>
    <s v="Human Resources"/>
    <n v="1"/>
    <n v="847"/>
    <n v="3"/>
    <s v="Male"/>
    <n v="88"/>
    <n v="3"/>
    <n v="1"/>
    <x v="8"/>
    <x v="0"/>
    <s v="Married"/>
    <n v="3737"/>
    <n v="2243"/>
    <n v="0"/>
    <s v="Y"/>
    <x v="1"/>
    <n v="19"/>
    <n v="3"/>
    <n v="3"/>
    <n v="80"/>
    <n v="1"/>
    <n v="4"/>
    <n v="1"/>
    <n v="1"/>
    <n v="3"/>
    <n v="2"/>
    <n v="0"/>
    <n v="2"/>
    <x v="0"/>
    <x v="1"/>
    <s v="High"/>
    <x v="0"/>
    <s v="Excellent"/>
    <s v="Bad"/>
    <n v="0"/>
    <s v="3,001–6,000"/>
    <s v="0–5 miles"/>
    <s v="2–5 years"/>
  </r>
  <r>
    <n v="26"/>
    <x v="0"/>
    <s v="Travel_Frequently"/>
    <n v="887"/>
    <x v="1"/>
    <n v="5"/>
    <x v="0"/>
    <s v="Medical"/>
    <n v="1"/>
    <n v="848"/>
    <n v="3"/>
    <s v="Female"/>
    <n v="88"/>
    <n v="2"/>
    <n v="1"/>
    <x v="1"/>
    <x v="2"/>
    <s v="Married"/>
    <n v="2366"/>
    <n v="20898"/>
    <n v="1"/>
    <s v="Y"/>
    <x v="0"/>
    <n v="14"/>
    <n v="3"/>
    <n v="1"/>
    <n v="80"/>
    <n v="1"/>
    <n v="8"/>
    <n v="2"/>
    <n v="3"/>
    <n v="8"/>
    <n v="7"/>
    <n v="1"/>
    <n v="7"/>
    <x v="0"/>
    <x v="1"/>
    <s v="Medium"/>
    <x v="2"/>
    <s v="Excellent"/>
    <s v="Better"/>
    <n v="1"/>
    <s v="0–3,000"/>
    <s v="0–5 miles"/>
    <s v="6–10 years"/>
  </r>
  <r>
    <n v="27"/>
    <x v="1"/>
    <s v="Non-Travel"/>
    <n v="443"/>
    <x v="1"/>
    <n v="3"/>
    <x v="3"/>
    <s v="Medical"/>
    <n v="1"/>
    <n v="850"/>
    <n v="4"/>
    <s v="Male"/>
    <n v="50"/>
    <n v="3"/>
    <n v="1"/>
    <x v="1"/>
    <x v="0"/>
    <s v="Married"/>
    <n v="1706"/>
    <n v="16571"/>
    <n v="1"/>
    <s v="Y"/>
    <x v="1"/>
    <n v="11"/>
    <n v="3"/>
    <n v="3"/>
    <n v="80"/>
    <n v="3"/>
    <n v="0"/>
    <n v="6"/>
    <n v="2"/>
    <n v="0"/>
    <n v="0"/>
    <n v="0"/>
    <n v="0"/>
    <x v="3"/>
    <x v="2"/>
    <s v="High"/>
    <x v="0"/>
    <s v="Excellent"/>
    <s v="Good"/>
    <n v="0"/>
    <s v="0–3,000"/>
    <s v="0–5 miles"/>
    <s v="0–1 years"/>
  </r>
  <r>
    <n v="51"/>
    <x v="1"/>
    <s v="Travel_Rarely"/>
    <n v="1318"/>
    <x v="0"/>
    <n v="26"/>
    <x v="2"/>
    <s v="Marketing"/>
    <n v="1"/>
    <n v="851"/>
    <n v="1"/>
    <s v="Female"/>
    <n v="66"/>
    <n v="3"/>
    <n v="4"/>
    <x v="5"/>
    <x v="2"/>
    <s v="Married"/>
    <n v="16307"/>
    <n v="5594"/>
    <n v="2"/>
    <s v="Y"/>
    <x v="1"/>
    <n v="14"/>
    <n v="3"/>
    <n v="3"/>
    <n v="80"/>
    <n v="1"/>
    <n v="29"/>
    <n v="2"/>
    <n v="2"/>
    <n v="20"/>
    <n v="6"/>
    <n v="4"/>
    <n v="17"/>
    <x v="2"/>
    <x v="3"/>
    <s v="High"/>
    <x v="2"/>
    <s v="Excellent"/>
    <s v="Good"/>
    <n v="0"/>
    <s v="10,001+"/>
    <s v="16+ miles"/>
    <s v="11+ years"/>
  </r>
  <r>
    <n v="44"/>
    <x v="1"/>
    <s v="Travel_Rarely"/>
    <n v="625"/>
    <x v="1"/>
    <n v="4"/>
    <x v="3"/>
    <s v="Medical"/>
    <n v="1"/>
    <n v="852"/>
    <n v="4"/>
    <s v="Male"/>
    <n v="50"/>
    <n v="3"/>
    <n v="2"/>
    <x v="4"/>
    <x v="1"/>
    <s v="Single"/>
    <n v="5933"/>
    <n v="5197"/>
    <n v="9"/>
    <s v="Y"/>
    <x v="1"/>
    <n v="12"/>
    <n v="3"/>
    <n v="4"/>
    <n v="80"/>
    <n v="0"/>
    <n v="10"/>
    <n v="2"/>
    <n v="2"/>
    <n v="5"/>
    <n v="2"/>
    <n v="2"/>
    <n v="3"/>
    <x v="3"/>
    <x v="2"/>
    <s v="High"/>
    <x v="1"/>
    <s v="Excellent"/>
    <s v="Good"/>
    <n v="0"/>
    <s v="3,001–6,000"/>
    <s v="0–5 miles"/>
    <s v="2–5 years"/>
  </r>
  <r>
    <n v="25"/>
    <x v="1"/>
    <s v="Travel_Rarely"/>
    <n v="180"/>
    <x v="1"/>
    <n v="2"/>
    <x v="1"/>
    <s v="Medical"/>
    <n v="1"/>
    <n v="854"/>
    <n v="1"/>
    <s v="Male"/>
    <n v="65"/>
    <n v="4"/>
    <n v="1"/>
    <x v="1"/>
    <x v="3"/>
    <s v="Single"/>
    <n v="3424"/>
    <n v="21632"/>
    <n v="7"/>
    <s v="Y"/>
    <x v="1"/>
    <n v="13"/>
    <n v="3"/>
    <n v="3"/>
    <n v="80"/>
    <n v="0"/>
    <n v="6"/>
    <n v="3"/>
    <n v="2"/>
    <n v="4"/>
    <n v="3"/>
    <n v="0"/>
    <n v="1"/>
    <x v="1"/>
    <x v="3"/>
    <s v="Very High"/>
    <x v="3"/>
    <s v="Excellent"/>
    <s v="Good"/>
    <n v="0"/>
    <s v="3,001–6,000"/>
    <s v="0–5 miles"/>
    <s v="2–5 years"/>
  </r>
  <r>
    <n v="33"/>
    <x v="1"/>
    <s v="Travel_Rarely"/>
    <n v="586"/>
    <x v="0"/>
    <n v="1"/>
    <x v="3"/>
    <s v="Medical"/>
    <n v="1"/>
    <n v="855"/>
    <n v="1"/>
    <s v="Male"/>
    <n v="48"/>
    <n v="4"/>
    <n v="2"/>
    <x v="0"/>
    <x v="3"/>
    <s v="Divorced"/>
    <n v="4037"/>
    <n v="21816"/>
    <n v="1"/>
    <s v="Y"/>
    <x v="1"/>
    <n v="22"/>
    <n v="4"/>
    <n v="1"/>
    <n v="80"/>
    <n v="1"/>
    <n v="9"/>
    <n v="5"/>
    <n v="3"/>
    <n v="9"/>
    <n v="8"/>
    <n v="0"/>
    <n v="8"/>
    <x v="3"/>
    <x v="3"/>
    <s v="Very High"/>
    <x v="3"/>
    <s v="Outstanding"/>
    <s v="Better"/>
    <n v="0"/>
    <s v="3,001–6,000"/>
    <s v="0–5 miles"/>
    <s v="6–10 years"/>
  </r>
  <r>
    <n v="35"/>
    <x v="1"/>
    <s v="Travel_Rarely"/>
    <n v="1343"/>
    <x v="1"/>
    <n v="27"/>
    <x v="1"/>
    <s v="Medical"/>
    <n v="1"/>
    <n v="856"/>
    <n v="3"/>
    <s v="Female"/>
    <n v="53"/>
    <n v="2"/>
    <n v="1"/>
    <x v="1"/>
    <x v="3"/>
    <s v="Single"/>
    <n v="2559"/>
    <n v="17852"/>
    <n v="1"/>
    <s v="Y"/>
    <x v="1"/>
    <n v="11"/>
    <n v="3"/>
    <n v="4"/>
    <n v="80"/>
    <n v="0"/>
    <n v="6"/>
    <n v="3"/>
    <n v="2"/>
    <n v="6"/>
    <n v="5"/>
    <n v="1"/>
    <n v="1"/>
    <x v="1"/>
    <x v="1"/>
    <s v="Medium"/>
    <x v="3"/>
    <s v="Excellent"/>
    <s v="Good"/>
    <n v="0"/>
    <s v="0–3,000"/>
    <s v="16+ miles"/>
    <s v="6–10 years"/>
  </r>
  <r>
    <n v="36"/>
    <x v="1"/>
    <s v="Travel_Rarely"/>
    <n v="928"/>
    <x v="0"/>
    <n v="1"/>
    <x v="0"/>
    <s v="Life Sciences"/>
    <n v="1"/>
    <n v="857"/>
    <n v="2"/>
    <s v="Male"/>
    <n v="56"/>
    <n v="3"/>
    <n v="2"/>
    <x v="0"/>
    <x v="0"/>
    <s v="Married"/>
    <n v="6201"/>
    <n v="2823"/>
    <n v="1"/>
    <s v="Y"/>
    <x v="0"/>
    <n v="14"/>
    <n v="3"/>
    <n v="4"/>
    <n v="80"/>
    <n v="1"/>
    <n v="18"/>
    <n v="1"/>
    <n v="2"/>
    <n v="18"/>
    <n v="14"/>
    <n v="4"/>
    <n v="11"/>
    <x v="0"/>
    <x v="0"/>
    <s v="High"/>
    <x v="0"/>
    <s v="Excellent"/>
    <s v="Good"/>
    <n v="0"/>
    <s v="6,001–10,000"/>
    <s v="0–5 miles"/>
    <s v="11+ years"/>
  </r>
  <r>
    <n v="32"/>
    <x v="1"/>
    <s v="Travel_Rarely"/>
    <n v="117"/>
    <x v="0"/>
    <n v="13"/>
    <x v="2"/>
    <s v="Life Sciences"/>
    <n v="1"/>
    <n v="859"/>
    <n v="2"/>
    <s v="Male"/>
    <n v="73"/>
    <n v="3"/>
    <n v="2"/>
    <x v="0"/>
    <x v="0"/>
    <s v="Divorced"/>
    <n v="4403"/>
    <n v="9250"/>
    <n v="2"/>
    <s v="Y"/>
    <x v="1"/>
    <n v="11"/>
    <n v="3"/>
    <n v="3"/>
    <n v="80"/>
    <n v="1"/>
    <n v="8"/>
    <n v="3"/>
    <n v="2"/>
    <n v="5"/>
    <n v="2"/>
    <n v="0"/>
    <n v="3"/>
    <x v="2"/>
    <x v="0"/>
    <s v="High"/>
    <x v="0"/>
    <s v="Excellent"/>
    <s v="Good"/>
    <n v="0"/>
    <s v="3,001–6,000"/>
    <s v="11–15 miles"/>
    <s v="2–5 years"/>
  </r>
  <r>
    <n v="30"/>
    <x v="1"/>
    <s v="Travel_Frequently"/>
    <n v="1012"/>
    <x v="1"/>
    <n v="5"/>
    <x v="2"/>
    <s v="Life Sciences"/>
    <n v="1"/>
    <n v="861"/>
    <n v="2"/>
    <s v="Male"/>
    <n v="75"/>
    <n v="2"/>
    <n v="1"/>
    <x v="1"/>
    <x v="0"/>
    <s v="Divorced"/>
    <n v="3761"/>
    <n v="2373"/>
    <n v="9"/>
    <s v="Y"/>
    <x v="1"/>
    <n v="12"/>
    <n v="3"/>
    <n v="2"/>
    <n v="80"/>
    <n v="1"/>
    <n v="10"/>
    <n v="3"/>
    <n v="2"/>
    <n v="5"/>
    <n v="4"/>
    <n v="0"/>
    <n v="3"/>
    <x v="2"/>
    <x v="0"/>
    <s v="Medium"/>
    <x v="0"/>
    <s v="Excellent"/>
    <s v="Good"/>
    <n v="0"/>
    <s v="3,001–6,000"/>
    <s v="0–5 miles"/>
    <s v="2–5 years"/>
  </r>
  <r>
    <n v="53"/>
    <x v="1"/>
    <s v="Travel_Rarely"/>
    <n v="661"/>
    <x v="0"/>
    <n v="7"/>
    <x v="0"/>
    <s v="Marketing"/>
    <n v="1"/>
    <n v="862"/>
    <n v="1"/>
    <s v="Female"/>
    <n v="78"/>
    <n v="2"/>
    <n v="3"/>
    <x v="0"/>
    <x v="0"/>
    <s v="Married"/>
    <n v="10934"/>
    <n v="20715"/>
    <n v="7"/>
    <s v="Y"/>
    <x v="0"/>
    <n v="18"/>
    <n v="3"/>
    <n v="4"/>
    <n v="80"/>
    <n v="1"/>
    <n v="35"/>
    <n v="3"/>
    <n v="3"/>
    <n v="5"/>
    <n v="2"/>
    <n v="0"/>
    <n v="4"/>
    <x v="0"/>
    <x v="3"/>
    <s v="Medium"/>
    <x v="0"/>
    <s v="Excellent"/>
    <s v="Better"/>
    <n v="0"/>
    <s v="10,001+"/>
    <s v="6–10 miles"/>
    <s v="2–5 years"/>
  </r>
  <r>
    <n v="45"/>
    <x v="1"/>
    <s v="Travel_Rarely"/>
    <n v="930"/>
    <x v="0"/>
    <n v="9"/>
    <x v="3"/>
    <s v="Marketing"/>
    <n v="1"/>
    <n v="864"/>
    <n v="4"/>
    <s v="Male"/>
    <n v="74"/>
    <n v="3"/>
    <n v="3"/>
    <x v="0"/>
    <x v="3"/>
    <s v="Divorced"/>
    <n v="10761"/>
    <n v="19239"/>
    <n v="4"/>
    <s v="Y"/>
    <x v="0"/>
    <n v="12"/>
    <n v="3"/>
    <n v="3"/>
    <n v="80"/>
    <n v="1"/>
    <n v="18"/>
    <n v="2"/>
    <n v="3"/>
    <n v="5"/>
    <n v="4"/>
    <n v="0"/>
    <n v="2"/>
    <x v="3"/>
    <x v="2"/>
    <s v="High"/>
    <x v="3"/>
    <s v="Excellent"/>
    <s v="Better"/>
    <n v="0"/>
    <s v="10,001+"/>
    <s v="6–10 miles"/>
    <s v="2–5 years"/>
  </r>
  <r>
    <n v="32"/>
    <x v="1"/>
    <s v="Travel_Rarely"/>
    <n v="638"/>
    <x v="1"/>
    <n v="8"/>
    <x v="0"/>
    <s v="Medical"/>
    <n v="1"/>
    <n v="865"/>
    <n v="3"/>
    <s v="Female"/>
    <n v="91"/>
    <n v="4"/>
    <n v="2"/>
    <x v="1"/>
    <x v="2"/>
    <s v="Married"/>
    <n v="5175"/>
    <n v="22162"/>
    <n v="5"/>
    <s v="Y"/>
    <x v="1"/>
    <n v="12"/>
    <n v="3"/>
    <n v="3"/>
    <n v="80"/>
    <n v="1"/>
    <n v="9"/>
    <n v="3"/>
    <n v="2"/>
    <n v="5"/>
    <n v="3"/>
    <n v="1"/>
    <n v="3"/>
    <x v="0"/>
    <x v="1"/>
    <s v="Very High"/>
    <x v="2"/>
    <s v="Excellent"/>
    <s v="Good"/>
    <n v="0"/>
    <s v="3,001–6,000"/>
    <s v="6–10 miles"/>
    <s v="2–5 years"/>
  </r>
  <r>
    <n v="52"/>
    <x v="1"/>
    <s v="Travel_Frequently"/>
    <n v="890"/>
    <x v="1"/>
    <n v="25"/>
    <x v="2"/>
    <s v="Medical"/>
    <n v="1"/>
    <n v="867"/>
    <n v="3"/>
    <s v="Female"/>
    <n v="81"/>
    <n v="2"/>
    <n v="4"/>
    <x v="3"/>
    <x v="0"/>
    <s v="Married"/>
    <n v="13826"/>
    <n v="19028"/>
    <n v="3"/>
    <s v="Y"/>
    <x v="1"/>
    <n v="22"/>
    <n v="4"/>
    <n v="3"/>
    <n v="80"/>
    <n v="0"/>
    <n v="31"/>
    <n v="3"/>
    <n v="3"/>
    <n v="9"/>
    <n v="8"/>
    <n v="0"/>
    <n v="0"/>
    <x v="2"/>
    <x v="1"/>
    <s v="Medium"/>
    <x v="0"/>
    <s v="Outstanding"/>
    <s v="Better"/>
    <n v="0"/>
    <s v="10,001+"/>
    <s v="16+ miles"/>
    <s v="6–10 years"/>
  </r>
  <r>
    <n v="37"/>
    <x v="1"/>
    <s v="Travel_Rarely"/>
    <n v="342"/>
    <x v="0"/>
    <n v="16"/>
    <x v="2"/>
    <s v="Marketing"/>
    <n v="1"/>
    <n v="868"/>
    <n v="4"/>
    <s v="Male"/>
    <n v="66"/>
    <n v="2"/>
    <n v="2"/>
    <x v="0"/>
    <x v="2"/>
    <s v="Divorced"/>
    <n v="6334"/>
    <n v="24558"/>
    <n v="4"/>
    <s v="Y"/>
    <x v="1"/>
    <n v="19"/>
    <n v="3"/>
    <n v="4"/>
    <n v="80"/>
    <n v="2"/>
    <n v="9"/>
    <n v="2"/>
    <n v="3"/>
    <n v="1"/>
    <n v="0"/>
    <n v="0"/>
    <n v="0"/>
    <x v="2"/>
    <x v="2"/>
    <s v="Medium"/>
    <x v="2"/>
    <s v="Excellent"/>
    <s v="Better"/>
    <n v="0"/>
    <s v="6,001–10,000"/>
    <s v="16+ miles"/>
    <s v="0–1 years"/>
  </r>
  <r>
    <n v="28"/>
    <x v="1"/>
    <s v="Travel_Rarely"/>
    <n v="1169"/>
    <x v="2"/>
    <n v="8"/>
    <x v="0"/>
    <s v="Medical"/>
    <n v="1"/>
    <n v="869"/>
    <n v="2"/>
    <s v="Male"/>
    <n v="63"/>
    <n v="2"/>
    <n v="1"/>
    <x v="8"/>
    <x v="0"/>
    <s v="Divorced"/>
    <n v="4936"/>
    <n v="23965"/>
    <n v="1"/>
    <s v="Y"/>
    <x v="1"/>
    <n v="13"/>
    <n v="3"/>
    <n v="4"/>
    <n v="80"/>
    <n v="1"/>
    <n v="6"/>
    <n v="6"/>
    <n v="3"/>
    <n v="5"/>
    <n v="1"/>
    <n v="0"/>
    <n v="4"/>
    <x v="0"/>
    <x v="0"/>
    <s v="Medium"/>
    <x v="0"/>
    <s v="Excellent"/>
    <s v="Better"/>
    <n v="0"/>
    <s v="3,001–6,000"/>
    <s v="6–10 miles"/>
    <s v="2–5 years"/>
  </r>
  <r>
    <n v="22"/>
    <x v="1"/>
    <s v="Travel_Rarely"/>
    <n v="1230"/>
    <x v="1"/>
    <n v="1"/>
    <x v="0"/>
    <s v="Life Sciences"/>
    <n v="1"/>
    <n v="872"/>
    <n v="4"/>
    <s v="Male"/>
    <n v="33"/>
    <n v="2"/>
    <n v="2"/>
    <x v="3"/>
    <x v="0"/>
    <s v="Married"/>
    <n v="4775"/>
    <n v="19146"/>
    <n v="6"/>
    <s v="Y"/>
    <x v="1"/>
    <n v="22"/>
    <n v="4"/>
    <n v="1"/>
    <n v="80"/>
    <n v="2"/>
    <n v="4"/>
    <n v="2"/>
    <n v="1"/>
    <n v="2"/>
    <n v="2"/>
    <n v="2"/>
    <n v="2"/>
    <x v="0"/>
    <x v="2"/>
    <s v="Medium"/>
    <x v="0"/>
    <s v="Outstanding"/>
    <s v="Bad"/>
    <n v="0"/>
    <s v="3,001–6,000"/>
    <s v="0–5 miles"/>
    <s v="2–5 years"/>
  </r>
  <r>
    <n v="44"/>
    <x v="1"/>
    <s v="Travel_Rarely"/>
    <n v="986"/>
    <x v="1"/>
    <n v="8"/>
    <x v="2"/>
    <s v="Life Sciences"/>
    <n v="1"/>
    <n v="874"/>
    <n v="1"/>
    <s v="Male"/>
    <n v="62"/>
    <n v="4"/>
    <n v="1"/>
    <x v="2"/>
    <x v="0"/>
    <s v="Married"/>
    <n v="2818"/>
    <n v="5044"/>
    <n v="2"/>
    <s v="Y"/>
    <x v="0"/>
    <n v="24"/>
    <n v="4"/>
    <n v="3"/>
    <n v="80"/>
    <n v="1"/>
    <n v="10"/>
    <n v="2"/>
    <n v="2"/>
    <n v="3"/>
    <n v="2"/>
    <n v="0"/>
    <n v="2"/>
    <x v="2"/>
    <x v="3"/>
    <s v="Very High"/>
    <x v="0"/>
    <s v="Outstanding"/>
    <s v="Good"/>
    <n v="0"/>
    <s v="0–3,000"/>
    <s v="6–10 miles"/>
    <s v="2–5 years"/>
  </r>
  <r>
    <n v="42"/>
    <x v="1"/>
    <s v="Travel_Frequently"/>
    <n v="1271"/>
    <x v="1"/>
    <n v="2"/>
    <x v="1"/>
    <s v="Medical"/>
    <n v="1"/>
    <n v="875"/>
    <n v="2"/>
    <s v="Male"/>
    <n v="35"/>
    <n v="3"/>
    <n v="1"/>
    <x v="1"/>
    <x v="0"/>
    <s v="Single"/>
    <n v="2515"/>
    <n v="9068"/>
    <n v="5"/>
    <s v="Y"/>
    <x v="0"/>
    <n v="14"/>
    <n v="3"/>
    <n v="4"/>
    <n v="80"/>
    <n v="0"/>
    <n v="8"/>
    <n v="2"/>
    <n v="3"/>
    <n v="2"/>
    <n v="1"/>
    <n v="2"/>
    <n v="2"/>
    <x v="1"/>
    <x v="0"/>
    <s v="High"/>
    <x v="0"/>
    <s v="Excellent"/>
    <s v="Better"/>
    <n v="0"/>
    <s v="0–3,000"/>
    <s v="0–5 miles"/>
    <s v="2–5 years"/>
  </r>
  <r>
    <n v="36"/>
    <x v="1"/>
    <s v="Travel_Rarely"/>
    <n v="1278"/>
    <x v="2"/>
    <n v="8"/>
    <x v="3"/>
    <s v="Life Sciences"/>
    <n v="1"/>
    <n v="878"/>
    <n v="1"/>
    <s v="Male"/>
    <n v="77"/>
    <n v="2"/>
    <n v="1"/>
    <x v="8"/>
    <x v="3"/>
    <s v="Married"/>
    <n v="2342"/>
    <n v="8635"/>
    <n v="0"/>
    <s v="Y"/>
    <x v="1"/>
    <n v="21"/>
    <n v="4"/>
    <n v="3"/>
    <n v="80"/>
    <n v="0"/>
    <n v="6"/>
    <n v="3"/>
    <n v="3"/>
    <n v="5"/>
    <n v="4"/>
    <n v="0"/>
    <n v="3"/>
    <x v="3"/>
    <x v="3"/>
    <s v="Medium"/>
    <x v="3"/>
    <s v="Outstanding"/>
    <s v="Better"/>
    <n v="0"/>
    <s v="0–3,000"/>
    <s v="6–10 miles"/>
    <s v="2–5 years"/>
  </r>
  <r>
    <n v="25"/>
    <x v="1"/>
    <s v="Travel_Rarely"/>
    <n v="141"/>
    <x v="0"/>
    <n v="3"/>
    <x v="1"/>
    <s v="Other"/>
    <n v="1"/>
    <n v="879"/>
    <n v="3"/>
    <s v="Male"/>
    <n v="98"/>
    <n v="3"/>
    <n v="2"/>
    <x v="0"/>
    <x v="3"/>
    <s v="Married"/>
    <n v="4194"/>
    <n v="14363"/>
    <n v="1"/>
    <s v="Y"/>
    <x v="0"/>
    <n v="18"/>
    <n v="3"/>
    <n v="4"/>
    <n v="80"/>
    <n v="0"/>
    <n v="5"/>
    <n v="3"/>
    <n v="3"/>
    <n v="5"/>
    <n v="3"/>
    <n v="0"/>
    <n v="3"/>
    <x v="1"/>
    <x v="1"/>
    <s v="High"/>
    <x v="3"/>
    <s v="Excellent"/>
    <s v="Better"/>
    <n v="0"/>
    <s v="3,001–6,000"/>
    <s v="0–5 miles"/>
    <s v="2–5 years"/>
  </r>
  <r>
    <n v="35"/>
    <x v="1"/>
    <s v="Travel_Rarely"/>
    <n v="607"/>
    <x v="1"/>
    <n v="9"/>
    <x v="3"/>
    <s v="Life Sciences"/>
    <n v="1"/>
    <n v="880"/>
    <n v="4"/>
    <s v="Female"/>
    <n v="66"/>
    <n v="2"/>
    <n v="3"/>
    <x v="3"/>
    <x v="2"/>
    <s v="Married"/>
    <n v="10685"/>
    <n v="23457"/>
    <n v="1"/>
    <s v="Y"/>
    <x v="0"/>
    <n v="20"/>
    <n v="4"/>
    <n v="2"/>
    <n v="80"/>
    <n v="1"/>
    <n v="17"/>
    <n v="2"/>
    <n v="3"/>
    <n v="17"/>
    <n v="14"/>
    <n v="5"/>
    <n v="15"/>
    <x v="3"/>
    <x v="2"/>
    <s v="Medium"/>
    <x v="2"/>
    <s v="Outstanding"/>
    <s v="Better"/>
    <n v="0"/>
    <s v="10,001+"/>
    <s v="6–10 miles"/>
    <s v="11+ years"/>
  </r>
  <r>
    <n v="35"/>
    <x v="0"/>
    <s v="Travel_Frequently"/>
    <n v="130"/>
    <x v="1"/>
    <n v="25"/>
    <x v="2"/>
    <s v="Life Sciences"/>
    <n v="1"/>
    <n v="881"/>
    <n v="4"/>
    <s v="Female"/>
    <n v="96"/>
    <n v="3"/>
    <n v="1"/>
    <x v="1"/>
    <x v="1"/>
    <s v="Divorced"/>
    <n v="2022"/>
    <n v="16612"/>
    <n v="1"/>
    <s v="Y"/>
    <x v="0"/>
    <n v="19"/>
    <n v="3"/>
    <n v="1"/>
    <n v="80"/>
    <n v="1"/>
    <n v="10"/>
    <n v="3"/>
    <n v="2"/>
    <n v="10"/>
    <n v="2"/>
    <n v="7"/>
    <n v="8"/>
    <x v="2"/>
    <x v="2"/>
    <s v="High"/>
    <x v="1"/>
    <s v="Excellent"/>
    <s v="Good"/>
    <n v="1"/>
    <s v="0–3,000"/>
    <s v="16+ miles"/>
    <s v="6–10 years"/>
  </r>
  <r>
    <n v="32"/>
    <x v="1"/>
    <s v="Non-Travel"/>
    <n v="300"/>
    <x v="1"/>
    <n v="1"/>
    <x v="3"/>
    <s v="Life Sciences"/>
    <n v="1"/>
    <n v="882"/>
    <n v="4"/>
    <s v="Male"/>
    <n v="61"/>
    <n v="3"/>
    <n v="1"/>
    <x v="2"/>
    <x v="0"/>
    <s v="Divorced"/>
    <n v="2314"/>
    <n v="9148"/>
    <n v="0"/>
    <s v="Y"/>
    <x v="1"/>
    <n v="12"/>
    <n v="3"/>
    <n v="2"/>
    <n v="80"/>
    <n v="1"/>
    <n v="4"/>
    <n v="2"/>
    <n v="3"/>
    <n v="3"/>
    <n v="0"/>
    <n v="0"/>
    <n v="2"/>
    <x v="3"/>
    <x v="2"/>
    <s v="High"/>
    <x v="0"/>
    <s v="Excellent"/>
    <s v="Better"/>
    <n v="0"/>
    <s v="0–3,000"/>
    <s v="0–5 miles"/>
    <s v="2–5 years"/>
  </r>
  <r>
    <n v="25"/>
    <x v="1"/>
    <s v="Travel_Rarely"/>
    <n v="583"/>
    <x v="0"/>
    <n v="4"/>
    <x v="1"/>
    <s v="Marketing"/>
    <n v="1"/>
    <n v="885"/>
    <n v="3"/>
    <s v="Male"/>
    <n v="87"/>
    <n v="2"/>
    <n v="2"/>
    <x v="0"/>
    <x v="3"/>
    <s v="Married"/>
    <n v="4256"/>
    <n v="18154"/>
    <n v="1"/>
    <s v="Y"/>
    <x v="1"/>
    <n v="12"/>
    <n v="3"/>
    <n v="1"/>
    <n v="80"/>
    <n v="0"/>
    <n v="5"/>
    <n v="1"/>
    <n v="4"/>
    <n v="5"/>
    <n v="2"/>
    <n v="0"/>
    <n v="3"/>
    <x v="1"/>
    <x v="1"/>
    <s v="Medium"/>
    <x v="3"/>
    <s v="Excellent"/>
    <s v="Best"/>
    <n v="0"/>
    <s v="3,001–6,000"/>
    <s v="0–5 miles"/>
    <s v="2–5 years"/>
  </r>
  <r>
    <n v="49"/>
    <x v="1"/>
    <s v="Travel_Rarely"/>
    <n v="1418"/>
    <x v="1"/>
    <n v="1"/>
    <x v="3"/>
    <s v="Technical Degree"/>
    <n v="1"/>
    <n v="887"/>
    <n v="3"/>
    <s v="Female"/>
    <n v="36"/>
    <n v="3"/>
    <n v="1"/>
    <x v="1"/>
    <x v="3"/>
    <s v="Married"/>
    <n v="3580"/>
    <n v="10554"/>
    <n v="2"/>
    <s v="Y"/>
    <x v="1"/>
    <n v="16"/>
    <n v="3"/>
    <n v="2"/>
    <n v="80"/>
    <n v="1"/>
    <n v="7"/>
    <n v="2"/>
    <n v="3"/>
    <n v="4"/>
    <n v="2"/>
    <n v="0"/>
    <n v="2"/>
    <x v="3"/>
    <x v="1"/>
    <s v="High"/>
    <x v="3"/>
    <s v="Excellent"/>
    <s v="Better"/>
    <n v="0"/>
    <s v="3,001–6,000"/>
    <s v="0–5 miles"/>
    <s v="2–5 years"/>
  </r>
  <r>
    <n v="24"/>
    <x v="1"/>
    <s v="Non-Travel"/>
    <n v="1269"/>
    <x v="1"/>
    <n v="4"/>
    <x v="1"/>
    <s v="Life Sciences"/>
    <n v="1"/>
    <n v="888"/>
    <n v="1"/>
    <s v="Male"/>
    <n v="46"/>
    <n v="2"/>
    <n v="1"/>
    <x v="2"/>
    <x v="0"/>
    <s v="Married"/>
    <n v="3162"/>
    <n v="10778"/>
    <n v="0"/>
    <s v="Y"/>
    <x v="1"/>
    <n v="17"/>
    <n v="3"/>
    <n v="4"/>
    <n v="80"/>
    <n v="0"/>
    <n v="6"/>
    <n v="2"/>
    <n v="2"/>
    <n v="5"/>
    <n v="2"/>
    <n v="3"/>
    <n v="4"/>
    <x v="1"/>
    <x v="3"/>
    <s v="Medium"/>
    <x v="0"/>
    <s v="Excellent"/>
    <s v="Good"/>
    <n v="0"/>
    <s v="3,001–6,000"/>
    <s v="0–5 miles"/>
    <s v="2–5 years"/>
  </r>
  <r>
    <n v="32"/>
    <x v="1"/>
    <s v="Travel_Frequently"/>
    <n v="379"/>
    <x v="0"/>
    <n v="5"/>
    <x v="0"/>
    <s v="Life Sciences"/>
    <n v="1"/>
    <n v="889"/>
    <n v="2"/>
    <s v="Male"/>
    <n v="48"/>
    <n v="3"/>
    <n v="2"/>
    <x v="0"/>
    <x v="1"/>
    <s v="Married"/>
    <n v="6524"/>
    <n v="8891"/>
    <n v="1"/>
    <s v="Y"/>
    <x v="1"/>
    <n v="14"/>
    <n v="3"/>
    <n v="4"/>
    <n v="80"/>
    <n v="1"/>
    <n v="10"/>
    <n v="3"/>
    <n v="3"/>
    <n v="10"/>
    <n v="8"/>
    <n v="5"/>
    <n v="3"/>
    <x v="0"/>
    <x v="0"/>
    <s v="High"/>
    <x v="1"/>
    <s v="Excellent"/>
    <s v="Better"/>
    <n v="0"/>
    <s v="6,001–10,000"/>
    <s v="0–5 miles"/>
    <s v="6–10 years"/>
  </r>
  <r>
    <n v="38"/>
    <x v="1"/>
    <s v="Travel_Rarely"/>
    <n v="395"/>
    <x v="0"/>
    <n v="9"/>
    <x v="3"/>
    <s v="Marketing"/>
    <n v="1"/>
    <n v="893"/>
    <n v="2"/>
    <s v="Male"/>
    <n v="98"/>
    <n v="2"/>
    <n v="1"/>
    <x v="6"/>
    <x v="1"/>
    <s v="Married"/>
    <n v="2899"/>
    <n v="12102"/>
    <n v="0"/>
    <s v="Y"/>
    <x v="1"/>
    <n v="19"/>
    <n v="3"/>
    <n v="4"/>
    <n v="80"/>
    <n v="1"/>
    <n v="3"/>
    <n v="3"/>
    <n v="3"/>
    <n v="2"/>
    <n v="2"/>
    <n v="1"/>
    <n v="2"/>
    <x v="3"/>
    <x v="0"/>
    <s v="Medium"/>
    <x v="1"/>
    <s v="Excellent"/>
    <s v="Better"/>
    <n v="0"/>
    <s v="0–3,000"/>
    <s v="6–10 miles"/>
    <s v="2–5 years"/>
  </r>
  <r>
    <n v="42"/>
    <x v="1"/>
    <s v="Travel_Rarely"/>
    <n v="1265"/>
    <x v="1"/>
    <n v="3"/>
    <x v="3"/>
    <s v="Life Sciences"/>
    <n v="1"/>
    <n v="894"/>
    <n v="3"/>
    <s v="Female"/>
    <n v="95"/>
    <n v="4"/>
    <n v="2"/>
    <x v="2"/>
    <x v="0"/>
    <s v="Married"/>
    <n v="5231"/>
    <n v="23726"/>
    <n v="2"/>
    <s v="Y"/>
    <x v="0"/>
    <n v="13"/>
    <n v="3"/>
    <n v="2"/>
    <n v="80"/>
    <n v="1"/>
    <n v="17"/>
    <n v="1"/>
    <n v="2"/>
    <n v="5"/>
    <n v="3"/>
    <n v="1"/>
    <n v="3"/>
    <x v="3"/>
    <x v="1"/>
    <s v="Very High"/>
    <x v="0"/>
    <s v="Excellent"/>
    <s v="Good"/>
    <n v="0"/>
    <s v="3,001–6,000"/>
    <s v="0–5 miles"/>
    <s v="2–5 years"/>
  </r>
  <r>
    <n v="31"/>
    <x v="1"/>
    <s v="Travel_Rarely"/>
    <n v="1222"/>
    <x v="1"/>
    <n v="11"/>
    <x v="2"/>
    <s v="Life Sciences"/>
    <n v="1"/>
    <n v="895"/>
    <n v="4"/>
    <s v="Male"/>
    <n v="48"/>
    <n v="3"/>
    <n v="1"/>
    <x v="1"/>
    <x v="0"/>
    <s v="Married"/>
    <n v="2356"/>
    <n v="14871"/>
    <n v="3"/>
    <s v="Y"/>
    <x v="0"/>
    <n v="19"/>
    <n v="3"/>
    <n v="2"/>
    <n v="80"/>
    <n v="1"/>
    <n v="8"/>
    <n v="2"/>
    <n v="3"/>
    <n v="6"/>
    <n v="4"/>
    <n v="0"/>
    <n v="2"/>
    <x v="2"/>
    <x v="2"/>
    <s v="High"/>
    <x v="0"/>
    <s v="Excellent"/>
    <s v="Better"/>
    <n v="0"/>
    <s v="0–3,000"/>
    <s v="11–15 miles"/>
    <s v="6–10 years"/>
  </r>
  <r>
    <n v="29"/>
    <x v="0"/>
    <s v="Travel_Rarely"/>
    <n v="341"/>
    <x v="0"/>
    <n v="1"/>
    <x v="3"/>
    <s v="Medical"/>
    <n v="1"/>
    <n v="896"/>
    <n v="2"/>
    <s v="Female"/>
    <n v="48"/>
    <n v="2"/>
    <n v="1"/>
    <x v="6"/>
    <x v="2"/>
    <s v="Divorced"/>
    <n v="2800"/>
    <n v="23522"/>
    <n v="6"/>
    <s v="Y"/>
    <x v="0"/>
    <n v="19"/>
    <n v="3"/>
    <n v="3"/>
    <n v="80"/>
    <n v="3"/>
    <n v="5"/>
    <n v="3"/>
    <n v="3"/>
    <n v="3"/>
    <n v="2"/>
    <n v="0"/>
    <n v="2"/>
    <x v="3"/>
    <x v="0"/>
    <s v="Medium"/>
    <x v="2"/>
    <s v="Excellent"/>
    <s v="Better"/>
    <n v="1"/>
    <s v="0–3,000"/>
    <s v="0–5 miles"/>
    <s v="2–5 years"/>
  </r>
  <r>
    <n v="53"/>
    <x v="1"/>
    <s v="Travel_Rarely"/>
    <n v="868"/>
    <x v="0"/>
    <n v="8"/>
    <x v="3"/>
    <s v="Marketing"/>
    <n v="1"/>
    <n v="897"/>
    <n v="1"/>
    <s v="Male"/>
    <n v="73"/>
    <n v="3"/>
    <n v="4"/>
    <x v="0"/>
    <x v="0"/>
    <s v="Married"/>
    <n v="11836"/>
    <n v="22789"/>
    <n v="5"/>
    <s v="Y"/>
    <x v="1"/>
    <n v="14"/>
    <n v="3"/>
    <n v="3"/>
    <n v="80"/>
    <n v="1"/>
    <n v="28"/>
    <n v="3"/>
    <n v="3"/>
    <n v="2"/>
    <n v="0"/>
    <n v="2"/>
    <n v="2"/>
    <x v="3"/>
    <x v="3"/>
    <s v="High"/>
    <x v="0"/>
    <s v="Excellent"/>
    <s v="Better"/>
    <n v="0"/>
    <s v="10,001+"/>
    <s v="6–10 miles"/>
    <s v="2–5 years"/>
  </r>
  <r>
    <n v="35"/>
    <x v="1"/>
    <s v="Travel_Rarely"/>
    <n v="672"/>
    <x v="1"/>
    <n v="25"/>
    <x v="3"/>
    <s v="Technical Degree"/>
    <n v="1"/>
    <n v="899"/>
    <n v="4"/>
    <s v="Male"/>
    <n v="78"/>
    <n v="2"/>
    <n v="3"/>
    <x v="3"/>
    <x v="1"/>
    <s v="Married"/>
    <n v="10903"/>
    <n v="9129"/>
    <n v="3"/>
    <s v="Y"/>
    <x v="1"/>
    <n v="16"/>
    <n v="3"/>
    <n v="1"/>
    <n v="80"/>
    <n v="0"/>
    <n v="16"/>
    <n v="2"/>
    <n v="3"/>
    <n v="13"/>
    <n v="10"/>
    <n v="4"/>
    <n v="8"/>
    <x v="3"/>
    <x v="2"/>
    <s v="Medium"/>
    <x v="1"/>
    <s v="Excellent"/>
    <s v="Better"/>
    <n v="0"/>
    <s v="10,001+"/>
    <s v="16+ miles"/>
    <s v="11+ years"/>
  </r>
  <r>
    <n v="37"/>
    <x v="1"/>
    <s v="Travel_Frequently"/>
    <n v="1231"/>
    <x v="0"/>
    <n v="21"/>
    <x v="0"/>
    <s v="Medical"/>
    <n v="1"/>
    <n v="900"/>
    <n v="3"/>
    <s v="Female"/>
    <n v="54"/>
    <n v="3"/>
    <n v="1"/>
    <x v="6"/>
    <x v="0"/>
    <s v="Married"/>
    <n v="2973"/>
    <n v="21222"/>
    <n v="5"/>
    <s v="Y"/>
    <x v="1"/>
    <n v="15"/>
    <n v="3"/>
    <n v="2"/>
    <n v="80"/>
    <n v="1"/>
    <n v="10"/>
    <n v="3"/>
    <n v="3"/>
    <n v="5"/>
    <n v="4"/>
    <n v="0"/>
    <n v="0"/>
    <x v="0"/>
    <x v="1"/>
    <s v="High"/>
    <x v="0"/>
    <s v="Excellent"/>
    <s v="Better"/>
    <n v="0"/>
    <s v="0–3,000"/>
    <s v="16+ miles"/>
    <s v="2–5 years"/>
  </r>
  <r>
    <n v="53"/>
    <x v="1"/>
    <s v="Travel_Rarely"/>
    <n v="102"/>
    <x v="1"/>
    <n v="23"/>
    <x v="2"/>
    <s v="Life Sciences"/>
    <n v="1"/>
    <n v="901"/>
    <n v="4"/>
    <s v="Female"/>
    <n v="72"/>
    <n v="3"/>
    <n v="4"/>
    <x v="7"/>
    <x v="0"/>
    <s v="Single"/>
    <n v="14275"/>
    <n v="20206"/>
    <n v="6"/>
    <s v="Y"/>
    <x v="1"/>
    <n v="18"/>
    <n v="3"/>
    <n v="3"/>
    <n v="80"/>
    <n v="0"/>
    <n v="33"/>
    <n v="0"/>
    <n v="3"/>
    <n v="12"/>
    <n v="9"/>
    <n v="3"/>
    <n v="8"/>
    <x v="2"/>
    <x v="2"/>
    <s v="High"/>
    <x v="0"/>
    <s v="Excellent"/>
    <s v="Better"/>
    <n v="0"/>
    <s v="10,001+"/>
    <s v="16+ miles"/>
    <s v="11+ years"/>
  </r>
  <r>
    <n v="43"/>
    <x v="1"/>
    <s v="Travel_Frequently"/>
    <n v="422"/>
    <x v="1"/>
    <n v="1"/>
    <x v="3"/>
    <s v="Life Sciences"/>
    <n v="1"/>
    <n v="902"/>
    <n v="4"/>
    <s v="Female"/>
    <n v="33"/>
    <n v="3"/>
    <n v="2"/>
    <x v="4"/>
    <x v="0"/>
    <s v="Married"/>
    <n v="5562"/>
    <n v="21782"/>
    <n v="4"/>
    <s v="Y"/>
    <x v="1"/>
    <n v="13"/>
    <n v="3"/>
    <n v="2"/>
    <n v="80"/>
    <n v="1"/>
    <n v="12"/>
    <n v="2"/>
    <n v="2"/>
    <n v="5"/>
    <n v="2"/>
    <n v="2"/>
    <n v="2"/>
    <x v="3"/>
    <x v="2"/>
    <s v="High"/>
    <x v="0"/>
    <s v="Excellent"/>
    <s v="Good"/>
    <n v="0"/>
    <s v="3,001–6,000"/>
    <s v="0–5 miles"/>
    <s v="2–5 years"/>
  </r>
  <r>
    <n v="47"/>
    <x v="1"/>
    <s v="Travel_Rarely"/>
    <n v="249"/>
    <x v="0"/>
    <n v="2"/>
    <x v="0"/>
    <s v="Marketing"/>
    <n v="1"/>
    <n v="903"/>
    <n v="3"/>
    <s v="Female"/>
    <n v="35"/>
    <n v="3"/>
    <n v="2"/>
    <x v="0"/>
    <x v="0"/>
    <s v="Married"/>
    <n v="4537"/>
    <n v="17783"/>
    <n v="0"/>
    <s v="Y"/>
    <x v="0"/>
    <n v="22"/>
    <n v="4"/>
    <n v="1"/>
    <n v="80"/>
    <n v="1"/>
    <n v="8"/>
    <n v="2"/>
    <n v="3"/>
    <n v="7"/>
    <n v="6"/>
    <n v="7"/>
    <n v="7"/>
    <x v="0"/>
    <x v="1"/>
    <s v="High"/>
    <x v="0"/>
    <s v="Outstanding"/>
    <s v="Better"/>
    <n v="0"/>
    <s v="3,001–6,000"/>
    <s v="0–5 miles"/>
    <s v="6–10 years"/>
  </r>
  <r>
    <n v="37"/>
    <x v="1"/>
    <s v="Non-Travel"/>
    <n v="1252"/>
    <x v="0"/>
    <n v="19"/>
    <x v="0"/>
    <s v="Medical"/>
    <n v="1"/>
    <n v="904"/>
    <n v="1"/>
    <s v="Male"/>
    <n v="32"/>
    <n v="3"/>
    <n v="3"/>
    <x v="0"/>
    <x v="1"/>
    <s v="Single"/>
    <n v="7642"/>
    <n v="4814"/>
    <n v="1"/>
    <s v="Y"/>
    <x v="0"/>
    <n v="13"/>
    <n v="3"/>
    <n v="4"/>
    <n v="80"/>
    <n v="0"/>
    <n v="10"/>
    <n v="2"/>
    <n v="3"/>
    <n v="10"/>
    <n v="0"/>
    <n v="0"/>
    <n v="9"/>
    <x v="0"/>
    <x v="3"/>
    <s v="High"/>
    <x v="1"/>
    <s v="Excellent"/>
    <s v="Better"/>
    <n v="0"/>
    <s v="6,001–10,000"/>
    <s v="16+ miles"/>
    <s v="6–10 years"/>
  </r>
  <r>
    <n v="50"/>
    <x v="1"/>
    <s v="Non-Travel"/>
    <n v="881"/>
    <x v="1"/>
    <n v="2"/>
    <x v="2"/>
    <s v="Life Sciences"/>
    <n v="1"/>
    <n v="905"/>
    <n v="1"/>
    <s v="Male"/>
    <n v="98"/>
    <n v="3"/>
    <n v="4"/>
    <x v="5"/>
    <x v="3"/>
    <s v="Divorced"/>
    <n v="17924"/>
    <n v="4544"/>
    <n v="1"/>
    <s v="Y"/>
    <x v="1"/>
    <n v="11"/>
    <n v="3"/>
    <n v="4"/>
    <n v="80"/>
    <n v="1"/>
    <n v="31"/>
    <n v="3"/>
    <n v="3"/>
    <n v="31"/>
    <n v="6"/>
    <n v="14"/>
    <n v="7"/>
    <x v="2"/>
    <x v="3"/>
    <s v="High"/>
    <x v="3"/>
    <s v="Excellent"/>
    <s v="Better"/>
    <n v="0"/>
    <s v="10,001+"/>
    <s v="0–5 miles"/>
    <s v="11+ years"/>
  </r>
  <r>
    <n v="39"/>
    <x v="1"/>
    <s v="Travel_Rarely"/>
    <n v="1383"/>
    <x v="2"/>
    <n v="2"/>
    <x v="3"/>
    <s v="Life Sciences"/>
    <n v="1"/>
    <n v="909"/>
    <n v="4"/>
    <s v="Female"/>
    <n v="42"/>
    <n v="2"/>
    <n v="2"/>
    <x v="8"/>
    <x v="0"/>
    <s v="Married"/>
    <n v="5204"/>
    <n v="7790"/>
    <n v="8"/>
    <s v="Y"/>
    <x v="1"/>
    <n v="11"/>
    <n v="3"/>
    <n v="3"/>
    <n v="80"/>
    <n v="2"/>
    <n v="13"/>
    <n v="2"/>
    <n v="3"/>
    <n v="5"/>
    <n v="4"/>
    <n v="0"/>
    <n v="4"/>
    <x v="3"/>
    <x v="2"/>
    <s v="Medium"/>
    <x v="0"/>
    <s v="Excellent"/>
    <s v="Better"/>
    <n v="0"/>
    <s v="3,001–6,000"/>
    <s v="0–5 miles"/>
    <s v="2–5 years"/>
  </r>
  <r>
    <n v="33"/>
    <x v="1"/>
    <s v="Travel_Rarely"/>
    <n v="1075"/>
    <x v="2"/>
    <n v="3"/>
    <x v="0"/>
    <s v="Human Resources"/>
    <n v="1"/>
    <n v="910"/>
    <n v="4"/>
    <s v="Male"/>
    <n v="57"/>
    <n v="3"/>
    <n v="1"/>
    <x v="8"/>
    <x v="1"/>
    <s v="Divorced"/>
    <n v="2277"/>
    <n v="22650"/>
    <n v="3"/>
    <s v="Y"/>
    <x v="0"/>
    <n v="11"/>
    <n v="3"/>
    <n v="3"/>
    <n v="80"/>
    <n v="1"/>
    <n v="7"/>
    <n v="4"/>
    <n v="4"/>
    <n v="4"/>
    <n v="3"/>
    <n v="0"/>
    <n v="3"/>
    <x v="0"/>
    <x v="2"/>
    <s v="High"/>
    <x v="1"/>
    <s v="Excellent"/>
    <s v="Best"/>
    <n v="0"/>
    <s v="0–3,000"/>
    <s v="0–5 miles"/>
    <s v="2–5 years"/>
  </r>
  <r>
    <n v="32"/>
    <x v="0"/>
    <s v="Travel_Rarely"/>
    <n v="374"/>
    <x v="1"/>
    <n v="25"/>
    <x v="2"/>
    <s v="Life Sciences"/>
    <n v="1"/>
    <n v="911"/>
    <n v="1"/>
    <s v="Male"/>
    <n v="87"/>
    <n v="3"/>
    <n v="1"/>
    <x v="2"/>
    <x v="0"/>
    <s v="Single"/>
    <n v="2795"/>
    <n v="18016"/>
    <n v="1"/>
    <s v="Y"/>
    <x v="0"/>
    <n v="24"/>
    <n v="4"/>
    <n v="3"/>
    <n v="80"/>
    <n v="0"/>
    <n v="1"/>
    <n v="2"/>
    <n v="1"/>
    <n v="1"/>
    <n v="0"/>
    <n v="0"/>
    <n v="1"/>
    <x v="2"/>
    <x v="3"/>
    <s v="High"/>
    <x v="0"/>
    <s v="Outstanding"/>
    <s v="Bad"/>
    <n v="1"/>
    <s v="0–3,000"/>
    <s v="16+ miles"/>
    <s v="0–1 years"/>
  </r>
  <r>
    <n v="29"/>
    <x v="1"/>
    <s v="Travel_Rarely"/>
    <n v="1086"/>
    <x v="1"/>
    <n v="7"/>
    <x v="1"/>
    <s v="Medical"/>
    <n v="1"/>
    <n v="912"/>
    <n v="1"/>
    <s v="Female"/>
    <n v="62"/>
    <n v="2"/>
    <n v="1"/>
    <x v="2"/>
    <x v="0"/>
    <s v="Divorced"/>
    <n v="2532"/>
    <n v="6054"/>
    <n v="6"/>
    <s v="Y"/>
    <x v="1"/>
    <n v="14"/>
    <n v="3"/>
    <n v="3"/>
    <n v="80"/>
    <n v="3"/>
    <n v="8"/>
    <n v="5"/>
    <n v="3"/>
    <n v="4"/>
    <n v="3"/>
    <n v="0"/>
    <n v="3"/>
    <x v="1"/>
    <x v="3"/>
    <s v="Medium"/>
    <x v="0"/>
    <s v="Excellent"/>
    <s v="Better"/>
    <n v="0"/>
    <s v="0–3,000"/>
    <s v="6–10 miles"/>
    <s v="2–5 years"/>
  </r>
  <r>
    <n v="44"/>
    <x v="1"/>
    <s v="Travel_Rarely"/>
    <n v="661"/>
    <x v="1"/>
    <n v="9"/>
    <x v="0"/>
    <s v="Life Sciences"/>
    <n v="1"/>
    <n v="913"/>
    <n v="2"/>
    <s v="Male"/>
    <n v="61"/>
    <n v="3"/>
    <n v="1"/>
    <x v="1"/>
    <x v="3"/>
    <s v="Married"/>
    <n v="2559"/>
    <n v="7508"/>
    <n v="1"/>
    <s v="Y"/>
    <x v="0"/>
    <n v="13"/>
    <n v="3"/>
    <n v="4"/>
    <n v="80"/>
    <n v="0"/>
    <n v="8"/>
    <n v="0"/>
    <n v="3"/>
    <n v="8"/>
    <n v="7"/>
    <n v="7"/>
    <n v="1"/>
    <x v="0"/>
    <x v="0"/>
    <s v="High"/>
    <x v="3"/>
    <s v="Excellent"/>
    <s v="Better"/>
    <n v="0"/>
    <s v="0–3,000"/>
    <s v="6–10 miles"/>
    <s v="6–10 years"/>
  </r>
  <r>
    <n v="28"/>
    <x v="1"/>
    <s v="Travel_Rarely"/>
    <n v="821"/>
    <x v="0"/>
    <n v="5"/>
    <x v="2"/>
    <s v="Medical"/>
    <n v="1"/>
    <n v="916"/>
    <n v="1"/>
    <s v="Male"/>
    <n v="98"/>
    <n v="3"/>
    <n v="2"/>
    <x v="0"/>
    <x v="0"/>
    <s v="Single"/>
    <n v="4908"/>
    <n v="24252"/>
    <n v="1"/>
    <s v="Y"/>
    <x v="1"/>
    <n v="14"/>
    <n v="3"/>
    <n v="2"/>
    <n v="80"/>
    <n v="0"/>
    <n v="4"/>
    <n v="3"/>
    <n v="3"/>
    <n v="4"/>
    <n v="2"/>
    <n v="0"/>
    <n v="2"/>
    <x v="2"/>
    <x v="3"/>
    <s v="High"/>
    <x v="0"/>
    <s v="Excellent"/>
    <s v="Better"/>
    <n v="0"/>
    <s v="3,001–6,000"/>
    <s v="0–5 miles"/>
    <s v="2–5 years"/>
  </r>
  <r>
    <n v="58"/>
    <x v="0"/>
    <s v="Travel_Frequently"/>
    <n v="781"/>
    <x v="1"/>
    <n v="2"/>
    <x v="1"/>
    <s v="Life Sciences"/>
    <n v="1"/>
    <n v="918"/>
    <n v="4"/>
    <s v="Male"/>
    <n v="57"/>
    <n v="2"/>
    <n v="1"/>
    <x v="2"/>
    <x v="0"/>
    <s v="Divorced"/>
    <n v="2380"/>
    <n v="13384"/>
    <n v="9"/>
    <s v="Y"/>
    <x v="0"/>
    <n v="14"/>
    <n v="3"/>
    <n v="4"/>
    <n v="80"/>
    <n v="1"/>
    <n v="3"/>
    <n v="3"/>
    <n v="2"/>
    <n v="1"/>
    <n v="0"/>
    <n v="0"/>
    <n v="0"/>
    <x v="1"/>
    <x v="2"/>
    <s v="Medium"/>
    <x v="0"/>
    <s v="Excellent"/>
    <s v="Good"/>
    <n v="1"/>
    <s v="0–3,000"/>
    <s v="0–5 miles"/>
    <s v="0–1 years"/>
  </r>
  <r>
    <n v="43"/>
    <x v="1"/>
    <s v="Travel_Rarely"/>
    <n v="177"/>
    <x v="1"/>
    <n v="8"/>
    <x v="3"/>
    <s v="Life Sciences"/>
    <n v="1"/>
    <n v="920"/>
    <n v="1"/>
    <s v="Female"/>
    <n v="55"/>
    <n v="3"/>
    <n v="2"/>
    <x v="3"/>
    <x v="1"/>
    <s v="Divorced"/>
    <n v="4765"/>
    <n v="23814"/>
    <n v="4"/>
    <s v="Y"/>
    <x v="1"/>
    <n v="21"/>
    <n v="4"/>
    <n v="3"/>
    <n v="80"/>
    <n v="1"/>
    <n v="4"/>
    <n v="2"/>
    <n v="4"/>
    <n v="1"/>
    <n v="0"/>
    <n v="0"/>
    <n v="0"/>
    <x v="3"/>
    <x v="3"/>
    <s v="High"/>
    <x v="1"/>
    <s v="Outstanding"/>
    <s v="Best"/>
    <n v="0"/>
    <s v="3,001–6,000"/>
    <s v="6–10 miles"/>
    <s v="0–1 years"/>
  </r>
  <r>
    <n v="20"/>
    <x v="0"/>
    <s v="Travel_Rarely"/>
    <n v="500"/>
    <x v="0"/>
    <n v="2"/>
    <x v="3"/>
    <s v="Medical"/>
    <n v="1"/>
    <n v="922"/>
    <n v="3"/>
    <s v="Female"/>
    <n v="49"/>
    <n v="2"/>
    <n v="1"/>
    <x v="6"/>
    <x v="2"/>
    <s v="Single"/>
    <n v="2044"/>
    <n v="22052"/>
    <n v="1"/>
    <s v="Y"/>
    <x v="1"/>
    <n v="13"/>
    <n v="3"/>
    <n v="4"/>
    <n v="80"/>
    <n v="0"/>
    <n v="2"/>
    <n v="3"/>
    <n v="2"/>
    <n v="2"/>
    <n v="2"/>
    <n v="0"/>
    <n v="2"/>
    <x v="3"/>
    <x v="1"/>
    <s v="Medium"/>
    <x v="2"/>
    <s v="Excellent"/>
    <s v="Good"/>
    <n v="1"/>
    <s v="0–3,000"/>
    <s v="0–5 miles"/>
    <s v="2–5 years"/>
  </r>
  <r>
    <n v="21"/>
    <x v="0"/>
    <s v="Travel_Rarely"/>
    <n v="1427"/>
    <x v="1"/>
    <n v="18"/>
    <x v="1"/>
    <s v="Other"/>
    <n v="1"/>
    <n v="923"/>
    <n v="4"/>
    <s v="Female"/>
    <n v="65"/>
    <n v="3"/>
    <n v="1"/>
    <x v="1"/>
    <x v="0"/>
    <s v="Single"/>
    <n v="2693"/>
    <n v="8870"/>
    <n v="1"/>
    <s v="Y"/>
    <x v="1"/>
    <n v="19"/>
    <n v="3"/>
    <n v="1"/>
    <n v="80"/>
    <n v="0"/>
    <n v="1"/>
    <n v="3"/>
    <n v="2"/>
    <n v="1"/>
    <n v="0"/>
    <n v="0"/>
    <n v="0"/>
    <x v="1"/>
    <x v="2"/>
    <s v="High"/>
    <x v="0"/>
    <s v="Excellent"/>
    <s v="Good"/>
    <n v="1"/>
    <s v="0–3,000"/>
    <s v="16+ miles"/>
    <s v="0–1 years"/>
  </r>
  <r>
    <n v="36"/>
    <x v="1"/>
    <s v="Travel_Rarely"/>
    <n v="1425"/>
    <x v="1"/>
    <n v="14"/>
    <x v="1"/>
    <s v="Life Sciences"/>
    <n v="1"/>
    <n v="924"/>
    <n v="3"/>
    <s v="Male"/>
    <n v="68"/>
    <n v="3"/>
    <n v="2"/>
    <x v="4"/>
    <x v="0"/>
    <s v="Married"/>
    <n v="6586"/>
    <n v="4821"/>
    <n v="0"/>
    <s v="Y"/>
    <x v="0"/>
    <n v="17"/>
    <n v="3"/>
    <n v="1"/>
    <n v="80"/>
    <n v="1"/>
    <n v="17"/>
    <n v="2"/>
    <n v="2"/>
    <n v="16"/>
    <n v="8"/>
    <n v="4"/>
    <n v="11"/>
    <x v="1"/>
    <x v="1"/>
    <s v="High"/>
    <x v="0"/>
    <s v="Excellent"/>
    <s v="Good"/>
    <n v="0"/>
    <s v="6,001–10,000"/>
    <s v="11–15 miles"/>
    <s v="11+ years"/>
  </r>
  <r>
    <n v="47"/>
    <x v="1"/>
    <s v="Travel_Rarely"/>
    <n v="1454"/>
    <x v="0"/>
    <n v="2"/>
    <x v="2"/>
    <s v="Life Sciences"/>
    <n v="1"/>
    <n v="925"/>
    <n v="4"/>
    <s v="Female"/>
    <n v="65"/>
    <n v="2"/>
    <n v="1"/>
    <x v="6"/>
    <x v="0"/>
    <s v="Single"/>
    <n v="3294"/>
    <n v="13137"/>
    <n v="1"/>
    <s v="Y"/>
    <x v="0"/>
    <n v="18"/>
    <n v="3"/>
    <n v="1"/>
    <n v="80"/>
    <n v="0"/>
    <n v="3"/>
    <n v="3"/>
    <n v="2"/>
    <n v="3"/>
    <n v="2"/>
    <n v="1"/>
    <n v="2"/>
    <x v="2"/>
    <x v="2"/>
    <s v="Medium"/>
    <x v="0"/>
    <s v="Excellent"/>
    <s v="Good"/>
    <n v="0"/>
    <s v="3,001–6,000"/>
    <s v="0–5 miles"/>
    <s v="2–5 years"/>
  </r>
  <r>
    <n v="22"/>
    <x v="0"/>
    <s v="Travel_Rarely"/>
    <n v="617"/>
    <x v="1"/>
    <n v="3"/>
    <x v="1"/>
    <s v="Life Sciences"/>
    <n v="1"/>
    <n v="926"/>
    <n v="2"/>
    <s v="Female"/>
    <n v="34"/>
    <n v="3"/>
    <n v="2"/>
    <x v="3"/>
    <x v="2"/>
    <s v="Married"/>
    <n v="4171"/>
    <n v="10022"/>
    <n v="0"/>
    <s v="Y"/>
    <x v="0"/>
    <n v="19"/>
    <n v="3"/>
    <n v="1"/>
    <n v="80"/>
    <n v="1"/>
    <n v="4"/>
    <n v="3"/>
    <n v="4"/>
    <n v="3"/>
    <n v="2"/>
    <n v="0"/>
    <n v="2"/>
    <x v="1"/>
    <x v="0"/>
    <s v="High"/>
    <x v="2"/>
    <s v="Excellent"/>
    <s v="Best"/>
    <n v="1"/>
    <s v="3,001–6,000"/>
    <s v="0–5 miles"/>
    <s v="2–5 years"/>
  </r>
  <r>
    <n v="41"/>
    <x v="0"/>
    <s v="Travel_Rarely"/>
    <n v="1085"/>
    <x v="1"/>
    <n v="2"/>
    <x v="2"/>
    <s v="Life Sciences"/>
    <n v="1"/>
    <n v="927"/>
    <n v="2"/>
    <s v="Female"/>
    <n v="57"/>
    <n v="1"/>
    <n v="1"/>
    <x v="2"/>
    <x v="0"/>
    <s v="Divorced"/>
    <n v="2778"/>
    <n v="17725"/>
    <n v="4"/>
    <s v="Y"/>
    <x v="0"/>
    <n v="13"/>
    <n v="3"/>
    <n v="3"/>
    <n v="80"/>
    <n v="1"/>
    <n v="10"/>
    <n v="1"/>
    <n v="2"/>
    <n v="7"/>
    <n v="7"/>
    <n v="1"/>
    <n v="0"/>
    <x v="2"/>
    <x v="0"/>
    <s v="Low"/>
    <x v="0"/>
    <s v="Excellent"/>
    <s v="Good"/>
    <n v="1"/>
    <s v="0–3,000"/>
    <s v="0–5 miles"/>
    <s v="6–10 years"/>
  </r>
  <r>
    <n v="28"/>
    <x v="1"/>
    <s v="Travel_Rarely"/>
    <n v="995"/>
    <x v="1"/>
    <n v="9"/>
    <x v="3"/>
    <s v="Medical"/>
    <n v="1"/>
    <n v="930"/>
    <n v="3"/>
    <s v="Female"/>
    <n v="77"/>
    <n v="3"/>
    <n v="1"/>
    <x v="1"/>
    <x v="2"/>
    <s v="Divorced"/>
    <n v="2377"/>
    <n v="9834"/>
    <n v="5"/>
    <s v="Y"/>
    <x v="1"/>
    <n v="18"/>
    <n v="3"/>
    <n v="2"/>
    <n v="80"/>
    <n v="1"/>
    <n v="6"/>
    <n v="2"/>
    <n v="3"/>
    <n v="2"/>
    <n v="2"/>
    <n v="2"/>
    <n v="2"/>
    <x v="3"/>
    <x v="1"/>
    <s v="High"/>
    <x v="2"/>
    <s v="Excellent"/>
    <s v="Better"/>
    <n v="0"/>
    <s v="0–3,000"/>
    <s v="6–10 miles"/>
    <s v="2–5 years"/>
  </r>
  <r>
    <n v="39"/>
    <x v="0"/>
    <s v="Travel_Rarely"/>
    <n v="1122"/>
    <x v="1"/>
    <n v="6"/>
    <x v="3"/>
    <s v="Medical"/>
    <n v="1"/>
    <n v="932"/>
    <n v="4"/>
    <s v="Male"/>
    <n v="70"/>
    <n v="3"/>
    <n v="1"/>
    <x v="2"/>
    <x v="3"/>
    <s v="Married"/>
    <n v="2404"/>
    <n v="4303"/>
    <n v="7"/>
    <s v="Y"/>
    <x v="0"/>
    <n v="21"/>
    <n v="4"/>
    <n v="4"/>
    <n v="80"/>
    <n v="0"/>
    <n v="8"/>
    <n v="2"/>
    <n v="1"/>
    <n v="2"/>
    <n v="2"/>
    <n v="2"/>
    <n v="2"/>
    <x v="3"/>
    <x v="2"/>
    <s v="High"/>
    <x v="3"/>
    <s v="Outstanding"/>
    <s v="Bad"/>
    <n v="1"/>
    <s v="0–3,000"/>
    <s v="6–10 miles"/>
    <s v="2–5 years"/>
  </r>
  <r>
    <n v="27"/>
    <x v="1"/>
    <s v="Travel_Rarely"/>
    <n v="618"/>
    <x v="1"/>
    <n v="4"/>
    <x v="3"/>
    <s v="Life Sciences"/>
    <n v="1"/>
    <n v="933"/>
    <n v="2"/>
    <s v="Female"/>
    <n v="76"/>
    <n v="3"/>
    <n v="1"/>
    <x v="1"/>
    <x v="2"/>
    <s v="Single"/>
    <n v="2318"/>
    <n v="17808"/>
    <n v="1"/>
    <s v="Y"/>
    <x v="1"/>
    <n v="19"/>
    <n v="3"/>
    <n v="3"/>
    <n v="80"/>
    <n v="0"/>
    <n v="1"/>
    <n v="2"/>
    <n v="3"/>
    <n v="1"/>
    <n v="1"/>
    <n v="0"/>
    <n v="0"/>
    <x v="3"/>
    <x v="0"/>
    <s v="High"/>
    <x v="2"/>
    <s v="Excellent"/>
    <s v="Better"/>
    <n v="0"/>
    <s v="0–3,000"/>
    <s v="0–5 miles"/>
    <s v="0–1 years"/>
  </r>
  <r>
    <n v="34"/>
    <x v="1"/>
    <s v="Travel_Rarely"/>
    <n v="546"/>
    <x v="1"/>
    <n v="10"/>
    <x v="3"/>
    <s v="Life Sciences"/>
    <n v="1"/>
    <n v="934"/>
    <n v="2"/>
    <s v="Male"/>
    <n v="83"/>
    <n v="3"/>
    <n v="1"/>
    <x v="2"/>
    <x v="1"/>
    <s v="Divorced"/>
    <n v="2008"/>
    <n v="6896"/>
    <n v="1"/>
    <s v="Y"/>
    <x v="1"/>
    <n v="14"/>
    <n v="3"/>
    <n v="2"/>
    <n v="80"/>
    <n v="2"/>
    <n v="1"/>
    <n v="3"/>
    <n v="3"/>
    <n v="1"/>
    <n v="0"/>
    <n v="1"/>
    <n v="0"/>
    <x v="3"/>
    <x v="0"/>
    <s v="High"/>
    <x v="1"/>
    <s v="Excellent"/>
    <s v="Better"/>
    <n v="0"/>
    <s v="0–3,000"/>
    <s v="6–10 miles"/>
    <s v="0–1 years"/>
  </r>
  <r>
    <n v="42"/>
    <x v="1"/>
    <s v="Travel_Rarely"/>
    <n v="462"/>
    <x v="0"/>
    <n v="14"/>
    <x v="0"/>
    <s v="Medical"/>
    <n v="1"/>
    <n v="936"/>
    <n v="3"/>
    <s v="Female"/>
    <n v="68"/>
    <n v="2"/>
    <n v="2"/>
    <x v="0"/>
    <x v="2"/>
    <s v="Single"/>
    <n v="6244"/>
    <n v="7824"/>
    <n v="7"/>
    <s v="Y"/>
    <x v="1"/>
    <n v="17"/>
    <n v="3"/>
    <n v="1"/>
    <n v="80"/>
    <n v="0"/>
    <n v="10"/>
    <n v="6"/>
    <n v="3"/>
    <n v="5"/>
    <n v="4"/>
    <n v="0"/>
    <n v="3"/>
    <x v="0"/>
    <x v="1"/>
    <s v="Medium"/>
    <x v="2"/>
    <s v="Excellent"/>
    <s v="Better"/>
    <n v="0"/>
    <s v="6,001–10,000"/>
    <s v="11–15 miles"/>
    <s v="2–5 years"/>
  </r>
  <r>
    <n v="33"/>
    <x v="1"/>
    <s v="Travel_Rarely"/>
    <n v="1198"/>
    <x v="1"/>
    <n v="1"/>
    <x v="2"/>
    <s v="Other"/>
    <n v="1"/>
    <n v="939"/>
    <n v="3"/>
    <s v="Male"/>
    <n v="100"/>
    <n v="2"/>
    <n v="1"/>
    <x v="1"/>
    <x v="3"/>
    <s v="Single"/>
    <n v="2799"/>
    <n v="3339"/>
    <n v="3"/>
    <s v="Y"/>
    <x v="0"/>
    <n v="11"/>
    <n v="3"/>
    <n v="2"/>
    <n v="80"/>
    <n v="0"/>
    <n v="6"/>
    <n v="1"/>
    <n v="3"/>
    <n v="3"/>
    <n v="2"/>
    <n v="0"/>
    <n v="2"/>
    <x v="2"/>
    <x v="1"/>
    <s v="Medium"/>
    <x v="3"/>
    <s v="Excellent"/>
    <s v="Better"/>
    <n v="0"/>
    <s v="0–3,000"/>
    <s v="0–5 miles"/>
    <s v="2–5 years"/>
  </r>
  <r>
    <n v="58"/>
    <x v="1"/>
    <s v="Travel_Rarely"/>
    <n v="1272"/>
    <x v="1"/>
    <n v="5"/>
    <x v="3"/>
    <s v="Technical Degree"/>
    <n v="1"/>
    <n v="940"/>
    <n v="3"/>
    <s v="Female"/>
    <n v="37"/>
    <n v="2"/>
    <n v="3"/>
    <x v="4"/>
    <x v="1"/>
    <s v="Divorced"/>
    <n v="10552"/>
    <n v="9255"/>
    <n v="2"/>
    <s v="Y"/>
    <x v="0"/>
    <n v="13"/>
    <n v="3"/>
    <n v="4"/>
    <n v="80"/>
    <n v="1"/>
    <n v="24"/>
    <n v="3"/>
    <n v="3"/>
    <n v="6"/>
    <n v="0"/>
    <n v="0"/>
    <n v="4"/>
    <x v="3"/>
    <x v="1"/>
    <s v="Medium"/>
    <x v="1"/>
    <s v="Excellent"/>
    <s v="Better"/>
    <n v="0"/>
    <s v="10,001+"/>
    <s v="0–5 miles"/>
    <s v="6–10 years"/>
  </r>
  <r>
    <n v="31"/>
    <x v="1"/>
    <s v="Travel_Rarely"/>
    <n v="154"/>
    <x v="0"/>
    <n v="7"/>
    <x v="2"/>
    <s v="Life Sciences"/>
    <n v="1"/>
    <n v="941"/>
    <n v="2"/>
    <s v="Male"/>
    <n v="41"/>
    <n v="2"/>
    <n v="1"/>
    <x v="6"/>
    <x v="2"/>
    <s v="Married"/>
    <n v="2329"/>
    <n v="11737"/>
    <n v="3"/>
    <s v="Y"/>
    <x v="1"/>
    <n v="15"/>
    <n v="3"/>
    <n v="2"/>
    <n v="80"/>
    <n v="0"/>
    <n v="13"/>
    <n v="2"/>
    <n v="4"/>
    <n v="7"/>
    <n v="7"/>
    <n v="5"/>
    <n v="2"/>
    <x v="2"/>
    <x v="0"/>
    <s v="Medium"/>
    <x v="2"/>
    <s v="Excellent"/>
    <s v="Best"/>
    <n v="0"/>
    <s v="0–3,000"/>
    <s v="6–10 miles"/>
    <s v="6–10 years"/>
  </r>
  <r>
    <n v="35"/>
    <x v="1"/>
    <s v="Travel_Rarely"/>
    <n v="1137"/>
    <x v="1"/>
    <n v="21"/>
    <x v="1"/>
    <s v="Life Sciences"/>
    <n v="1"/>
    <n v="942"/>
    <n v="4"/>
    <s v="Female"/>
    <n v="51"/>
    <n v="3"/>
    <n v="2"/>
    <x v="4"/>
    <x v="0"/>
    <s v="Married"/>
    <n v="4014"/>
    <n v="19170"/>
    <n v="1"/>
    <s v="Y"/>
    <x v="0"/>
    <n v="25"/>
    <n v="4"/>
    <n v="4"/>
    <n v="80"/>
    <n v="1"/>
    <n v="10"/>
    <n v="2"/>
    <n v="1"/>
    <n v="10"/>
    <n v="6"/>
    <n v="0"/>
    <n v="7"/>
    <x v="1"/>
    <x v="2"/>
    <s v="High"/>
    <x v="0"/>
    <s v="Outstanding"/>
    <s v="Bad"/>
    <n v="0"/>
    <s v="3,001–6,000"/>
    <s v="16+ miles"/>
    <s v="6–10 years"/>
  </r>
  <r>
    <n v="49"/>
    <x v="1"/>
    <s v="Travel_Rarely"/>
    <n v="527"/>
    <x v="1"/>
    <n v="8"/>
    <x v="0"/>
    <s v="Other"/>
    <n v="1"/>
    <n v="944"/>
    <n v="1"/>
    <s v="Female"/>
    <n v="51"/>
    <n v="3"/>
    <n v="3"/>
    <x v="2"/>
    <x v="1"/>
    <s v="Married"/>
    <n v="7403"/>
    <n v="22477"/>
    <n v="4"/>
    <s v="Y"/>
    <x v="1"/>
    <n v="11"/>
    <n v="3"/>
    <n v="3"/>
    <n v="80"/>
    <n v="1"/>
    <n v="29"/>
    <n v="3"/>
    <n v="2"/>
    <n v="26"/>
    <n v="9"/>
    <n v="1"/>
    <n v="7"/>
    <x v="0"/>
    <x v="3"/>
    <s v="High"/>
    <x v="1"/>
    <s v="Excellent"/>
    <s v="Good"/>
    <n v="0"/>
    <s v="6,001–10,000"/>
    <s v="6–10 miles"/>
    <s v="11+ years"/>
  </r>
  <r>
    <n v="48"/>
    <x v="1"/>
    <s v="Travel_Rarely"/>
    <n v="1469"/>
    <x v="1"/>
    <n v="20"/>
    <x v="2"/>
    <s v="Medical"/>
    <n v="1"/>
    <n v="945"/>
    <n v="4"/>
    <s v="Male"/>
    <n v="51"/>
    <n v="3"/>
    <n v="1"/>
    <x v="1"/>
    <x v="2"/>
    <s v="Married"/>
    <n v="2259"/>
    <n v="5543"/>
    <n v="4"/>
    <s v="Y"/>
    <x v="1"/>
    <n v="17"/>
    <n v="3"/>
    <n v="1"/>
    <n v="80"/>
    <n v="2"/>
    <n v="13"/>
    <n v="2"/>
    <n v="2"/>
    <n v="0"/>
    <n v="0"/>
    <n v="0"/>
    <n v="0"/>
    <x v="2"/>
    <x v="2"/>
    <s v="High"/>
    <x v="2"/>
    <s v="Excellent"/>
    <s v="Good"/>
    <n v="0"/>
    <s v="0–3,000"/>
    <s v="16+ miles"/>
    <s v="0–1 years"/>
  </r>
  <r>
    <n v="31"/>
    <x v="1"/>
    <s v="Non-Travel"/>
    <n v="1188"/>
    <x v="0"/>
    <n v="20"/>
    <x v="0"/>
    <s v="Marketing"/>
    <n v="1"/>
    <n v="947"/>
    <n v="4"/>
    <s v="Female"/>
    <n v="45"/>
    <n v="3"/>
    <n v="2"/>
    <x v="0"/>
    <x v="2"/>
    <s v="Married"/>
    <n v="6932"/>
    <n v="24406"/>
    <n v="1"/>
    <s v="Y"/>
    <x v="1"/>
    <n v="13"/>
    <n v="3"/>
    <n v="4"/>
    <n v="80"/>
    <n v="1"/>
    <n v="9"/>
    <n v="2"/>
    <n v="2"/>
    <n v="9"/>
    <n v="8"/>
    <n v="0"/>
    <n v="0"/>
    <x v="0"/>
    <x v="2"/>
    <s v="High"/>
    <x v="2"/>
    <s v="Excellent"/>
    <s v="Good"/>
    <n v="0"/>
    <s v="6,001–10,000"/>
    <s v="16+ miles"/>
    <s v="6–10 years"/>
  </r>
  <r>
    <n v="36"/>
    <x v="1"/>
    <s v="Travel_Rarely"/>
    <n v="188"/>
    <x v="1"/>
    <n v="7"/>
    <x v="2"/>
    <s v="Other"/>
    <n v="1"/>
    <n v="949"/>
    <n v="2"/>
    <s v="Male"/>
    <n v="65"/>
    <n v="3"/>
    <n v="1"/>
    <x v="1"/>
    <x v="0"/>
    <s v="Single"/>
    <n v="4678"/>
    <n v="23293"/>
    <n v="2"/>
    <s v="Y"/>
    <x v="1"/>
    <n v="18"/>
    <n v="3"/>
    <n v="3"/>
    <n v="80"/>
    <n v="0"/>
    <n v="8"/>
    <n v="6"/>
    <n v="3"/>
    <n v="6"/>
    <n v="2"/>
    <n v="0"/>
    <n v="1"/>
    <x v="2"/>
    <x v="0"/>
    <s v="High"/>
    <x v="0"/>
    <s v="Excellent"/>
    <s v="Better"/>
    <n v="0"/>
    <s v="3,001–6,000"/>
    <s v="6–10 miles"/>
    <s v="6–10 years"/>
  </r>
  <r>
    <n v="38"/>
    <x v="1"/>
    <s v="Travel_Rarely"/>
    <n v="1333"/>
    <x v="1"/>
    <n v="1"/>
    <x v="3"/>
    <s v="Technical Degree"/>
    <n v="1"/>
    <n v="950"/>
    <n v="4"/>
    <s v="Female"/>
    <n v="80"/>
    <n v="3"/>
    <n v="3"/>
    <x v="7"/>
    <x v="3"/>
    <s v="Married"/>
    <n v="13582"/>
    <n v="16292"/>
    <n v="1"/>
    <s v="Y"/>
    <x v="1"/>
    <n v="13"/>
    <n v="3"/>
    <n v="2"/>
    <n v="80"/>
    <n v="1"/>
    <n v="15"/>
    <n v="3"/>
    <n v="3"/>
    <n v="15"/>
    <n v="12"/>
    <n v="5"/>
    <n v="11"/>
    <x v="3"/>
    <x v="2"/>
    <s v="High"/>
    <x v="3"/>
    <s v="Excellent"/>
    <s v="Better"/>
    <n v="0"/>
    <s v="10,001+"/>
    <s v="0–5 miles"/>
    <s v="11+ years"/>
  </r>
  <r>
    <n v="32"/>
    <x v="1"/>
    <s v="Non-Travel"/>
    <n v="1184"/>
    <x v="1"/>
    <n v="1"/>
    <x v="3"/>
    <s v="Life Sciences"/>
    <n v="1"/>
    <n v="951"/>
    <n v="3"/>
    <s v="Female"/>
    <n v="70"/>
    <n v="2"/>
    <n v="1"/>
    <x v="2"/>
    <x v="1"/>
    <s v="Married"/>
    <n v="2332"/>
    <n v="3974"/>
    <n v="6"/>
    <s v="Y"/>
    <x v="1"/>
    <n v="20"/>
    <n v="4"/>
    <n v="3"/>
    <n v="80"/>
    <n v="0"/>
    <n v="5"/>
    <n v="3"/>
    <n v="3"/>
    <n v="3"/>
    <n v="0"/>
    <n v="0"/>
    <n v="2"/>
    <x v="3"/>
    <x v="1"/>
    <s v="Medium"/>
    <x v="1"/>
    <s v="Outstanding"/>
    <s v="Better"/>
    <n v="0"/>
    <s v="0–3,000"/>
    <s v="0–5 miles"/>
    <s v="2–5 years"/>
  </r>
  <r>
    <n v="25"/>
    <x v="0"/>
    <s v="Travel_Rarely"/>
    <n v="867"/>
    <x v="0"/>
    <n v="19"/>
    <x v="0"/>
    <s v="Marketing"/>
    <n v="1"/>
    <n v="952"/>
    <n v="3"/>
    <s v="Male"/>
    <n v="36"/>
    <n v="2"/>
    <n v="1"/>
    <x v="6"/>
    <x v="1"/>
    <s v="Married"/>
    <n v="2413"/>
    <n v="18798"/>
    <n v="1"/>
    <s v="Y"/>
    <x v="0"/>
    <n v="18"/>
    <n v="3"/>
    <n v="3"/>
    <n v="80"/>
    <n v="3"/>
    <n v="1"/>
    <n v="2"/>
    <n v="3"/>
    <n v="1"/>
    <n v="0"/>
    <n v="0"/>
    <n v="0"/>
    <x v="0"/>
    <x v="1"/>
    <s v="Medium"/>
    <x v="1"/>
    <s v="Excellent"/>
    <s v="Better"/>
    <n v="1"/>
    <s v="0–3,000"/>
    <s v="16+ miles"/>
    <s v="0–1 years"/>
  </r>
  <r>
    <n v="40"/>
    <x v="1"/>
    <s v="Travel_Rarely"/>
    <n v="658"/>
    <x v="0"/>
    <n v="10"/>
    <x v="2"/>
    <s v="Marketing"/>
    <n v="1"/>
    <n v="954"/>
    <n v="1"/>
    <s v="Male"/>
    <n v="67"/>
    <n v="2"/>
    <n v="3"/>
    <x v="0"/>
    <x v="1"/>
    <s v="Divorced"/>
    <n v="9705"/>
    <n v="20652"/>
    <n v="2"/>
    <s v="Y"/>
    <x v="1"/>
    <n v="12"/>
    <n v="3"/>
    <n v="2"/>
    <n v="80"/>
    <n v="1"/>
    <n v="11"/>
    <n v="2"/>
    <n v="2"/>
    <n v="1"/>
    <n v="0"/>
    <n v="0"/>
    <n v="0"/>
    <x v="2"/>
    <x v="3"/>
    <s v="Medium"/>
    <x v="1"/>
    <s v="Excellent"/>
    <s v="Good"/>
    <n v="0"/>
    <s v="6,001–10,000"/>
    <s v="6–10 miles"/>
    <s v="0–1 years"/>
  </r>
  <r>
    <n v="26"/>
    <x v="1"/>
    <s v="Travel_Frequently"/>
    <n v="1283"/>
    <x v="0"/>
    <n v="1"/>
    <x v="3"/>
    <s v="Medical"/>
    <n v="1"/>
    <n v="956"/>
    <n v="3"/>
    <s v="Male"/>
    <n v="52"/>
    <n v="2"/>
    <n v="2"/>
    <x v="0"/>
    <x v="3"/>
    <s v="Single"/>
    <n v="4294"/>
    <n v="11148"/>
    <n v="1"/>
    <s v="Y"/>
    <x v="1"/>
    <n v="12"/>
    <n v="3"/>
    <n v="2"/>
    <n v="80"/>
    <n v="0"/>
    <n v="7"/>
    <n v="2"/>
    <n v="3"/>
    <n v="7"/>
    <n v="7"/>
    <n v="0"/>
    <n v="7"/>
    <x v="3"/>
    <x v="1"/>
    <s v="Medium"/>
    <x v="3"/>
    <s v="Excellent"/>
    <s v="Better"/>
    <n v="0"/>
    <s v="3,001–6,000"/>
    <s v="0–5 miles"/>
    <s v="6–10 years"/>
  </r>
  <r>
    <n v="41"/>
    <x v="1"/>
    <s v="Travel_Rarely"/>
    <n v="263"/>
    <x v="1"/>
    <n v="6"/>
    <x v="3"/>
    <s v="Medical"/>
    <n v="1"/>
    <n v="957"/>
    <n v="4"/>
    <s v="Male"/>
    <n v="59"/>
    <n v="3"/>
    <n v="1"/>
    <x v="2"/>
    <x v="3"/>
    <s v="Single"/>
    <n v="4721"/>
    <n v="3119"/>
    <n v="2"/>
    <s v="Y"/>
    <x v="0"/>
    <n v="13"/>
    <n v="3"/>
    <n v="3"/>
    <n v="80"/>
    <n v="0"/>
    <n v="20"/>
    <n v="3"/>
    <n v="3"/>
    <n v="18"/>
    <n v="13"/>
    <n v="2"/>
    <n v="17"/>
    <x v="3"/>
    <x v="2"/>
    <s v="High"/>
    <x v="3"/>
    <s v="Excellent"/>
    <s v="Better"/>
    <n v="0"/>
    <s v="3,001–6,000"/>
    <s v="6–10 miles"/>
    <s v="11+ years"/>
  </r>
  <r>
    <n v="36"/>
    <x v="1"/>
    <s v="Travel_Rarely"/>
    <n v="938"/>
    <x v="1"/>
    <n v="2"/>
    <x v="2"/>
    <s v="Medical"/>
    <n v="1"/>
    <n v="958"/>
    <n v="3"/>
    <s v="Male"/>
    <n v="79"/>
    <n v="3"/>
    <n v="1"/>
    <x v="2"/>
    <x v="2"/>
    <s v="Single"/>
    <n v="2519"/>
    <n v="12287"/>
    <n v="4"/>
    <s v="Y"/>
    <x v="1"/>
    <n v="21"/>
    <n v="4"/>
    <n v="3"/>
    <n v="80"/>
    <n v="0"/>
    <n v="16"/>
    <n v="6"/>
    <n v="3"/>
    <n v="11"/>
    <n v="8"/>
    <n v="3"/>
    <n v="9"/>
    <x v="2"/>
    <x v="1"/>
    <s v="High"/>
    <x v="2"/>
    <s v="Outstanding"/>
    <s v="Better"/>
    <n v="0"/>
    <s v="0–3,000"/>
    <s v="0–5 miles"/>
    <s v="11+ years"/>
  </r>
  <r>
    <n v="19"/>
    <x v="0"/>
    <s v="Travel_Rarely"/>
    <n v="419"/>
    <x v="0"/>
    <n v="21"/>
    <x v="3"/>
    <s v="Other"/>
    <n v="1"/>
    <n v="959"/>
    <n v="4"/>
    <s v="Male"/>
    <n v="37"/>
    <n v="2"/>
    <n v="1"/>
    <x v="6"/>
    <x v="1"/>
    <s v="Single"/>
    <n v="2121"/>
    <n v="9947"/>
    <n v="1"/>
    <s v="Y"/>
    <x v="0"/>
    <n v="13"/>
    <n v="3"/>
    <n v="2"/>
    <n v="80"/>
    <n v="0"/>
    <n v="1"/>
    <n v="3"/>
    <n v="4"/>
    <n v="1"/>
    <n v="0"/>
    <n v="0"/>
    <n v="0"/>
    <x v="3"/>
    <x v="2"/>
    <s v="Medium"/>
    <x v="1"/>
    <s v="Excellent"/>
    <s v="Best"/>
    <n v="1"/>
    <s v="0–3,000"/>
    <s v="16+ miles"/>
    <s v="0–1 years"/>
  </r>
  <r>
    <n v="20"/>
    <x v="0"/>
    <s v="Travel_Rarely"/>
    <n v="129"/>
    <x v="1"/>
    <n v="4"/>
    <x v="3"/>
    <s v="Technical Degree"/>
    <n v="1"/>
    <n v="960"/>
    <n v="1"/>
    <s v="Male"/>
    <n v="84"/>
    <n v="3"/>
    <n v="1"/>
    <x v="2"/>
    <x v="3"/>
    <s v="Single"/>
    <n v="2973"/>
    <n v="13008"/>
    <n v="1"/>
    <s v="Y"/>
    <x v="1"/>
    <n v="19"/>
    <n v="3"/>
    <n v="2"/>
    <n v="80"/>
    <n v="0"/>
    <n v="1"/>
    <n v="2"/>
    <n v="3"/>
    <n v="1"/>
    <n v="0"/>
    <n v="0"/>
    <n v="0"/>
    <x v="3"/>
    <x v="3"/>
    <s v="High"/>
    <x v="3"/>
    <s v="Excellent"/>
    <s v="Better"/>
    <n v="1"/>
    <s v="0–3,000"/>
    <s v="0–5 miles"/>
    <s v="0–1 years"/>
  </r>
  <r>
    <n v="31"/>
    <x v="1"/>
    <s v="Travel_Rarely"/>
    <n v="616"/>
    <x v="1"/>
    <n v="12"/>
    <x v="3"/>
    <s v="Medical"/>
    <n v="1"/>
    <n v="961"/>
    <n v="4"/>
    <s v="Female"/>
    <n v="41"/>
    <n v="3"/>
    <n v="2"/>
    <x v="4"/>
    <x v="0"/>
    <s v="Married"/>
    <n v="5855"/>
    <n v="17369"/>
    <n v="0"/>
    <s v="Y"/>
    <x v="0"/>
    <n v="11"/>
    <n v="3"/>
    <n v="3"/>
    <n v="80"/>
    <n v="2"/>
    <n v="10"/>
    <n v="2"/>
    <n v="1"/>
    <n v="9"/>
    <n v="7"/>
    <n v="8"/>
    <n v="5"/>
    <x v="3"/>
    <x v="2"/>
    <s v="High"/>
    <x v="0"/>
    <s v="Excellent"/>
    <s v="Bad"/>
    <n v="0"/>
    <s v="3,001–6,000"/>
    <s v="11–15 miles"/>
    <s v="6–10 years"/>
  </r>
  <r>
    <n v="40"/>
    <x v="1"/>
    <s v="Travel_Frequently"/>
    <n v="1469"/>
    <x v="1"/>
    <n v="9"/>
    <x v="2"/>
    <s v="Medical"/>
    <n v="1"/>
    <n v="964"/>
    <n v="4"/>
    <s v="Male"/>
    <n v="35"/>
    <n v="3"/>
    <n v="1"/>
    <x v="1"/>
    <x v="1"/>
    <s v="Divorced"/>
    <n v="3617"/>
    <n v="25063"/>
    <n v="8"/>
    <s v="Y"/>
    <x v="0"/>
    <n v="14"/>
    <n v="3"/>
    <n v="4"/>
    <n v="80"/>
    <n v="1"/>
    <n v="3"/>
    <n v="2"/>
    <n v="3"/>
    <n v="1"/>
    <n v="1"/>
    <n v="0"/>
    <n v="0"/>
    <x v="2"/>
    <x v="2"/>
    <s v="High"/>
    <x v="1"/>
    <s v="Excellent"/>
    <s v="Better"/>
    <n v="0"/>
    <s v="3,001–6,000"/>
    <s v="6–10 miles"/>
    <s v="0–1 years"/>
  </r>
  <r>
    <n v="32"/>
    <x v="1"/>
    <s v="Travel_Rarely"/>
    <n v="498"/>
    <x v="1"/>
    <n v="3"/>
    <x v="2"/>
    <s v="Medical"/>
    <n v="1"/>
    <n v="966"/>
    <n v="3"/>
    <s v="Female"/>
    <n v="93"/>
    <n v="3"/>
    <n v="2"/>
    <x v="3"/>
    <x v="3"/>
    <s v="Married"/>
    <n v="6725"/>
    <n v="13554"/>
    <n v="1"/>
    <s v="Y"/>
    <x v="1"/>
    <n v="12"/>
    <n v="3"/>
    <n v="3"/>
    <n v="80"/>
    <n v="1"/>
    <n v="8"/>
    <n v="2"/>
    <n v="4"/>
    <n v="8"/>
    <n v="7"/>
    <n v="6"/>
    <n v="3"/>
    <x v="2"/>
    <x v="1"/>
    <s v="High"/>
    <x v="3"/>
    <s v="Excellent"/>
    <s v="Best"/>
    <n v="0"/>
    <s v="6,001–10,000"/>
    <s v="0–5 miles"/>
    <s v="6–10 years"/>
  </r>
  <r>
    <n v="36"/>
    <x v="0"/>
    <s v="Travel_Rarely"/>
    <n v="530"/>
    <x v="0"/>
    <n v="3"/>
    <x v="1"/>
    <s v="Life Sciences"/>
    <n v="1"/>
    <n v="967"/>
    <n v="3"/>
    <s v="Male"/>
    <n v="51"/>
    <n v="2"/>
    <n v="3"/>
    <x v="0"/>
    <x v="0"/>
    <s v="Married"/>
    <n v="10325"/>
    <n v="5518"/>
    <n v="1"/>
    <s v="Y"/>
    <x v="0"/>
    <n v="11"/>
    <n v="3"/>
    <n v="1"/>
    <n v="80"/>
    <n v="1"/>
    <n v="16"/>
    <n v="6"/>
    <n v="3"/>
    <n v="16"/>
    <n v="7"/>
    <n v="3"/>
    <n v="7"/>
    <x v="1"/>
    <x v="1"/>
    <s v="Medium"/>
    <x v="0"/>
    <s v="Excellent"/>
    <s v="Better"/>
    <n v="1"/>
    <s v="10,001+"/>
    <s v="0–5 miles"/>
    <s v="11+ years"/>
  </r>
  <r>
    <n v="33"/>
    <x v="1"/>
    <s v="Travel_Rarely"/>
    <n v="1069"/>
    <x v="1"/>
    <n v="1"/>
    <x v="3"/>
    <s v="Life Sciences"/>
    <n v="1"/>
    <n v="969"/>
    <n v="2"/>
    <s v="Female"/>
    <n v="42"/>
    <n v="2"/>
    <n v="2"/>
    <x v="4"/>
    <x v="0"/>
    <s v="Single"/>
    <n v="6949"/>
    <n v="12291"/>
    <n v="0"/>
    <s v="Y"/>
    <x v="1"/>
    <n v="14"/>
    <n v="3"/>
    <n v="1"/>
    <n v="80"/>
    <n v="0"/>
    <n v="6"/>
    <n v="3"/>
    <n v="3"/>
    <n v="5"/>
    <n v="0"/>
    <n v="1"/>
    <n v="4"/>
    <x v="3"/>
    <x v="0"/>
    <s v="Medium"/>
    <x v="0"/>
    <s v="Excellent"/>
    <s v="Better"/>
    <n v="0"/>
    <s v="6,001–10,000"/>
    <s v="0–5 miles"/>
    <s v="2–5 years"/>
  </r>
  <r>
    <n v="37"/>
    <x v="0"/>
    <s v="Travel_Rarely"/>
    <n v="625"/>
    <x v="0"/>
    <n v="1"/>
    <x v="2"/>
    <s v="Life Sciences"/>
    <n v="1"/>
    <n v="970"/>
    <n v="1"/>
    <s v="Male"/>
    <n v="46"/>
    <n v="2"/>
    <n v="3"/>
    <x v="0"/>
    <x v="2"/>
    <s v="Married"/>
    <n v="10609"/>
    <n v="14922"/>
    <n v="5"/>
    <s v="Y"/>
    <x v="1"/>
    <n v="11"/>
    <n v="3"/>
    <n v="3"/>
    <n v="80"/>
    <n v="0"/>
    <n v="17"/>
    <n v="2"/>
    <n v="1"/>
    <n v="14"/>
    <n v="1"/>
    <n v="11"/>
    <n v="7"/>
    <x v="2"/>
    <x v="3"/>
    <s v="Medium"/>
    <x v="2"/>
    <s v="Excellent"/>
    <s v="Bad"/>
    <n v="1"/>
    <s v="10,001+"/>
    <s v="0–5 miles"/>
    <s v="11+ years"/>
  </r>
  <r>
    <n v="45"/>
    <x v="1"/>
    <s v="Non-Travel"/>
    <n v="805"/>
    <x v="1"/>
    <n v="4"/>
    <x v="0"/>
    <s v="Life Sciences"/>
    <n v="1"/>
    <n v="972"/>
    <n v="3"/>
    <s v="Male"/>
    <n v="57"/>
    <n v="3"/>
    <n v="2"/>
    <x v="2"/>
    <x v="1"/>
    <s v="Married"/>
    <n v="4447"/>
    <n v="23163"/>
    <n v="1"/>
    <s v="Y"/>
    <x v="1"/>
    <n v="12"/>
    <n v="3"/>
    <n v="2"/>
    <n v="80"/>
    <n v="0"/>
    <n v="9"/>
    <n v="5"/>
    <n v="2"/>
    <n v="9"/>
    <n v="7"/>
    <n v="0"/>
    <n v="8"/>
    <x v="0"/>
    <x v="1"/>
    <s v="High"/>
    <x v="1"/>
    <s v="Excellent"/>
    <s v="Good"/>
    <n v="0"/>
    <s v="3,001–6,000"/>
    <s v="0–5 miles"/>
    <s v="6–10 years"/>
  </r>
  <r>
    <n v="29"/>
    <x v="1"/>
    <s v="Travel_Frequently"/>
    <n v="1404"/>
    <x v="0"/>
    <n v="20"/>
    <x v="3"/>
    <s v="Technical Degree"/>
    <n v="1"/>
    <n v="974"/>
    <n v="3"/>
    <s v="Female"/>
    <n v="84"/>
    <n v="3"/>
    <n v="1"/>
    <x v="6"/>
    <x v="0"/>
    <s v="Married"/>
    <n v="2157"/>
    <n v="18203"/>
    <n v="1"/>
    <s v="Y"/>
    <x v="1"/>
    <n v="15"/>
    <n v="3"/>
    <n v="2"/>
    <n v="80"/>
    <n v="1"/>
    <n v="3"/>
    <n v="5"/>
    <n v="3"/>
    <n v="3"/>
    <n v="1"/>
    <n v="0"/>
    <n v="2"/>
    <x v="3"/>
    <x v="1"/>
    <s v="High"/>
    <x v="0"/>
    <s v="Excellent"/>
    <s v="Better"/>
    <n v="0"/>
    <s v="0–3,000"/>
    <s v="16+ miles"/>
    <s v="2–5 years"/>
  </r>
  <r>
    <n v="35"/>
    <x v="1"/>
    <s v="Travel_Rarely"/>
    <n v="1219"/>
    <x v="0"/>
    <n v="18"/>
    <x v="3"/>
    <s v="Medical"/>
    <n v="1"/>
    <n v="975"/>
    <n v="3"/>
    <s v="Female"/>
    <n v="86"/>
    <n v="3"/>
    <n v="2"/>
    <x v="0"/>
    <x v="2"/>
    <s v="Married"/>
    <n v="4601"/>
    <n v="6179"/>
    <n v="1"/>
    <s v="Y"/>
    <x v="1"/>
    <n v="16"/>
    <n v="3"/>
    <n v="2"/>
    <n v="80"/>
    <n v="0"/>
    <n v="5"/>
    <n v="3"/>
    <n v="3"/>
    <n v="5"/>
    <n v="2"/>
    <n v="1"/>
    <n v="0"/>
    <x v="3"/>
    <x v="1"/>
    <s v="High"/>
    <x v="2"/>
    <s v="Excellent"/>
    <s v="Better"/>
    <n v="0"/>
    <s v="3,001–6,000"/>
    <s v="16+ miles"/>
    <s v="2–5 years"/>
  </r>
  <r>
    <n v="52"/>
    <x v="1"/>
    <s v="Travel_Rarely"/>
    <n v="1053"/>
    <x v="1"/>
    <n v="1"/>
    <x v="0"/>
    <s v="Life Sciences"/>
    <n v="1"/>
    <n v="976"/>
    <n v="4"/>
    <s v="Male"/>
    <n v="70"/>
    <n v="3"/>
    <n v="4"/>
    <x v="5"/>
    <x v="0"/>
    <s v="Married"/>
    <n v="17099"/>
    <n v="13829"/>
    <n v="2"/>
    <s v="Y"/>
    <x v="1"/>
    <n v="15"/>
    <n v="3"/>
    <n v="2"/>
    <n v="80"/>
    <n v="1"/>
    <n v="26"/>
    <n v="2"/>
    <n v="2"/>
    <n v="9"/>
    <n v="8"/>
    <n v="7"/>
    <n v="8"/>
    <x v="0"/>
    <x v="2"/>
    <s v="High"/>
    <x v="0"/>
    <s v="Excellent"/>
    <s v="Good"/>
    <n v="0"/>
    <s v="10,001+"/>
    <s v="0–5 miles"/>
    <s v="6–10 years"/>
  </r>
  <r>
    <n v="58"/>
    <x v="0"/>
    <s v="Travel_Rarely"/>
    <n v="289"/>
    <x v="1"/>
    <n v="2"/>
    <x v="3"/>
    <s v="Technical Degree"/>
    <n v="1"/>
    <n v="977"/>
    <n v="4"/>
    <s v="Male"/>
    <n v="51"/>
    <n v="3"/>
    <n v="1"/>
    <x v="1"/>
    <x v="2"/>
    <s v="Single"/>
    <n v="2479"/>
    <n v="26227"/>
    <n v="4"/>
    <s v="Y"/>
    <x v="1"/>
    <n v="24"/>
    <n v="4"/>
    <n v="1"/>
    <n v="80"/>
    <n v="0"/>
    <n v="7"/>
    <n v="4"/>
    <n v="3"/>
    <n v="1"/>
    <n v="0"/>
    <n v="0"/>
    <n v="0"/>
    <x v="3"/>
    <x v="2"/>
    <s v="High"/>
    <x v="2"/>
    <s v="Outstanding"/>
    <s v="Better"/>
    <n v="1"/>
    <s v="0–3,000"/>
    <s v="0–5 miles"/>
    <s v="0–1 years"/>
  </r>
  <r>
    <n v="53"/>
    <x v="1"/>
    <s v="Travel_Rarely"/>
    <n v="1376"/>
    <x v="0"/>
    <n v="2"/>
    <x v="0"/>
    <s v="Medical"/>
    <n v="1"/>
    <n v="981"/>
    <n v="3"/>
    <s v="Male"/>
    <n v="45"/>
    <n v="3"/>
    <n v="4"/>
    <x v="5"/>
    <x v="2"/>
    <s v="Divorced"/>
    <n v="14852"/>
    <n v="13938"/>
    <n v="6"/>
    <s v="Y"/>
    <x v="1"/>
    <n v="13"/>
    <n v="3"/>
    <n v="3"/>
    <n v="80"/>
    <n v="1"/>
    <n v="22"/>
    <n v="3"/>
    <n v="4"/>
    <n v="17"/>
    <n v="13"/>
    <n v="15"/>
    <n v="2"/>
    <x v="0"/>
    <x v="1"/>
    <s v="High"/>
    <x v="2"/>
    <s v="Excellent"/>
    <s v="Best"/>
    <n v="0"/>
    <s v="10,001+"/>
    <s v="0–5 miles"/>
    <s v="11+ years"/>
  </r>
  <r>
    <n v="30"/>
    <x v="1"/>
    <s v="Travel_Rarely"/>
    <n v="231"/>
    <x v="0"/>
    <n v="8"/>
    <x v="0"/>
    <s v="Other"/>
    <n v="1"/>
    <n v="982"/>
    <n v="3"/>
    <s v="Male"/>
    <n v="62"/>
    <n v="3"/>
    <n v="3"/>
    <x v="0"/>
    <x v="2"/>
    <s v="Divorced"/>
    <n v="7264"/>
    <n v="9977"/>
    <n v="5"/>
    <s v="Y"/>
    <x v="1"/>
    <n v="11"/>
    <n v="3"/>
    <n v="1"/>
    <n v="80"/>
    <n v="1"/>
    <n v="10"/>
    <n v="2"/>
    <n v="4"/>
    <n v="8"/>
    <n v="4"/>
    <n v="7"/>
    <n v="7"/>
    <x v="0"/>
    <x v="1"/>
    <s v="High"/>
    <x v="2"/>
    <s v="Excellent"/>
    <s v="Best"/>
    <n v="0"/>
    <s v="6,001–10,000"/>
    <s v="6–10 miles"/>
    <s v="6–10 years"/>
  </r>
  <r>
    <n v="38"/>
    <x v="1"/>
    <s v="Non-Travel"/>
    <n v="152"/>
    <x v="0"/>
    <n v="10"/>
    <x v="3"/>
    <s v="Technical Degree"/>
    <n v="1"/>
    <n v="983"/>
    <n v="3"/>
    <s v="Female"/>
    <n v="85"/>
    <n v="3"/>
    <n v="2"/>
    <x v="0"/>
    <x v="0"/>
    <s v="Single"/>
    <n v="5666"/>
    <n v="19899"/>
    <n v="1"/>
    <s v="Y"/>
    <x v="0"/>
    <n v="13"/>
    <n v="3"/>
    <n v="2"/>
    <n v="80"/>
    <n v="0"/>
    <n v="6"/>
    <n v="1"/>
    <n v="3"/>
    <n v="5"/>
    <n v="3"/>
    <n v="1"/>
    <n v="3"/>
    <x v="3"/>
    <x v="1"/>
    <s v="High"/>
    <x v="0"/>
    <s v="Excellent"/>
    <s v="Better"/>
    <n v="0"/>
    <s v="3,001–6,000"/>
    <s v="6–10 miles"/>
    <s v="2–5 years"/>
  </r>
  <r>
    <n v="35"/>
    <x v="1"/>
    <s v="Travel_Rarely"/>
    <n v="882"/>
    <x v="0"/>
    <n v="3"/>
    <x v="2"/>
    <s v="Life Sciences"/>
    <n v="1"/>
    <n v="984"/>
    <n v="4"/>
    <s v="Male"/>
    <n v="92"/>
    <n v="3"/>
    <n v="3"/>
    <x v="0"/>
    <x v="0"/>
    <s v="Divorced"/>
    <n v="7823"/>
    <n v="6812"/>
    <n v="6"/>
    <s v="Y"/>
    <x v="1"/>
    <n v="13"/>
    <n v="3"/>
    <n v="2"/>
    <n v="80"/>
    <n v="1"/>
    <n v="12"/>
    <n v="2"/>
    <n v="3"/>
    <n v="10"/>
    <n v="9"/>
    <n v="0"/>
    <n v="8"/>
    <x v="2"/>
    <x v="2"/>
    <s v="High"/>
    <x v="0"/>
    <s v="Excellent"/>
    <s v="Better"/>
    <n v="0"/>
    <s v="6,001–10,000"/>
    <s v="0–5 miles"/>
    <s v="6–10 years"/>
  </r>
  <r>
    <n v="39"/>
    <x v="1"/>
    <s v="Travel_Rarely"/>
    <n v="903"/>
    <x v="0"/>
    <n v="2"/>
    <x v="4"/>
    <s v="Life Sciences"/>
    <n v="1"/>
    <n v="985"/>
    <n v="1"/>
    <s v="Male"/>
    <n v="41"/>
    <n v="4"/>
    <n v="3"/>
    <x v="0"/>
    <x v="2"/>
    <s v="Single"/>
    <n v="7880"/>
    <n v="2560"/>
    <n v="0"/>
    <s v="Y"/>
    <x v="1"/>
    <n v="18"/>
    <n v="3"/>
    <n v="4"/>
    <n v="80"/>
    <n v="0"/>
    <n v="9"/>
    <n v="3"/>
    <n v="3"/>
    <n v="8"/>
    <n v="7"/>
    <n v="0"/>
    <n v="7"/>
    <x v="4"/>
    <x v="3"/>
    <s v="Very High"/>
    <x v="2"/>
    <s v="Excellent"/>
    <s v="Better"/>
    <n v="0"/>
    <s v="6,001–10,000"/>
    <s v="0–5 miles"/>
    <s v="6–10 years"/>
  </r>
  <r>
    <n v="40"/>
    <x v="0"/>
    <s v="Non-Travel"/>
    <n v="1479"/>
    <x v="0"/>
    <n v="24"/>
    <x v="3"/>
    <s v="Life Sciences"/>
    <n v="1"/>
    <n v="986"/>
    <n v="2"/>
    <s v="Female"/>
    <n v="100"/>
    <n v="4"/>
    <n v="4"/>
    <x v="0"/>
    <x v="1"/>
    <s v="Single"/>
    <n v="13194"/>
    <n v="17071"/>
    <n v="4"/>
    <s v="Y"/>
    <x v="0"/>
    <n v="16"/>
    <n v="3"/>
    <n v="4"/>
    <n v="80"/>
    <n v="0"/>
    <n v="22"/>
    <n v="2"/>
    <n v="2"/>
    <n v="1"/>
    <n v="0"/>
    <n v="0"/>
    <n v="0"/>
    <x v="3"/>
    <x v="0"/>
    <s v="Very High"/>
    <x v="1"/>
    <s v="Excellent"/>
    <s v="Good"/>
    <n v="1"/>
    <s v="10,001+"/>
    <s v="16+ miles"/>
    <s v="0–1 years"/>
  </r>
  <r>
    <n v="47"/>
    <x v="1"/>
    <s v="Travel_Frequently"/>
    <n v="1379"/>
    <x v="1"/>
    <n v="16"/>
    <x v="2"/>
    <s v="Medical"/>
    <n v="1"/>
    <n v="987"/>
    <n v="3"/>
    <s v="Male"/>
    <n v="64"/>
    <n v="4"/>
    <n v="2"/>
    <x v="3"/>
    <x v="2"/>
    <s v="Divorced"/>
    <n v="5067"/>
    <n v="6759"/>
    <n v="1"/>
    <s v="Y"/>
    <x v="0"/>
    <n v="19"/>
    <n v="3"/>
    <n v="3"/>
    <n v="80"/>
    <n v="0"/>
    <n v="20"/>
    <n v="3"/>
    <n v="4"/>
    <n v="19"/>
    <n v="10"/>
    <n v="2"/>
    <n v="7"/>
    <x v="2"/>
    <x v="1"/>
    <s v="Very High"/>
    <x v="2"/>
    <s v="Excellent"/>
    <s v="Best"/>
    <n v="0"/>
    <s v="3,001–6,000"/>
    <s v="16+ miles"/>
    <s v="11+ years"/>
  </r>
  <r>
    <n v="36"/>
    <x v="1"/>
    <s v="Non-Travel"/>
    <n v="1229"/>
    <x v="0"/>
    <n v="8"/>
    <x v="2"/>
    <s v="Technical Degree"/>
    <n v="1"/>
    <n v="990"/>
    <n v="1"/>
    <s v="Male"/>
    <n v="84"/>
    <n v="3"/>
    <n v="2"/>
    <x v="0"/>
    <x v="0"/>
    <s v="Divorced"/>
    <n v="5079"/>
    <n v="25952"/>
    <n v="4"/>
    <s v="Y"/>
    <x v="1"/>
    <n v="13"/>
    <n v="3"/>
    <n v="4"/>
    <n v="80"/>
    <n v="2"/>
    <n v="12"/>
    <n v="3"/>
    <n v="3"/>
    <n v="7"/>
    <n v="7"/>
    <n v="0"/>
    <n v="7"/>
    <x v="2"/>
    <x v="3"/>
    <s v="High"/>
    <x v="0"/>
    <s v="Excellent"/>
    <s v="Better"/>
    <n v="0"/>
    <s v="3,001–6,000"/>
    <s v="6–10 miles"/>
    <s v="6–10 years"/>
  </r>
  <r>
    <n v="31"/>
    <x v="0"/>
    <s v="Non-Travel"/>
    <n v="335"/>
    <x v="1"/>
    <n v="9"/>
    <x v="0"/>
    <s v="Medical"/>
    <n v="1"/>
    <n v="991"/>
    <n v="3"/>
    <s v="Male"/>
    <n v="46"/>
    <n v="2"/>
    <n v="1"/>
    <x v="1"/>
    <x v="3"/>
    <s v="Single"/>
    <n v="2321"/>
    <n v="10322"/>
    <n v="0"/>
    <s v="Y"/>
    <x v="0"/>
    <n v="22"/>
    <n v="4"/>
    <n v="1"/>
    <n v="80"/>
    <n v="0"/>
    <n v="4"/>
    <n v="0"/>
    <n v="3"/>
    <n v="3"/>
    <n v="2"/>
    <n v="1"/>
    <n v="2"/>
    <x v="0"/>
    <x v="1"/>
    <s v="Medium"/>
    <x v="3"/>
    <s v="Outstanding"/>
    <s v="Better"/>
    <n v="1"/>
    <s v="0–3,000"/>
    <s v="6–10 miles"/>
    <s v="2–5 years"/>
  </r>
  <r>
    <n v="33"/>
    <x v="1"/>
    <s v="Non-Travel"/>
    <n v="722"/>
    <x v="0"/>
    <n v="17"/>
    <x v="3"/>
    <s v="Life Sciences"/>
    <n v="1"/>
    <n v="992"/>
    <n v="4"/>
    <s v="Male"/>
    <n v="38"/>
    <n v="3"/>
    <n v="4"/>
    <x v="5"/>
    <x v="2"/>
    <s v="Single"/>
    <n v="17444"/>
    <n v="20489"/>
    <n v="1"/>
    <s v="Y"/>
    <x v="1"/>
    <n v="11"/>
    <n v="3"/>
    <n v="4"/>
    <n v="80"/>
    <n v="0"/>
    <n v="10"/>
    <n v="2"/>
    <n v="3"/>
    <n v="10"/>
    <n v="8"/>
    <n v="6"/>
    <n v="0"/>
    <x v="3"/>
    <x v="2"/>
    <s v="High"/>
    <x v="2"/>
    <s v="Excellent"/>
    <s v="Better"/>
    <n v="0"/>
    <s v="10,001+"/>
    <s v="16+ miles"/>
    <s v="6–10 years"/>
  </r>
  <r>
    <n v="29"/>
    <x v="0"/>
    <s v="Travel_Rarely"/>
    <n v="906"/>
    <x v="1"/>
    <n v="10"/>
    <x v="3"/>
    <s v="Life Sciences"/>
    <n v="1"/>
    <n v="994"/>
    <n v="4"/>
    <s v="Female"/>
    <n v="92"/>
    <n v="2"/>
    <n v="1"/>
    <x v="1"/>
    <x v="3"/>
    <s v="Single"/>
    <n v="2404"/>
    <n v="11479"/>
    <n v="6"/>
    <s v="Y"/>
    <x v="0"/>
    <n v="20"/>
    <n v="4"/>
    <n v="3"/>
    <n v="80"/>
    <n v="0"/>
    <n v="3"/>
    <n v="5"/>
    <n v="3"/>
    <n v="0"/>
    <n v="0"/>
    <n v="0"/>
    <n v="0"/>
    <x v="3"/>
    <x v="2"/>
    <s v="Medium"/>
    <x v="3"/>
    <s v="Outstanding"/>
    <s v="Better"/>
    <n v="1"/>
    <s v="0–3,000"/>
    <s v="6–10 miles"/>
    <s v="0–1 years"/>
  </r>
  <r>
    <n v="33"/>
    <x v="1"/>
    <s v="Travel_Rarely"/>
    <n v="461"/>
    <x v="1"/>
    <n v="13"/>
    <x v="1"/>
    <s v="Life Sciences"/>
    <n v="1"/>
    <n v="995"/>
    <n v="2"/>
    <s v="Female"/>
    <n v="53"/>
    <n v="3"/>
    <n v="1"/>
    <x v="1"/>
    <x v="0"/>
    <s v="Single"/>
    <n v="3452"/>
    <n v="17241"/>
    <n v="3"/>
    <s v="Y"/>
    <x v="1"/>
    <n v="18"/>
    <n v="3"/>
    <n v="1"/>
    <n v="80"/>
    <n v="0"/>
    <n v="5"/>
    <n v="4"/>
    <n v="3"/>
    <n v="3"/>
    <n v="2"/>
    <n v="0"/>
    <n v="2"/>
    <x v="1"/>
    <x v="0"/>
    <s v="High"/>
    <x v="0"/>
    <s v="Excellent"/>
    <s v="Better"/>
    <n v="0"/>
    <s v="3,001–6,000"/>
    <s v="11–15 miles"/>
    <s v="2–5 years"/>
  </r>
  <r>
    <n v="45"/>
    <x v="1"/>
    <s v="Travel_Rarely"/>
    <n v="974"/>
    <x v="1"/>
    <n v="1"/>
    <x v="2"/>
    <s v="Medical"/>
    <n v="1"/>
    <n v="996"/>
    <n v="4"/>
    <s v="Female"/>
    <n v="91"/>
    <n v="3"/>
    <n v="1"/>
    <x v="2"/>
    <x v="0"/>
    <s v="Divorced"/>
    <n v="2270"/>
    <n v="11005"/>
    <n v="3"/>
    <s v="Y"/>
    <x v="1"/>
    <n v="14"/>
    <n v="3"/>
    <n v="4"/>
    <n v="80"/>
    <n v="2"/>
    <n v="8"/>
    <n v="2"/>
    <n v="3"/>
    <n v="5"/>
    <n v="3"/>
    <n v="0"/>
    <n v="2"/>
    <x v="2"/>
    <x v="2"/>
    <s v="High"/>
    <x v="0"/>
    <s v="Excellent"/>
    <s v="Better"/>
    <n v="0"/>
    <s v="0–3,000"/>
    <s v="0–5 miles"/>
    <s v="2–5 years"/>
  </r>
  <r>
    <n v="50"/>
    <x v="1"/>
    <s v="Travel_Rarely"/>
    <n v="1126"/>
    <x v="1"/>
    <n v="1"/>
    <x v="0"/>
    <s v="Medical"/>
    <n v="1"/>
    <n v="997"/>
    <n v="4"/>
    <s v="Male"/>
    <n v="66"/>
    <n v="3"/>
    <n v="4"/>
    <x v="7"/>
    <x v="0"/>
    <s v="Divorced"/>
    <n v="17399"/>
    <n v="6615"/>
    <n v="9"/>
    <s v="Y"/>
    <x v="1"/>
    <n v="22"/>
    <n v="4"/>
    <n v="3"/>
    <n v="80"/>
    <n v="1"/>
    <n v="32"/>
    <n v="1"/>
    <n v="2"/>
    <n v="5"/>
    <n v="4"/>
    <n v="1"/>
    <n v="3"/>
    <x v="0"/>
    <x v="2"/>
    <s v="High"/>
    <x v="0"/>
    <s v="Outstanding"/>
    <s v="Good"/>
    <n v="0"/>
    <s v="10,001+"/>
    <s v="0–5 miles"/>
    <s v="2–5 years"/>
  </r>
  <r>
    <n v="33"/>
    <x v="1"/>
    <s v="Travel_Frequently"/>
    <n v="827"/>
    <x v="1"/>
    <n v="1"/>
    <x v="2"/>
    <s v="Other"/>
    <n v="1"/>
    <n v="998"/>
    <n v="3"/>
    <s v="Female"/>
    <n v="84"/>
    <n v="4"/>
    <n v="2"/>
    <x v="4"/>
    <x v="1"/>
    <s v="Married"/>
    <n v="5488"/>
    <n v="20161"/>
    <n v="1"/>
    <s v="Y"/>
    <x v="0"/>
    <n v="13"/>
    <n v="3"/>
    <n v="1"/>
    <n v="80"/>
    <n v="1"/>
    <n v="6"/>
    <n v="2"/>
    <n v="3"/>
    <n v="6"/>
    <n v="5"/>
    <n v="1"/>
    <n v="2"/>
    <x v="2"/>
    <x v="1"/>
    <s v="Very High"/>
    <x v="1"/>
    <s v="Excellent"/>
    <s v="Better"/>
    <n v="0"/>
    <s v="3,001–6,000"/>
    <s v="0–5 miles"/>
    <s v="6–10 years"/>
  </r>
  <r>
    <n v="41"/>
    <x v="1"/>
    <s v="Travel_Frequently"/>
    <n v="840"/>
    <x v="1"/>
    <n v="9"/>
    <x v="3"/>
    <s v="Medical"/>
    <n v="1"/>
    <n v="999"/>
    <n v="1"/>
    <s v="Male"/>
    <n v="64"/>
    <n v="3"/>
    <n v="5"/>
    <x v="7"/>
    <x v="2"/>
    <s v="Divorced"/>
    <n v="19419"/>
    <n v="3735"/>
    <n v="2"/>
    <s v="Y"/>
    <x v="1"/>
    <n v="17"/>
    <n v="3"/>
    <n v="2"/>
    <n v="80"/>
    <n v="1"/>
    <n v="21"/>
    <n v="2"/>
    <n v="4"/>
    <n v="18"/>
    <n v="16"/>
    <n v="0"/>
    <n v="11"/>
    <x v="3"/>
    <x v="3"/>
    <s v="High"/>
    <x v="2"/>
    <s v="Excellent"/>
    <s v="Best"/>
    <n v="0"/>
    <s v="10,001+"/>
    <s v="6–10 miles"/>
    <s v="11+ years"/>
  </r>
  <r>
    <n v="27"/>
    <x v="1"/>
    <s v="Travel_Rarely"/>
    <n v="1134"/>
    <x v="1"/>
    <n v="16"/>
    <x v="2"/>
    <s v="Technical Degree"/>
    <n v="1"/>
    <n v="1001"/>
    <n v="3"/>
    <s v="Female"/>
    <n v="37"/>
    <n v="3"/>
    <n v="1"/>
    <x v="2"/>
    <x v="1"/>
    <s v="Married"/>
    <n v="2811"/>
    <n v="12086"/>
    <n v="9"/>
    <s v="Y"/>
    <x v="1"/>
    <n v="14"/>
    <n v="3"/>
    <n v="2"/>
    <n v="80"/>
    <n v="1"/>
    <n v="4"/>
    <n v="2"/>
    <n v="3"/>
    <n v="2"/>
    <n v="2"/>
    <n v="2"/>
    <n v="2"/>
    <x v="2"/>
    <x v="1"/>
    <s v="High"/>
    <x v="1"/>
    <s v="Excellent"/>
    <s v="Better"/>
    <n v="0"/>
    <s v="0–3,000"/>
    <s v="16+ miles"/>
    <s v="2–5 years"/>
  </r>
  <r>
    <n v="45"/>
    <x v="1"/>
    <s v="Non-Travel"/>
    <n v="248"/>
    <x v="1"/>
    <n v="23"/>
    <x v="0"/>
    <s v="Life Sciences"/>
    <n v="1"/>
    <n v="1002"/>
    <n v="4"/>
    <s v="Male"/>
    <n v="42"/>
    <n v="3"/>
    <n v="2"/>
    <x v="2"/>
    <x v="3"/>
    <s v="Married"/>
    <n v="3633"/>
    <n v="14039"/>
    <n v="1"/>
    <s v="Y"/>
    <x v="0"/>
    <n v="15"/>
    <n v="3"/>
    <n v="3"/>
    <n v="80"/>
    <n v="1"/>
    <n v="9"/>
    <n v="2"/>
    <n v="3"/>
    <n v="9"/>
    <n v="8"/>
    <n v="0"/>
    <n v="8"/>
    <x v="0"/>
    <x v="2"/>
    <s v="High"/>
    <x v="3"/>
    <s v="Excellent"/>
    <s v="Better"/>
    <n v="0"/>
    <s v="3,001–6,000"/>
    <s v="16+ miles"/>
    <s v="6–10 years"/>
  </r>
  <r>
    <n v="47"/>
    <x v="1"/>
    <s v="Travel_Rarely"/>
    <n v="955"/>
    <x v="0"/>
    <n v="4"/>
    <x v="0"/>
    <s v="Life Sciences"/>
    <n v="1"/>
    <n v="1003"/>
    <n v="4"/>
    <s v="Female"/>
    <n v="83"/>
    <n v="3"/>
    <n v="2"/>
    <x v="0"/>
    <x v="0"/>
    <s v="Single"/>
    <n v="4163"/>
    <n v="8571"/>
    <n v="1"/>
    <s v="Y"/>
    <x v="0"/>
    <n v="17"/>
    <n v="3"/>
    <n v="3"/>
    <n v="80"/>
    <n v="0"/>
    <n v="9"/>
    <n v="0"/>
    <n v="3"/>
    <n v="9"/>
    <n v="0"/>
    <n v="0"/>
    <n v="7"/>
    <x v="0"/>
    <x v="2"/>
    <s v="High"/>
    <x v="0"/>
    <s v="Excellent"/>
    <s v="Better"/>
    <n v="0"/>
    <s v="3,001–6,000"/>
    <s v="0–5 miles"/>
    <s v="6–10 years"/>
  </r>
  <r>
    <n v="30"/>
    <x v="0"/>
    <s v="Travel_Rarely"/>
    <n v="138"/>
    <x v="1"/>
    <n v="22"/>
    <x v="3"/>
    <s v="Life Sciences"/>
    <n v="1"/>
    <n v="1004"/>
    <n v="1"/>
    <s v="Female"/>
    <n v="48"/>
    <n v="3"/>
    <n v="1"/>
    <x v="1"/>
    <x v="2"/>
    <s v="Married"/>
    <n v="2132"/>
    <n v="11539"/>
    <n v="4"/>
    <s v="Y"/>
    <x v="0"/>
    <n v="11"/>
    <n v="3"/>
    <n v="2"/>
    <n v="80"/>
    <n v="0"/>
    <n v="7"/>
    <n v="2"/>
    <n v="3"/>
    <n v="5"/>
    <n v="2"/>
    <n v="0"/>
    <n v="1"/>
    <x v="3"/>
    <x v="3"/>
    <s v="High"/>
    <x v="2"/>
    <s v="Excellent"/>
    <s v="Better"/>
    <n v="1"/>
    <s v="0–3,000"/>
    <s v="16+ miles"/>
    <s v="2–5 years"/>
  </r>
  <r>
    <n v="50"/>
    <x v="1"/>
    <s v="Travel_Rarely"/>
    <n v="939"/>
    <x v="1"/>
    <n v="24"/>
    <x v="3"/>
    <s v="Life Sciences"/>
    <n v="1"/>
    <n v="1005"/>
    <n v="4"/>
    <s v="Male"/>
    <n v="95"/>
    <n v="3"/>
    <n v="4"/>
    <x v="3"/>
    <x v="2"/>
    <s v="Married"/>
    <n v="13973"/>
    <n v="4161"/>
    <n v="3"/>
    <s v="Y"/>
    <x v="0"/>
    <n v="18"/>
    <n v="3"/>
    <n v="4"/>
    <n v="80"/>
    <n v="1"/>
    <n v="22"/>
    <n v="2"/>
    <n v="3"/>
    <n v="12"/>
    <n v="11"/>
    <n v="1"/>
    <n v="5"/>
    <x v="3"/>
    <x v="2"/>
    <s v="High"/>
    <x v="2"/>
    <s v="Excellent"/>
    <s v="Better"/>
    <n v="0"/>
    <s v="10,001+"/>
    <s v="16+ miles"/>
    <s v="11+ years"/>
  </r>
  <r>
    <n v="38"/>
    <x v="1"/>
    <s v="Travel_Frequently"/>
    <n v="1391"/>
    <x v="1"/>
    <n v="10"/>
    <x v="1"/>
    <s v="Medical"/>
    <n v="1"/>
    <n v="1006"/>
    <n v="3"/>
    <s v="Male"/>
    <n v="66"/>
    <n v="3"/>
    <n v="1"/>
    <x v="1"/>
    <x v="2"/>
    <s v="Married"/>
    <n v="2684"/>
    <n v="12127"/>
    <n v="0"/>
    <s v="Y"/>
    <x v="1"/>
    <n v="17"/>
    <n v="3"/>
    <n v="2"/>
    <n v="80"/>
    <n v="1"/>
    <n v="3"/>
    <n v="0"/>
    <n v="2"/>
    <n v="2"/>
    <n v="1"/>
    <n v="0"/>
    <n v="2"/>
    <x v="1"/>
    <x v="1"/>
    <s v="High"/>
    <x v="2"/>
    <s v="Excellent"/>
    <s v="Good"/>
    <n v="0"/>
    <s v="0–3,000"/>
    <s v="6–10 miles"/>
    <s v="2–5 years"/>
  </r>
  <r>
    <n v="46"/>
    <x v="1"/>
    <s v="Travel_Rarely"/>
    <n v="566"/>
    <x v="1"/>
    <n v="7"/>
    <x v="0"/>
    <s v="Medical"/>
    <n v="1"/>
    <n v="1007"/>
    <n v="4"/>
    <s v="Male"/>
    <n v="75"/>
    <n v="3"/>
    <n v="3"/>
    <x v="3"/>
    <x v="2"/>
    <s v="Divorced"/>
    <n v="10845"/>
    <n v="24208"/>
    <n v="6"/>
    <s v="Y"/>
    <x v="1"/>
    <n v="13"/>
    <n v="3"/>
    <n v="2"/>
    <n v="80"/>
    <n v="1"/>
    <n v="13"/>
    <n v="3"/>
    <n v="3"/>
    <n v="8"/>
    <n v="7"/>
    <n v="0"/>
    <n v="7"/>
    <x v="0"/>
    <x v="2"/>
    <s v="High"/>
    <x v="2"/>
    <s v="Excellent"/>
    <s v="Better"/>
    <n v="0"/>
    <s v="10,001+"/>
    <s v="6–10 miles"/>
    <s v="6–10 years"/>
  </r>
  <r>
    <n v="24"/>
    <x v="1"/>
    <s v="Travel_Rarely"/>
    <n v="1206"/>
    <x v="1"/>
    <n v="17"/>
    <x v="1"/>
    <s v="Medical"/>
    <n v="1"/>
    <n v="1009"/>
    <n v="4"/>
    <s v="Female"/>
    <n v="41"/>
    <n v="2"/>
    <n v="2"/>
    <x v="3"/>
    <x v="2"/>
    <s v="Divorced"/>
    <n v="4377"/>
    <n v="24117"/>
    <n v="1"/>
    <s v="Y"/>
    <x v="1"/>
    <n v="15"/>
    <n v="3"/>
    <n v="2"/>
    <n v="80"/>
    <n v="2"/>
    <n v="5"/>
    <n v="6"/>
    <n v="3"/>
    <n v="4"/>
    <n v="2"/>
    <n v="3"/>
    <n v="2"/>
    <x v="1"/>
    <x v="2"/>
    <s v="Medium"/>
    <x v="2"/>
    <s v="Excellent"/>
    <s v="Better"/>
    <n v="0"/>
    <s v="3,001–6,000"/>
    <s v="16+ miles"/>
    <s v="2–5 years"/>
  </r>
  <r>
    <n v="35"/>
    <x v="0"/>
    <s v="Travel_Rarely"/>
    <n v="622"/>
    <x v="1"/>
    <n v="14"/>
    <x v="2"/>
    <s v="Other"/>
    <n v="1"/>
    <n v="1010"/>
    <n v="3"/>
    <s v="Male"/>
    <n v="39"/>
    <n v="2"/>
    <n v="1"/>
    <x v="2"/>
    <x v="1"/>
    <s v="Divorced"/>
    <n v="3743"/>
    <n v="10074"/>
    <n v="1"/>
    <s v="Y"/>
    <x v="0"/>
    <n v="24"/>
    <n v="4"/>
    <n v="4"/>
    <n v="80"/>
    <n v="1"/>
    <n v="5"/>
    <n v="2"/>
    <n v="1"/>
    <n v="4"/>
    <n v="2"/>
    <n v="0"/>
    <n v="2"/>
    <x v="2"/>
    <x v="1"/>
    <s v="Medium"/>
    <x v="1"/>
    <s v="Outstanding"/>
    <s v="Bad"/>
    <n v="1"/>
    <s v="3,001–6,000"/>
    <s v="11–15 miles"/>
    <s v="2–5 years"/>
  </r>
  <r>
    <n v="31"/>
    <x v="1"/>
    <s v="Travel_Frequently"/>
    <n v="853"/>
    <x v="1"/>
    <n v="1"/>
    <x v="1"/>
    <s v="Life Sciences"/>
    <n v="1"/>
    <n v="1011"/>
    <n v="3"/>
    <s v="Female"/>
    <n v="96"/>
    <n v="3"/>
    <n v="2"/>
    <x v="3"/>
    <x v="3"/>
    <s v="Married"/>
    <n v="4148"/>
    <n v="11275"/>
    <n v="1"/>
    <s v="Y"/>
    <x v="1"/>
    <n v="12"/>
    <n v="3"/>
    <n v="3"/>
    <n v="80"/>
    <n v="1"/>
    <n v="4"/>
    <n v="1"/>
    <n v="3"/>
    <n v="4"/>
    <n v="3"/>
    <n v="0"/>
    <n v="3"/>
    <x v="1"/>
    <x v="1"/>
    <s v="High"/>
    <x v="3"/>
    <s v="Excellent"/>
    <s v="Better"/>
    <n v="0"/>
    <s v="3,001–6,000"/>
    <s v="0–5 miles"/>
    <s v="2–5 years"/>
  </r>
  <r>
    <n v="18"/>
    <x v="1"/>
    <s v="Non-Travel"/>
    <n v="287"/>
    <x v="1"/>
    <n v="5"/>
    <x v="0"/>
    <s v="Life Sciences"/>
    <n v="1"/>
    <n v="1012"/>
    <n v="2"/>
    <s v="Male"/>
    <n v="73"/>
    <n v="3"/>
    <n v="1"/>
    <x v="1"/>
    <x v="0"/>
    <s v="Single"/>
    <n v="1051"/>
    <n v="13493"/>
    <n v="1"/>
    <s v="Y"/>
    <x v="1"/>
    <n v="15"/>
    <n v="3"/>
    <n v="4"/>
    <n v="80"/>
    <n v="0"/>
    <n v="0"/>
    <n v="2"/>
    <n v="3"/>
    <n v="0"/>
    <n v="0"/>
    <n v="0"/>
    <n v="0"/>
    <x v="0"/>
    <x v="0"/>
    <s v="High"/>
    <x v="0"/>
    <s v="Excellent"/>
    <s v="Better"/>
    <n v="0"/>
    <s v="0–3,000"/>
    <s v="0–5 miles"/>
    <s v="0–1 years"/>
  </r>
  <r>
    <n v="54"/>
    <x v="1"/>
    <s v="Travel_Rarely"/>
    <n v="1441"/>
    <x v="1"/>
    <n v="17"/>
    <x v="3"/>
    <s v="Technical Degree"/>
    <n v="1"/>
    <n v="1013"/>
    <n v="3"/>
    <s v="Female"/>
    <n v="56"/>
    <n v="3"/>
    <n v="3"/>
    <x v="3"/>
    <x v="2"/>
    <s v="Married"/>
    <n v="10739"/>
    <n v="13943"/>
    <n v="8"/>
    <s v="Y"/>
    <x v="1"/>
    <n v="11"/>
    <n v="3"/>
    <n v="3"/>
    <n v="80"/>
    <n v="1"/>
    <n v="22"/>
    <n v="2"/>
    <n v="3"/>
    <n v="10"/>
    <n v="7"/>
    <n v="0"/>
    <n v="8"/>
    <x v="3"/>
    <x v="1"/>
    <s v="High"/>
    <x v="2"/>
    <s v="Excellent"/>
    <s v="Better"/>
    <n v="0"/>
    <s v="10,001+"/>
    <s v="16+ miles"/>
    <s v="6–10 years"/>
  </r>
  <r>
    <n v="35"/>
    <x v="1"/>
    <s v="Travel_Rarely"/>
    <n v="583"/>
    <x v="1"/>
    <n v="25"/>
    <x v="2"/>
    <s v="Medical"/>
    <n v="1"/>
    <n v="1014"/>
    <n v="3"/>
    <s v="Female"/>
    <n v="57"/>
    <n v="3"/>
    <n v="3"/>
    <x v="4"/>
    <x v="2"/>
    <s v="Divorced"/>
    <n v="10388"/>
    <n v="6975"/>
    <n v="1"/>
    <s v="Y"/>
    <x v="0"/>
    <n v="11"/>
    <n v="3"/>
    <n v="3"/>
    <n v="80"/>
    <n v="1"/>
    <n v="16"/>
    <n v="3"/>
    <n v="2"/>
    <n v="16"/>
    <n v="10"/>
    <n v="10"/>
    <n v="1"/>
    <x v="2"/>
    <x v="1"/>
    <s v="High"/>
    <x v="2"/>
    <s v="Excellent"/>
    <s v="Good"/>
    <n v="0"/>
    <s v="10,001+"/>
    <s v="16+ miles"/>
    <s v="11+ years"/>
  </r>
  <r>
    <n v="30"/>
    <x v="1"/>
    <s v="Travel_Rarely"/>
    <n v="153"/>
    <x v="1"/>
    <n v="8"/>
    <x v="0"/>
    <s v="Life Sciences"/>
    <n v="1"/>
    <n v="1015"/>
    <n v="2"/>
    <s v="Female"/>
    <n v="73"/>
    <n v="4"/>
    <n v="3"/>
    <x v="7"/>
    <x v="3"/>
    <s v="Married"/>
    <n v="11416"/>
    <n v="17802"/>
    <n v="0"/>
    <s v="Y"/>
    <x v="0"/>
    <n v="12"/>
    <n v="3"/>
    <n v="3"/>
    <n v="80"/>
    <n v="3"/>
    <n v="9"/>
    <n v="4"/>
    <n v="2"/>
    <n v="8"/>
    <n v="7"/>
    <n v="1"/>
    <n v="7"/>
    <x v="0"/>
    <x v="0"/>
    <s v="Very High"/>
    <x v="3"/>
    <s v="Excellent"/>
    <s v="Good"/>
    <n v="0"/>
    <s v="10,001+"/>
    <s v="6–10 miles"/>
    <s v="6–10 years"/>
  </r>
  <r>
    <n v="20"/>
    <x v="0"/>
    <s v="Travel_Rarely"/>
    <n v="1097"/>
    <x v="1"/>
    <n v="11"/>
    <x v="3"/>
    <s v="Medical"/>
    <n v="1"/>
    <n v="1016"/>
    <n v="4"/>
    <s v="Female"/>
    <n v="98"/>
    <n v="2"/>
    <n v="1"/>
    <x v="1"/>
    <x v="3"/>
    <s v="Single"/>
    <n v="2600"/>
    <n v="18275"/>
    <n v="1"/>
    <s v="Y"/>
    <x v="0"/>
    <n v="15"/>
    <n v="3"/>
    <n v="1"/>
    <n v="80"/>
    <n v="0"/>
    <n v="1"/>
    <n v="2"/>
    <n v="3"/>
    <n v="1"/>
    <n v="0"/>
    <n v="0"/>
    <n v="0"/>
    <x v="3"/>
    <x v="2"/>
    <s v="Medium"/>
    <x v="3"/>
    <s v="Excellent"/>
    <s v="Better"/>
    <n v="1"/>
    <s v="0–3,000"/>
    <s v="11–15 miles"/>
    <s v="0–1 years"/>
  </r>
  <r>
    <n v="30"/>
    <x v="0"/>
    <s v="Travel_Frequently"/>
    <n v="109"/>
    <x v="1"/>
    <n v="5"/>
    <x v="3"/>
    <s v="Medical"/>
    <n v="1"/>
    <n v="1017"/>
    <n v="2"/>
    <s v="Female"/>
    <n v="60"/>
    <n v="3"/>
    <n v="1"/>
    <x v="2"/>
    <x v="1"/>
    <s v="Single"/>
    <n v="2422"/>
    <n v="25725"/>
    <n v="0"/>
    <s v="Y"/>
    <x v="1"/>
    <n v="17"/>
    <n v="3"/>
    <n v="1"/>
    <n v="80"/>
    <n v="0"/>
    <n v="4"/>
    <n v="3"/>
    <n v="3"/>
    <n v="3"/>
    <n v="2"/>
    <n v="1"/>
    <n v="2"/>
    <x v="3"/>
    <x v="0"/>
    <s v="High"/>
    <x v="1"/>
    <s v="Excellent"/>
    <s v="Better"/>
    <n v="1"/>
    <s v="0–3,000"/>
    <s v="0–5 miles"/>
    <s v="2–5 years"/>
  </r>
  <r>
    <n v="26"/>
    <x v="1"/>
    <s v="Travel_Rarely"/>
    <n v="1066"/>
    <x v="1"/>
    <n v="2"/>
    <x v="0"/>
    <s v="Medical"/>
    <n v="1"/>
    <n v="1018"/>
    <n v="4"/>
    <s v="Male"/>
    <n v="32"/>
    <n v="4"/>
    <n v="2"/>
    <x v="3"/>
    <x v="0"/>
    <s v="Married"/>
    <n v="5472"/>
    <n v="3334"/>
    <n v="1"/>
    <s v="Y"/>
    <x v="1"/>
    <n v="12"/>
    <n v="3"/>
    <n v="2"/>
    <n v="80"/>
    <n v="0"/>
    <n v="8"/>
    <n v="2"/>
    <n v="3"/>
    <n v="8"/>
    <n v="7"/>
    <n v="1"/>
    <n v="3"/>
    <x v="0"/>
    <x v="2"/>
    <s v="Very High"/>
    <x v="0"/>
    <s v="Excellent"/>
    <s v="Better"/>
    <n v="0"/>
    <s v="3,001–6,000"/>
    <s v="0–5 miles"/>
    <s v="6–10 years"/>
  </r>
  <r>
    <n v="22"/>
    <x v="1"/>
    <s v="Travel_Rarely"/>
    <n v="217"/>
    <x v="1"/>
    <n v="8"/>
    <x v="1"/>
    <s v="Life Sciences"/>
    <n v="1"/>
    <n v="1019"/>
    <n v="2"/>
    <s v="Male"/>
    <n v="94"/>
    <n v="1"/>
    <n v="1"/>
    <x v="2"/>
    <x v="3"/>
    <s v="Married"/>
    <n v="2451"/>
    <n v="6881"/>
    <n v="1"/>
    <s v="Y"/>
    <x v="1"/>
    <n v="15"/>
    <n v="3"/>
    <n v="1"/>
    <n v="80"/>
    <n v="1"/>
    <n v="4"/>
    <n v="3"/>
    <n v="2"/>
    <n v="4"/>
    <n v="3"/>
    <n v="1"/>
    <n v="1"/>
    <x v="1"/>
    <x v="0"/>
    <s v="Low"/>
    <x v="3"/>
    <s v="Excellent"/>
    <s v="Good"/>
    <n v="0"/>
    <s v="0–3,000"/>
    <s v="6–10 miles"/>
    <s v="2–5 years"/>
  </r>
  <r>
    <n v="48"/>
    <x v="1"/>
    <s v="Travel_Rarely"/>
    <n v="277"/>
    <x v="1"/>
    <n v="6"/>
    <x v="3"/>
    <s v="Life Sciences"/>
    <n v="1"/>
    <n v="1022"/>
    <n v="1"/>
    <s v="Male"/>
    <n v="97"/>
    <n v="2"/>
    <n v="2"/>
    <x v="4"/>
    <x v="2"/>
    <s v="Single"/>
    <n v="4240"/>
    <n v="13119"/>
    <n v="2"/>
    <s v="Y"/>
    <x v="1"/>
    <n v="13"/>
    <n v="3"/>
    <n v="4"/>
    <n v="80"/>
    <n v="0"/>
    <n v="19"/>
    <n v="0"/>
    <n v="3"/>
    <n v="2"/>
    <n v="2"/>
    <n v="2"/>
    <n v="2"/>
    <x v="3"/>
    <x v="3"/>
    <s v="Medium"/>
    <x v="2"/>
    <s v="Excellent"/>
    <s v="Better"/>
    <n v="0"/>
    <s v="3,001–6,000"/>
    <s v="6–10 miles"/>
    <s v="2–5 years"/>
  </r>
  <r>
    <n v="48"/>
    <x v="1"/>
    <s v="Travel_Rarely"/>
    <n v="1355"/>
    <x v="1"/>
    <n v="4"/>
    <x v="2"/>
    <s v="Life Sciences"/>
    <n v="1"/>
    <n v="1024"/>
    <n v="3"/>
    <s v="Male"/>
    <n v="78"/>
    <n v="2"/>
    <n v="3"/>
    <x v="4"/>
    <x v="2"/>
    <s v="Single"/>
    <n v="10999"/>
    <n v="22245"/>
    <n v="7"/>
    <s v="Y"/>
    <x v="1"/>
    <n v="14"/>
    <n v="3"/>
    <n v="2"/>
    <n v="80"/>
    <n v="0"/>
    <n v="27"/>
    <n v="3"/>
    <n v="3"/>
    <n v="15"/>
    <n v="11"/>
    <n v="4"/>
    <n v="8"/>
    <x v="2"/>
    <x v="1"/>
    <s v="Medium"/>
    <x v="2"/>
    <s v="Excellent"/>
    <s v="Better"/>
    <n v="0"/>
    <s v="10,001+"/>
    <s v="0–5 miles"/>
    <s v="11+ years"/>
  </r>
  <r>
    <n v="41"/>
    <x v="1"/>
    <s v="Travel_Rarely"/>
    <n v="549"/>
    <x v="1"/>
    <n v="7"/>
    <x v="0"/>
    <s v="Medical"/>
    <n v="1"/>
    <n v="1025"/>
    <n v="4"/>
    <s v="Female"/>
    <n v="42"/>
    <n v="3"/>
    <n v="2"/>
    <x v="3"/>
    <x v="2"/>
    <s v="Single"/>
    <n v="5003"/>
    <n v="23371"/>
    <n v="6"/>
    <s v="Y"/>
    <x v="1"/>
    <n v="14"/>
    <n v="3"/>
    <n v="2"/>
    <n v="80"/>
    <n v="0"/>
    <n v="8"/>
    <n v="6"/>
    <n v="3"/>
    <n v="2"/>
    <n v="2"/>
    <n v="2"/>
    <n v="1"/>
    <x v="0"/>
    <x v="2"/>
    <s v="High"/>
    <x v="2"/>
    <s v="Excellent"/>
    <s v="Better"/>
    <n v="0"/>
    <s v="3,001–6,000"/>
    <s v="6–10 miles"/>
    <s v="2–5 years"/>
  </r>
  <r>
    <n v="39"/>
    <x v="1"/>
    <s v="Travel_Rarely"/>
    <n v="466"/>
    <x v="1"/>
    <n v="1"/>
    <x v="1"/>
    <s v="Life Sciences"/>
    <n v="1"/>
    <n v="1026"/>
    <n v="4"/>
    <s v="Female"/>
    <n v="65"/>
    <n v="2"/>
    <n v="4"/>
    <x v="3"/>
    <x v="0"/>
    <s v="Married"/>
    <n v="12742"/>
    <n v="7060"/>
    <n v="1"/>
    <s v="Y"/>
    <x v="1"/>
    <n v="16"/>
    <n v="3"/>
    <n v="3"/>
    <n v="80"/>
    <n v="1"/>
    <n v="21"/>
    <n v="3"/>
    <n v="3"/>
    <n v="21"/>
    <n v="6"/>
    <n v="11"/>
    <n v="8"/>
    <x v="1"/>
    <x v="2"/>
    <s v="Medium"/>
    <x v="0"/>
    <s v="Excellent"/>
    <s v="Better"/>
    <n v="0"/>
    <s v="10,001+"/>
    <s v="0–5 miles"/>
    <s v="11+ years"/>
  </r>
  <r>
    <n v="27"/>
    <x v="1"/>
    <s v="Travel_Rarely"/>
    <n v="1055"/>
    <x v="1"/>
    <n v="2"/>
    <x v="2"/>
    <s v="Life Sciences"/>
    <n v="1"/>
    <n v="1027"/>
    <n v="1"/>
    <s v="Female"/>
    <n v="47"/>
    <n v="3"/>
    <n v="2"/>
    <x v="3"/>
    <x v="0"/>
    <s v="Married"/>
    <n v="4227"/>
    <n v="4658"/>
    <n v="0"/>
    <s v="Y"/>
    <x v="1"/>
    <n v="18"/>
    <n v="3"/>
    <n v="2"/>
    <n v="80"/>
    <n v="1"/>
    <n v="4"/>
    <n v="2"/>
    <n v="3"/>
    <n v="3"/>
    <n v="2"/>
    <n v="2"/>
    <n v="2"/>
    <x v="2"/>
    <x v="3"/>
    <s v="High"/>
    <x v="0"/>
    <s v="Excellent"/>
    <s v="Better"/>
    <n v="0"/>
    <s v="3,001–6,000"/>
    <s v="0–5 miles"/>
    <s v="2–5 years"/>
  </r>
  <r>
    <n v="35"/>
    <x v="1"/>
    <s v="Travel_Rarely"/>
    <n v="802"/>
    <x v="1"/>
    <n v="10"/>
    <x v="3"/>
    <s v="Other"/>
    <n v="1"/>
    <n v="1028"/>
    <n v="2"/>
    <s v="Male"/>
    <n v="45"/>
    <n v="3"/>
    <n v="1"/>
    <x v="2"/>
    <x v="0"/>
    <s v="Divorced"/>
    <n v="3917"/>
    <n v="9541"/>
    <n v="1"/>
    <s v="Y"/>
    <x v="1"/>
    <n v="20"/>
    <n v="4"/>
    <n v="1"/>
    <n v="80"/>
    <n v="1"/>
    <n v="3"/>
    <n v="4"/>
    <n v="2"/>
    <n v="3"/>
    <n v="2"/>
    <n v="1"/>
    <n v="2"/>
    <x v="3"/>
    <x v="0"/>
    <s v="High"/>
    <x v="0"/>
    <s v="Outstanding"/>
    <s v="Good"/>
    <n v="0"/>
    <s v="3,001–6,000"/>
    <s v="6–10 miles"/>
    <s v="2–5 years"/>
  </r>
  <r>
    <n v="42"/>
    <x v="1"/>
    <s v="Travel_Rarely"/>
    <n v="265"/>
    <x v="0"/>
    <n v="5"/>
    <x v="0"/>
    <s v="Marketing"/>
    <n v="1"/>
    <n v="1029"/>
    <n v="4"/>
    <s v="Male"/>
    <n v="90"/>
    <n v="3"/>
    <n v="5"/>
    <x v="5"/>
    <x v="2"/>
    <s v="Married"/>
    <n v="18303"/>
    <n v="7770"/>
    <n v="6"/>
    <s v="Y"/>
    <x v="1"/>
    <n v="13"/>
    <n v="3"/>
    <n v="2"/>
    <n v="80"/>
    <n v="0"/>
    <n v="21"/>
    <n v="3"/>
    <n v="4"/>
    <n v="1"/>
    <n v="0"/>
    <n v="0"/>
    <n v="0"/>
    <x v="0"/>
    <x v="2"/>
    <s v="High"/>
    <x v="2"/>
    <s v="Excellent"/>
    <s v="Best"/>
    <n v="0"/>
    <s v="10,001+"/>
    <s v="0–5 miles"/>
    <s v="0–1 years"/>
  </r>
  <r>
    <n v="50"/>
    <x v="1"/>
    <s v="Travel_Rarely"/>
    <n v="804"/>
    <x v="1"/>
    <n v="9"/>
    <x v="3"/>
    <s v="Life Sciences"/>
    <n v="1"/>
    <n v="1030"/>
    <n v="1"/>
    <s v="Male"/>
    <n v="64"/>
    <n v="3"/>
    <n v="1"/>
    <x v="2"/>
    <x v="0"/>
    <s v="Married"/>
    <n v="2380"/>
    <n v="20165"/>
    <n v="4"/>
    <s v="Y"/>
    <x v="1"/>
    <n v="18"/>
    <n v="3"/>
    <n v="2"/>
    <n v="80"/>
    <n v="0"/>
    <n v="8"/>
    <n v="5"/>
    <n v="3"/>
    <n v="1"/>
    <n v="0"/>
    <n v="0"/>
    <n v="0"/>
    <x v="3"/>
    <x v="3"/>
    <s v="High"/>
    <x v="0"/>
    <s v="Excellent"/>
    <s v="Better"/>
    <n v="0"/>
    <s v="0–3,000"/>
    <s v="6–10 miles"/>
    <s v="0–1 years"/>
  </r>
  <r>
    <n v="59"/>
    <x v="1"/>
    <s v="Travel_Rarely"/>
    <n v="715"/>
    <x v="1"/>
    <n v="2"/>
    <x v="3"/>
    <s v="Life Sciences"/>
    <n v="1"/>
    <n v="1032"/>
    <n v="3"/>
    <s v="Female"/>
    <n v="69"/>
    <n v="2"/>
    <n v="4"/>
    <x v="3"/>
    <x v="0"/>
    <s v="Single"/>
    <n v="13726"/>
    <n v="21829"/>
    <n v="3"/>
    <s v="Y"/>
    <x v="0"/>
    <n v="13"/>
    <n v="3"/>
    <n v="1"/>
    <n v="80"/>
    <n v="0"/>
    <n v="30"/>
    <n v="4"/>
    <n v="3"/>
    <n v="5"/>
    <n v="3"/>
    <n v="4"/>
    <n v="3"/>
    <x v="3"/>
    <x v="1"/>
    <s v="Medium"/>
    <x v="0"/>
    <s v="Excellent"/>
    <s v="Better"/>
    <n v="0"/>
    <s v="10,001+"/>
    <s v="0–5 miles"/>
    <s v="2–5 years"/>
  </r>
  <r>
    <n v="37"/>
    <x v="0"/>
    <s v="Travel_Rarely"/>
    <n v="1141"/>
    <x v="1"/>
    <n v="11"/>
    <x v="0"/>
    <s v="Medical"/>
    <n v="1"/>
    <n v="1033"/>
    <n v="1"/>
    <s v="Female"/>
    <n v="61"/>
    <n v="1"/>
    <n v="2"/>
    <x v="4"/>
    <x v="1"/>
    <s v="Married"/>
    <n v="4777"/>
    <n v="14382"/>
    <n v="5"/>
    <s v="Y"/>
    <x v="1"/>
    <n v="15"/>
    <n v="3"/>
    <n v="1"/>
    <n v="80"/>
    <n v="0"/>
    <n v="15"/>
    <n v="2"/>
    <n v="1"/>
    <n v="1"/>
    <n v="0"/>
    <n v="0"/>
    <n v="0"/>
    <x v="0"/>
    <x v="3"/>
    <s v="Low"/>
    <x v="1"/>
    <s v="Excellent"/>
    <s v="Bad"/>
    <n v="1"/>
    <s v="3,001–6,000"/>
    <s v="11–15 miles"/>
    <s v="0–1 years"/>
  </r>
  <r>
    <n v="55"/>
    <x v="1"/>
    <s v="Travel_Frequently"/>
    <n v="135"/>
    <x v="1"/>
    <n v="18"/>
    <x v="2"/>
    <s v="Medical"/>
    <n v="1"/>
    <n v="1034"/>
    <n v="3"/>
    <s v="Male"/>
    <n v="62"/>
    <n v="3"/>
    <n v="2"/>
    <x v="4"/>
    <x v="1"/>
    <s v="Married"/>
    <n v="6385"/>
    <n v="12992"/>
    <n v="3"/>
    <s v="Y"/>
    <x v="0"/>
    <n v="14"/>
    <n v="3"/>
    <n v="4"/>
    <n v="80"/>
    <n v="2"/>
    <n v="17"/>
    <n v="3"/>
    <n v="3"/>
    <n v="8"/>
    <n v="7"/>
    <n v="6"/>
    <n v="7"/>
    <x v="2"/>
    <x v="1"/>
    <s v="High"/>
    <x v="1"/>
    <s v="Excellent"/>
    <s v="Better"/>
    <n v="0"/>
    <s v="6,001–10,000"/>
    <s v="16+ miles"/>
    <s v="6–10 years"/>
  </r>
  <r>
    <n v="41"/>
    <x v="1"/>
    <s v="Non-Travel"/>
    <n v="247"/>
    <x v="1"/>
    <n v="7"/>
    <x v="1"/>
    <s v="Life Sciences"/>
    <n v="1"/>
    <n v="1035"/>
    <n v="2"/>
    <s v="Female"/>
    <n v="55"/>
    <n v="1"/>
    <n v="5"/>
    <x v="7"/>
    <x v="2"/>
    <s v="Divorced"/>
    <n v="19973"/>
    <n v="20284"/>
    <n v="1"/>
    <s v="Y"/>
    <x v="1"/>
    <n v="22"/>
    <n v="4"/>
    <n v="2"/>
    <n v="80"/>
    <n v="2"/>
    <n v="21"/>
    <n v="3"/>
    <n v="3"/>
    <n v="21"/>
    <n v="16"/>
    <n v="5"/>
    <n v="10"/>
    <x v="1"/>
    <x v="0"/>
    <s v="Low"/>
    <x v="2"/>
    <s v="Outstanding"/>
    <s v="Better"/>
    <n v="0"/>
    <s v="10,001+"/>
    <s v="6–10 miles"/>
    <s v="11+ years"/>
  </r>
  <r>
    <n v="38"/>
    <x v="1"/>
    <s v="Travel_Rarely"/>
    <n v="1035"/>
    <x v="0"/>
    <n v="3"/>
    <x v="2"/>
    <s v="Life Sciences"/>
    <n v="1"/>
    <n v="1036"/>
    <n v="2"/>
    <s v="Male"/>
    <n v="42"/>
    <n v="3"/>
    <n v="2"/>
    <x v="0"/>
    <x v="0"/>
    <s v="Single"/>
    <n v="6861"/>
    <n v="4981"/>
    <n v="8"/>
    <s v="Y"/>
    <x v="0"/>
    <n v="12"/>
    <n v="3"/>
    <n v="3"/>
    <n v="80"/>
    <n v="0"/>
    <n v="19"/>
    <n v="1"/>
    <n v="3"/>
    <n v="1"/>
    <n v="0"/>
    <n v="0"/>
    <n v="0"/>
    <x v="2"/>
    <x v="0"/>
    <s v="High"/>
    <x v="0"/>
    <s v="Excellent"/>
    <s v="Better"/>
    <n v="0"/>
    <s v="6,001–10,000"/>
    <s v="0–5 miles"/>
    <s v="0–1 years"/>
  </r>
  <r>
    <n v="26"/>
    <x v="0"/>
    <s v="Non-Travel"/>
    <n v="265"/>
    <x v="0"/>
    <n v="29"/>
    <x v="0"/>
    <s v="Medical"/>
    <n v="1"/>
    <n v="1037"/>
    <n v="2"/>
    <s v="Male"/>
    <n v="79"/>
    <n v="1"/>
    <n v="2"/>
    <x v="0"/>
    <x v="3"/>
    <s v="Single"/>
    <n v="4969"/>
    <n v="21813"/>
    <n v="8"/>
    <s v="Y"/>
    <x v="1"/>
    <n v="18"/>
    <n v="3"/>
    <n v="4"/>
    <n v="80"/>
    <n v="0"/>
    <n v="7"/>
    <n v="6"/>
    <n v="3"/>
    <n v="2"/>
    <n v="2"/>
    <n v="2"/>
    <n v="2"/>
    <x v="0"/>
    <x v="0"/>
    <s v="Low"/>
    <x v="3"/>
    <s v="Excellent"/>
    <s v="Better"/>
    <n v="1"/>
    <s v="3,001–6,000"/>
    <s v="16+ miles"/>
    <s v="2–5 years"/>
  </r>
  <r>
    <n v="52"/>
    <x v="0"/>
    <s v="Travel_Rarely"/>
    <n v="266"/>
    <x v="0"/>
    <n v="2"/>
    <x v="1"/>
    <s v="Marketing"/>
    <n v="1"/>
    <n v="1038"/>
    <n v="1"/>
    <s v="Female"/>
    <n v="57"/>
    <n v="1"/>
    <n v="5"/>
    <x v="5"/>
    <x v="0"/>
    <s v="Married"/>
    <n v="19845"/>
    <n v="25846"/>
    <n v="1"/>
    <s v="Y"/>
    <x v="1"/>
    <n v="15"/>
    <n v="3"/>
    <n v="4"/>
    <n v="80"/>
    <n v="1"/>
    <n v="33"/>
    <n v="3"/>
    <n v="3"/>
    <n v="32"/>
    <n v="14"/>
    <n v="6"/>
    <n v="9"/>
    <x v="1"/>
    <x v="3"/>
    <s v="Low"/>
    <x v="0"/>
    <s v="Excellent"/>
    <s v="Better"/>
    <n v="1"/>
    <s v="10,001+"/>
    <s v="0–5 miles"/>
    <s v="11+ years"/>
  </r>
  <r>
    <n v="44"/>
    <x v="1"/>
    <s v="Travel_Rarely"/>
    <n v="1448"/>
    <x v="0"/>
    <n v="28"/>
    <x v="3"/>
    <s v="Medical"/>
    <n v="1"/>
    <n v="1039"/>
    <n v="4"/>
    <s v="Female"/>
    <n v="53"/>
    <n v="4"/>
    <n v="4"/>
    <x v="0"/>
    <x v="0"/>
    <s v="Married"/>
    <n v="13320"/>
    <n v="11737"/>
    <n v="3"/>
    <s v="Y"/>
    <x v="0"/>
    <n v="18"/>
    <n v="3"/>
    <n v="3"/>
    <n v="80"/>
    <n v="1"/>
    <n v="23"/>
    <n v="2"/>
    <n v="3"/>
    <n v="12"/>
    <n v="11"/>
    <n v="11"/>
    <n v="11"/>
    <x v="3"/>
    <x v="2"/>
    <s v="Very High"/>
    <x v="0"/>
    <s v="Excellent"/>
    <s v="Better"/>
    <n v="0"/>
    <s v="10,001+"/>
    <s v="16+ miles"/>
    <s v="11+ years"/>
  </r>
  <r>
    <n v="50"/>
    <x v="1"/>
    <s v="Non-Travel"/>
    <n v="145"/>
    <x v="0"/>
    <n v="1"/>
    <x v="3"/>
    <s v="Life Sciences"/>
    <n v="1"/>
    <n v="1040"/>
    <n v="4"/>
    <s v="Female"/>
    <n v="95"/>
    <n v="3"/>
    <n v="2"/>
    <x v="0"/>
    <x v="2"/>
    <s v="Married"/>
    <n v="6347"/>
    <n v="24920"/>
    <n v="0"/>
    <s v="Y"/>
    <x v="1"/>
    <n v="12"/>
    <n v="3"/>
    <n v="1"/>
    <n v="80"/>
    <n v="1"/>
    <n v="19"/>
    <n v="3"/>
    <n v="3"/>
    <n v="18"/>
    <n v="7"/>
    <n v="0"/>
    <n v="13"/>
    <x v="3"/>
    <x v="2"/>
    <s v="High"/>
    <x v="2"/>
    <s v="Excellent"/>
    <s v="Better"/>
    <n v="0"/>
    <s v="6,001–10,000"/>
    <s v="0–5 miles"/>
    <s v="11+ years"/>
  </r>
  <r>
    <n v="36"/>
    <x v="0"/>
    <s v="Travel_Rarely"/>
    <n v="885"/>
    <x v="1"/>
    <n v="16"/>
    <x v="2"/>
    <s v="Life Sciences"/>
    <n v="1"/>
    <n v="1042"/>
    <n v="3"/>
    <s v="Female"/>
    <n v="43"/>
    <n v="4"/>
    <n v="1"/>
    <x v="2"/>
    <x v="3"/>
    <s v="Single"/>
    <n v="2743"/>
    <n v="8269"/>
    <n v="1"/>
    <s v="Y"/>
    <x v="1"/>
    <n v="16"/>
    <n v="3"/>
    <n v="3"/>
    <n v="80"/>
    <n v="0"/>
    <n v="18"/>
    <n v="1"/>
    <n v="3"/>
    <n v="17"/>
    <n v="13"/>
    <n v="15"/>
    <n v="14"/>
    <x v="2"/>
    <x v="1"/>
    <s v="Very High"/>
    <x v="3"/>
    <s v="Excellent"/>
    <s v="Better"/>
    <n v="1"/>
    <s v="0–3,000"/>
    <s v="16+ miles"/>
    <s v="11+ years"/>
  </r>
  <r>
    <n v="39"/>
    <x v="1"/>
    <s v="Travel_Frequently"/>
    <n v="945"/>
    <x v="1"/>
    <n v="22"/>
    <x v="3"/>
    <s v="Medical"/>
    <n v="1"/>
    <n v="1043"/>
    <n v="4"/>
    <s v="Female"/>
    <n v="82"/>
    <n v="3"/>
    <n v="3"/>
    <x v="3"/>
    <x v="3"/>
    <s v="Single"/>
    <n v="10880"/>
    <n v="5083"/>
    <n v="1"/>
    <s v="Y"/>
    <x v="0"/>
    <n v="13"/>
    <n v="3"/>
    <n v="3"/>
    <n v="80"/>
    <n v="0"/>
    <n v="21"/>
    <n v="2"/>
    <n v="3"/>
    <n v="21"/>
    <n v="6"/>
    <n v="2"/>
    <n v="8"/>
    <x v="3"/>
    <x v="2"/>
    <s v="High"/>
    <x v="3"/>
    <s v="Excellent"/>
    <s v="Better"/>
    <n v="0"/>
    <s v="10,001+"/>
    <s v="16+ miles"/>
    <s v="11+ years"/>
  </r>
  <r>
    <n v="33"/>
    <x v="1"/>
    <s v="Non-Travel"/>
    <n v="1038"/>
    <x v="0"/>
    <n v="8"/>
    <x v="1"/>
    <s v="Life Sciences"/>
    <n v="1"/>
    <n v="1044"/>
    <n v="2"/>
    <s v="Female"/>
    <n v="88"/>
    <n v="2"/>
    <n v="1"/>
    <x v="6"/>
    <x v="0"/>
    <s v="Single"/>
    <n v="2342"/>
    <n v="21437"/>
    <n v="0"/>
    <s v="Y"/>
    <x v="1"/>
    <n v="19"/>
    <n v="3"/>
    <n v="4"/>
    <n v="80"/>
    <n v="0"/>
    <n v="3"/>
    <n v="2"/>
    <n v="2"/>
    <n v="2"/>
    <n v="2"/>
    <n v="2"/>
    <n v="2"/>
    <x v="1"/>
    <x v="0"/>
    <s v="Medium"/>
    <x v="0"/>
    <s v="Excellent"/>
    <s v="Good"/>
    <n v="0"/>
    <s v="0–3,000"/>
    <s v="6–10 miles"/>
    <s v="2–5 years"/>
  </r>
  <r>
    <n v="45"/>
    <x v="1"/>
    <s v="Travel_Rarely"/>
    <n v="1234"/>
    <x v="0"/>
    <n v="11"/>
    <x v="0"/>
    <s v="Life Sciences"/>
    <n v="1"/>
    <n v="1045"/>
    <n v="4"/>
    <s v="Female"/>
    <n v="90"/>
    <n v="3"/>
    <n v="4"/>
    <x v="5"/>
    <x v="0"/>
    <s v="Married"/>
    <n v="17650"/>
    <n v="5404"/>
    <n v="3"/>
    <s v="Y"/>
    <x v="1"/>
    <n v="13"/>
    <n v="3"/>
    <n v="2"/>
    <n v="80"/>
    <n v="1"/>
    <n v="26"/>
    <n v="4"/>
    <n v="4"/>
    <n v="9"/>
    <n v="3"/>
    <n v="1"/>
    <n v="1"/>
    <x v="0"/>
    <x v="2"/>
    <s v="High"/>
    <x v="0"/>
    <s v="Excellent"/>
    <s v="Best"/>
    <n v="0"/>
    <s v="10,001+"/>
    <s v="11–15 miles"/>
    <s v="6–10 years"/>
  </r>
  <r>
    <n v="32"/>
    <x v="1"/>
    <s v="Non-Travel"/>
    <n v="1109"/>
    <x v="1"/>
    <n v="29"/>
    <x v="2"/>
    <s v="Medical"/>
    <n v="1"/>
    <n v="1046"/>
    <n v="4"/>
    <s v="Female"/>
    <n v="69"/>
    <n v="3"/>
    <n v="1"/>
    <x v="2"/>
    <x v="2"/>
    <s v="Single"/>
    <n v="4025"/>
    <n v="11135"/>
    <n v="9"/>
    <s v="Y"/>
    <x v="1"/>
    <n v="12"/>
    <n v="3"/>
    <n v="2"/>
    <n v="80"/>
    <n v="0"/>
    <n v="10"/>
    <n v="2"/>
    <n v="3"/>
    <n v="8"/>
    <n v="7"/>
    <n v="7"/>
    <n v="7"/>
    <x v="2"/>
    <x v="2"/>
    <s v="High"/>
    <x v="2"/>
    <s v="Excellent"/>
    <s v="Better"/>
    <n v="0"/>
    <s v="3,001–6,000"/>
    <s v="16+ miles"/>
    <s v="6–10 years"/>
  </r>
  <r>
    <n v="34"/>
    <x v="1"/>
    <s v="Travel_Rarely"/>
    <n v="216"/>
    <x v="0"/>
    <n v="1"/>
    <x v="2"/>
    <s v="Marketing"/>
    <n v="1"/>
    <n v="1047"/>
    <n v="2"/>
    <s v="Male"/>
    <n v="75"/>
    <n v="4"/>
    <n v="2"/>
    <x v="0"/>
    <x v="0"/>
    <s v="Divorced"/>
    <n v="9725"/>
    <n v="12278"/>
    <n v="0"/>
    <s v="Y"/>
    <x v="1"/>
    <n v="11"/>
    <n v="3"/>
    <n v="4"/>
    <n v="80"/>
    <n v="1"/>
    <n v="16"/>
    <n v="2"/>
    <n v="2"/>
    <n v="15"/>
    <n v="1"/>
    <n v="0"/>
    <n v="9"/>
    <x v="2"/>
    <x v="0"/>
    <s v="Very High"/>
    <x v="0"/>
    <s v="Excellent"/>
    <s v="Good"/>
    <n v="0"/>
    <s v="6,001–10,000"/>
    <s v="0–5 miles"/>
    <s v="11+ years"/>
  </r>
  <r>
    <n v="59"/>
    <x v="1"/>
    <s v="Travel_Rarely"/>
    <n v="1089"/>
    <x v="0"/>
    <n v="1"/>
    <x v="0"/>
    <s v="Technical Degree"/>
    <n v="1"/>
    <n v="1048"/>
    <n v="2"/>
    <s v="Male"/>
    <n v="66"/>
    <n v="3"/>
    <n v="3"/>
    <x v="5"/>
    <x v="0"/>
    <s v="Married"/>
    <n v="11904"/>
    <n v="11038"/>
    <n v="3"/>
    <s v="Y"/>
    <x v="0"/>
    <n v="14"/>
    <n v="3"/>
    <n v="3"/>
    <n v="80"/>
    <n v="1"/>
    <n v="14"/>
    <n v="1"/>
    <n v="1"/>
    <n v="6"/>
    <n v="4"/>
    <n v="0"/>
    <n v="4"/>
    <x v="0"/>
    <x v="0"/>
    <s v="High"/>
    <x v="0"/>
    <s v="Excellent"/>
    <s v="Bad"/>
    <n v="0"/>
    <s v="10,001+"/>
    <s v="0–5 miles"/>
    <s v="6–10 years"/>
  </r>
  <r>
    <n v="45"/>
    <x v="1"/>
    <s v="Travel_Rarely"/>
    <n v="788"/>
    <x v="2"/>
    <n v="24"/>
    <x v="2"/>
    <s v="Medical"/>
    <n v="1"/>
    <n v="1049"/>
    <n v="2"/>
    <s v="Male"/>
    <n v="36"/>
    <n v="3"/>
    <n v="1"/>
    <x v="8"/>
    <x v="1"/>
    <s v="Single"/>
    <n v="2177"/>
    <n v="8318"/>
    <n v="1"/>
    <s v="Y"/>
    <x v="1"/>
    <n v="16"/>
    <n v="3"/>
    <n v="1"/>
    <n v="80"/>
    <n v="0"/>
    <n v="6"/>
    <n v="3"/>
    <n v="3"/>
    <n v="6"/>
    <n v="3"/>
    <n v="0"/>
    <n v="4"/>
    <x v="2"/>
    <x v="0"/>
    <s v="High"/>
    <x v="1"/>
    <s v="Excellent"/>
    <s v="Better"/>
    <n v="0"/>
    <s v="0–3,000"/>
    <s v="16+ miles"/>
    <s v="6–10 years"/>
  </r>
  <r>
    <n v="53"/>
    <x v="1"/>
    <s v="Travel_Frequently"/>
    <n v="124"/>
    <x v="0"/>
    <n v="2"/>
    <x v="3"/>
    <s v="Marketing"/>
    <n v="1"/>
    <n v="1050"/>
    <n v="3"/>
    <s v="Female"/>
    <n v="38"/>
    <n v="2"/>
    <n v="3"/>
    <x v="0"/>
    <x v="1"/>
    <s v="Married"/>
    <n v="7525"/>
    <n v="23537"/>
    <n v="2"/>
    <s v="Y"/>
    <x v="1"/>
    <n v="12"/>
    <n v="3"/>
    <n v="1"/>
    <n v="80"/>
    <n v="1"/>
    <n v="30"/>
    <n v="2"/>
    <n v="3"/>
    <n v="15"/>
    <n v="7"/>
    <n v="6"/>
    <n v="12"/>
    <x v="3"/>
    <x v="1"/>
    <s v="Medium"/>
    <x v="1"/>
    <s v="Excellent"/>
    <s v="Better"/>
    <n v="0"/>
    <s v="6,001–10,000"/>
    <s v="0–5 miles"/>
    <s v="11+ years"/>
  </r>
  <r>
    <n v="36"/>
    <x v="0"/>
    <s v="Travel_Rarely"/>
    <n v="660"/>
    <x v="1"/>
    <n v="15"/>
    <x v="3"/>
    <s v="Other"/>
    <n v="1"/>
    <n v="1052"/>
    <n v="1"/>
    <s v="Male"/>
    <n v="81"/>
    <n v="3"/>
    <n v="2"/>
    <x v="2"/>
    <x v="2"/>
    <s v="Divorced"/>
    <n v="4834"/>
    <n v="7858"/>
    <n v="7"/>
    <s v="Y"/>
    <x v="1"/>
    <n v="14"/>
    <n v="3"/>
    <n v="2"/>
    <n v="80"/>
    <n v="1"/>
    <n v="9"/>
    <n v="3"/>
    <n v="2"/>
    <n v="1"/>
    <n v="0"/>
    <n v="0"/>
    <n v="0"/>
    <x v="3"/>
    <x v="3"/>
    <s v="High"/>
    <x v="2"/>
    <s v="Excellent"/>
    <s v="Good"/>
    <n v="1"/>
    <s v="3,001–6,000"/>
    <s v="11–15 miles"/>
    <s v="0–1 years"/>
  </r>
  <r>
    <n v="26"/>
    <x v="0"/>
    <s v="Travel_Frequently"/>
    <n v="342"/>
    <x v="1"/>
    <n v="2"/>
    <x v="3"/>
    <s v="Life Sciences"/>
    <n v="1"/>
    <n v="1053"/>
    <n v="1"/>
    <s v="Male"/>
    <n v="57"/>
    <n v="3"/>
    <n v="1"/>
    <x v="1"/>
    <x v="3"/>
    <s v="Married"/>
    <n v="2042"/>
    <n v="15346"/>
    <n v="6"/>
    <s v="Y"/>
    <x v="0"/>
    <n v="14"/>
    <n v="3"/>
    <n v="2"/>
    <n v="80"/>
    <n v="1"/>
    <n v="6"/>
    <n v="2"/>
    <n v="3"/>
    <n v="3"/>
    <n v="2"/>
    <n v="1"/>
    <n v="2"/>
    <x v="3"/>
    <x v="3"/>
    <s v="High"/>
    <x v="3"/>
    <s v="Excellent"/>
    <s v="Better"/>
    <n v="1"/>
    <s v="0–3,000"/>
    <s v="0–5 miles"/>
    <s v="2–5 years"/>
  </r>
  <r>
    <n v="34"/>
    <x v="1"/>
    <s v="Travel_Rarely"/>
    <n v="1333"/>
    <x v="0"/>
    <n v="10"/>
    <x v="2"/>
    <s v="Life Sciences"/>
    <n v="1"/>
    <n v="1055"/>
    <n v="3"/>
    <s v="Female"/>
    <n v="87"/>
    <n v="3"/>
    <n v="1"/>
    <x v="6"/>
    <x v="2"/>
    <s v="Married"/>
    <n v="2220"/>
    <n v="18410"/>
    <n v="1"/>
    <s v="Y"/>
    <x v="0"/>
    <n v="19"/>
    <n v="3"/>
    <n v="4"/>
    <n v="80"/>
    <n v="1"/>
    <n v="1"/>
    <n v="2"/>
    <n v="3"/>
    <n v="1"/>
    <n v="1"/>
    <n v="0"/>
    <n v="0"/>
    <x v="2"/>
    <x v="1"/>
    <s v="High"/>
    <x v="2"/>
    <s v="Excellent"/>
    <s v="Better"/>
    <n v="0"/>
    <s v="0–3,000"/>
    <s v="6–10 miles"/>
    <s v="0–1 years"/>
  </r>
  <r>
    <n v="28"/>
    <x v="1"/>
    <s v="Travel_Rarely"/>
    <n v="1144"/>
    <x v="0"/>
    <n v="10"/>
    <x v="1"/>
    <s v="Medical"/>
    <n v="1"/>
    <n v="1056"/>
    <n v="4"/>
    <s v="Male"/>
    <n v="74"/>
    <n v="3"/>
    <n v="1"/>
    <x v="6"/>
    <x v="1"/>
    <s v="Married"/>
    <n v="1052"/>
    <n v="23384"/>
    <n v="1"/>
    <s v="Y"/>
    <x v="1"/>
    <n v="22"/>
    <n v="4"/>
    <n v="2"/>
    <n v="80"/>
    <n v="0"/>
    <n v="1"/>
    <n v="5"/>
    <n v="3"/>
    <n v="1"/>
    <n v="0"/>
    <n v="0"/>
    <n v="0"/>
    <x v="1"/>
    <x v="2"/>
    <s v="High"/>
    <x v="1"/>
    <s v="Outstanding"/>
    <s v="Better"/>
    <n v="0"/>
    <s v="0–3,000"/>
    <s v="6–10 miles"/>
    <s v="0–1 years"/>
  </r>
  <r>
    <n v="38"/>
    <x v="1"/>
    <s v="Travel_Frequently"/>
    <n v="1186"/>
    <x v="1"/>
    <n v="3"/>
    <x v="2"/>
    <s v="Other"/>
    <n v="1"/>
    <n v="1060"/>
    <n v="3"/>
    <s v="Male"/>
    <n v="44"/>
    <n v="3"/>
    <n v="1"/>
    <x v="1"/>
    <x v="2"/>
    <s v="Married"/>
    <n v="2821"/>
    <n v="2997"/>
    <n v="3"/>
    <s v="Y"/>
    <x v="1"/>
    <n v="16"/>
    <n v="3"/>
    <n v="1"/>
    <n v="80"/>
    <n v="1"/>
    <n v="8"/>
    <n v="2"/>
    <n v="3"/>
    <n v="2"/>
    <n v="2"/>
    <n v="2"/>
    <n v="2"/>
    <x v="2"/>
    <x v="1"/>
    <s v="High"/>
    <x v="2"/>
    <s v="Excellent"/>
    <s v="Better"/>
    <n v="0"/>
    <s v="0–3,000"/>
    <s v="0–5 miles"/>
    <s v="2–5 years"/>
  </r>
  <r>
    <n v="50"/>
    <x v="1"/>
    <s v="Travel_Rarely"/>
    <n v="1464"/>
    <x v="1"/>
    <n v="2"/>
    <x v="2"/>
    <s v="Medical"/>
    <n v="1"/>
    <n v="1061"/>
    <n v="2"/>
    <s v="Male"/>
    <n v="62"/>
    <n v="3"/>
    <n v="5"/>
    <x v="7"/>
    <x v="2"/>
    <s v="Married"/>
    <n v="19237"/>
    <n v="12853"/>
    <n v="2"/>
    <s v="Y"/>
    <x v="0"/>
    <n v="11"/>
    <n v="3"/>
    <n v="4"/>
    <n v="80"/>
    <n v="1"/>
    <n v="29"/>
    <n v="2"/>
    <n v="2"/>
    <n v="8"/>
    <n v="1"/>
    <n v="7"/>
    <n v="7"/>
    <x v="2"/>
    <x v="0"/>
    <s v="High"/>
    <x v="2"/>
    <s v="Excellent"/>
    <s v="Good"/>
    <n v="0"/>
    <s v="10,001+"/>
    <s v="0–5 miles"/>
    <s v="6–10 years"/>
  </r>
  <r>
    <n v="37"/>
    <x v="1"/>
    <s v="Travel_Rarely"/>
    <n v="124"/>
    <x v="1"/>
    <n v="3"/>
    <x v="3"/>
    <s v="Other"/>
    <n v="1"/>
    <n v="1062"/>
    <n v="4"/>
    <s v="Female"/>
    <n v="35"/>
    <n v="3"/>
    <n v="2"/>
    <x v="4"/>
    <x v="1"/>
    <s v="Single"/>
    <n v="4107"/>
    <n v="13848"/>
    <n v="3"/>
    <s v="Y"/>
    <x v="1"/>
    <n v="15"/>
    <n v="3"/>
    <n v="1"/>
    <n v="80"/>
    <n v="0"/>
    <n v="8"/>
    <n v="3"/>
    <n v="2"/>
    <n v="4"/>
    <n v="3"/>
    <n v="0"/>
    <n v="1"/>
    <x v="3"/>
    <x v="2"/>
    <s v="High"/>
    <x v="1"/>
    <s v="Excellent"/>
    <s v="Good"/>
    <n v="0"/>
    <s v="3,001–6,000"/>
    <s v="0–5 miles"/>
    <s v="2–5 years"/>
  </r>
  <r>
    <n v="40"/>
    <x v="1"/>
    <s v="Travel_Rarely"/>
    <n v="300"/>
    <x v="0"/>
    <n v="26"/>
    <x v="3"/>
    <s v="Marketing"/>
    <n v="1"/>
    <n v="1066"/>
    <n v="3"/>
    <s v="Male"/>
    <n v="74"/>
    <n v="3"/>
    <n v="2"/>
    <x v="0"/>
    <x v="3"/>
    <s v="Married"/>
    <n v="8396"/>
    <n v="22217"/>
    <n v="1"/>
    <s v="Y"/>
    <x v="1"/>
    <n v="14"/>
    <n v="3"/>
    <n v="2"/>
    <n v="80"/>
    <n v="1"/>
    <n v="8"/>
    <n v="3"/>
    <n v="2"/>
    <n v="7"/>
    <n v="7"/>
    <n v="7"/>
    <n v="5"/>
    <x v="3"/>
    <x v="1"/>
    <s v="High"/>
    <x v="3"/>
    <s v="Excellent"/>
    <s v="Good"/>
    <n v="0"/>
    <s v="6,001–10,000"/>
    <s v="16+ miles"/>
    <s v="6–10 years"/>
  </r>
  <r>
    <n v="26"/>
    <x v="1"/>
    <s v="Travel_Frequently"/>
    <n v="921"/>
    <x v="1"/>
    <n v="1"/>
    <x v="1"/>
    <s v="Medical"/>
    <n v="1"/>
    <n v="1068"/>
    <n v="1"/>
    <s v="Female"/>
    <n v="66"/>
    <n v="2"/>
    <n v="1"/>
    <x v="1"/>
    <x v="2"/>
    <s v="Divorced"/>
    <n v="2007"/>
    <n v="25265"/>
    <n v="1"/>
    <s v="Y"/>
    <x v="1"/>
    <n v="13"/>
    <n v="3"/>
    <n v="3"/>
    <n v="80"/>
    <n v="2"/>
    <n v="5"/>
    <n v="5"/>
    <n v="3"/>
    <n v="5"/>
    <n v="3"/>
    <n v="1"/>
    <n v="3"/>
    <x v="1"/>
    <x v="3"/>
    <s v="Medium"/>
    <x v="2"/>
    <s v="Excellent"/>
    <s v="Better"/>
    <n v="0"/>
    <s v="0–3,000"/>
    <s v="0–5 miles"/>
    <s v="2–5 years"/>
  </r>
  <r>
    <n v="46"/>
    <x v="1"/>
    <s v="Travel_Rarely"/>
    <n v="430"/>
    <x v="1"/>
    <n v="1"/>
    <x v="2"/>
    <s v="Medical"/>
    <n v="1"/>
    <n v="1069"/>
    <n v="4"/>
    <s v="Male"/>
    <n v="40"/>
    <n v="3"/>
    <n v="5"/>
    <x v="7"/>
    <x v="0"/>
    <s v="Divorced"/>
    <n v="19627"/>
    <n v="21445"/>
    <n v="9"/>
    <s v="Y"/>
    <x v="1"/>
    <n v="17"/>
    <n v="3"/>
    <n v="4"/>
    <n v="80"/>
    <n v="2"/>
    <n v="23"/>
    <n v="0"/>
    <n v="3"/>
    <n v="2"/>
    <n v="2"/>
    <n v="2"/>
    <n v="2"/>
    <x v="2"/>
    <x v="2"/>
    <s v="High"/>
    <x v="0"/>
    <s v="Excellent"/>
    <s v="Better"/>
    <n v="0"/>
    <s v="10,001+"/>
    <s v="0–5 miles"/>
    <s v="2–5 years"/>
  </r>
  <r>
    <n v="54"/>
    <x v="1"/>
    <s v="Travel_Rarely"/>
    <n v="1082"/>
    <x v="0"/>
    <n v="2"/>
    <x v="2"/>
    <s v="Life Sciences"/>
    <n v="1"/>
    <n v="1070"/>
    <n v="3"/>
    <s v="Female"/>
    <n v="41"/>
    <n v="2"/>
    <n v="3"/>
    <x v="0"/>
    <x v="2"/>
    <s v="Married"/>
    <n v="10686"/>
    <n v="8392"/>
    <n v="6"/>
    <s v="Y"/>
    <x v="1"/>
    <n v="11"/>
    <n v="3"/>
    <n v="2"/>
    <n v="80"/>
    <n v="1"/>
    <n v="13"/>
    <n v="4"/>
    <n v="3"/>
    <n v="9"/>
    <n v="4"/>
    <n v="7"/>
    <n v="0"/>
    <x v="2"/>
    <x v="1"/>
    <s v="Medium"/>
    <x v="2"/>
    <s v="Excellent"/>
    <s v="Better"/>
    <n v="0"/>
    <s v="10,001+"/>
    <s v="0–5 miles"/>
    <s v="6–10 years"/>
  </r>
  <r>
    <n v="56"/>
    <x v="1"/>
    <s v="Travel_Frequently"/>
    <n v="1240"/>
    <x v="1"/>
    <n v="9"/>
    <x v="3"/>
    <s v="Medical"/>
    <n v="1"/>
    <n v="1071"/>
    <n v="1"/>
    <s v="Female"/>
    <n v="63"/>
    <n v="3"/>
    <n v="1"/>
    <x v="1"/>
    <x v="2"/>
    <s v="Married"/>
    <n v="2942"/>
    <n v="12154"/>
    <n v="2"/>
    <s v="Y"/>
    <x v="1"/>
    <n v="19"/>
    <n v="3"/>
    <n v="2"/>
    <n v="80"/>
    <n v="1"/>
    <n v="18"/>
    <n v="4"/>
    <n v="3"/>
    <n v="5"/>
    <n v="4"/>
    <n v="0"/>
    <n v="3"/>
    <x v="3"/>
    <x v="3"/>
    <s v="High"/>
    <x v="2"/>
    <s v="Excellent"/>
    <s v="Better"/>
    <n v="0"/>
    <s v="0–3,000"/>
    <s v="6–10 miles"/>
    <s v="2–5 years"/>
  </r>
  <r>
    <n v="36"/>
    <x v="1"/>
    <s v="Travel_Rarely"/>
    <n v="796"/>
    <x v="1"/>
    <n v="12"/>
    <x v="4"/>
    <s v="Medical"/>
    <n v="1"/>
    <n v="1073"/>
    <n v="4"/>
    <s v="Female"/>
    <n v="51"/>
    <n v="2"/>
    <n v="3"/>
    <x v="3"/>
    <x v="0"/>
    <s v="Single"/>
    <n v="8858"/>
    <n v="15669"/>
    <n v="0"/>
    <s v="Y"/>
    <x v="1"/>
    <n v="11"/>
    <n v="3"/>
    <n v="2"/>
    <n v="80"/>
    <n v="0"/>
    <n v="15"/>
    <n v="2"/>
    <n v="2"/>
    <n v="14"/>
    <n v="8"/>
    <n v="7"/>
    <n v="8"/>
    <x v="4"/>
    <x v="2"/>
    <s v="Medium"/>
    <x v="0"/>
    <s v="Excellent"/>
    <s v="Good"/>
    <n v="0"/>
    <s v="6,001–10,000"/>
    <s v="11–15 miles"/>
    <s v="11+ years"/>
  </r>
  <r>
    <n v="55"/>
    <x v="1"/>
    <s v="Non-Travel"/>
    <n v="444"/>
    <x v="1"/>
    <n v="2"/>
    <x v="1"/>
    <s v="Medical"/>
    <n v="1"/>
    <n v="1074"/>
    <n v="3"/>
    <s v="Male"/>
    <n v="40"/>
    <n v="2"/>
    <n v="4"/>
    <x v="5"/>
    <x v="3"/>
    <s v="Single"/>
    <n v="16756"/>
    <n v="17323"/>
    <n v="7"/>
    <s v="Y"/>
    <x v="1"/>
    <n v="15"/>
    <n v="3"/>
    <n v="2"/>
    <n v="80"/>
    <n v="0"/>
    <n v="31"/>
    <n v="3"/>
    <n v="4"/>
    <n v="9"/>
    <n v="7"/>
    <n v="6"/>
    <n v="2"/>
    <x v="1"/>
    <x v="1"/>
    <s v="Medium"/>
    <x v="3"/>
    <s v="Excellent"/>
    <s v="Best"/>
    <n v="0"/>
    <s v="10,001+"/>
    <s v="0–5 miles"/>
    <s v="6–10 years"/>
  </r>
  <r>
    <n v="43"/>
    <x v="1"/>
    <s v="Travel_Rarely"/>
    <n v="415"/>
    <x v="0"/>
    <n v="25"/>
    <x v="3"/>
    <s v="Medical"/>
    <n v="1"/>
    <n v="1076"/>
    <n v="3"/>
    <s v="Male"/>
    <n v="79"/>
    <n v="2"/>
    <n v="3"/>
    <x v="0"/>
    <x v="0"/>
    <s v="Divorced"/>
    <n v="10798"/>
    <n v="5268"/>
    <n v="5"/>
    <s v="Y"/>
    <x v="1"/>
    <n v="13"/>
    <n v="3"/>
    <n v="3"/>
    <n v="80"/>
    <n v="1"/>
    <n v="18"/>
    <n v="5"/>
    <n v="3"/>
    <n v="1"/>
    <n v="0"/>
    <n v="0"/>
    <n v="0"/>
    <x v="3"/>
    <x v="1"/>
    <s v="Medium"/>
    <x v="0"/>
    <s v="Excellent"/>
    <s v="Better"/>
    <n v="0"/>
    <s v="10,001+"/>
    <s v="16+ miles"/>
    <s v="0–1 years"/>
  </r>
  <r>
    <n v="20"/>
    <x v="0"/>
    <s v="Travel_Frequently"/>
    <n v="769"/>
    <x v="0"/>
    <n v="9"/>
    <x v="3"/>
    <s v="Marketing"/>
    <n v="1"/>
    <n v="1077"/>
    <n v="4"/>
    <s v="Female"/>
    <n v="54"/>
    <n v="3"/>
    <n v="1"/>
    <x v="6"/>
    <x v="0"/>
    <s v="Single"/>
    <n v="2323"/>
    <n v="17205"/>
    <n v="1"/>
    <s v="Y"/>
    <x v="0"/>
    <n v="14"/>
    <n v="3"/>
    <n v="2"/>
    <n v="80"/>
    <n v="0"/>
    <n v="2"/>
    <n v="3"/>
    <n v="3"/>
    <n v="2"/>
    <n v="2"/>
    <n v="0"/>
    <n v="2"/>
    <x v="3"/>
    <x v="2"/>
    <s v="High"/>
    <x v="0"/>
    <s v="Excellent"/>
    <s v="Better"/>
    <n v="1"/>
    <s v="0–3,000"/>
    <s v="6–10 miles"/>
    <s v="2–5 years"/>
  </r>
  <r>
    <n v="21"/>
    <x v="0"/>
    <s v="Travel_Rarely"/>
    <n v="1334"/>
    <x v="1"/>
    <n v="10"/>
    <x v="3"/>
    <s v="Life Sciences"/>
    <n v="1"/>
    <n v="1079"/>
    <n v="3"/>
    <s v="Female"/>
    <n v="36"/>
    <n v="2"/>
    <n v="1"/>
    <x v="2"/>
    <x v="3"/>
    <s v="Single"/>
    <n v="1416"/>
    <n v="17258"/>
    <n v="1"/>
    <s v="Y"/>
    <x v="1"/>
    <n v="13"/>
    <n v="3"/>
    <n v="1"/>
    <n v="80"/>
    <n v="0"/>
    <n v="1"/>
    <n v="6"/>
    <n v="2"/>
    <n v="1"/>
    <n v="0"/>
    <n v="1"/>
    <n v="0"/>
    <x v="3"/>
    <x v="1"/>
    <s v="Medium"/>
    <x v="3"/>
    <s v="Excellent"/>
    <s v="Good"/>
    <n v="1"/>
    <s v="0–3,000"/>
    <s v="6–10 miles"/>
    <s v="0–1 years"/>
  </r>
  <r>
    <n v="46"/>
    <x v="1"/>
    <s v="Travel_Rarely"/>
    <n v="1003"/>
    <x v="1"/>
    <n v="8"/>
    <x v="2"/>
    <s v="Life Sciences"/>
    <n v="1"/>
    <n v="1080"/>
    <n v="4"/>
    <s v="Female"/>
    <n v="74"/>
    <n v="2"/>
    <n v="2"/>
    <x v="1"/>
    <x v="3"/>
    <s v="Divorced"/>
    <n v="4615"/>
    <n v="21029"/>
    <n v="8"/>
    <s v="Y"/>
    <x v="0"/>
    <n v="23"/>
    <n v="4"/>
    <n v="1"/>
    <n v="80"/>
    <n v="3"/>
    <n v="19"/>
    <n v="2"/>
    <n v="3"/>
    <n v="16"/>
    <n v="13"/>
    <n v="1"/>
    <n v="7"/>
    <x v="2"/>
    <x v="2"/>
    <s v="Medium"/>
    <x v="3"/>
    <s v="Outstanding"/>
    <s v="Better"/>
    <n v="0"/>
    <s v="3,001–6,000"/>
    <s v="6–10 miles"/>
    <s v="11+ years"/>
  </r>
  <r>
    <n v="51"/>
    <x v="0"/>
    <s v="Travel_Rarely"/>
    <n v="1323"/>
    <x v="1"/>
    <n v="4"/>
    <x v="2"/>
    <s v="Life Sciences"/>
    <n v="1"/>
    <n v="1081"/>
    <n v="1"/>
    <s v="Male"/>
    <n v="34"/>
    <n v="3"/>
    <n v="1"/>
    <x v="1"/>
    <x v="2"/>
    <s v="Married"/>
    <n v="2461"/>
    <n v="10332"/>
    <n v="9"/>
    <s v="Y"/>
    <x v="0"/>
    <n v="12"/>
    <n v="3"/>
    <n v="3"/>
    <n v="80"/>
    <n v="3"/>
    <n v="18"/>
    <n v="2"/>
    <n v="4"/>
    <n v="10"/>
    <n v="0"/>
    <n v="2"/>
    <n v="7"/>
    <x v="2"/>
    <x v="3"/>
    <s v="High"/>
    <x v="2"/>
    <s v="Excellent"/>
    <s v="Best"/>
    <n v="1"/>
    <s v="0–3,000"/>
    <s v="0–5 miles"/>
    <s v="6–10 years"/>
  </r>
  <r>
    <n v="28"/>
    <x v="0"/>
    <s v="Non-Travel"/>
    <n v="1366"/>
    <x v="1"/>
    <n v="24"/>
    <x v="0"/>
    <s v="Technical Degree"/>
    <n v="1"/>
    <n v="1082"/>
    <n v="2"/>
    <s v="Male"/>
    <n v="72"/>
    <n v="2"/>
    <n v="3"/>
    <x v="4"/>
    <x v="3"/>
    <s v="Single"/>
    <n v="8722"/>
    <n v="12355"/>
    <n v="1"/>
    <s v="Y"/>
    <x v="1"/>
    <n v="12"/>
    <n v="3"/>
    <n v="1"/>
    <n v="80"/>
    <n v="0"/>
    <n v="10"/>
    <n v="2"/>
    <n v="2"/>
    <n v="10"/>
    <n v="7"/>
    <n v="1"/>
    <n v="9"/>
    <x v="0"/>
    <x v="0"/>
    <s v="Medium"/>
    <x v="3"/>
    <s v="Excellent"/>
    <s v="Good"/>
    <n v="1"/>
    <s v="6,001–10,000"/>
    <s v="16+ miles"/>
    <s v="6–10 years"/>
  </r>
  <r>
    <n v="26"/>
    <x v="1"/>
    <s v="Travel_Rarely"/>
    <n v="192"/>
    <x v="1"/>
    <n v="1"/>
    <x v="0"/>
    <s v="Medical"/>
    <n v="1"/>
    <n v="1083"/>
    <n v="1"/>
    <s v="Male"/>
    <n v="59"/>
    <n v="2"/>
    <n v="1"/>
    <x v="2"/>
    <x v="3"/>
    <s v="Married"/>
    <n v="3955"/>
    <n v="11141"/>
    <n v="1"/>
    <s v="Y"/>
    <x v="1"/>
    <n v="16"/>
    <n v="3"/>
    <n v="1"/>
    <n v="80"/>
    <n v="2"/>
    <n v="6"/>
    <n v="2"/>
    <n v="3"/>
    <n v="5"/>
    <n v="3"/>
    <n v="1"/>
    <n v="3"/>
    <x v="0"/>
    <x v="3"/>
    <s v="Medium"/>
    <x v="3"/>
    <s v="Excellent"/>
    <s v="Better"/>
    <n v="0"/>
    <s v="3,001–6,000"/>
    <s v="0–5 miles"/>
    <s v="2–5 years"/>
  </r>
  <r>
    <n v="30"/>
    <x v="1"/>
    <s v="Travel_Rarely"/>
    <n v="1176"/>
    <x v="1"/>
    <n v="20"/>
    <x v="3"/>
    <s v="Other"/>
    <n v="1"/>
    <n v="1084"/>
    <n v="3"/>
    <s v="Male"/>
    <n v="85"/>
    <n v="3"/>
    <n v="2"/>
    <x v="3"/>
    <x v="3"/>
    <s v="Married"/>
    <n v="9957"/>
    <n v="9096"/>
    <n v="0"/>
    <s v="Y"/>
    <x v="1"/>
    <n v="15"/>
    <n v="3"/>
    <n v="3"/>
    <n v="80"/>
    <n v="1"/>
    <n v="7"/>
    <n v="1"/>
    <n v="2"/>
    <n v="6"/>
    <n v="2"/>
    <n v="0"/>
    <n v="2"/>
    <x v="3"/>
    <x v="1"/>
    <s v="High"/>
    <x v="3"/>
    <s v="Excellent"/>
    <s v="Good"/>
    <n v="0"/>
    <s v="6,001–10,000"/>
    <s v="16+ miles"/>
    <s v="6–10 years"/>
  </r>
  <r>
    <n v="41"/>
    <x v="1"/>
    <s v="Travel_Rarely"/>
    <n v="509"/>
    <x v="1"/>
    <n v="7"/>
    <x v="0"/>
    <s v="Technical Degree"/>
    <n v="1"/>
    <n v="1085"/>
    <n v="2"/>
    <s v="Female"/>
    <n v="43"/>
    <n v="4"/>
    <n v="1"/>
    <x v="1"/>
    <x v="2"/>
    <s v="Married"/>
    <n v="3376"/>
    <n v="18863"/>
    <n v="1"/>
    <s v="Y"/>
    <x v="1"/>
    <n v="13"/>
    <n v="3"/>
    <n v="3"/>
    <n v="80"/>
    <n v="0"/>
    <n v="10"/>
    <n v="3"/>
    <n v="3"/>
    <n v="10"/>
    <n v="6"/>
    <n v="0"/>
    <n v="8"/>
    <x v="0"/>
    <x v="0"/>
    <s v="Very High"/>
    <x v="2"/>
    <s v="Excellent"/>
    <s v="Better"/>
    <n v="0"/>
    <s v="3,001–6,000"/>
    <s v="6–10 miles"/>
    <s v="6–10 years"/>
  </r>
  <r>
    <n v="38"/>
    <x v="1"/>
    <s v="Travel_Rarely"/>
    <n v="330"/>
    <x v="1"/>
    <n v="17"/>
    <x v="1"/>
    <s v="Life Sciences"/>
    <n v="1"/>
    <n v="1088"/>
    <n v="3"/>
    <s v="Female"/>
    <n v="65"/>
    <n v="2"/>
    <n v="3"/>
    <x v="4"/>
    <x v="2"/>
    <s v="Married"/>
    <n v="8823"/>
    <n v="24608"/>
    <n v="0"/>
    <s v="Y"/>
    <x v="1"/>
    <n v="18"/>
    <n v="3"/>
    <n v="1"/>
    <n v="80"/>
    <n v="1"/>
    <n v="20"/>
    <n v="4"/>
    <n v="2"/>
    <n v="19"/>
    <n v="9"/>
    <n v="1"/>
    <n v="9"/>
    <x v="1"/>
    <x v="1"/>
    <s v="Medium"/>
    <x v="2"/>
    <s v="Excellent"/>
    <s v="Good"/>
    <n v="0"/>
    <s v="6,001–10,000"/>
    <s v="16+ miles"/>
    <s v="11+ years"/>
  </r>
  <r>
    <n v="40"/>
    <x v="1"/>
    <s v="Travel_Rarely"/>
    <n v="1492"/>
    <x v="1"/>
    <n v="20"/>
    <x v="2"/>
    <s v="Technical Degree"/>
    <n v="1"/>
    <n v="1092"/>
    <n v="1"/>
    <s v="Male"/>
    <n v="61"/>
    <n v="3"/>
    <n v="3"/>
    <x v="4"/>
    <x v="0"/>
    <s v="Married"/>
    <n v="10322"/>
    <n v="26542"/>
    <n v="4"/>
    <s v="Y"/>
    <x v="1"/>
    <n v="20"/>
    <n v="4"/>
    <n v="4"/>
    <n v="80"/>
    <n v="1"/>
    <n v="14"/>
    <n v="6"/>
    <n v="3"/>
    <n v="11"/>
    <n v="10"/>
    <n v="11"/>
    <n v="1"/>
    <x v="2"/>
    <x v="3"/>
    <s v="High"/>
    <x v="0"/>
    <s v="Outstanding"/>
    <s v="Better"/>
    <n v="0"/>
    <s v="10,001+"/>
    <s v="16+ miles"/>
    <s v="11+ years"/>
  </r>
  <r>
    <n v="27"/>
    <x v="1"/>
    <s v="Non-Travel"/>
    <n v="1277"/>
    <x v="1"/>
    <n v="8"/>
    <x v="4"/>
    <s v="Life Sciences"/>
    <n v="1"/>
    <n v="1094"/>
    <n v="1"/>
    <s v="Male"/>
    <n v="87"/>
    <n v="1"/>
    <n v="1"/>
    <x v="2"/>
    <x v="2"/>
    <s v="Married"/>
    <n v="4621"/>
    <n v="5869"/>
    <n v="1"/>
    <s v="Y"/>
    <x v="1"/>
    <n v="19"/>
    <n v="3"/>
    <n v="4"/>
    <n v="80"/>
    <n v="3"/>
    <n v="3"/>
    <n v="4"/>
    <n v="3"/>
    <n v="3"/>
    <n v="2"/>
    <n v="1"/>
    <n v="2"/>
    <x v="4"/>
    <x v="3"/>
    <s v="Low"/>
    <x v="2"/>
    <s v="Excellent"/>
    <s v="Better"/>
    <n v="0"/>
    <s v="3,001–6,000"/>
    <s v="6–10 miles"/>
    <s v="2–5 years"/>
  </r>
  <r>
    <n v="55"/>
    <x v="1"/>
    <s v="Travel_Frequently"/>
    <n v="1091"/>
    <x v="1"/>
    <n v="2"/>
    <x v="1"/>
    <s v="Life Sciences"/>
    <n v="1"/>
    <n v="1096"/>
    <n v="4"/>
    <s v="Male"/>
    <n v="65"/>
    <n v="3"/>
    <n v="3"/>
    <x v="3"/>
    <x v="1"/>
    <s v="Married"/>
    <n v="10976"/>
    <n v="15813"/>
    <n v="3"/>
    <s v="Y"/>
    <x v="1"/>
    <n v="18"/>
    <n v="3"/>
    <n v="2"/>
    <n v="80"/>
    <n v="1"/>
    <n v="23"/>
    <n v="4"/>
    <n v="3"/>
    <n v="3"/>
    <n v="2"/>
    <n v="1"/>
    <n v="2"/>
    <x v="1"/>
    <x v="2"/>
    <s v="High"/>
    <x v="1"/>
    <s v="Excellent"/>
    <s v="Better"/>
    <n v="0"/>
    <s v="10,001+"/>
    <s v="0–5 miles"/>
    <s v="2–5 years"/>
  </r>
  <r>
    <n v="28"/>
    <x v="1"/>
    <s v="Travel_Rarely"/>
    <n v="857"/>
    <x v="1"/>
    <n v="10"/>
    <x v="3"/>
    <s v="Other"/>
    <n v="1"/>
    <n v="1097"/>
    <n v="3"/>
    <s v="Female"/>
    <n v="59"/>
    <n v="3"/>
    <n v="2"/>
    <x v="1"/>
    <x v="2"/>
    <s v="Single"/>
    <n v="3660"/>
    <n v="7909"/>
    <n v="3"/>
    <s v="Y"/>
    <x v="1"/>
    <n v="13"/>
    <n v="3"/>
    <n v="4"/>
    <n v="80"/>
    <n v="0"/>
    <n v="10"/>
    <n v="4"/>
    <n v="4"/>
    <n v="8"/>
    <n v="7"/>
    <n v="1"/>
    <n v="7"/>
    <x v="3"/>
    <x v="1"/>
    <s v="High"/>
    <x v="2"/>
    <s v="Excellent"/>
    <s v="Best"/>
    <n v="0"/>
    <s v="3,001–6,000"/>
    <s v="6–10 miles"/>
    <s v="6–10 years"/>
  </r>
  <r>
    <n v="44"/>
    <x v="0"/>
    <s v="Travel_Rarely"/>
    <n v="1376"/>
    <x v="2"/>
    <n v="1"/>
    <x v="0"/>
    <s v="Medical"/>
    <n v="1"/>
    <n v="1098"/>
    <n v="2"/>
    <s v="Male"/>
    <n v="91"/>
    <n v="2"/>
    <n v="3"/>
    <x v="8"/>
    <x v="3"/>
    <s v="Married"/>
    <n v="10482"/>
    <n v="2326"/>
    <n v="9"/>
    <s v="Y"/>
    <x v="1"/>
    <n v="14"/>
    <n v="3"/>
    <n v="4"/>
    <n v="80"/>
    <n v="1"/>
    <n v="24"/>
    <n v="1"/>
    <n v="3"/>
    <n v="20"/>
    <n v="6"/>
    <n v="3"/>
    <n v="6"/>
    <x v="0"/>
    <x v="0"/>
    <s v="Medium"/>
    <x v="3"/>
    <s v="Excellent"/>
    <s v="Better"/>
    <n v="1"/>
    <s v="10,001+"/>
    <s v="0–5 miles"/>
    <s v="11+ years"/>
  </r>
  <r>
    <n v="33"/>
    <x v="1"/>
    <s v="Travel_Rarely"/>
    <n v="654"/>
    <x v="1"/>
    <n v="5"/>
    <x v="3"/>
    <s v="Life Sciences"/>
    <n v="1"/>
    <n v="1099"/>
    <n v="4"/>
    <s v="Male"/>
    <n v="34"/>
    <n v="2"/>
    <n v="3"/>
    <x v="4"/>
    <x v="0"/>
    <s v="Divorced"/>
    <n v="7119"/>
    <n v="21214"/>
    <n v="4"/>
    <s v="Y"/>
    <x v="1"/>
    <n v="15"/>
    <n v="3"/>
    <n v="3"/>
    <n v="80"/>
    <n v="1"/>
    <n v="9"/>
    <n v="2"/>
    <n v="3"/>
    <n v="3"/>
    <n v="2"/>
    <n v="1"/>
    <n v="2"/>
    <x v="3"/>
    <x v="2"/>
    <s v="Medium"/>
    <x v="0"/>
    <s v="Excellent"/>
    <s v="Better"/>
    <n v="0"/>
    <s v="6,001–10,000"/>
    <s v="0–5 miles"/>
    <s v="2–5 years"/>
  </r>
  <r>
    <n v="35"/>
    <x v="0"/>
    <s v="Travel_Rarely"/>
    <n v="1204"/>
    <x v="0"/>
    <n v="4"/>
    <x v="3"/>
    <s v="Technical Degree"/>
    <n v="1"/>
    <n v="1100"/>
    <n v="4"/>
    <s v="Male"/>
    <n v="86"/>
    <n v="3"/>
    <n v="3"/>
    <x v="0"/>
    <x v="3"/>
    <s v="Single"/>
    <n v="9582"/>
    <n v="10333"/>
    <n v="0"/>
    <s v="Y"/>
    <x v="0"/>
    <n v="22"/>
    <n v="4"/>
    <n v="1"/>
    <n v="80"/>
    <n v="0"/>
    <n v="9"/>
    <n v="2"/>
    <n v="3"/>
    <n v="8"/>
    <n v="7"/>
    <n v="4"/>
    <n v="7"/>
    <x v="3"/>
    <x v="2"/>
    <s v="High"/>
    <x v="3"/>
    <s v="Outstanding"/>
    <s v="Better"/>
    <n v="1"/>
    <s v="6,001–10,000"/>
    <s v="0–5 miles"/>
    <s v="6–10 years"/>
  </r>
  <r>
    <n v="33"/>
    <x v="0"/>
    <s v="Travel_Frequently"/>
    <n v="827"/>
    <x v="1"/>
    <n v="29"/>
    <x v="2"/>
    <s v="Medical"/>
    <n v="1"/>
    <n v="1101"/>
    <n v="1"/>
    <s v="Female"/>
    <n v="54"/>
    <n v="2"/>
    <n v="2"/>
    <x v="1"/>
    <x v="2"/>
    <s v="Single"/>
    <n v="4508"/>
    <n v="3129"/>
    <n v="1"/>
    <s v="Y"/>
    <x v="1"/>
    <n v="22"/>
    <n v="4"/>
    <n v="2"/>
    <n v="80"/>
    <n v="0"/>
    <n v="14"/>
    <n v="4"/>
    <n v="3"/>
    <n v="13"/>
    <n v="7"/>
    <n v="3"/>
    <n v="8"/>
    <x v="2"/>
    <x v="3"/>
    <s v="Medium"/>
    <x v="2"/>
    <s v="Outstanding"/>
    <s v="Better"/>
    <n v="1"/>
    <s v="3,001–6,000"/>
    <s v="16+ miles"/>
    <s v="11+ years"/>
  </r>
  <r>
    <n v="28"/>
    <x v="1"/>
    <s v="Travel_Rarely"/>
    <n v="895"/>
    <x v="1"/>
    <n v="15"/>
    <x v="0"/>
    <s v="Life Sciences"/>
    <n v="1"/>
    <n v="1102"/>
    <n v="1"/>
    <s v="Male"/>
    <n v="50"/>
    <n v="3"/>
    <n v="1"/>
    <x v="2"/>
    <x v="2"/>
    <s v="Divorced"/>
    <n v="2207"/>
    <n v="22482"/>
    <n v="1"/>
    <s v="Y"/>
    <x v="1"/>
    <n v="16"/>
    <n v="3"/>
    <n v="4"/>
    <n v="80"/>
    <n v="1"/>
    <n v="4"/>
    <n v="5"/>
    <n v="2"/>
    <n v="4"/>
    <n v="2"/>
    <n v="2"/>
    <n v="2"/>
    <x v="0"/>
    <x v="3"/>
    <s v="High"/>
    <x v="2"/>
    <s v="Excellent"/>
    <s v="Good"/>
    <n v="0"/>
    <s v="0–3,000"/>
    <s v="11–15 miles"/>
    <s v="2–5 years"/>
  </r>
  <r>
    <n v="34"/>
    <x v="1"/>
    <s v="Travel_Frequently"/>
    <n v="618"/>
    <x v="1"/>
    <n v="3"/>
    <x v="1"/>
    <s v="Life Sciences"/>
    <n v="1"/>
    <n v="1103"/>
    <n v="1"/>
    <s v="Male"/>
    <n v="45"/>
    <n v="3"/>
    <n v="2"/>
    <x v="4"/>
    <x v="0"/>
    <s v="Single"/>
    <n v="7756"/>
    <n v="22266"/>
    <n v="0"/>
    <s v="Y"/>
    <x v="1"/>
    <n v="17"/>
    <n v="3"/>
    <n v="3"/>
    <n v="80"/>
    <n v="0"/>
    <n v="7"/>
    <n v="1"/>
    <n v="2"/>
    <n v="6"/>
    <n v="2"/>
    <n v="0"/>
    <n v="4"/>
    <x v="1"/>
    <x v="3"/>
    <s v="High"/>
    <x v="0"/>
    <s v="Excellent"/>
    <s v="Good"/>
    <n v="0"/>
    <s v="6,001–10,000"/>
    <s v="0–5 miles"/>
    <s v="6–10 years"/>
  </r>
  <r>
    <n v="37"/>
    <x v="1"/>
    <s v="Travel_Rarely"/>
    <n v="309"/>
    <x v="0"/>
    <n v="10"/>
    <x v="2"/>
    <s v="Life Sciences"/>
    <n v="1"/>
    <n v="1105"/>
    <n v="4"/>
    <s v="Female"/>
    <n v="88"/>
    <n v="2"/>
    <n v="2"/>
    <x v="0"/>
    <x v="0"/>
    <s v="Divorced"/>
    <n v="6694"/>
    <n v="24223"/>
    <n v="2"/>
    <s v="Y"/>
    <x v="0"/>
    <n v="14"/>
    <n v="3"/>
    <n v="3"/>
    <n v="80"/>
    <n v="3"/>
    <n v="8"/>
    <n v="5"/>
    <n v="3"/>
    <n v="1"/>
    <n v="0"/>
    <n v="0"/>
    <n v="0"/>
    <x v="2"/>
    <x v="2"/>
    <s v="Medium"/>
    <x v="0"/>
    <s v="Excellent"/>
    <s v="Better"/>
    <n v="0"/>
    <s v="6,001–10,000"/>
    <s v="6–10 miles"/>
    <s v="0–1 years"/>
  </r>
  <r>
    <n v="25"/>
    <x v="0"/>
    <s v="Travel_Rarely"/>
    <n v="1219"/>
    <x v="1"/>
    <n v="4"/>
    <x v="1"/>
    <s v="Technical Degree"/>
    <n v="1"/>
    <n v="1106"/>
    <n v="4"/>
    <s v="Male"/>
    <n v="32"/>
    <n v="3"/>
    <n v="1"/>
    <x v="2"/>
    <x v="0"/>
    <s v="Married"/>
    <n v="3691"/>
    <n v="4605"/>
    <n v="1"/>
    <s v="Y"/>
    <x v="0"/>
    <n v="15"/>
    <n v="3"/>
    <n v="2"/>
    <n v="80"/>
    <n v="1"/>
    <n v="7"/>
    <n v="3"/>
    <n v="4"/>
    <n v="7"/>
    <n v="7"/>
    <n v="5"/>
    <n v="6"/>
    <x v="1"/>
    <x v="2"/>
    <s v="High"/>
    <x v="0"/>
    <s v="Excellent"/>
    <s v="Best"/>
    <n v="1"/>
    <s v="3,001–6,000"/>
    <s v="0–5 miles"/>
    <s v="6–10 years"/>
  </r>
  <r>
    <n v="26"/>
    <x v="0"/>
    <s v="Travel_Rarely"/>
    <n v="1330"/>
    <x v="1"/>
    <n v="21"/>
    <x v="3"/>
    <s v="Medical"/>
    <n v="1"/>
    <n v="1107"/>
    <n v="1"/>
    <s v="Male"/>
    <n v="37"/>
    <n v="3"/>
    <n v="1"/>
    <x v="2"/>
    <x v="2"/>
    <s v="Divorced"/>
    <n v="2377"/>
    <n v="19373"/>
    <n v="1"/>
    <s v="Y"/>
    <x v="1"/>
    <n v="20"/>
    <n v="4"/>
    <n v="3"/>
    <n v="80"/>
    <n v="1"/>
    <n v="1"/>
    <n v="0"/>
    <n v="2"/>
    <n v="1"/>
    <n v="1"/>
    <n v="0"/>
    <n v="0"/>
    <x v="3"/>
    <x v="3"/>
    <s v="High"/>
    <x v="2"/>
    <s v="Outstanding"/>
    <s v="Good"/>
    <n v="1"/>
    <s v="0–3,000"/>
    <s v="16+ miles"/>
    <s v="0–1 years"/>
  </r>
  <r>
    <n v="33"/>
    <x v="0"/>
    <s v="Travel_Rarely"/>
    <n v="1017"/>
    <x v="1"/>
    <n v="25"/>
    <x v="3"/>
    <s v="Medical"/>
    <n v="1"/>
    <n v="1108"/>
    <n v="1"/>
    <s v="Male"/>
    <n v="55"/>
    <n v="2"/>
    <n v="1"/>
    <x v="1"/>
    <x v="1"/>
    <s v="Single"/>
    <n v="2313"/>
    <n v="2993"/>
    <n v="4"/>
    <s v="Y"/>
    <x v="0"/>
    <n v="20"/>
    <n v="4"/>
    <n v="2"/>
    <n v="80"/>
    <n v="0"/>
    <n v="5"/>
    <n v="0"/>
    <n v="3"/>
    <n v="2"/>
    <n v="2"/>
    <n v="2"/>
    <n v="2"/>
    <x v="3"/>
    <x v="3"/>
    <s v="Medium"/>
    <x v="1"/>
    <s v="Outstanding"/>
    <s v="Better"/>
    <n v="1"/>
    <s v="0–3,000"/>
    <s v="16+ miles"/>
    <s v="2–5 years"/>
  </r>
  <r>
    <n v="42"/>
    <x v="1"/>
    <s v="Travel_Rarely"/>
    <n v="469"/>
    <x v="1"/>
    <n v="2"/>
    <x v="0"/>
    <s v="Medical"/>
    <n v="1"/>
    <n v="1109"/>
    <n v="4"/>
    <s v="Male"/>
    <n v="35"/>
    <n v="3"/>
    <n v="4"/>
    <x v="5"/>
    <x v="3"/>
    <s v="Married"/>
    <n v="17665"/>
    <n v="14399"/>
    <n v="0"/>
    <s v="Y"/>
    <x v="1"/>
    <n v="17"/>
    <n v="3"/>
    <n v="4"/>
    <n v="80"/>
    <n v="1"/>
    <n v="23"/>
    <n v="3"/>
    <n v="3"/>
    <n v="22"/>
    <n v="6"/>
    <n v="13"/>
    <n v="7"/>
    <x v="0"/>
    <x v="2"/>
    <s v="High"/>
    <x v="3"/>
    <s v="Excellent"/>
    <s v="Better"/>
    <n v="0"/>
    <s v="10,001+"/>
    <s v="0–5 miles"/>
    <s v="11+ years"/>
  </r>
  <r>
    <n v="28"/>
    <x v="0"/>
    <s v="Travel_Frequently"/>
    <n v="1009"/>
    <x v="1"/>
    <n v="1"/>
    <x v="3"/>
    <s v="Medical"/>
    <n v="1"/>
    <n v="1111"/>
    <n v="1"/>
    <s v="Male"/>
    <n v="45"/>
    <n v="2"/>
    <n v="1"/>
    <x v="2"/>
    <x v="1"/>
    <s v="Divorced"/>
    <n v="2596"/>
    <n v="7160"/>
    <n v="1"/>
    <s v="Y"/>
    <x v="1"/>
    <n v="15"/>
    <n v="3"/>
    <n v="1"/>
    <n v="80"/>
    <n v="2"/>
    <n v="1"/>
    <n v="2"/>
    <n v="3"/>
    <n v="1"/>
    <n v="0"/>
    <n v="0"/>
    <n v="0"/>
    <x v="3"/>
    <x v="3"/>
    <s v="Medium"/>
    <x v="1"/>
    <s v="Excellent"/>
    <s v="Better"/>
    <n v="1"/>
    <s v="0–3,000"/>
    <s v="0–5 miles"/>
    <s v="0–1 years"/>
  </r>
  <r>
    <n v="50"/>
    <x v="0"/>
    <s v="Travel_Frequently"/>
    <n v="959"/>
    <x v="0"/>
    <n v="1"/>
    <x v="2"/>
    <s v="Other"/>
    <n v="1"/>
    <n v="1113"/>
    <n v="4"/>
    <s v="Male"/>
    <n v="81"/>
    <n v="3"/>
    <n v="2"/>
    <x v="0"/>
    <x v="2"/>
    <s v="Single"/>
    <n v="4728"/>
    <n v="17251"/>
    <n v="3"/>
    <s v="Y"/>
    <x v="0"/>
    <n v="14"/>
    <n v="3"/>
    <n v="4"/>
    <n v="80"/>
    <n v="0"/>
    <n v="5"/>
    <n v="4"/>
    <n v="3"/>
    <n v="0"/>
    <n v="0"/>
    <n v="0"/>
    <n v="0"/>
    <x v="2"/>
    <x v="2"/>
    <s v="High"/>
    <x v="2"/>
    <s v="Excellent"/>
    <s v="Better"/>
    <n v="1"/>
    <s v="3,001–6,000"/>
    <s v="0–5 miles"/>
    <s v="0–1 years"/>
  </r>
  <r>
    <n v="33"/>
    <x v="1"/>
    <s v="Travel_Frequently"/>
    <n v="970"/>
    <x v="0"/>
    <n v="7"/>
    <x v="3"/>
    <s v="Life Sciences"/>
    <n v="1"/>
    <n v="1114"/>
    <n v="4"/>
    <s v="Female"/>
    <n v="30"/>
    <n v="3"/>
    <n v="2"/>
    <x v="0"/>
    <x v="1"/>
    <s v="Married"/>
    <n v="4302"/>
    <n v="13401"/>
    <n v="0"/>
    <s v="Y"/>
    <x v="1"/>
    <n v="17"/>
    <n v="3"/>
    <n v="3"/>
    <n v="80"/>
    <n v="1"/>
    <n v="4"/>
    <n v="3"/>
    <n v="3"/>
    <n v="3"/>
    <n v="2"/>
    <n v="0"/>
    <n v="2"/>
    <x v="3"/>
    <x v="2"/>
    <s v="High"/>
    <x v="1"/>
    <s v="Excellent"/>
    <s v="Better"/>
    <n v="0"/>
    <s v="3,001–6,000"/>
    <s v="6–10 miles"/>
    <s v="2–5 years"/>
  </r>
  <r>
    <n v="34"/>
    <x v="1"/>
    <s v="Non-Travel"/>
    <n v="697"/>
    <x v="1"/>
    <n v="3"/>
    <x v="2"/>
    <s v="Life Sciences"/>
    <n v="1"/>
    <n v="1115"/>
    <n v="3"/>
    <s v="Male"/>
    <n v="40"/>
    <n v="2"/>
    <n v="1"/>
    <x v="1"/>
    <x v="0"/>
    <s v="Married"/>
    <n v="2979"/>
    <n v="22478"/>
    <n v="3"/>
    <s v="Y"/>
    <x v="1"/>
    <n v="17"/>
    <n v="3"/>
    <n v="4"/>
    <n v="80"/>
    <n v="3"/>
    <n v="6"/>
    <n v="2"/>
    <n v="3"/>
    <n v="0"/>
    <n v="0"/>
    <n v="0"/>
    <n v="0"/>
    <x v="2"/>
    <x v="1"/>
    <s v="Medium"/>
    <x v="0"/>
    <s v="Excellent"/>
    <s v="Better"/>
    <n v="0"/>
    <s v="0–3,000"/>
    <s v="0–5 miles"/>
    <s v="0–1 years"/>
  </r>
  <r>
    <n v="48"/>
    <x v="1"/>
    <s v="Non-Travel"/>
    <n v="1262"/>
    <x v="1"/>
    <n v="1"/>
    <x v="2"/>
    <s v="Medical"/>
    <n v="1"/>
    <n v="1116"/>
    <n v="1"/>
    <s v="Male"/>
    <n v="35"/>
    <n v="4"/>
    <n v="4"/>
    <x v="5"/>
    <x v="0"/>
    <s v="Single"/>
    <n v="16885"/>
    <n v="16154"/>
    <n v="2"/>
    <s v="Y"/>
    <x v="1"/>
    <n v="22"/>
    <n v="4"/>
    <n v="3"/>
    <n v="80"/>
    <n v="0"/>
    <n v="27"/>
    <n v="3"/>
    <n v="2"/>
    <n v="5"/>
    <n v="4"/>
    <n v="2"/>
    <n v="1"/>
    <x v="2"/>
    <x v="3"/>
    <s v="Very High"/>
    <x v="0"/>
    <s v="Outstanding"/>
    <s v="Good"/>
    <n v="0"/>
    <s v="10,001+"/>
    <s v="0–5 miles"/>
    <s v="2–5 years"/>
  </r>
  <r>
    <n v="45"/>
    <x v="1"/>
    <s v="Non-Travel"/>
    <n v="1050"/>
    <x v="0"/>
    <n v="9"/>
    <x v="2"/>
    <s v="Life Sciences"/>
    <n v="1"/>
    <n v="1117"/>
    <n v="2"/>
    <s v="Female"/>
    <n v="65"/>
    <n v="2"/>
    <n v="2"/>
    <x v="0"/>
    <x v="2"/>
    <s v="Married"/>
    <n v="5593"/>
    <n v="17970"/>
    <n v="1"/>
    <s v="Y"/>
    <x v="1"/>
    <n v="13"/>
    <n v="3"/>
    <n v="4"/>
    <n v="80"/>
    <n v="1"/>
    <n v="15"/>
    <n v="2"/>
    <n v="3"/>
    <n v="15"/>
    <n v="10"/>
    <n v="4"/>
    <n v="12"/>
    <x v="2"/>
    <x v="0"/>
    <s v="Medium"/>
    <x v="2"/>
    <s v="Excellent"/>
    <s v="Better"/>
    <n v="0"/>
    <s v="3,001–6,000"/>
    <s v="6–10 miles"/>
    <s v="11+ years"/>
  </r>
  <r>
    <n v="52"/>
    <x v="1"/>
    <s v="Travel_Rarely"/>
    <n v="994"/>
    <x v="1"/>
    <n v="7"/>
    <x v="2"/>
    <s v="Life Sciences"/>
    <n v="1"/>
    <n v="1118"/>
    <n v="2"/>
    <s v="Male"/>
    <n v="87"/>
    <n v="3"/>
    <n v="3"/>
    <x v="4"/>
    <x v="1"/>
    <s v="Single"/>
    <n v="10445"/>
    <n v="15322"/>
    <n v="7"/>
    <s v="Y"/>
    <x v="1"/>
    <n v="19"/>
    <n v="3"/>
    <n v="4"/>
    <n v="80"/>
    <n v="0"/>
    <n v="18"/>
    <n v="4"/>
    <n v="3"/>
    <n v="8"/>
    <n v="6"/>
    <n v="4"/>
    <n v="0"/>
    <x v="2"/>
    <x v="0"/>
    <s v="High"/>
    <x v="1"/>
    <s v="Excellent"/>
    <s v="Better"/>
    <n v="0"/>
    <s v="10,001+"/>
    <s v="6–10 miles"/>
    <s v="6–10 years"/>
  </r>
  <r>
    <n v="38"/>
    <x v="1"/>
    <s v="Travel_Rarely"/>
    <n v="770"/>
    <x v="0"/>
    <n v="10"/>
    <x v="2"/>
    <s v="Marketing"/>
    <n v="1"/>
    <n v="1119"/>
    <n v="3"/>
    <s v="Male"/>
    <n v="73"/>
    <n v="2"/>
    <n v="3"/>
    <x v="0"/>
    <x v="2"/>
    <s v="Divorced"/>
    <n v="8740"/>
    <n v="5569"/>
    <n v="0"/>
    <s v="Y"/>
    <x v="0"/>
    <n v="14"/>
    <n v="3"/>
    <n v="2"/>
    <n v="80"/>
    <n v="2"/>
    <n v="9"/>
    <n v="2"/>
    <n v="3"/>
    <n v="8"/>
    <n v="7"/>
    <n v="2"/>
    <n v="7"/>
    <x v="2"/>
    <x v="1"/>
    <s v="Medium"/>
    <x v="2"/>
    <s v="Excellent"/>
    <s v="Better"/>
    <n v="0"/>
    <s v="6,001–10,000"/>
    <s v="6–10 miles"/>
    <s v="6–10 years"/>
  </r>
  <r>
    <n v="29"/>
    <x v="1"/>
    <s v="Travel_Rarely"/>
    <n v="1107"/>
    <x v="1"/>
    <n v="28"/>
    <x v="2"/>
    <s v="Life Sciences"/>
    <n v="1"/>
    <n v="1120"/>
    <n v="3"/>
    <s v="Female"/>
    <n v="93"/>
    <n v="3"/>
    <n v="1"/>
    <x v="1"/>
    <x v="0"/>
    <s v="Divorced"/>
    <n v="2514"/>
    <n v="26968"/>
    <n v="4"/>
    <s v="Y"/>
    <x v="1"/>
    <n v="22"/>
    <n v="4"/>
    <n v="1"/>
    <n v="80"/>
    <n v="1"/>
    <n v="11"/>
    <n v="1"/>
    <n v="3"/>
    <n v="7"/>
    <n v="5"/>
    <n v="1"/>
    <n v="7"/>
    <x v="2"/>
    <x v="1"/>
    <s v="High"/>
    <x v="0"/>
    <s v="Outstanding"/>
    <s v="Better"/>
    <n v="0"/>
    <s v="0–3,000"/>
    <s v="16+ miles"/>
    <s v="6–10 years"/>
  </r>
  <r>
    <n v="28"/>
    <x v="1"/>
    <s v="Travel_Rarely"/>
    <n v="950"/>
    <x v="1"/>
    <n v="3"/>
    <x v="3"/>
    <s v="Medical"/>
    <n v="1"/>
    <n v="1121"/>
    <n v="4"/>
    <s v="Female"/>
    <n v="93"/>
    <n v="3"/>
    <n v="3"/>
    <x v="3"/>
    <x v="1"/>
    <s v="Divorced"/>
    <n v="7655"/>
    <n v="8039"/>
    <n v="0"/>
    <s v="Y"/>
    <x v="1"/>
    <n v="17"/>
    <n v="3"/>
    <n v="2"/>
    <n v="80"/>
    <n v="3"/>
    <n v="10"/>
    <n v="3"/>
    <n v="2"/>
    <n v="9"/>
    <n v="7"/>
    <n v="1"/>
    <n v="7"/>
    <x v="3"/>
    <x v="2"/>
    <s v="High"/>
    <x v="1"/>
    <s v="Excellent"/>
    <s v="Good"/>
    <n v="0"/>
    <s v="6,001–10,000"/>
    <s v="0–5 miles"/>
    <s v="6–10 years"/>
  </r>
  <r>
    <n v="46"/>
    <x v="1"/>
    <s v="Travel_Rarely"/>
    <n v="406"/>
    <x v="0"/>
    <n v="3"/>
    <x v="1"/>
    <s v="Marketing"/>
    <n v="1"/>
    <n v="1124"/>
    <n v="1"/>
    <s v="Male"/>
    <n v="52"/>
    <n v="3"/>
    <n v="4"/>
    <x v="5"/>
    <x v="2"/>
    <s v="Married"/>
    <n v="17465"/>
    <n v="15596"/>
    <n v="3"/>
    <s v="Y"/>
    <x v="1"/>
    <n v="12"/>
    <n v="3"/>
    <n v="4"/>
    <n v="80"/>
    <n v="1"/>
    <n v="23"/>
    <n v="3"/>
    <n v="3"/>
    <n v="12"/>
    <n v="9"/>
    <n v="4"/>
    <n v="9"/>
    <x v="1"/>
    <x v="3"/>
    <s v="High"/>
    <x v="2"/>
    <s v="Excellent"/>
    <s v="Better"/>
    <n v="0"/>
    <s v="10,001+"/>
    <s v="0–5 miles"/>
    <s v="11+ years"/>
  </r>
  <r>
    <n v="38"/>
    <x v="1"/>
    <s v="Travel_Rarely"/>
    <n v="130"/>
    <x v="0"/>
    <n v="2"/>
    <x v="0"/>
    <s v="Marketing"/>
    <n v="1"/>
    <n v="1125"/>
    <n v="4"/>
    <s v="Male"/>
    <n v="32"/>
    <n v="3"/>
    <n v="3"/>
    <x v="0"/>
    <x v="1"/>
    <s v="Single"/>
    <n v="7351"/>
    <n v="20619"/>
    <n v="7"/>
    <s v="Y"/>
    <x v="1"/>
    <n v="16"/>
    <n v="3"/>
    <n v="3"/>
    <n v="80"/>
    <n v="0"/>
    <n v="10"/>
    <n v="2"/>
    <n v="3"/>
    <n v="1"/>
    <n v="0"/>
    <n v="0"/>
    <n v="0"/>
    <x v="0"/>
    <x v="2"/>
    <s v="High"/>
    <x v="1"/>
    <s v="Excellent"/>
    <s v="Better"/>
    <n v="0"/>
    <s v="6,001–10,000"/>
    <s v="0–5 miles"/>
    <s v="0–1 years"/>
  </r>
  <r>
    <n v="43"/>
    <x v="1"/>
    <s v="Travel_Frequently"/>
    <n v="1082"/>
    <x v="1"/>
    <n v="27"/>
    <x v="3"/>
    <s v="Life Sciences"/>
    <n v="1"/>
    <n v="1126"/>
    <n v="3"/>
    <s v="Female"/>
    <n v="83"/>
    <n v="3"/>
    <n v="3"/>
    <x v="3"/>
    <x v="3"/>
    <s v="Married"/>
    <n v="10820"/>
    <n v="11535"/>
    <n v="8"/>
    <s v="Y"/>
    <x v="1"/>
    <n v="11"/>
    <n v="3"/>
    <n v="3"/>
    <n v="80"/>
    <n v="1"/>
    <n v="18"/>
    <n v="1"/>
    <n v="3"/>
    <n v="8"/>
    <n v="7"/>
    <n v="0"/>
    <n v="1"/>
    <x v="3"/>
    <x v="1"/>
    <s v="High"/>
    <x v="3"/>
    <s v="Excellent"/>
    <s v="Better"/>
    <n v="0"/>
    <s v="10,001+"/>
    <s v="16+ miles"/>
    <s v="6–10 years"/>
  </r>
  <r>
    <n v="39"/>
    <x v="0"/>
    <s v="Travel_Frequently"/>
    <n v="203"/>
    <x v="1"/>
    <n v="2"/>
    <x v="3"/>
    <s v="Life Sciences"/>
    <n v="1"/>
    <n v="1127"/>
    <n v="1"/>
    <s v="Male"/>
    <n v="84"/>
    <n v="3"/>
    <n v="4"/>
    <x v="4"/>
    <x v="0"/>
    <s v="Divorced"/>
    <n v="12169"/>
    <n v="13547"/>
    <n v="7"/>
    <s v="Y"/>
    <x v="1"/>
    <n v="11"/>
    <n v="3"/>
    <n v="4"/>
    <n v="80"/>
    <n v="3"/>
    <n v="21"/>
    <n v="4"/>
    <n v="3"/>
    <n v="18"/>
    <n v="7"/>
    <n v="11"/>
    <n v="5"/>
    <x v="3"/>
    <x v="3"/>
    <s v="High"/>
    <x v="0"/>
    <s v="Excellent"/>
    <s v="Better"/>
    <n v="1"/>
    <s v="10,001+"/>
    <s v="0–5 miles"/>
    <s v="11+ years"/>
  </r>
  <r>
    <n v="40"/>
    <x v="1"/>
    <s v="Travel_Rarely"/>
    <n v="1308"/>
    <x v="1"/>
    <n v="14"/>
    <x v="3"/>
    <s v="Medical"/>
    <n v="1"/>
    <n v="1128"/>
    <n v="3"/>
    <s v="Male"/>
    <n v="44"/>
    <n v="2"/>
    <n v="5"/>
    <x v="7"/>
    <x v="2"/>
    <s v="Single"/>
    <n v="19626"/>
    <n v="17544"/>
    <n v="1"/>
    <s v="Y"/>
    <x v="1"/>
    <n v="14"/>
    <n v="3"/>
    <n v="1"/>
    <n v="80"/>
    <n v="0"/>
    <n v="21"/>
    <n v="2"/>
    <n v="4"/>
    <n v="20"/>
    <n v="7"/>
    <n v="4"/>
    <n v="9"/>
    <x v="3"/>
    <x v="1"/>
    <s v="Medium"/>
    <x v="2"/>
    <s v="Excellent"/>
    <s v="Best"/>
    <n v="0"/>
    <s v="10,001+"/>
    <s v="11–15 miles"/>
    <s v="11+ years"/>
  </r>
  <r>
    <n v="21"/>
    <x v="1"/>
    <s v="Travel_Rarely"/>
    <n v="984"/>
    <x v="1"/>
    <n v="1"/>
    <x v="1"/>
    <s v="Technical Degree"/>
    <n v="1"/>
    <n v="1131"/>
    <n v="4"/>
    <s v="Female"/>
    <n v="70"/>
    <n v="2"/>
    <n v="1"/>
    <x v="1"/>
    <x v="1"/>
    <s v="Single"/>
    <n v="2070"/>
    <n v="25326"/>
    <n v="1"/>
    <s v="Y"/>
    <x v="0"/>
    <n v="11"/>
    <n v="3"/>
    <n v="3"/>
    <n v="80"/>
    <n v="0"/>
    <n v="2"/>
    <n v="6"/>
    <n v="4"/>
    <n v="2"/>
    <n v="2"/>
    <n v="2"/>
    <n v="2"/>
    <x v="1"/>
    <x v="2"/>
    <s v="Medium"/>
    <x v="1"/>
    <s v="Excellent"/>
    <s v="Best"/>
    <n v="0"/>
    <s v="0–3,000"/>
    <s v="0–5 miles"/>
    <s v="2–5 years"/>
  </r>
  <r>
    <n v="39"/>
    <x v="1"/>
    <s v="Non-Travel"/>
    <n v="439"/>
    <x v="1"/>
    <n v="9"/>
    <x v="3"/>
    <s v="Life Sciences"/>
    <n v="1"/>
    <n v="1132"/>
    <n v="3"/>
    <s v="Male"/>
    <n v="70"/>
    <n v="3"/>
    <n v="2"/>
    <x v="2"/>
    <x v="1"/>
    <s v="Single"/>
    <n v="6782"/>
    <n v="8770"/>
    <n v="9"/>
    <s v="Y"/>
    <x v="1"/>
    <n v="15"/>
    <n v="3"/>
    <n v="3"/>
    <n v="80"/>
    <n v="0"/>
    <n v="9"/>
    <n v="2"/>
    <n v="2"/>
    <n v="5"/>
    <n v="4"/>
    <n v="0"/>
    <n v="3"/>
    <x v="3"/>
    <x v="1"/>
    <s v="High"/>
    <x v="1"/>
    <s v="Excellent"/>
    <s v="Good"/>
    <n v="0"/>
    <s v="6,001–10,000"/>
    <s v="6–10 miles"/>
    <s v="2–5 years"/>
  </r>
  <r>
    <n v="36"/>
    <x v="1"/>
    <s v="Non-Travel"/>
    <n v="217"/>
    <x v="1"/>
    <n v="18"/>
    <x v="2"/>
    <s v="Life Sciences"/>
    <n v="1"/>
    <n v="1133"/>
    <n v="1"/>
    <s v="Male"/>
    <n v="78"/>
    <n v="3"/>
    <n v="2"/>
    <x v="3"/>
    <x v="0"/>
    <s v="Single"/>
    <n v="7779"/>
    <n v="23238"/>
    <n v="2"/>
    <s v="Y"/>
    <x v="1"/>
    <n v="20"/>
    <n v="4"/>
    <n v="1"/>
    <n v="80"/>
    <n v="0"/>
    <n v="18"/>
    <n v="0"/>
    <n v="3"/>
    <n v="11"/>
    <n v="9"/>
    <n v="0"/>
    <n v="9"/>
    <x v="2"/>
    <x v="3"/>
    <s v="High"/>
    <x v="0"/>
    <s v="Outstanding"/>
    <s v="Better"/>
    <n v="0"/>
    <s v="6,001–10,000"/>
    <s v="16+ miles"/>
    <s v="11+ years"/>
  </r>
  <r>
    <n v="31"/>
    <x v="1"/>
    <s v="Travel_Frequently"/>
    <n v="793"/>
    <x v="0"/>
    <n v="20"/>
    <x v="3"/>
    <s v="Life Sciences"/>
    <n v="1"/>
    <n v="1135"/>
    <n v="3"/>
    <s v="Male"/>
    <n v="67"/>
    <n v="4"/>
    <n v="1"/>
    <x v="6"/>
    <x v="0"/>
    <s v="Married"/>
    <n v="2791"/>
    <n v="21981"/>
    <n v="0"/>
    <s v="Y"/>
    <x v="1"/>
    <n v="12"/>
    <n v="3"/>
    <n v="1"/>
    <n v="80"/>
    <n v="1"/>
    <n v="3"/>
    <n v="4"/>
    <n v="3"/>
    <n v="2"/>
    <n v="2"/>
    <n v="2"/>
    <n v="2"/>
    <x v="3"/>
    <x v="1"/>
    <s v="Very High"/>
    <x v="0"/>
    <s v="Excellent"/>
    <s v="Better"/>
    <n v="0"/>
    <s v="0–3,000"/>
    <s v="16+ miles"/>
    <s v="2–5 years"/>
  </r>
  <r>
    <n v="28"/>
    <x v="1"/>
    <s v="Travel_Rarely"/>
    <n v="1451"/>
    <x v="1"/>
    <n v="2"/>
    <x v="1"/>
    <s v="Life Sciences"/>
    <n v="1"/>
    <n v="1136"/>
    <n v="1"/>
    <s v="Male"/>
    <n v="67"/>
    <n v="2"/>
    <n v="1"/>
    <x v="1"/>
    <x v="1"/>
    <s v="Married"/>
    <n v="3201"/>
    <n v="19911"/>
    <n v="0"/>
    <s v="Y"/>
    <x v="1"/>
    <n v="17"/>
    <n v="3"/>
    <n v="1"/>
    <n v="80"/>
    <n v="0"/>
    <n v="6"/>
    <n v="2"/>
    <n v="1"/>
    <n v="5"/>
    <n v="3"/>
    <n v="0"/>
    <n v="4"/>
    <x v="1"/>
    <x v="3"/>
    <s v="Medium"/>
    <x v="1"/>
    <s v="Excellent"/>
    <s v="Bad"/>
    <n v="0"/>
    <s v="3,001–6,000"/>
    <s v="0–5 miles"/>
    <s v="2–5 years"/>
  </r>
  <r>
    <n v="35"/>
    <x v="1"/>
    <s v="Travel_Frequently"/>
    <n v="1182"/>
    <x v="0"/>
    <n v="11"/>
    <x v="0"/>
    <s v="Marketing"/>
    <n v="1"/>
    <n v="1137"/>
    <n v="4"/>
    <s v="Male"/>
    <n v="54"/>
    <n v="3"/>
    <n v="2"/>
    <x v="0"/>
    <x v="0"/>
    <s v="Divorced"/>
    <n v="4968"/>
    <n v="18500"/>
    <n v="1"/>
    <s v="Y"/>
    <x v="1"/>
    <n v="11"/>
    <n v="3"/>
    <n v="4"/>
    <n v="80"/>
    <n v="1"/>
    <n v="5"/>
    <n v="3"/>
    <n v="3"/>
    <n v="5"/>
    <n v="2"/>
    <n v="0"/>
    <n v="2"/>
    <x v="0"/>
    <x v="2"/>
    <s v="High"/>
    <x v="0"/>
    <s v="Excellent"/>
    <s v="Better"/>
    <n v="0"/>
    <s v="3,001–6,000"/>
    <s v="11–15 miles"/>
    <s v="2–5 years"/>
  </r>
  <r>
    <n v="49"/>
    <x v="1"/>
    <s v="Travel_Rarely"/>
    <n v="174"/>
    <x v="0"/>
    <n v="8"/>
    <x v="2"/>
    <s v="Technical Degree"/>
    <n v="1"/>
    <n v="1138"/>
    <n v="4"/>
    <s v="Male"/>
    <n v="56"/>
    <n v="2"/>
    <n v="4"/>
    <x v="0"/>
    <x v="1"/>
    <s v="Married"/>
    <n v="13120"/>
    <n v="11879"/>
    <n v="6"/>
    <s v="Y"/>
    <x v="1"/>
    <n v="17"/>
    <n v="3"/>
    <n v="2"/>
    <n v="80"/>
    <n v="1"/>
    <n v="22"/>
    <n v="3"/>
    <n v="3"/>
    <n v="9"/>
    <n v="8"/>
    <n v="2"/>
    <n v="3"/>
    <x v="2"/>
    <x v="2"/>
    <s v="Medium"/>
    <x v="1"/>
    <s v="Excellent"/>
    <s v="Better"/>
    <n v="0"/>
    <s v="10,001+"/>
    <s v="6–10 miles"/>
    <s v="6–10 years"/>
  </r>
  <r>
    <n v="34"/>
    <x v="1"/>
    <s v="Travel_Frequently"/>
    <n v="1003"/>
    <x v="1"/>
    <n v="2"/>
    <x v="0"/>
    <s v="Life Sciences"/>
    <n v="1"/>
    <n v="1140"/>
    <n v="4"/>
    <s v="Male"/>
    <n v="95"/>
    <n v="3"/>
    <n v="2"/>
    <x v="3"/>
    <x v="2"/>
    <s v="Single"/>
    <n v="4033"/>
    <n v="15834"/>
    <n v="2"/>
    <s v="Y"/>
    <x v="1"/>
    <n v="11"/>
    <n v="3"/>
    <n v="4"/>
    <n v="80"/>
    <n v="0"/>
    <n v="5"/>
    <n v="3"/>
    <n v="2"/>
    <n v="3"/>
    <n v="2"/>
    <n v="0"/>
    <n v="2"/>
    <x v="0"/>
    <x v="2"/>
    <s v="High"/>
    <x v="2"/>
    <s v="Excellent"/>
    <s v="Good"/>
    <n v="0"/>
    <s v="3,001–6,000"/>
    <s v="0–5 miles"/>
    <s v="2–5 years"/>
  </r>
  <r>
    <n v="29"/>
    <x v="1"/>
    <s v="Travel_Frequently"/>
    <n v="490"/>
    <x v="1"/>
    <n v="10"/>
    <x v="3"/>
    <s v="Life Sciences"/>
    <n v="1"/>
    <n v="1143"/>
    <n v="4"/>
    <s v="Female"/>
    <n v="61"/>
    <n v="3"/>
    <n v="1"/>
    <x v="1"/>
    <x v="1"/>
    <s v="Divorced"/>
    <n v="3291"/>
    <n v="17940"/>
    <n v="0"/>
    <s v="Y"/>
    <x v="1"/>
    <n v="14"/>
    <n v="3"/>
    <n v="4"/>
    <n v="80"/>
    <n v="2"/>
    <n v="8"/>
    <n v="2"/>
    <n v="2"/>
    <n v="7"/>
    <n v="5"/>
    <n v="1"/>
    <n v="1"/>
    <x v="3"/>
    <x v="2"/>
    <s v="High"/>
    <x v="1"/>
    <s v="Excellent"/>
    <s v="Good"/>
    <n v="0"/>
    <s v="3,001–6,000"/>
    <s v="6–10 miles"/>
    <s v="6–10 years"/>
  </r>
  <r>
    <n v="42"/>
    <x v="1"/>
    <s v="Travel_Rarely"/>
    <n v="188"/>
    <x v="1"/>
    <n v="29"/>
    <x v="3"/>
    <s v="Medical"/>
    <n v="1"/>
    <n v="1148"/>
    <n v="2"/>
    <s v="Male"/>
    <n v="56"/>
    <n v="1"/>
    <n v="2"/>
    <x v="2"/>
    <x v="0"/>
    <s v="Single"/>
    <n v="4272"/>
    <n v="9558"/>
    <n v="4"/>
    <s v="Y"/>
    <x v="1"/>
    <n v="19"/>
    <n v="3"/>
    <n v="1"/>
    <n v="80"/>
    <n v="0"/>
    <n v="16"/>
    <n v="3"/>
    <n v="3"/>
    <n v="1"/>
    <n v="0"/>
    <n v="0"/>
    <n v="0"/>
    <x v="3"/>
    <x v="0"/>
    <s v="Low"/>
    <x v="0"/>
    <s v="Excellent"/>
    <s v="Better"/>
    <n v="0"/>
    <s v="3,001–6,000"/>
    <s v="16+ miles"/>
    <s v="0–1 years"/>
  </r>
  <r>
    <n v="29"/>
    <x v="1"/>
    <s v="Travel_Rarely"/>
    <n v="718"/>
    <x v="1"/>
    <n v="8"/>
    <x v="1"/>
    <s v="Medical"/>
    <n v="1"/>
    <n v="1150"/>
    <n v="2"/>
    <s v="Male"/>
    <n v="79"/>
    <n v="2"/>
    <n v="2"/>
    <x v="3"/>
    <x v="0"/>
    <s v="Married"/>
    <n v="5056"/>
    <n v="17689"/>
    <n v="1"/>
    <s v="Y"/>
    <x v="0"/>
    <n v="15"/>
    <n v="3"/>
    <n v="3"/>
    <n v="80"/>
    <n v="1"/>
    <n v="10"/>
    <n v="2"/>
    <n v="2"/>
    <n v="10"/>
    <n v="7"/>
    <n v="1"/>
    <n v="2"/>
    <x v="1"/>
    <x v="0"/>
    <s v="Medium"/>
    <x v="0"/>
    <s v="Excellent"/>
    <s v="Good"/>
    <n v="0"/>
    <s v="3,001–6,000"/>
    <s v="6–10 miles"/>
    <s v="6–10 years"/>
  </r>
  <r>
    <n v="38"/>
    <x v="1"/>
    <s v="Travel_Rarely"/>
    <n v="433"/>
    <x v="2"/>
    <n v="1"/>
    <x v="3"/>
    <s v="Human Resources"/>
    <n v="1"/>
    <n v="1152"/>
    <n v="3"/>
    <s v="Male"/>
    <n v="37"/>
    <n v="4"/>
    <n v="1"/>
    <x v="8"/>
    <x v="2"/>
    <s v="Married"/>
    <n v="2844"/>
    <n v="6004"/>
    <n v="1"/>
    <s v="Y"/>
    <x v="1"/>
    <n v="13"/>
    <n v="3"/>
    <n v="4"/>
    <n v="80"/>
    <n v="1"/>
    <n v="7"/>
    <n v="2"/>
    <n v="4"/>
    <n v="7"/>
    <n v="6"/>
    <n v="5"/>
    <n v="0"/>
    <x v="3"/>
    <x v="1"/>
    <s v="Very High"/>
    <x v="2"/>
    <s v="Excellent"/>
    <s v="Best"/>
    <n v="0"/>
    <s v="0–3,000"/>
    <s v="0–5 miles"/>
    <s v="6–10 years"/>
  </r>
  <r>
    <n v="28"/>
    <x v="1"/>
    <s v="Travel_Frequently"/>
    <n v="773"/>
    <x v="1"/>
    <n v="6"/>
    <x v="3"/>
    <s v="Life Sciences"/>
    <n v="1"/>
    <n v="1154"/>
    <n v="3"/>
    <s v="Male"/>
    <n v="39"/>
    <n v="2"/>
    <n v="1"/>
    <x v="1"/>
    <x v="2"/>
    <s v="Divorced"/>
    <n v="2703"/>
    <n v="22088"/>
    <n v="1"/>
    <s v="Y"/>
    <x v="0"/>
    <n v="14"/>
    <n v="3"/>
    <n v="4"/>
    <n v="80"/>
    <n v="1"/>
    <n v="3"/>
    <n v="2"/>
    <n v="3"/>
    <n v="3"/>
    <n v="1"/>
    <n v="0"/>
    <n v="2"/>
    <x v="3"/>
    <x v="1"/>
    <s v="Medium"/>
    <x v="2"/>
    <s v="Excellent"/>
    <s v="Better"/>
    <n v="0"/>
    <s v="0–3,000"/>
    <s v="6–10 miles"/>
    <s v="2–5 years"/>
  </r>
  <r>
    <n v="18"/>
    <x v="0"/>
    <s v="Non-Travel"/>
    <n v="247"/>
    <x v="1"/>
    <n v="8"/>
    <x v="1"/>
    <s v="Medical"/>
    <n v="1"/>
    <n v="1156"/>
    <n v="3"/>
    <s v="Male"/>
    <n v="80"/>
    <n v="3"/>
    <n v="1"/>
    <x v="2"/>
    <x v="2"/>
    <s v="Single"/>
    <n v="1904"/>
    <n v="13556"/>
    <n v="1"/>
    <s v="Y"/>
    <x v="1"/>
    <n v="12"/>
    <n v="3"/>
    <n v="4"/>
    <n v="80"/>
    <n v="0"/>
    <n v="0"/>
    <n v="0"/>
    <n v="3"/>
    <n v="0"/>
    <n v="0"/>
    <n v="0"/>
    <n v="0"/>
    <x v="1"/>
    <x v="1"/>
    <s v="High"/>
    <x v="2"/>
    <s v="Excellent"/>
    <s v="Better"/>
    <n v="1"/>
    <s v="0–3,000"/>
    <s v="6–10 miles"/>
    <s v="0–1 years"/>
  </r>
  <r>
    <n v="33"/>
    <x v="0"/>
    <s v="Travel_Rarely"/>
    <n v="603"/>
    <x v="0"/>
    <n v="9"/>
    <x v="2"/>
    <s v="Marketing"/>
    <n v="1"/>
    <n v="1157"/>
    <n v="1"/>
    <s v="Female"/>
    <n v="77"/>
    <n v="3"/>
    <n v="2"/>
    <x v="0"/>
    <x v="3"/>
    <s v="Single"/>
    <n v="8224"/>
    <n v="18385"/>
    <n v="0"/>
    <s v="Y"/>
    <x v="0"/>
    <n v="17"/>
    <n v="3"/>
    <n v="1"/>
    <n v="80"/>
    <n v="0"/>
    <n v="6"/>
    <n v="3"/>
    <n v="3"/>
    <n v="5"/>
    <n v="2"/>
    <n v="0"/>
    <n v="3"/>
    <x v="2"/>
    <x v="3"/>
    <s v="High"/>
    <x v="3"/>
    <s v="Excellent"/>
    <s v="Better"/>
    <n v="1"/>
    <s v="6,001–10,000"/>
    <s v="6–10 miles"/>
    <s v="2–5 years"/>
  </r>
  <r>
    <n v="41"/>
    <x v="1"/>
    <s v="Travel_Rarely"/>
    <n v="167"/>
    <x v="1"/>
    <n v="12"/>
    <x v="2"/>
    <s v="Life Sciences"/>
    <n v="1"/>
    <n v="1158"/>
    <n v="2"/>
    <s v="Male"/>
    <n v="46"/>
    <n v="3"/>
    <n v="1"/>
    <x v="2"/>
    <x v="0"/>
    <s v="Married"/>
    <n v="4766"/>
    <n v="9051"/>
    <n v="3"/>
    <s v="Y"/>
    <x v="0"/>
    <n v="11"/>
    <n v="3"/>
    <n v="1"/>
    <n v="80"/>
    <n v="1"/>
    <n v="6"/>
    <n v="4"/>
    <n v="3"/>
    <n v="1"/>
    <n v="0"/>
    <n v="0"/>
    <n v="0"/>
    <x v="2"/>
    <x v="0"/>
    <s v="High"/>
    <x v="0"/>
    <s v="Excellent"/>
    <s v="Better"/>
    <n v="0"/>
    <s v="3,001–6,000"/>
    <s v="11–15 miles"/>
    <s v="0–1 years"/>
  </r>
  <r>
    <n v="31"/>
    <x v="0"/>
    <s v="Travel_Frequently"/>
    <n v="874"/>
    <x v="1"/>
    <n v="15"/>
    <x v="3"/>
    <s v="Medical"/>
    <n v="1"/>
    <n v="1160"/>
    <n v="3"/>
    <s v="Male"/>
    <n v="72"/>
    <n v="3"/>
    <n v="1"/>
    <x v="2"/>
    <x v="2"/>
    <s v="Married"/>
    <n v="2610"/>
    <n v="6233"/>
    <n v="1"/>
    <s v="Y"/>
    <x v="1"/>
    <n v="12"/>
    <n v="3"/>
    <n v="3"/>
    <n v="80"/>
    <n v="1"/>
    <n v="2"/>
    <n v="5"/>
    <n v="2"/>
    <n v="2"/>
    <n v="2"/>
    <n v="2"/>
    <n v="2"/>
    <x v="3"/>
    <x v="1"/>
    <s v="High"/>
    <x v="2"/>
    <s v="Excellent"/>
    <s v="Good"/>
    <n v="1"/>
    <s v="0–3,000"/>
    <s v="11–15 miles"/>
    <s v="2–5 years"/>
  </r>
  <r>
    <n v="37"/>
    <x v="1"/>
    <s v="Travel_Rarely"/>
    <n v="367"/>
    <x v="1"/>
    <n v="25"/>
    <x v="0"/>
    <s v="Medical"/>
    <n v="1"/>
    <n v="1161"/>
    <n v="3"/>
    <s v="Female"/>
    <n v="52"/>
    <n v="2"/>
    <n v="2"/>
    <x v="4"/>
    <x v="0"/>
    <s v="Divorced"/>
    <n v="5731"/>
    <n v="17171"/>
    <n v="7"/>
    <s v="Y"/>
    <x v="1"/>
    <n v="13"/>
    <n v="3"/>
    <n v="3"/>
    <n v="80"/>
    <n v="2"/>
    <n v="9"/>
    <n v="2"/>
    <n v="3"/>
    <n v="6"/>
    <n v="2"/>
    <n v="1"/>
    <n v="3"/>
    <x v="0"/>
    <x v="1"/>
    <s v="Medium"/>
    <x v="0"/>
    <s v="Excellent"/>
    <s v="Better"/>
    <n v="0"/>
    <s v="3,001–6,000"/>
    <s v="16+ miles"/>
    <s v="6–10 years"/>
  </r>
  <r>
    <n v="27"/>
    <x v="1"/>
    <s v="Travel_Rarely"/>
    <n v="199"/>
    <x v="1"/>
    <n v="6"/>
    <x v="3"/>
    <s v="Life Sciences"/>
    <n v="1"/>
    <n v="1162"/>
    <n v="4"/>
    <s v="Male"/>
    <n v="55"/>
    <n v="2"/>
    <n v="1"/>
    <x v="1"/>
    <x v="2"/>
    <s v="Married"/>
    <n v="2539"/>
    <n v="7950"/>
    <n v="1"/>
    <s v="Y"/>
    <x v="1"/>
    <n v="13"/>
    <n v="3"/>
    <n v="3"/>
    <n v="80"/>
    <n v="1"/>
    <n v="4"/>
    <n v="0"/>
    <n v="3"/>
    <n v="4"/>
    <n v="2"/>
    <n v="2"/>
    <n v="2"/>
    <x v="3"/>
    <x v="2"/>
    <s v="Medium"/>
    <x v="2"/>
    <s v="Excellent"/>
    <s v="Better"/>
    <n v="0"/>
    <s v="0–3,000"/>
    <s v="6–10 miles"/>
    <s v="2–5 years"/>
  </r>
  <r>
    <n v="34"/>
    <x v="1"/>
    <s v="Travel_Rarely"/>
    <n v="1400"/>
    <x v="0"/>
    <n v="9"/>
    <x v="1"/>
    <s v="Life Sciences"/>
    <n v="1"/>
    <n v="1163"/>
    <n v="2"/>
    <s v="Female"/>
    <n v="70"/>
    <n v="3"/>
    <n v="2"/>
    <x v="0"/>
    <x v="2"/>
    <s v="Married"/>
    <n v="5714"/>
    <n v="5829"/>
    <n v="1"/>
    <s v="Y"/>
    <x v="1"/>
    <n v="20"/>
    <n v="4"/>
    <n v="1"/>
    <n v="80"/>
    <n v="0"/>
    <n v="6"/>
    <n v="3"/>
    <n v="2"/>
    <n v="6"/>
    <n v="5"/>
    <n v="1"/>
    <n v="3"/>
    <x v="1"/>
    <x v="0"/>
    <s v="High"/>
    <x v="2"/>
    <s v="Outstanding"/>
    <s v="Good"/>
    <n v="0"/>
    <s v="3,001–6,000"/>
    <s v="6–10 miles"/>
    <s v="6–10 years"/>
  </r>
  <r>
    <n v="35"/>
    <x v="1"/>
    <s v="Travel_Rarely"/>
    <n v="528"/>
    <x v="2"/>
    <n v="8"/>
    <x v="2"/>
    <s v="Technical Degree"/>
    <n v="1"/>
    <n v="1164"/>
    <n v="3"/>
    <s v="Male"/>
    <n v="100"/>
    <n v="3"/>
    <n v="1"/>
    <x v="8"/>
    <x v="2"/>
    <s v="Single"/>
    <n v="4323"/>
    <n v="7108"/>
    <n v="1"/>
    <s v="Y"/>
    <x v="1"/>
    <n v="17"/>
    <n v="3"/>
    <n v="2"/>
    <n v="80"/>
    <n v="0"/>
    <n v="6"/>
    <n v="2"/>
    <n v="1"/>
    <n v="5"/>
    <n v="4"/>
    <n v="1"/>
    <n v="4"/>
    <x v="2"/>
    <x v="1"/>
    <s v="High"/>
    <x v="2"/>
    <s v="Excellent"/>
    <s v="Bad"/>
    <n v="0"/>
    <s v="3,001–6,000"/>
    <s v="6–10 miles"/>
    <s v="2–5 years"/>
  </r>
  <r>
    <n v="29"/>
    <x v="0"/>
    <s v="Travel_Rarely"/>
    <n v="408"/>
    <x v="0"/>
    <n v="23"/>
    <x v="1"/>
    <s v="Life Sciences"/>
    <n v="1"/>
    <n v="1165"/>
    <n v="4"/>
    <s v="Female"/>
    <n v="45"/>
    <n v="2"/>
    <n v="3"/>
    <x v="0"/>
    <x v="3"/>
    <s v="Married"/>
    <n v="7336"/>
    <n v="11162"/>
    <n v="1"/>
    <s v="Y"/>
    <x v="1"/>
    <n v="13"/>
    <n v="3"/>
    <n v="1"/>
    <n v="80"/>
    <n v="1"/>
    <n v="11"/>
    <n v="3"/>
    <n v="1"/>
    <n v="11"/>
    <n v="8"/>
    <n v="3"/>
    <n v="10"/>
    <x v="1"/>
    <x v="2"/>
    <s v="Medium"/>
    <x v="3"/>
    <s v="Excellent"/>
    <s v="Bad"/>
    <n v="1"/>
    <s v="6,001–10,000"/>
    <s v="16+ miles"/>
    <s v="11+ years"/>
  </r>
  <r>
    <n v="40"/>
    <x v="1"/>
    <s v="Travel_Frequently"/>
    <n v="593"/>
    <x v="1"/>
    <n v="9"/>
    <x v="2"/>
    <s v="Medical"/>
    <n v="1"/>
    <n v="1166"/>
    <n v="2"/>
    <s v="Female"/>
    <n v="88"/>
    <n v="3"/>
    <n v="3"/>
    <x v="7"/>
    <x v="2"/>
    <s v="Single"/>
    <n v="13499"/>
    <n v="13782"/>
    <n v="9"/>
    <s v="Y"/>
    <x v="1"/>
    <n v="17"/>
    <n v="3"/>
    <n v="3"/>
    <n v="80"/>
    <n v="0"/>
    <n v="20"/>
    <n v="3"/>
    <n v="2"/>
    <n v="18"/>
    <n v="7"/>
    <n v="2"/>
    <n v="13"/>
    <x v="2"/>
    <x v="0"/>
    <s v="High"/>
    <x v="2"/>
    <s v="Excellent"/>
    <s v="Good"/>
    <n v="0"/>
    <s v="10,001+"/>
    <s v="6–10 miles"/>
    <s v="11+ years"/>
  </r>
  <r>
    <n v="42"/>
    <x v="0"/>
    <s v="Travel_Frequently"/>
    <n v="481"/>
    <x v="0"/>
    <n v="12"/>
    <x v="3"/>
    <s v="Life Sciences"/>
    <n v="1"/>
    <n v="1167"/>
    <n v="3"/>
    <s v="Male"/>
    <n v="44"/>
    <n v="3"/>
    <n v="4"/>
    <x v="0"/>
    <x v="3"/>
    <s v="Single"/>
    <n v="13758"/>
    <n v="2447"/>
    <n v="0"/>
    <s v="Y"/>
    <x v="0"/>
    <n v="12"/>
    <n v="3"/>
    <n v="2"/>
    <n v="80"/>
    <n v="0"/>
    <n v="22"/>
    <n v="2"/>
    <n v="2"/>
    <n v="21"/>
    <n v="9"/>
    <n v="13"/>
    <n v="14"/>
    <x v="3"/>
    <x v="1"/>
    <s v="High"/>
    <x v="3"/>
    <s v="Excellent"/>
    <s v="Good"/>
    <n v="1"/>
    <s v="10,001+"/>
    <s v="11–15 miles"/>
    <s v="11+ years"/>
  </r>
  <r>
    <n v="42"/>
    <x v="1"/>
    <s v="Travel_Rarely"/>
    <n v="647"/>
    <x v="0"/>
    <n v="4"/>
    <x v="2"/>
    <s v="Marketing"/>
    <n v="1"/>
    <n v="1171"/>
    <n v="2"/>
    <s v="Male"/>
    <n v="45"/>
    <n v="3"/>
    <n v="2"/>
    <x v="0"/>
    <x v="3"/>
    <s v="Single"/>
    <n v="5155"/>
    <n v="2253"/>
    <n v="7"/>
    <s v="Y"/>
    <x v="1"/>
    <n v="13"/>
    <n v="3"/>
    <n v="4"/>
    <n v="80"/>
    <n v="0"/>
    <n v="9"/>
    <n v="3"/>
    <n v="4"/>
    <n v="6"/>
    <n v="4"/>
    <n v="1"/>
    <n v="5"/>
    <x v="2"/>
    <x v="0"/>
    <s v="High"/>
    <x v="3"/>
    <s v="Excellent"/>
    <s v="Best"/>
    <n v="0"/>
    <s v="3,001–6,000"/>
    <s v="0–5 miles"/>
    <s v="6–10 years"/>
  </r>
  <r>
    <n v="35"/>
    <x v="1"/>
    <s v="Travel_Rarely"/>
    <n v="982"/>
    <x v="1"/>
    <n v="1"/>
    <x v="2"/>
    <s v="Medical"/>
    <n v="1"/>
    <n v="1172"/>
    <n v="4"/>
    <s v="Male"/>
    <n v="58"/>
    <n v="2"/>
    <n v="1"/>
    <x v="2"/>
    <x v="2"/>
    <s v="Married"/>
    <n v="2258"/>
    <n v="16340"/>
    <n v="6"/>
    <s v="Y"/>
    <x v="1"/>
    <n v="12"/>
    <n v="3"/>
    <n v="2"/>
    <n v="80"/>
    <n v="1"/>
    <n v="10"/>
    <n v="2"/>
    <n v="3"/>
    <n v="8"/>
    <n v="0"/>
    <n v="1"/>
    <n v="7"/>
    <x v="2"/>
    <x v="2"/>
    <s v="Medium"/>
    <x v="2"/>
    <s v="Excellent"/>
    <s v="Better"/>
    <n v="0"/>
    <s v="0–3,000"/>
    <s v="0–5 miles"/>
    <s v="6–10 years"/>
  </r>
  <r>
    <n v="24"/>
    <x v="1"/>
    <s v="Travel_Rarely"/>
    <n v="477"/>
    <x v="1"/>
    <n v="24"/>
    <x v="3"/>
    <s v="Medical"/>
    <n v="1"/>
    <n v="1173"/>
    <n v="4"/>
    <s v="Male"/>
    <n v="49"/>
    <n v="3"/>
    <n v="1"/>
    <x v="2"/>
    <x v="1"/>
    <s v="Single"/>
    <n v="3597"/>
    <n v="6409"/>
    <n v="8"/>
    <s v="Y"/>
    <x v="1"/>
    <n v="22"/>
    <n v="4"/>
    <n v="4"/>
    <n v="80"/>
    <n v="0"/>
    <n v="6"/>
    <n v="2"/>
    <n v="3"/>
    <n v="4"/>
    <n v="3"/>
    <n v="1"/>
    <n v="2"/>
    <x v="3"/>
    <x v="2"/>
    <s v="High"/>
    <x v="1"/>
    <s v="Outstanding"/>
    <s v="Better"/>
    <n v="0"/>
    <s v="3,001–6,000"/>
    <s v="16+ miles"/>
    <s v="2–5 years"/>
  </r>
  <r>
    <n v="28"/>
    <x v="0"/>
    <s v="Travel_Rarely"/>
    <n v="1485"/>
    <x v="1"/>
    <n v="12"/>
    <x v="1"/>
    <s v="Life Sciences"/>
    <n v="1"/>
    <n v="1175"/>
    <n v="3"/>
    <s v="Female"/>
    <n v="79"/>
    <n v="3"/>
    <n v="1"/>
    <x v="2"/>
    <x v="0"/>
    <s v="Married"/>
    <n v="2515"/>
    <n v="22955"/>
    <n v="1"/>
    <s v="Y"/>
    <x v="0"/>
    <n v="11"/>
    <n v="3"/>
    <n v="4"/>
    <n v="80"/>
    <n v="0"/>
    <n v="1"/>
    <n v="4"/>
    <n v="2"/>
    <n v="1"/>
    <n v="1"/>
    <n v="0"/>
    <n v="0"/>
    <x v="1"/>
    <x v="1"/>
    <s v="High"/>
    <x v="0"/>
    <s v="Excellent"/>
    <s v="Good"/>
    <n v="1"/>
    <s v="0–3,000"/>
    <s v="11–15 miles"/>
    <s v="0–1 years"/>
  </r>
  <r>
    <n v="26"/>
    <x v="1"/>
    <s v="Travel_Rarely"/>
    <n v="1384"/>
    <x v="1"/>
    <n v="3"/>
    <x v="2"/>
    <s v="Medical"/>
    <n v="1"/>
    <n v="1177"/>
    <n v="1"/>
    <s v="Male"/>
    <n v="82"/>
    <n v="4"/>
    <n v="1"/>
    <x v="2"/>
    <x v="0"/>
    <s v="Married"/>
    <n v="4420"/>
    <n v="13421"/>
    <n v="1"/>
    <s v="Y"/>
    <x v="1"/>
    <n v="22"/>
    <n v="4"/>
    <n v="2"/>
    <n v="80"/>
    <n v="1"/>
    <n v="8"/>
    <n v="2"/>
    <n v="3"/>
    <n v="8"/>
    <n v="7"/>
    <n v="0"/>
    <n v="7"/>
    <x v="2"/>
    <x v="3"/>
    <s v="Very High"/>
    <x v="0"/>
    <s v="Outstanding"/>
    <s v="Better"/>
    <n v="0"/>
    <s v="3,001–6,000"/>
    <s v="0–5 miles"/>
    <s v="6–10 years"/>
  </r>
  <r>
    <n v="30"/>
    <x v="1"/>
    <s v="Travel_Rarely"/>
    <n v="852"/>
    <x v="0"/>
    <n v="10"/>
    <x v="3"/>
    <s v="Marketing"/>
    <n v="1"/>
    <n v="1179"/>
    <n v="3"/>
    <s v="Male"/>
    <n v="72"/>
    <n v="2"/>
    <n v="2"/>
    <x v="0"/>
    <x v="2"/>
    <s v="Married"/>
    <n v="6578"/>
    <n v="2706"/>
    <n v="1"/>
    <s v="Y"/>
    <x v="1"/>
    <n v="18"/>
    <n v="3"/>
    <n v="1"/>
    <n v="80"/>
    <n v="1"/>
    <n v="10"/>
    <n v="3"/>
    <n v="3"/>
    <n v="10"/>
    <n v="3"/>
    <n v="1"/>
    <n v="4"/>
    <x v="3"/>
    <x v="1"/>
    <s v="Medium"/>
    <x v="2"/>
    <s v="Excellent"/>
    <s v="Better"/>
    <n v="0"/>
    <s v="6,001–10,000"/>
    <s v="6–10 miles"/>
    <s v="6–10 years"/>
  </r>
  <r>
    <n v="40"/>
    <x v="1"/>
    <s v="Travel_Frequently"/>
    <n v="902"/>
    <x v="1"/>
    <n v="26"/>
    <x v="0"/>
    <s v="Medical"/>
    <n v="1"/>
    <n v="1180"/>
    <n v="3"/>
    <s v="Female"/>
    <n v="92"/>
    <n v="2"/>
    <n v="2"/>
    <x v="1"/>
    <x v="0"/>
    <s v="Married"/>
    <n v="4422"/>
    <n v="21203"/>
    <n v="3"/>
    <s v="Y"/>
    <x v="0"/>
    <n v="13"/>
    <n v="3"/>
    <n v="4"/>
    <n v="80"/>
    <n v="1"/>
    <n v="16"/>
    <n v="3"/>
    <n v="1"/>
    <n v="1"/>
    <n v="1"/>
    <n v="0"/>
    <n v="0"/>
    <x v="0"/>
    <x v="1"/>
    <s v="Medium"/>
    <x v="0"/>
    <s v="Excellent"/>
    <s v="Bad"/>
    <n v="0"/>
    <s v="3,001–6,000"/>
    <s v="16+ miles"/>
    <s v="0–1 years"/>
  </r>
  <r>
    <n v="35"/>
    <x v="1"/>
    <s v="Travel_Rarely"/>
    <n v="819"/>
    <x v="1"/>
    <n v="2"/>
    <x v="3"/>
    <s v="Life Sciences"/>
    <n v="1"/>
    <n v="1182"/>
    <n v="3"/>
    <s v="Male"/>
    <n v="44"/>
    <n v="2"/>
    <n v="3"/>
    <x v="3"/>
    <x v="1"/>
    <s v="Divorced"/>
    <n v="10274"/>
    <n v="19588"/>
    <n v="2"/>
    <s v="Y"/>
    <x v="1"/>
    <n v="18"/>
    <n v="3"/>
    <n v="2"/>
    <n v="80"/>
    <n v="1"/>
    <n v="15"/>
    <n v="2"/>
    <n v="4"/>
    <n v="7"/>
    <n v="7"/>
    <n v="6"/>
    <n v="4"/>
    <x v="3"/>
    <x v="1"/>
    <s v="Medium"/>
    <x v="1"/>
    <s v="Excellent"/>
    <s v="Best"/>
    <n v="0"/>
    <s v="10,001+"/>
    <s v="0–5 miles"/>
    <s v="6–10 years"/>
  </r>
  <r>
    <n v="34"/>
    <x v="1"/>
    <s v="Travel_Frequently"/>
    <n v="669"/>
    <x v="1"/>
    <n v="1"/>
    <x v="3"/>
    <s v="Medical"/>
    <n v="1"/>
    <n v="1184"/>
    <n v="4"/>
    <s v="Male"/>
    <n v="97"/>
    <n v="2"/>
    <n v="2"/>
    <x v="4"/>
    <x v="3"/>
    <s v="Single"/>
    <n v="5343"/>
    <n v="25755"/>
    <n v="0"/>
    <s v="Y"/>
    <x v="1"/>
    <n v="20"/>
    <n v="4"/>
    <n v="3"/>
    <n v="80"/>
    <n v="0"/>
    <n v="14"/>
    <n v="3"/>
    <n v="3"/>
    <n v="13"/>
    <n v="9"/>
    <n v="4"/>
    <n v="9"/>
    <x v="3"/>
    <x v="2"/>
    <s v="Medium"/>
    <x v="3"/>
    <s v="Outstanding"/>
    <s v="Better"/>
    <n v="0"/>
    <s v="3,001–6,000"/>
    <s v="0–5 miles"/>
    <s v="11+ years"/>
  </r>
  <r>
    <n v="35"/>
    <x v="1"/>
    <s v="Travel_Frequently"/>
    <n v="636"/>
    <x v="1"/>
    <n v="4"/>
    <x v="2"/>
    <s v="Other"/>
    <n v="1"/>
    <n v="1185"/>
    <n v="4"/>
    <s v="Male"/>
    <n v="47"/>
    <n v="2"/>
    <n v="1"/>
    <x v="2"/>
    <x v="0"/>
    <s v="Married"/>
    <n v="2376"/>
    <n v="26537"/>
    <n v="1"/>
    <s v="Y"/>
    <x v="1"/>
    <n v="13"/>
    <n v="3"/>
    <n v="2"/>
    <n v="80"/>
    <n v="1"/>
    <n v="2"/>
    <n v="2"/>
    <n v="4"/>
    <n v="2"/>
    <n v="2"/>
    <n v="2"/>
    <n v="2"/>
    <x v="2"/>
    <x v="2"/>
    <s v="Medium"/>
    <x v="0"/>
    <s v="Excellent"/>
    <s v="Best"/>
    <n v="0"/>
    <s v="0–3,000"/>
    <s v="0–5 miles"/>
    <s v="2–5 years"/>
  </r>
  <r>
    <n v="43"/>
    <x v="0"/>
    <s v="Travel_Rarely"/>
    <n v="1372"/>
    <x v="0"/>
    <n v="9"/>
    <x v="3"/>
    <s v="Marketing"/>
    <n v="1"/>
    <n v="1188"/>
    <n v="1"/>
    <s v="Female"/>
    <n v="85"/>
    <n v="1"/>
    <n v="2"/>
    <x v="0"/>
    <x v="2"/>
    <s v="Single"/>
    <n v="5346"/>
    <n v="9489"/>
    <n v="8"/>
    <s v="Y"/>
    <x v="1"/>
    <n v="13"/>
    <n v="3"/>
    <n v="2"/>
    <n v="80"/>
    <n v="0"/>
    <n v="7"/>
    <n v="2"/>
    <n v="2"/>
    <n v="4"/>
    <n v="3"/>
    <n v="1"/>
    <n v="3"/>
    <x v="3"/>
    <x v="3"/>
    <s v="Low"/>
    <x v="2"/>
    <s v="Excellent"/>
    <s v="Good"/>
    <n v="1"/>
    <s v="3,001–6,000"/>
    <s v="6–10 miles"/>
    <s v="2–5 years"/>
  </r>
  <r>
    <n v="32"/>
    <x v="1"/>
    <s v="Non-Travel"/>
    <n v="862"/>
    <x v="0"/>
    <n v="2"/>
    <x v="1"/>
    <s v="Life Sciences"/>
    <n v="1"/>
    <n v="1190"/>
    <n v="3"/>
    <s v="Female"/>
    <n v="76"/>
    <n v="3"/>
    <n v="1"/>
    <x v="6"/>
    <x v="3"/>
    <s v="Divorced"/>
    <n v="2827"/>
    <n v="14947"/>
    <n v="1"/>
    <s v="Y"/>
    <x v="1"/>
    <n v="12"/>
    <n v="3"/>
    <n v="3"/>
    <n v="80"/>
    <n v="3"/>
    <n v="1"/>
    <n v="3"/>
    <n v="3"/>
    <n v="1"/>
    <n v="0"/>
    <n v="0"/>
    <n v="0"/>
    <x v="1"/>
    <x v="1"/>
    <s v="High"/>
    <x v="3"/>
    <s v="Excellent"/>
    <s v="Better"/>
    <n v="0"/>
    <s v="0–3,000"/>
    <s v="0–5 miles"/>
    <s v="0–1 years"/>
  </r>
  <r>
    <n v="56"/>
    <x v="1"/>
    <s v="Travel_Rarely"/>
    <n v="718"/>
    <x v="1"/>
    <n v="4"/>
    <x v="2"/>
    <s v="Technical Degree"/>
    <n v="1"/>
    <n v="1191"/>
    <n v="4"/>
    <s v="Female"/>
    <n v="92"/>
    <n v="3"/>
    <n v="5"/>
    <x v="5"/>
    <x v="3"/>
    <s v="Divorced"/>
    <n v="19943"/>
    <n v="18575"/>
    <n v="4"/>
    <s v="Y"/>
    <x v="1"/>
    <n v="13"/>
    <n v="3"/>
    <n v="4"/>
    <n v="80"/>
    <n v="1"/>
    <n v="28"/>
    <n v="2"/>
    <n v="3"/>
    <n v="5"/>
    <n v="2"/>
    <n v="4"/>
    <n v="2"/>
    <x v="2"/>
    <x v="2"/>
    <s v="High"/>
    <x v="3"/>
    <s v="Excellent"/>
    <s v="Better"/>
    <n v="0"/>
    <s v="10,001+"/>
    <s v="0–5 miles"/>
    <s v="2–5 years"/>
  </r>
  <r>
    <n v="29"/>
    <x v="1"/>
    <s v="Travel_Rarely"/>
    <n v="1401"/>
    <x v="1"/>
    <n v="6"/>
    <x v="1"/>
    <s v="Medical"/>
    <n v="1"/>
    <n v="1192"/>
    <n v="2"/>
    <s v="Female"/>
    <n v="54"/>
    <n v="3"/>
    <n v="1"/>
    <x v="2"/>
    <x v="0"/>
    <s v="Married"/>
    <n v="3131"/>
    <n v="26342"/>
    <n v="1"/>
    <s v="Y"/>
    <x v="1"/>
    <n v="13"/>
    <n v="3"/>
    <n v="1"/>
    <n v="80"/>
    <n v="1"/>
    <n v="10"/>
    <n v="5"/>
    <n v="3"/>
    <n v="10"/>
    <n v="8"/>
    <n v="0"/>
    <n v="8"/>
    <x v="1"/>
    <x v="0"/>
    <s v="High"/>
    <x v="0"/>
    <s v="Excellent"/>
    <s v="Better"/>
    <n v="0"/>
    <s v="3,001–6,000"/>
    <s v="6–10 miles"/>
    <s v="6–10 years"/>
  </r>
  <r>
    <n v="19"/>
    <x v="1"/>
    <s v="Travel_Rarely"/>
    <n v="645"/>
    <x v="1"/>
    <n v="9"/>
    <x v="0"/>
    <s v="Life Sciences"/>
    <n v="1"/>
    <n v="1193"/>
    <n v="3"/>
    <s v="Male"/>
    <n v="54"/>
    <n v="3"/>
    <n v="1"/>
    <x v="1"/>
    <x v="3"/>
    <s v="Single"/>
    <n v="2552"/>
    <n v="7172"/>
    <n v="1"/>
    <s v="Y"/>
    <x v="1"/>
    <n v="25"/>
    <n v="4"/>
    <n v="3"/>
    <n v="80"/>
    <n v="0"/>
    <n v="1"/>
    <n v="4"/>
    <n v="3"/>
    <n v="1"/>
    <n v="1"/>
    <n v="0"/>
    <n v="0"/>
    <x v="0"/>
    <x v="1"/>
    <s v="High"/>
    <x v="3"/>
    <s v="Outstanding"/>
    <s v="Better"/>
    <n v="0"/>
    <s v="0–3,000"/>
    <s v="6–10 miles"/>
    <s v="0–1 years"/>
  </r>
  <r>
    <n v="45"/>
    <x v="1"/>
    <s v="Travel_Rarely"/>
    <n v="1457"/>
    <x v="1"/>
    <n v="7"/>
    <x v="3"/>
    <s v="Medical"/>
    <n v="1"/>
    <n v="1195"/>
    <n v="1"/>
    <s v="Female"/>
    <n v="83"/>
    <n v="3"/>
    <n v="1"/>
    <x v="1"/>
    <x v="2"/>
    <s v="Married"/>
    <n v="4477"/>
    <n v="20100"/>
    <n v="4"/>
    <s v="Y"/>
    <x v="0"/>
    <n v="19"/>
    <n v="3"/>
    <n v="3"/>
    <n v="80"/>
    <n v="1"/>
    <n v="7"/>
    <n v="2"/>
    <n v="2"/>
    <n v="3"/>
    <n v="2"/>
    <n v="0"/>
    <n v="2"/>
    <x v="3"/>
    <x v="3"/>
    <s v="High"/>
    <x v="2"/>
    <s v="Excellent"/>
    <s v="Good"/>
    <n v="0"/>
    <s v="3,001–6,000"/>
    <s v="6–10 miles"/>
    <s v="2–5 years"/>
  </r>
  <r>
    <n v="37"/>
    <x v="1"/>
    <s v="Travel_Rarely"/>
    <n v="977"/>
    <x v="1"/>
    <n v="1"/>
    <x v="3"/>
    <s v="Life Sciences"/>
    <n v="1"/>
    <n v="1196"/>
    <n v="4"/>
    <s v="Female"/>
    <n v="56"/>
    <n v="2"/>
    <n v="2"/>
    <x v="3"/>
    <x v="0"/>
    <s v="Married"/>
    <n v="6474"/>
    <n v="9961"/>
    <n v="1"/>
    <s v="Y"/>
    <x v="1"/>
    <n v="13"/>
    <n v="3"/>
    <n v="2"/>
    <n v="80"/>
    <n v="1"/>
    <n v="14"/>
    <n v="2"/>
    <n v="2"/>
    <n v="14"/>
    <n v="8"/>
    <n v="3"/>
    <n v="11"/>
    <x v="3"/>
    <x v="2"/>
    <s v="Medium"/>
    <x v="0"/>
    <s v="Excellent"/>
    <s v="Good"/>
    <n v="0"/>
    <s v="6,001–10,000"/>
    <s v="0–5 miles"/>
    <s v="11+ years"/>
  </r>
  <r>
    <n v="20"/>
    <x v="1"/>
    <s v="Travel_Rarely"/>
    <n v="805"/>
    <x v="1"/>
    <n v="3"/>
    <x v="3"/>
    <s v="Life Sciences"/>
    <n v="1"/>
    <n v="1198"/>
    <n v="1"/>
    <s v="Male"/>
    <n v="87"/>
    <n v="2"/>
    <n v="1"/>
    <x v="2"/>
    <x v="2"/>
    <s v="Single"/>
    <n v="3033"/>
    <n v="12828"/>
    <n v="1"/>
    <s v="Y"/>
    <x v="1"/>
    <n v="12"/>
    <n v="3"/>
    <n v="1"/>
    <n v="80"/>
    <n v="0"/>
    <n v="2"/>
    <n v="2"/>
    <n v="2"/>
    <n v="2"/>
    <n v="2"/>
    <n v="1"/>
    <n v="2"/>
    <x v="3"/>
    <x v="3"/>
    <s v="Medium"/>
    <x v="2"/>
    <s v="Excellent"/>
    <s v="Good"/>
    <n v="0"/>
    <s v="3,001–6,000"/>
    <s v="0–5 miles"/>
    <s v="2–5 years"/>
  </r>
  <r>
    <n v="44"/>
    <x v="0"/>
    <s v="Travel_Rarely"/>
    <n v="1097"/>
    <x v="1"/>
    <n v="10"/>
    <x v="2"/>
    <s v="Life Sciences"/>
    <n v="1"/>
    <n v="1200"/>
    <n v="3"/>
    <s v="Male"/>
    <n v="96"/>
    <n v="3"/>
    <n v="1"/>
    <x v="1"/>
    <x v="2"/>
    <s v="Single"/>
    <n v="2936"/>
    <n v="10826"/>
    <n v="1"/>
    <s v="Y"/>
    <x v="0"/>
    <n v="11"/>
    <n v="3"/>
    <n v="3"/>
    <n v="80"/>
    <n v="0"/>
    <n v="6"/>
    <n v="4"/>
    <n v="3"/>
    <n v="6"/>
    <n v="4"/>
    <n v="0"/>
    <n v="2"/>
    <x v="2"/>
    <x v="1"/>
    <s v="High"/>
    <x v="2"/>
    <s v="Excellent"/>
    <s v="Better"/>
    <n v="1"/>
    <s v="0–3,000"/>
    <s v="6–10 miles"/>
    <s v="6–10 years"/>
  </r>
  <r>
    <n v="53"/>
    <x v="1"/>
    <s v="Travel_Rarely"/>
    <n v="1223"/>
    <x v="1"/>
    <n v="7"/>
    <x v="0"/>
    <s v="Medical"/>
    <n v="1"/>
    <n v="1201"/>
    <n v="4"/>
    <s v="Female"/>
    <n v="50"/>
    <n v="3"/>
    <n v="5"/>
    <x v="5"/>
    <x v="2"/>
    <s v="Divorced"/>
    <n v="18606"/>
    <n v="18640"/>
    <n v="3"/>
    <s v="Y"/>
    <x v="1"/>
    <n v="18"/>
    <n v="3"/>
    <n v="2"/>
    <n v="80"/>
    <n v="1"/>
    <n v="26"/>
    <n v="6"/>
    <n v="3"/>
    <n v="7"/>
    <n v="7"/>
    <n v="4"/>
    <n v="7"/>
    <x v="0"/>
    <x v="2"/>
    <s v="High"/>
    <x v="2"/>
    <s v="Excellent"/>
    <s v="Better"/>
    <n v="0"/>
    <s v="10,001+"/>
    <s v="6–10 miles"/>
    <s v="6–10 years"/>
  </r>
  <r>
    <n v="29"/>
    <x v="1"/>
    <s v="Travel_Rarely"/>
    <n v="942"/>
    <x v="1"/>
    <n v="15"/>
    <x v="1"/>
    <s v="Life Sciences"/>
    <n v="1"/>
    <n v="1202"/>
    <n v="2"/>
    <s v="Female"/>
    <n v="69"/>
    <n v="1"/>
    <n v="1"/>
    <x v="1"/>
    <x v="0"/>
    <s v="Married"/>
    <n v="2168"/>
    <n v="26933"/>
    <n v="0"/>
    <s v="Y"/>
    <x v="0"/>
    <n v="18"/>
    <n v="3"/>
    <n v="1"/>
    <n v="80"/>
    <n v="1"/>
    <n v="6"/>
    <n v="2"/>
    <n v="2"/>
    <n v="5"/>
    <n v="4"/>
    <n v="1"/>
    <n v="3"/>
    <x v="1"/>
    <x v="0"/>
    <s v="Low"/>
    <x v="0"/>
    <s v="Excellent"/>
    <s v="Good"/>
    <n v="0"/>
    <s v="0–3,000"/>
    <s v="11–15 miles"/>
    <s v="2–5 years"/>
  </r>
  <r>
    <n v="22"/>
    <x v="0"/>
    <s v="Travel_Frequently"/>
    <n v="1256"/>
    <x v="1"/>
    <n v="3"/>
    <x v="2"/>
    <s v="Life Sciences"/>
    <n v="1"/>
    <n v="1203"/>
    <n v="3"/>
    <s v="Male"/>
    <n v="48"/>
    <n v="2"/>
    <n v="1"/>
    <x v="1"/>
    <x v="0"/>
    <s v="Married"/>
    <n v="2853"/>
    <n v="4223"/>
    <n v="0"/>
    <s v="Y"/>
    <x v="0"/>
    <n v="11"/>
    <n v="3"/>
    <n v="2"/>
    <n v="80"/>
    <n v="1"/>
    <n v="1"/>
    <n v="5"/>
    <n v="3"/>
    <n v="0"/>
    <n v="0"/>
    <n v="0"/>
    <n v="0"/>
    <x v="2"/>
    <x v="1"/>
    <s v="Medium"/>
    <x v="0"/>
    <s v="Excellent"/>
    <s v="Better"/>
    <n v="1"/>
    <s v="0–3,000"/>
    <s v="0–5 miles"/>
    <s v="0–1 years"/>
  </r>
  <r>
    <n v="46"/>
    <x v="1"/>
    <s v="Travel_Rarely"/>
    <n v="1402"/>
    <x v="0"/>
    <n v="2"/>
    <x v="3"/>
    <s v="Marketing"/>
    <n v="1"/>
    <n v="1204"/>
    <n v="3"/>
    <s v="Female"/>
    <n v="69"/>
    <n v="3"/>
    <n v="4"/>
    <x v="5"/>
    <x v="3"/>
    <s v="Married"/>
    <n v="17048"/>
    <n v="24097"/>
    <n v="8"/>
    <s v="Y"/>
    <x v="1"/>
    <n v="23"/>
    <n v="4"/>
    <n v="1"/>
    <n v="80"/>
    <n v="0"/>
    <n v="28"/>
    <n v="2"/>
    <n v="3"/>
    <n v="26"/>
    <n v="15"/>
    <n v="15"/>
    <n v="9"/>
    <x v="3"/>
    <x v="1"/>
    <s v="High"/>
    <x v="3"/>
    <s v="Outstanding"/>
    <s v="Better"/>
    <n v="0"/>
    <s v="10,001+"/>
    <s v="0–5 miles"/>
    <s v="11+ years"/>
  </r>
  <r>
    <n v="44"/>
    <x v="1"/>
    <s v="Non-Travel"/>
    <n v="111"/>
    <x v="1"/>
    <n v="17"/>
    <x v="3"/>
    <s v="Life Sciences"/>
    <n v="1"/>
    <n v="1206"/>
    <n v="4"/>
    <s v="Male"/>
    <n v="74"/>
    <n v="1"/>
    <n v="1"/>
    <x v="1"/>
    <x v="2"/>
    <s v="Single"/>
    <n v="2290"/>
    <n v="4279"/>
    <n v="2"/>
    <s v="Y"/>
    <x v="1"/>
    <n v="13"/>
    <n v="3"/>
    <n v="4"/>
    <n v="80"/>
    <n v="0"/>
    <n v="6"/>
    <n v="3"/>
    <n v="3"/>
    <n v="0"/>
    <n v="0"/>
    <n v="0"/>
    <n v="0"/>
    <x v="3"/>
    <x v="2"/>
    <s v="Low"/>
    <x v="2"/>
    <s v="Excellent"/>
    <s v="Better"/>
    <n v="0"/>
    <s v="0–3,000"/>
    <s v="16+ miles"/>
    <s v="0–1 years"/>
  </r>
  <r>
    <n v="33"/>
    <x v="1"/>
    <s v="Travel_Rarely"/>
    <n v="147"/>
    <x v="2"/>
    <n v="2"/>
    <x v="3"/>
    <s v="Human Resources"/>
    <n v="1"/>
    <n v="1207"/>
    <n v="2"/>
    <s v="Male"/>
    <n v="99"/>
    <n v="3"/>
    <n v="1"/>
    <x v="8"/>
    <x v="2"/>
    <s v="Married"/>
    <n v="3600"/>
    <n v="8429"/>
    <n v="1"/>
    <s v="Y"/>
    <x v="1"/>
    <n v="13"/>
    <n v="3"/>
    <n v="4"/>
    <n v="80"/>
    <n v="1"/>
    <n v="5"/>
    <n v="2"/>
    <n v="3"/>
    <n v="5"/>
    <n v="4"/>
    <n v="1"/>
    <n v="4"/>
    <x v="3"/>
    <x v="0"/>
    <s v="High"/>
    <x v="2"/>
    <s v="Excellent"/>
    <s v="Better"/>
    <n v="0"/>
    <s v="3,001–6,000"/>
    <s v="0–5 miles"/>
    <s v="2–5 years"/>
  </r>
  <r>
    <n v="41"/>
    <x v="0"/>
    <s v="Non-Travel"/>
    <n v="906"/>
    <x v="1"/>
    <n v="5"/>
    <x v="0"/>
    <s v="Life Sciences"/>
    <n v="1"/>
    <n v="1210"/>
    <n v="1"/>
    <s v="Male"/>
    <n v="95"/>
    <n v="2"/>
    <n v="1"/>
    <x v="1"/>
    <x v="3"/>
    <s v="Divorced"/>
    <n v="2107"/>
    <n v="20293"/>
    <n v="6"/>
    <s v="Y"/>
    <x v="1"/>
    <n v="17"/>
    <n v="3"/>
    <n v="1"/>
    <n v="80"/>
    <n v="1"/>
    <n v="5"/>
    <n v="2"/>
    <n v="1"/>
    <n v="1"/>
    <n v="0"/>
    <n v="0"/>
    <n v="0"/>
    <x v="0"/>
    <x v="3"/>
    <s v="Medium"/>
    <x v="3"/>
    <s v="Excellent"/>
    <s v="Bad"/>
    <n v="1"/>
    <s v="0–3,000"/>
    <s v="0–5 miles"/>
    <s v="0–1 years"/>
  </r>
  <r>
    <n v="30"/>
    <x v="1"/>
    <s v="Travel_Rarely"/>
    <n v="1329"/>
    <x v="0"/>
    <n v="29"/>
    <x v="2"/>
    <s v="Life Sciences"/>
    <n v="1"/>
    <n v="1211"/>
    <n v="3"/>
    <s v="Male"/>
    <n v="61"/>
    <n v="3"/>
    <n v="2"/>
    <x v="0"/>
    <x v="3"/>
    <s v="Divorced"/>
    <n v="4115"/>
    <n v="13192"/>
    <n v="8"/>
    <s v="Y"/>
    <x v="1"/>
    <n v="19"/>
    <n v="3"/>
    <n v="3"/>
    <n v="80"/>
    <n v="3"/>
    <n v="8"/>
    <n v="3"/>
    <n v="3"/>
    <n v="4"/>
    <n v="3"/>
    <n v="0"/>
    <n v="3"/>
    <x v="2"/>
    <x v="1"/>
    <s v="High"/>
    <x v="3"/>
    <s v="Excellent"/>
    <s v="Better"/>
    <n v="0"/>
    <s v="3,001–6,000"/>
    <s v="16+ miles"/>
    <s v="2–5 years"/>
  </r>
  <r>
    <n v="40"/>
    <x v="1"/>
    <s v="Travel_Frequently"/>
    <n v="1184"/>
    <x v="0"/>
    <n v="2"/>
    <x v="2"/>
    <s v="Medical"/>
    <n v="1"/>
    <n v="1212"/>
    <n v="2"/>
    <s v="Male"/>
    <n v="62"/>
    <n v="3"/>
    <n v="2"/>
    <x v="0"/>
    <x v="1"/>
    <s v="Married"/>
    <n v="4327"/>
    <n v="25440"/>
    <n v="5"/>
    <s v="Y"/>
    <x v="1"/>
    <n v="12"/>
    <n v="3"/>
    <n v="4"/>
    <n v="80"/>
    <n v="3"/>
    <n v="5"/>
    <n v="2"/>
    <n v="3"/>
    <n v="0"/>
    <n v="0"/>
    <n v="0"/>
    <n v="0"/>
    <x v="2"/>
    <x v="0"/>
    <s v="High"/>
    <x v="1"/>
    <s v="Excellent"/>
    <s v="Better"/>
    <n v="0"/>
    <s v="3,001–6,000"/>
    <s v="0–5 miles"/>
    <s v="0–1 years"/>
  </r>
  <r>
    <n v="50"/>
    <x v="1"/>
    <s v="Travel_Frequently"/>
    <n v="1421"/>
    <x v="1"/>
    <n v="2"/>
    <x v="3"/>
    <s v="Medical"/>
    <n v="1"/>
    <n v="1215"/>
    <n v="4"/>
    <s v="Female"/>
    <n v="30"/>
    <n v="3"/>
    <n v="4"/>
    <x v="5"/>
    <x v="3"/>
    <s v="Married"/>
    <n v="17856"/>
    <n v="9490"/>
    <n v="2"/>
    <s v="Y"/>
    <x v="1"/>
    <n v="22"/>
    <n v="4"/>
    <n v="3"/>
    <n v="80"/>
    <n v="1"/>
    <n v="32"/>
    <n v="3"/>
    <n v="3"/>
    <n v="2"/>
    <n v="2"/>
    <n v="2"/>
    <n v="2"/>
    <x v="3"/>
    <x v="2"/>
    <s v="High"/>
    <x v="3"/>
    <s v="Outstanding"/>
    <s v="Better"/>
    <n v="0"/>
    <s v="10,001+"/>
    <s v="0–5 miles"/>
    <s v="2–5 years"/>
  </r>
  <r>
    <n v="28"/>
    <x v="1"/>
    <s v="Travel_Rarely"/>
    <n v="1179"/>
    <x v="1"/>
    <n v="19"/>
    <x v="2"/>
    <s v="Medical"/>
    <n v="1"/>
    <n v="1216"/>
    <n v="4"/>
    <s v="Male"/>
    <n v="78"/>
    <n v="2"/>
    <n v="1"/>
    <x v="2"/>
    <x v="3"/>
    <s v="Married"/>
    <n v="3196"/>
    <n v="12449"/>
    <n v="1"/>
    <s v="Y"/>
    <x v="1"/>
    <n v="12"/>
    <n v="3"/>
    <n v="3"/>
    <n v="80"/>
    <n v="3"/>
    <n v="6"/>
    <n v="2"/>
    <n v="3"/>
    <n v="6"/>
    <n v="5"/>
    <n v="3"/>
    <n v="3"/>
    <x v="2"/>
    <x v="2"/>
    <s v="Medium"/>
    <x v="3"/>
    <s v="Excellent"/>
    <s v="Better"/>
    <n v="0"/>
    <s v="3,001–6,000"/>
    <s v="16+ miles"/>
    <s v="6–10 years"/>
  </r>
  <r>
    <n v="46"/>
    <x v="1"/>
    <s v="Travel_Rarely"/>
    <n v="1450"/>
    <x v="1"/>
    <n v="15"/>
    <x v="0"/>
    <s v="Life Sciences"/>
    <n v="1"/>
    <n v="1217"/>
    <n v="4"/>
    <s v="Male"/>
    <n v="52"/>
    <n v="3"/>
    <n v="5"/>
    <x v="7"/>
    <x v="1"/>
    <s v="Married"/>
    <n v="19081"/>
    <n v="10849"/>
    <n v="5"/>
    <s v="Y"/>
    <x v="1"/>
    <n v="11"/>
    <n v="3"/>
    <n v="1"/>
    <n v="80"/>
    <n v="1"/>
    <n v="25"/>
    <n v="2"/>
    <n v="3"/>
    <n v="4"/>
    <n v="2"/>
    <n v="0"/>
    <n v="3"/>
    <x v="0"/>
    <x v="2"/>
    <s v="High"/>
    <x v="1"/>
    <s v="Excellent"/>
    <s v="Better"/>
    <n v="0"/>
    <s v="10,001+"/>
    <s v="11–15 miles"/>
    <s v="2–5 years"/>
  </r>
  <r>
    <n v="35"/>
    <x v="1"/>
    <s v="Travel_Rarely"/>
    <n v="1361"/>
    <x v="0"/>
    <n v="17"/>
    <x v="2"/>
    <s v="Life Sciences"/>
    <n v="1"/>
    <n v="1218"/>
    <n v="3"/>
    <s v="Male"/>
    <n v="94"/>
    <n v="3"/>
    <n v="2"/>
    <x v="0"/>
    <x v="3"/>
    <s v="Married"/>
    <n v="8966"/>
    <n v="21026"/>
    <n v="3"/>
    <s v="Y"/>
    <x v="0"/>
    <n v="15"/>
    <n v="3"/>
    <n v="4"/>
    <n v="80"/>
    <n v="3"/>
    <n v="15"/>
    <n v="2"/>
    <n v="3"/>
    <n v="7"/>
    <n v="7"/>
    <n v="1"/>
    <n v="7"/>
    <x v="2"/>
    <x v="1"/>
    <s v="High"/>
    <x v="3"/>
    <s v="Excellent"/>
    <s v="Better"/>
    <n v="0"/>
    <s v="6,001–10,000"/>
    <s v="16+ miles"/>
    <s v="6–10 years"/>
  </r>
  <r>
    <n v="24"/>
    <x v="0"/>
    <s v="Travel_Rarely"/>
    <n v="984"/>
    <x v="1"/>
    <n v="17"/>
    <x v="0"/>
    <s v="Life Sciences"/>
    <n v="1"/>
    <n v="1219"/>
    <n v="4"/>
    <s v="Female"/>
    <n v="97"/>
    <n v="3"/>
    <n v="1"/>
    <x v="2"/>
    <x v="1"/>
    <s v="Married"/>
    <n v="2210"/>
    <n v="3372"/>
    <n v="1"/>
    <s v="Y"/>
    <x v="1"/>
    <n v="13"/>
    <n v="3"/>
    <n v="1"/>
    <n v="80"/>
    <n v="1"/>
    <n v="1"/>
    <n v="3"/>
    <n v="1"/>
    <n v="1"/>
    <n v="0"/>
    <n v="0"/>
    <n v="0"/>
    <x v="0"/>
    <x v="2"/>
    <s v="High"/>
    <x v="1"/>
    <s v="Excellent"/>
    <s v="Bad"/>
    <n v="1"/>
    <s v="0–3,000"/>
    <s v="16+ miles"/>
    <s v="0–1 years"/>
  </r>
  <r>
    <n v="33"/>
    <x v="1"/>
    <s v="Travel_Frequently"/>
    <n v="1146"/>
    <x v="0"/>
    <n v="25"/>
    <x v="3"/>
    <s v="Medical"/>
    <n v="1"/>
    <n v="1220"/>
    <n v="2"/>
    <s v="Female"/>
    <n v="82"/>
    <n v="3"/>
    <n v="2"/>
    <x v="0"/>
    <x v="2"/>
    <s v="Married"/>
    <n v="4539"/>
    <n v="4905"/>
    <n v="1"/>
    <s v="Y"/>
    <x v="1"/>
    <n v="12"/>
    <n v="3"/>
    <n v="1"/>
    <n v="80"/>
    <n v="1"/>
    <n v="10"/>
    <n v="3"/>
    <n v="2"/>
    <n v="10"/>
    <n v="7"/>
    <n v="0"/>
    <n v="1"/>
    <x v="3"/>
    <x v="0"/>
    <s v="High"/>
    <x v="2"/>
    <s v="Excellent"/>
    <s v="Good"/>
    <n v="0"/>
    <s v="3,001–6,000"/>
    <s v="16+ miles"/>
    <s v="6–10 years"/>
  </r>
  <r>
    <n v="36"/>
    <x v="1"/>
    <s v="Travel_Rarely"/>
    <n v="917"/>
    <x v="1"/>
    <n v="6"/>
    <x v="2"/>
    <s v="Life Sciences"/>
    <n v="1"/>
    <n v="1221"/>
    <n v="3"/>
    <s v="Male"/>
    <n v="60"/>
    <n v="1"/>
    <n v="1"/>
    <x v="2"/>
    <x v="2"/>
    <s v="Divorced"/>
    <n v="2741"/>
    <n v="6865"/>
    <n v="1"/>
    <s v="Y"/>
    <x v="1"/>
    <n v="14"/>
    <n v="3"/>
    <n v="3"/>
    <n v="80"/>
    <n v="1"/>
    <n v="7"/>
    <n v="4"/>
    <n v="3"/>
    <n v="7"/>
    <n v="7"/>
    <n v="1"/>
    <n v="7"/>
    <x v="2"/>
    <x v="1"/>
    <s v="Low"/>
    <x v="2"/>
    <s v="Excellent"/>
    <s v="Better"/>
    <n v="0"/>
    <s v="0–3,000"/>
    <s v="6–10 miles"/>
    <s v="6–10 years"/>
  </r>
  <r>
    <n v="30"/>
    <x v="1"/>
    <s v="Travel_Rarely"/>
    <n v="853"/>
    <x v="1"/>
    <n v="7"/>
    <x v="2"/>
    <s v="Life Sciences"/>
    <n v="1"/>
    <n v="1224"/>
    <n v="3"/>
    <s v="Male"/>
    <n v="49"/>
    <n v="3"/>
    <n v="2"/>
    <x v="2"/>
    <x v="2"/>
    <s v="Divorced"/>
    <n v="3491"/>
    <n v="11309"/>
    <n v="1"/>
    <s v="Y"/>
    <x v="1"/>
    <n v="13"/>
    <n v="3"/>
    <n v="1"/>
    <n v="80"/>
    <n v="3"/>
    <n v="10"/>
    <n v="4"/>
    <n v="2"/>
    <n v="10"/>
    <n v="7"/>
    <n v="8"/>
    <n v="9"/>
    <x v="2"/>
    <x v="1"/>
    <s v="High"/>
    <x v="2"/>
    <s v="Excellent"/>
    <s v="Good"/>
    <n v="0"/>
    <s v="3,001–6,000"/>
    <s v="6–10 miles"/>
    <s v="6–10 years"/>
  </r>
  <r>
    <n v="44"/>
    <x v="1"/>
    <s v="Travel_Rarely"/>
    <n v="200"/>
    <x v="1"/>
    <n v="29"/>
    <x v="2"/>
    <s v="Other"/>
    <n v="1"/>
    <n v="1225"/>
    <n v="4"/>
    <s v="Male"/>
    <n v="32"/>
    <n v="3"/>
    <n v="2"/>
    <x v="1"/>
    <x v="0"/>
    <s v="Single"/>
    <n v="4541"/>
    <n v="7744"/>
    <n v="1"/>
    <s v="Y"/>
    <x v="1"/>
    <n v="25"/>
    <n v="4"/>
    <n v="2"/>
    <n v="80"/>
    <n v="0"/>
    <n v="20"/>
    <n v="3"/>
    <n v="3"/>
    <n v="20"/>
    <n v="11"/>
    <n v="13"/>
    <n v="17"/>
    <x v="2"/>
    <x v="2"/>
    <s v="High"/>
    <x v="0"/>
    <s v="Outstanding"/>
    <s v="Better"/>
    <n v="0"/>
    <s v="3,001–6,000"/>
    <s v="16+ miles"/>
    <s v="11+ years"/>
  </r>
  <r>
    <n v="20"/>
    <x v="1"/>
    <s v="Travel_Rarely"/>
    <n v="654"/>
    <x v="0"/>
    <n v="21"/>
    <x v="3"/>
    <s v="Marketing"/>
    <n v="1"/>
    <n v="1226"/>
    <n v="3"/>
    <s v="Male"/>
    <n v="43"/>
    <n v="4"/>
    <n v="1"/>
    <x v="6"/>
    <x v="0"/>
    <s v="Single"/>
    <n v="2678"/>
    <n v="5050"/>
    <n v="1"/>
    <s v="Y"/>
    <x v="1"/>
    <n v="17"/>
    <n v="3"/>
    <n v="4"/>
    <n v="80"/>
    <n v="0"/>
    <n v="2"/>
    <n v="2"/>
    <n v="3"/>
    <n v="2"/>
    <n v="1"/>
    <n v="2"/>
    <n v="2"/>
    <x v="3"/>
    <x v="1"/>
    <s v="Very High"/>
    <x v="0"/>
    <s v="Excellent"/>
    <s v="Better"/>
    <n v="0"/>
    <s v="0–3,000"/>
    <s v="16+ miles"/>
    <s v="2–5 years"/>
  </r>
  <r>
    <n v="46"/>
    <x v="1"/>
    <s v="Travel_Rarely"/>
    <n v="150"/>
    <x v="1"/>
    <n v="2"/>
    <x v="2"/>
    <s v="Technical Degree"/>
    <n v="1"/>
    <n v="1228"/>
    <n v="4"/>
    <s v="Male"/>
    <n v="60"/>
    <n v="3"/>
    <n v="2"/>
    <x v="3"/>
    <x v="0"/>
    <s v="Divorced"/>
    <n v="7379"/>
    <n v="17433"/>
    <n v="2"/>
    <s v="Y"/>
    <x v="1"/>
    <n v="11"/>
    <n v="3"/>
    <n v="3"/>
    <n v="80"/>
    <n v="1"/>
    <n v="12"/>
    <n v="3"/>
    <n v="2"/>
    <n v="6"/>
    <n v="3"/>
    <n v="1"/>
    <n v="4"/>
    <x v="2"/>
    <x v="2"/>
    <s v="High"/>
    <x v="0"/>
    <s v="Excellent"/>
    <s v="Good"/>
    <n v="0"/>
    <s v="6,001–10,000"/>
    <s v="0–5 miles"/>
    <s v="6–10 years"/>
  </r>
  <r>
    <n v="42"/>
    <x v="1"/>
    <s v="Non-Travel"/>
    <n v="179"/>
    <x v="2"/>
    <n v="2"/>
    <x v="4"/>
    <s v="Medical"/>
    <n v="1"/>
    <n v="1231"/>
    <n v="4"/>
    <s v="Male"/>
    <n v="79"/>
    <n v="4"/>
    <n v="2"/>
    <x v="8"/>
    <x v="3"/>
    <s v="Married"/>
    <n v="6272"/>
    <n v="12858"/>
    <n v="7"/>
    <s v="Y"/>
    <x v="1"/>
    <n v="16"/>
    <n v="3"/>
    <n v="1"/>
    <n v="80"/>
    <n v="1"/>
    <n v="10"/>
    <n v="3"/>
    <n v="4"/>
    <n v="4"/>
    <n v="3"/>
    <n v="0"/>
    <n v="3"/>
    <x v="4"/>
    <x v="2"/>
    <s v="Very High"/>
    <x v="3"/>
    <s v="Excellent"/>
    <s v="Best"/>
    <n v="0"/>
    <s v="6,001–10,000"/>
    <s v="0–5 miles"/>
    <s v="2–5 years"/>
  </r>
  <r>
    <n v="60"/>
    <x v="1"/>
    <s v="Travel_Rarely"/>
    <n v="696"/>
    <x v="0"/>
    <n v="7"/>
    <x v="2"/>
    <s v="Marketing"/>
    <n v="1"/>
    <n v="1233"/>
    <n v="2"/>
    <s v="Male"/>
    <n v="52"/>
    <n v="4"/>
    <n v="2"/>
    <x v="0"/>
    <x v="0"/>
    <s v="Divorced"/>
    <n v="5220"/>
    <n v="10893"/>
    <n v="0"/>
    <s v="Y"/>
    <x v="0"/>
    <n v="18"/>
    <n v="3"/>
    <n v="2"/>
    <n v="80"/>
    <n v="1"/>
    <n v="12"/>
    <n v="3"/>
    <n v="3"/>
    <n v="11"/>
    <n v="7"/>
    <n v="1"/>
    <n v="9"/>
    <x v="2"/>
    <x v="0"/>
    <s v="Very High"/>
    <x v="0"/>
    <s v="Excellent"/>
    <s v="Better"/>
    <n v="0"/>
    <s v="3,001–6,000"/>
    <s v="6–10 miles"/>
    <s v="11+ years"/>
  </r>
  <r>
    <n v="32"/>
    <x v="1"/>
    <s v="Travel_Frequently"/>
    <n v="116"/>
    <x v="1"/>
    <n v="13"/>
    <x v="3"/>
    <s v="Other"/>
    <n v="1"/>
    <n v="1234"/>
    <n v="3"/>
    <s v="Female"/>
    <n v="77"/>
    <n v="2"/>
    <n v="1"/>
    <x v="2"/>
    <x v="1"/>
    <s v="Married"/>
    <n v="2743"/>
    <n v="7331"/>
    <n v="1"/>
    <s v="Y"/>
    <x v="1"/>
    <n v="20"/>
    <n v="4"/>
    <n v="3"/>
    <n v="80"/>
    <n v="1"/>
    <n v="2"/>
    <n v="2"/>
    <n v="3"/>
    <n v="2"/>
    <n v="2"/>
    <n v="2"/>
    <n v="2"/>
    <x v="3"/>
    <x v="1"/>
    <s v="Medium"/>
    <x v="1"/>
    <s v="Outstanding"/>
    <s v="Better"/>
    <n v="0"/>
    <s v="0–3,000"/>
    <s v="11–15 miles"/>
    <s v="2–5 years"/>
  </r>
  <r>
    <n v="32"/>
    <x v="1"/>
    <s v="Travel_Frequently"/>
    <n v="1316"/>
    <x v="1"/>
    <n v="2"/>
    <x v="0"/>
    <s v="Life Sciences"/>
    <n v="1"/>
    <n v="1235"/>
    <n v="4"/>
    <s v="Female"/>
    <n v="38"/>
    <n v="3"/>
    <n v="2"/>
    <x v="1"/>
    <x v="2"/>
    <s v="Single"/>
    <n v="4998"/>
    <n v="2338"/>
    <n v="4"/>
    <s v="Y"/>
    <x v="0"/>
    <n v="14"/>
    <n v="3"/>
    <n v="4"/>
    <n v="80"/>
    <n v="0"/>
    <n v="10"/>
    <n v="2"/>
    <n v="3"/>
    <n v="8"/>
    <n v="7"/>
    <n v="0"/>
    <n v="7"/>
    <x v="0"/>
    <x v="2"/>
    <s v="High"/>
    <x v="2"/>
    <s v="Excellent"/>
    <s v="Better"/>
    <n v="0"/>
    <s v="3,001–6,000"/>
    <s v="0–5 miles"/>
    <s v="6–10 years"/>
  </r>
  <r>
    <n v="36"/>
    <x v="1"/>
    <s v="Travel_Rarely"/>
    <n v="363"/>
    <x v="1"/>
    <n v="1"/>
    <x v="3"/>
    <s v="Technical Degree"/>
    <n v="1"/>
    <n v="1237"/>
    <n v="3"/>
    <s v="Female"/>
    <n v="77"/>
    <n v="1"/>
    <n v="3"/>
    <x v="3"/>
    <x v="3"/>
    <s v="Divorced"/>
    <n v="10252"/>
    <n v="4235"/>
    <n v="2"/>
    <s v="Y"/>
    <x v="0"/>
    <n v="21"/>
    <n v="4"/>
    <n v="3"/>
    <n v="80"/>
    <n v="1"/>
    <n v="17"/>
    <n v="2"/>
    <n v="3"/>
    <n v="7"/>
    <n v="7"/>
    <n v="7"/>
    <n v="7"/>
    <x v="3"/>
    <x v="1"/>
    <s v="Low"/>
    <x v="3"/>
    <s v="Outstanding"/>
    <s v="Better"/>
    <n v="0"/>
    <s v="10,001+"/>
    <s v="0–5 miles"/>
    <s v="6–10 years"/>
  </r>
  <r>
    <n v="33"/>
    <x v="1"/>
    <s v="Travel_Rarely"/>
    <n v="117"/>
    <x v="1"/>
    <n v="9"/>
    <x v="3"/>
    <s v="Medical"/>
    <n v="1"/>
    <n v="1238"/>
    <n v="1"/>
    <s v="Male"/>
    <n v="60"/>
    <n v="3"/>
    <n v="1"/>
    <x v="1"/>
    <x v="0"/>
    <s v="Married"/>
    <n v="2781"/>
    <n v="6311"/>
    <n v="0"/>
    <s v="Y"/>
    <x v="1"/>
    <n v="13"/>
    <n v="3"/>
    <n v="2"/>
    <n v="80"/>
    <n v="1"/>
    <n v="15"/>
    <n v="5"/>
    <n v="3"/>
    <n v="14"/>
    <n v="10"/>
    <n v="4"/>
    <n v="10"/>
    <x v="3"/>
    <x v="3"/>
    <s v="High"/>
    <x v="0"/>
    <s v="Excellent"/>
    <s v="Better"/>
    <n v="0"/>
    <s v="0–3,000"/>
    <s v="6–10 miles"/>
    <s v="11+ years"/>
  </r>
  <r>
    <n v="40"/>
    <x v="1"/>
    <s v="Travel_Rarely"/>
    <n v="107"/>
    <x v="0"/>
    <n v="10"/>
    <x v="3"/>
    <s v="Technical Degree"/>
    <n v="1"/>
    <n v="1239"/>
    <n v="2"/>
    <s v="Female"/>
    <n v="84"/>
    <n v="2"/>
    <n v="2"/>
    <x v="0"/>
    <x v="1"/>
    <s v="Divorced"/>
    <n v="6852"/>
    <n v="11591"/>
    <n v="7"/>
    <s v="Y"/>
    <x v="1"/>
    <n v="12"/>
    <n v="3"/>
    <n v="2"/>
    <n v="80"/>
    <n v="1"/>
    <n v="7"/>
    <n v="2"/>
    <n v="4"/>
    <n v="5"/>
    <n v="1"/>
    <n v="1"/>
    <n v="3"/>
    <x v="3"/>
    <x v="0"/>
    <s v="Medium"/>
    <x v="1"/>
    <s v="Excellent"/>
    <s v="Best"/>
    <n v="0"/>
    <s v="6,001–10,000"/>
    <s v="6–10 miles"/>
    <s v="2–5 years"/>
  </r>
  <r>
    <n v="25"/>
    <x v="1"/>
    <s v="Travel_Rarely"/>
    <n v="1356"/>
    <x v="0"/>
    <n v="10"/>
    <x v="2"/>
    <s v="Life Sciences"/>
    <n v="1"/>
    <n v="1240"/>
    <n v="3"/>
    <s v="Male"/>
    <n v="57"/>
    <n v="3"/>
    <n v="2"/>
    <x v="0"/>
    <x v="0"/>
    <s v="Single"/>
    <n v="4950"/>
    <n v="20623"/>
    <n v="0"/>
    <s v="Y"/>
    <x v="1"/>
    <n v="14"/>
    <n v="3"/>
    <n v="2"/>
    <n v="80"/>
    <n v="0"/>
    <n v="5"/>
    <n v="4"/>
    <n v="3"/>
    <n v="4"/>
    <n v="3"/>
    <n v="1"/>
    <n v="1"/>
    <x v="2"/>
    <x v="1"/>
    <s v="High"/>
    <x v="0"/>
    <s v="Excellent"/>
    <s v="Better"/>
    <n v="0"/>
    <s v="3,001–6,000"/>
    <s v="6–10 miles"/>
    <s v="2–5 years"/>
  </r>
  <r>
    <n v="30"/>
    <x v="1"/>
    <s v="Travel_Rarely"/>
    <n v="1465"/>
    <x v="1"/>
    <n v="1"/>
    <x v="3"/>
    <s v="Medical"/>
    <n v="1"/>
    <n v="1241"/>
    <n v="4"/>
    <s v="Male"/>
    <n v="63"/>
    <n v="3"/>
    <n v="1"/>
    <x v="1"/>
    <x v="1"/>
    <s v="Married"/>
    <n v="3579"/>
    <n v="9369"/>
    <n v="0"/>
    <s v="Y"/>
    <x v="0"/>
    <n v="21"/>
    <n v="4"/>
    <n v="1"/>
    <n v="80"/>
    <n v="1"/>
    <n v="12"/>
    <n v="2"/>
    <n v="3"/>
    <n v="11"/>
    <n v="9"/>
    <n v="5"/>
    <n v="7"/>
    <x v="3"/>
    <x v="2"/>
    <s v="High"/>
    <x v="1"/>
    <s v="Outstanding"/>
    <s v="Better"/>
    <n v="0"/>
    <s v="3,001–6,000"/>
    <s v="0–5 miles"/>
    <s v="11+ years"/>
  </r>
  <r>
    <n v="42"/>
    <x v="1"/>
    <s v="Travel_Frequently"/>
    <n v="458"/>
    <x v="1"/>
    <n v="26"/>
    <x v="4"/>
    <s v="Medical"/>
    <n v="1"/>
    <n v="1242"/>
    <n v="1"/>
    <s v="Female"/>
    <n v="60"/>
    <n v="3"/>
    <n v="3"/>
    <x v="7"/>
    <x v="3"/>
    <s v="Married"/>
    <n v="13191"/>
    <n v="23281"/>
    <n v="3"/>
    <s v="Y"/>
    <x v="0"/>
    <n v="17"/>
    <n v="3"/>
    <n v="3"/>
    <n v="80"/>
    <n v="0"/>
    <n v="20"/>
    <n v="6"/>
    <n v="3"/>
    <n v="1"/>
    <n v="0"/>
    <n v="0"/>
    <n v="0"/>
    <x v="4"/>
    <x v="3"/>
    <s v="High"/>
    <x v="3"/>
    <s v="Excellent"/>
    <s v="Better"/>
    <n v="0"/>
    <s v="10,001+"/>
    <s v="16+ miles"/>
    <s v="0–1 years"/>
  </r>
  <r>
    <n v="35"/>
    <x v="1"/>
    <s v="Non-Travel"/>
    <n v="1212"/>
    <x v="0"/>
    <n v="8"/>
    <x v="0"/>
    <s v="Marketing"/>
    <n v="1"/>
    <n v="1243"/>
    <n v="3"/>
    <s v="Female"/>
    <n v="78"/>
    <n v="2"/>
    <n v="3"/>
    <x v="0"/>
    <x v="0"/>
    <s v="Married"/>
    <n v="10377"/>
    <n v="13755"/>
    <n v="4"/>
    <s v="Y"/>
    <x v="0"/>
    <n v="11"/>
    <n v="3"/>
    <n v="2"/>
    <n v="80"/>
    <n v="1"/>
    <n v="16"/>
    <n v="6"/>
    <n v="2"/>
    <n v="13"/>
    <n v="2"/>
    <n v="4"/>
    <n v="12"/>
    <x v="0"/>
    <x v="1"/>
    <s v="Medium"/>
    <x v="0"/>
    <s v="Excellent"/>
    <s v="Good"/>
    <n v="0"/>
    <s v="10,001+"/>
    <s v="6–10 miles"/>
    <s v="11+ years"/>
  </r>
  <r>
    <n v="27"/>
    <x v="1"/>
    <s v="Travel_Rarely"/>
    <n v="1103"/>
    <x v="1"/>
    <n v="14"/>
    <x v="3"/>
    <s v="Life Sciences"/>
    <n v="1"/>
    <n v="1244"/>
    <n v="1"/>
    <s v="Male"/>
    <n v="42"/>
    <n v="3"/>
    <n v="1"/>
    <x v="1"/>
    <x v="3"/>
    <s v="Married"/>
    <n v="2235"/>
    <n v="14377"/>
    <n v="1"/>
    <s v="Y"/>
    <x v="0"/>
    <n v="14"/>
    <n v="3"/>
    <n v="4"/>
    <n v="80"/>
    <n v="2"/>
    <n v="9"/>
    <n v="3"/>
    <n v="2"/>
    <n v="9"/>
    <n v="7"/>
    <n v="6"/>
    <n v="8"/>
    <x v="3"/>
    <x v="3"/>
    <s v="High"/>
    <x v="3"/>
    <s v="Excellent"/>
    <s v="Good"/>
    <n v="0"/>
    <s v="0–3,000"/>
    <s v="11–15 miles"/>
    <s v="6–10 years"/>
  </r>
  <r>
    <n v="54"/>
    <x v="1"/>
    <s v="Travel_Frequently"/>
    <n v="966"/>
    <x v="1"/>
    <n v="1"/>
    <x v="2"/>
    <s v="Life Sciences"/>
    <n v="1"/>
    <n v="1245"/>
    <n v="4"/>
    <s v="Female"/>
    <n v="53"/>
    <n v="3"/>
    <n v="3"/>
    <x v="3"/>
    <x v="2"/>
    <s v="Divorced"/>
    <n v="10502"/>
    <n v="9659"/>
    <n v="7"/>
    <s v="Y"/>
    <x v="1"/>
    <n v="17"/>
    <n v="3"/>
    <n v="1"/>
    <n v="80"/>
    <n v="1"/>
    <n v="33"/>
    <n v="2"/>
    <n v="1"/>
    <n v="5"/>
    <n v="4"/>
    <n v="1"/>
    <n v="4"/>
    <x v="2"/>
    <x v="2"/>
    <s v="High"/>
    <x v="2"/>
    <s v="Excellent"/>
    <s v="Bad"/>
    <n v="0"/>
    <s v="10,001+"/>
    <s v="0–5 miles"/>
    <s v="2–5 years"/>
  </r>
  <r>
    <n v="44"/>
    <x v="1"/>
    <s v="Travel_Rarely"/>
    <n v="1117"/>
    <x v="1"/>
    <n v="2"/>
    <x v="1"/>
    <s v="Life Sciences"/>
    <n v="1"/>
    <n v="1246"/>
    <n v="1"/>
    <s v="Female"/>
    <n v="72"/>
    <n v="4"/>
    <n v="1"/>
    <x v="1"/>
    <x v="0"/>
    <s v="Married"/>
    <n v="2011"/>
    <n v="19982"/>
    <n v="1"/>
    <s v="Y"/>
    <x v="1"/>
    <n v="13"/>
    <n v="3"/>
    <n v="4"/>
    <n v="80"/>
    <n v="1"/>
    <n v="10"/>
    <n v="5"/>
    <n v="3"/>
    <n v="10"/>
    <n v="5"/>
    <n v="7"/>
    <n v="7"/>
    <x v="1"/>
    <x v="3"/>
    <s v="Very High"/>
    <x v="0"/>
    <s v="Excellent"/>
    <s v="Better"/>
    <n v="0"/>
    <s v="0–3,000"/>
    <s v="0–5 miles"/>
    <s v="6–10 years"/>
  </r>
  <r>
    <n v="19"/>
    <x v="0"/>
    <s v="Non-Travel"/>
    <n v="504"/>
    <x v="1"/>
    <n v="10"/>
    <x v="3"/>
    <s v="Medical"/>
    <n v="1"/>
    <n v="1248"/>
    <n v="1"/>
    <s v="Female"/>
    <n v="96"/>
    <n v="2"/>
    <n v="1"/>
    <x v="1"/>
    <x v="1"/>
    <s v="Single"/>
    <n v="1859"/>
    <n v="6148"/>
    <n v="1"/>
    <s v="Y"/>
    <x v="0"/>
    <n v="25"/>
    <n v="4"/>
    <n v="2"/>
    <n v="80"/>
    <n v="0"/>
    <n v="1"/>
    <n v="2"/>
    <n v="4"/>
    <n v="1"/>
    <n v="1"/>
    <n v="0"/>
    <n v="0"/>
    <x v="3"/>
    <x v="3"/>
    <s v="Medium"/>
    <x v="1"/>
    <s v="Outstanding"/>
    <s v="Best"/>
    <n v="1"/>
    <s v="0–3,000"/>
    <s v="6–10 miles"/>
    <s v="0–1 years"/>
  </r>
  <r>
    <n v="29"/>
    <x v="1"/>
    <s v="Travel_Rarely"/>
    <n v="1010"/>
    <x v="1"/>
    <n v="1"/>
    <x v="3"/>
    <s v="Life Sciences"/>
    <n v="1"/>
    <n v="1249"/>
    <n v="1"/>
    <s v="Female"/>
    <n v="97"/>
    <n v="3"/>
    <n v="1"/>
    <x v="1"/>
    <x v="0"/>
    <s v="Divorced"/>
    <n v="3760"/>
    <n v="5598"/>
    <n v="1"/>
    <s v="Y"/>
    <x v="1"/>
    <n v="15"/>
    <n v="3"/>
    <n v="1"/>
    <n v="80"/>
    <n v="3"/>
    <n v="3"/>
    <n v="5"/>
    <n v="3"/>
    <n v="3"/>
    <n v="2"/>
    <n v="1"/>
    <n v="2"/>
    <x v="3"/>
    <x v="3"/>
    <s v="High"/>
    <x v="0"/>
    <s v="Excellent"/>
    <s v="Better"/>
    <n v="0"/>
    <s v="3,001–6,000"/>
    <s v="0–5 miles"/>
    <s v="2–5 years"/>
  </r>
  <r>
    <n v="54"/>
    <x v="1"/>
    <s v="Travel_Rarely"/>
    <n v="685"/>
    <x v="1"/>
    <n v="3"/>
    <x v="3"/>
    <s v="Life Sciences"/>
    <n v="1"/>
    <n v="1250"/>
    <n v="4"/>
    <s v="Male"/>
    <n v="85"/>
    <n v="3"/>
    <n v="4"/>
    <x v="7"/>
    <x v="0"/>
    <s v="Married"/>
    <n v="17779"/>
    <n v="23474"/>
    <n v="3"/>
    <s v="Y"/>
    <x v="1"/>
    <n v="14"/>
    <n v="3"/>
    <n v="1"/>
    <n v="80"/>
    <n v="0"/>
    <n v="36"/>
    <n v="2"/>
    <n v="3"/>
    <n v="10"/>
    <n v="9"/>
    <n v="0"/>
    <n v="9"/>
    <x v="3"/>
    <x v="2"/>
    <s v="High"/>
    <x v="0"/>
    <s v="Excellent"/>
    <s v="Better"/>
    <n v="0"/>
    <s v="10,001+"/>
    <s v="0–5 miles"/>
    <s v="6–10 years"/>
  </r>
  <r>
    <n v="31"/>
    <x v="1"/>
    <s v="Travel_Rarely"/>
    <n v="1332"/>
    <x v="1"/>
    <n v="11"/>
    <x v="0"/>
    <s v="Medical"/>
    <n v="1"/>
    <n v="1251"/>
    <n v="3"/>
    <s v="Male"/>
    <n v="80"/>
    <n v="3"/>
    <n v="2"/>
    <x v="4"/>
    <x v="3"/>
    <s v="Married"/>
    <n v="6833"/>
    <n v="17089"/>
    <n v="1"/>
    <s v="Y"/>
    <x v="0"/>
    <n v="12"/>
    <n v="3"/>
    <n v="4"/>
    <n v="80"/>
    <n v="0"/>
    <n v="6"/>
    <n v="2"/>
    <n v="2"/>
    <n v="6"/>
    <n v="5"/>
    <n v="0"/>
    <n v="1"/>
    <x v="0"/>
    <x v="1"/>
    <s v="High"/>
    <x v="3"/>
    <s v="Excellent"/>
    <s v="Good"/>
    <n v="0"/>
    <s v="6,001–10,000"/>
    <s v="11–15 miles"/>
    <s v="6–10 years"/>
  </r>
  <r>
    <n v="31"/>
    <x v="1"/>
    <s v="Travel_Rarely"/>
    <n v="1062"/>
    <x v="1"/>
    <n v="24"/>
    <x v="3"/>
    <s v="Medical"/>
    <n v="1"/>
    <n v="1252"/>
    <n v="3"/>
    <s v="Female"/>
    <n v="96"/>
    <n v="2"/>
    <n v="2"/>
    <x v="4"/>
    <x v="3"/>
    <s v="Single"/>
    <n v="6812"/>
    <n v="17198"/>
    <n v="1"/>
    <s v="Y"/>
    <x v="1"/>
    <n v="19"/>
    <n v="3"/>
    <n v="2"/>
    <n v="80"/>
    <n v="0"/>
    <n v="10"/>
    <n v="2"/>
    <n v="3"/>
    <n v="10"/>
    <n v="9"/>
    <n v="1"/>
    <n v="8"/>
    <x v="3"/>
    <x v="1"/>
    <s v="Medium"/>
    <x v="3"/>
    <s v="Excellent"/>
    <s v="Better"/>
    <n v="0"/>
    <s v="6,001–10,000"/>
    <s v="16+ miles"/>
    <s v="6–10 years"/>
  </r>
  <r>
    <n v="59"/>
    <x v="1"/>
    <s v="Travel_Rarely"/>
    <n v="326"/>
    <x v="0"/>
    <n v="3"/>
    <x v="3"/>
    <s v="Life Sciences"/>
    <n v="1"/>
    <n v="1254"/>
    <n v="3"/>
    <s v="Female"/>
    <n v="48"/>
    <n v="2"/>
    <n v="2"/>
    <x v="0"/>
    <x v="0"/>
    <s v="Single"/>
    <n v="5171"/>
    <n v="16490"/>
    <n v="5"/>
    <s v="Y"/>
    <x v="1"/>
    <n v="17"/>
    <n v="3"/>
    <n v="4"/>
    <n v="80"/>
    <n v="0"/>
    <n v="13"/>
    <n v="2"/>
    <n v="3"/>
    <n v="6"/>
    <n v="1"/>
    <n v="0"/>
    <n v="5"/>
    <x v="3"/>
    <x v="1"/>
    <s v="Medium"/>
    <x v="0"/>
    <s v="Excellent"/>
    <s v="Better"/>
    <n v="0"/>
    <s v="3,001–6,000"/>
    <s v="0–5 miles"/>
    <s v="6–10 years"/>
  </r>
  <r>
    <n v="43"/>
    <x v="1"/>
    <s v="Travel_Rarely"/>
    <n v="920"/>
    <x v="1"/>
    <n v="3"/>
    <x v="3"/>
    <s v="Life Sciences"/>
    <n v="1"/>
    <n v="1255"/>
    <n v="3"/>
    <s v="Male"/>
    <n v="96"/>
    <n v="1"/>
    <n v="5"/>
    <x v="7"/>
    <x v="0"/>
    <s v="Married"/>
    <n v="19740"/>
    <n v="18625"/>
    <n v="3"/>
    <s v="Y"/>
    <x v="1"/>
    <n v="14"/>
    <n v="3"/>
    <n v="2"/>
    <n v="80"/>
    <n v="1"/>
    <n v="25"/>
    <n v="2"/>
    <n v="3"/>
    <n v="8"/>
    <n v="7"/>
    <n v="0"/>
    <n v="7"/>
    <x v="3"/>
    <x v="1"/>
    <s v="Low"/>
    <x v="0"/>
    <s v="Excellent"/>
    <s v="Better"/>
    <n v="0"/>
    <s v="10,001+"/>
    <s v="0–5 miles"/>
    <s v="6–10 years"/>
  </r>
  <r>
    <n v="49"/>
    <x v="1"/>
    <s v="Travel_Rarely"/>
    <n v="1098"/>
    <x v="1"/>
    <n v="4"/>
    <x v="0"/>
    <s v="Medical"/>
    <n v="1"/>
    <n v="1256"/>
    <n v="1"/>
    <s v="Male"/>
    <n v="85"/>
    <n v="2"/>
    <n v="5"/>
    <x v="5"/>
    <x v="2"/>
    <s v="Married"/>
    <n v="18711"/>
    <n v="12124"/>
    <n v="2"/>
    <s v="Y"/>
    <x v="1"/>
    <n v="13"/>
    <n v="3"/>
    <n v="3"/>
    <n v="80"/>
    <n v="1"/>
    <n v="23"/>
    <n v="2"/>
    <n v="4"/>
    <n v="1"/>
    <n v="0"/>
    <n v="0"/>
    <n v="0"/>
    <x v="0"/>
    <x v="3"/>
    <s v="Medium"/>
    <x v="2"/>
    <s v="Excellent"/>
    <s v="Best"/>
    <n v="0"/>
    <s v="10,001+"/>
    <s v="0–5 miles"/>
    <s v="0–1 years"/>
  </r>
  <r>
    <n v="36"/>
    <x v="1"/>
    <s v="Travel_Frequently"/>
    <n v="469"/>
    <x v="1"/>
    <n v="3"/>
    <x v="3"/>
    <s v="Technical Degree"/>
    <n v="1"/>
    <n v="1257"/>
    <n v="3"/>
    <s v="Male"/>
    <n v="46"/>
    <n v="3"/>
    <n v="1"/>
    <x v="1"/>
    <x v="1"/>
    <s v="Married"/>
    <n v="3692"/>
    <n v="9256"/>
    <n v="1"/>
    <s v="Y"/>
    <x v="1"/>
    <n v="12"/>
    <n v="3"/>
    <n v="3"/>
    <n v="80"/>
    <n v="0"/>
    <n v="12"/>
    <n v="2"/>
    <n v="2"/>
    <n v="11"/>
    <n v="10"/>
    <n v="0"/>
    <n v="7"/>
    <x v="3"/>
    <x v="1"/>
    <s v="High"/>
    <x v="1"/>
    <s v="Excellent"/>
    <s v="Good"/>
    <n v="0"/>
    <s v="3,001–6,000"/>
    <s v="0–5 miles"/>
    <s v="11+ years"/>
  </r>
  <r>
    <n v="48"/>
    <x v="1"/>
    <s v="Travel_Rarely"/>
    <n v="969"/>
    <x v="1"/>
    <n v="2"/>
    <x v="0"/>
    <s v="Technical Degree"/>
    <n v="1"/>
    <n v="1258"/>
    <n v="4"/>
    <s v="Male"/>
    <n v="76"/>
    <n v="4"/>
    <n v="1"/>
    <x v="2"/>
    <x v="1"/>
    <s v="Single"/>
    <n v="2559"/>
    <n v="16620"/>
    <n v="5"/>
    <s v="Y"/>
    <x v="1"/>
    <n v="11"/>
    <n v="3"/>
    <n v="3"/>
    <n v="80"/>
    <n v="0"/>
    <n v="7"/>
    <n v="4"/>
    <n v="2"/>
    <n v="1"/>
    <n v="0"/>
    <n v="0"/>
    <n v="0"/>
    <x v="0"/>
    <x v="2"/>
    <s v="Very High"/>
    <x v="1"/>
    <s v="Excellent"/>
    <s v="Good"/>
    <n v="0"/>
    <s v="0–3,000"/>
    <s v="0–5 miles"/>
    <s v="0–1 years"/>
  </r>
  <r>
    <n v="27"/>
    <x v="1"/>
    <s v="Travel_Rarely"/>
    <n v="1167"/>
    <x v="1"/>
    <n v="4"/>
    <x v="0"/>
    <s v="Life Sciences"/>
    <n v="1"/>
    <n v="1259"/>
    <n v="1"/>
    <s v="Male"/>
    <n v="76"/>
    <n v="3"/>
    <n v="1"/>
    <x v="1"/>
    <x v="2"/>
    <s v="Divorced"/>
    <n v="2517"/>
    <n v="3208"/>
    <n v="1"/>
    <s v="Y"/>
    <x v="1"/>
    <n v="11"/>
    <n v="3"/>
    <n v="2"/>
    <n v="80"/>
    <n v="3"/>
    <n v="5"/>
    <n v="2"/>
    <n v="3"/>
    <n v="5"/>
    <n v="3"/>
    <n v="0"/>
    <n v="3"/>
    <x v="0"/>
    <x v="3"/>
    <s v="High"/>
    <x v="2"/>
    <s v="Excellent"/>
    <s v="Better"/>
    <n v="0"/>
    <s v="0–3,000"/>
    <s v="0–5 miles"/>
    <s v="2–5 years"/>
  </r>
  <r>
    <n v="29"/>
    <x v="1"/>
    <s v="Travel_Rarely"/>
    <n v="1329"/>
    <x v="1"/>
    <n v="7"/>
    <x v="3"/>
    <s v="Life Sciences"/>
    <n v="1"/>
    <n v="1260"/>
    <n v="3"/>
    <s v="Male"/>
    <n v="82"/>
    <n v="3"/>
    <n v="2"/>
    <x v="4"/>
    <x v="0"/>
    <s v="Divorced"/>
    <n v="6623"/>
    <n v="4204"/>
    <n v="1"/>
    <s v="Y"/>
    <x v="0"/>
    <n v="11"/>
    <n v="3"/>
    <n v="2"/>
    <n v="80"/>
    <n v="2"/>
    <n v="6"/>
    <n v="2"/>
    <n v="3"/>
    <n v="6"/>
    <n v="0"/>
    <n v="1"/>
    <n v="0"/>
    <x v="3"/>
    <x v="1"/>
    <s v="High"/>
    <x v="0"/>
    <s v="Excellent"/>
    <s v="Better"/>
    <n v="0"/>
    <s v="6,001–10,000"/>
    <s v="6–10 miles"/>
    <s v="6–10 years"/>
  </r>
  <r>
    <n v="48"/>
    <x v="1"/>
    <s v="Travel_Rarely"/>
    <n v="715"/>
    <x v="1"/>
    <n v="1"/>
    <x v="3"/>
    <s v="Life Sciences"/>
    <n v="1"/>
    <n v="1263"/>
    <n v="4"/>
    <s v="Male"/>
    <n v="76"/>
    <n v="2"/>
    <n v="5"/>
    <x v="7"/>
    <x v="0"/>
    <s v="Single"/>
    <n v="18265"/>
    <n v="8733"/>
    <n v="6"/>
    <s v="Y"/>
    <x v="1"/>
    <n v="12"/>
    <n v="3"/>
    <n v="3"/>
    <n v="80"/>
    <n v="0"/>
    <n v="25"/>
    <n v="3"/>
    <n v="4"/>
    <n v="1"/>
    <n v="0"/>
    <n v="0"/>
    <n v="0"/>
    <x v="3"/>
    <x v="2"/>
    <s v="Medium"/>
    <x v="0"/>
    <s v="Excellent"/>
    <s v="Best"/>
    <n v="0"/>
    <s v="10,001+"/>
    <s v="0–5 miles"/>
    <s v="0–1 years"/>
  </r>
  <r>
    <n v="29"/>
    <x v="1"/>
    <s v="Travel_Rarely"/>
    <n v="694"/>
    <x v="1"/>
    <n v="1"/>
    <x v="3"/>
    <s v="Life Sciences"/>
    <n v="1"/>
    <n v="1264"/>
    <n v="4"/>
    <s v="Female"/>
    <n v="87"/>
    <n v="2"/>
    <n v="4"/>
    <x v="7"/>
    <x v="0"/>
    <s v="Divorced"/>
    <n v="16124"/>
    <n v="3423"/>
    <n v="3"/>
    <s v="Y"/>
    <x v="1"/>
    <n v="14"/>
    <n v="3"/>
    <n v="2"/>
    <n v="80"/>
    <n v="2"/>
    <n v="9"/>
    <n v="2"/>
    <n v="2"/>
    <n v="7"/>
    <n v="7"/>
    <n v="1"/>
    <n v="7"/>
    <x v="3"/>
    <x v="2"/>
    <s v="Medium"/>
    <x v="0"/>
    <s v="Excellent"/>
    <s v="Good"/>
    <n v="0"/>
    <s v="10,001+"/>
    <s v="0–5 miles"/>
    <s v="6–10 years"/>
  </r>
  <r>
    <n v="34"/>
    <x v="1"/>
    <s v="Travel_Rarely"/>
    <n v="1320"/>
    <x v="1"/>
    <n v="20"/>
    <x v="3"/>
    <s v="Technical Degree"/>
    <n v="1"/>
    <n v="1265"/>
    <n v="3"/>
    <s v="Female"/>
    <n v="89"/>
    <n v="4"/>
    <n v="1"/>
    <x v="1"/>
    <x v="2"/>
    <s v="Married"/>
    <n v="2585"/>
    <n v="21643"/>
    <n v="0"/>
    <s v="Y"/>
    <x v="1"/>
    <n v="17"/>
    <n v="3"/>
    <n v="4"/>
    <n v="80"/>
    <n v="0"/>
    <n v="2"/>
    <n v="5"/>
    <n v="2"/>
    <n v="1"/>
    <n v="0"/>
    <n v="0"/>
    <n v="0"/>
    <x v="3"/>
    <x v="1"/>
    <s v="Very High"/>
    <x v="2"/>
    <s v="Excellent"/>
    <s v="Good"/>
    <n v="0"/>
    <s v="0–3,000"/>
    <s v="16+ miles"/>
    <s v="0–1 years"/>
  </r>
  <r>
    <n v="44"/>
    <x v="1"/>
    <s v="Travel_Rarely"/>
    <n v="1099"/>
    <x v="0"/>
    <n v="5"/>
    <x v="3"/>
    <s v="Marketing"/>
    <n v="1"/>
    <n v="1267"/>
    <n v="2"/>
    <s v="Male"/>
    <n v="88"/>
    <n v="3"/>
    <n v="5"/>
    <x v="5"/>
    <x v="1"/>
    <s v="Married"/>
    <n v="18213"/>
    <n v="8751"/>
    <n v="7"/>
    <s v="Y"/>
    <x v="1"/>
    <n v="11"/>
    <n v="3"/>
    <n v="3"/>
    <n v="80"/>
    <n v="1"/>
    <n v="26"/>
    <n v="5"/>
    <n v="3"/>
    <n v="22"/>
    <n v="9"/>
    <n v="3"/>
    <n v="10"/>
    <x v="3"/>
    <x v="0"/>
    <s v="High"/>
    <x v="1"/>
    <s v="Excellent"/>
    <s v="Better"/>
    <n v="0"/>
    <s v="10,001+"/>
    <s v="0–5 miles"/>
    <s v="11+ years"/>
  </r>
  <r>
    <n v="33"/>
    <x v="1"/>
    <s v="Travel_Rarely"/>
    <n v="536"/>
    <x v="0"/>
    <n v="10"/>
    <x v="4"/>
    <s v="Marketing"/>
    <n v="1"/>
    <n v="1268"/>
    <n v="4"/>
    <s v="Male"/>
    <n v="82"/>
    <n v="4"/>
    <n v="3"/>
    <x v="0"/>
    <x v="2"/>
    <s v="Divorced"/>
    <n v="8380"/>
    <n v="21708"/>
    <n v="0"/>
    <s v="Y"/>
    <x v="0"/>
    <n v="14"/>
    <n v="3"/>
    <n v="4"/>
    <n v="80"/>
    <n v="2"/>
    <n v="10"/>
    <n v="3"/>
    <n v="3"/>
    <n v="9"/>
    <n v="8"/>
    <n v="0"/>
    <n v="8"/>
    <x v="4"/>
    <x v="2"/>
    <s v="Very High"/>
    <x v="2"/>
    <s v="Excellent"/>
    <s v="Better"/>
    <n v="0"/>
    <s v="6,001–10,000"/>
    <s v="6–10 miles"/>
    <s v="6–10 years"/>
  </r>
  <r>
    <n v="19"/>
    <x v="1"/>
    <s v="Travel_Rarely"/>
    <n v="265"/>
    <x v="1"/>
    <n v="25"/>
    <x v="3"/>
    <s v="Life Sciences"/>
    <n v="1"/>
    <n v="1269"/>
    <n v="2"/>
    <s v="Female"/>
    <n v="57"/>
    <n v="4"/>
    <n v="1"/>
    <x v="1"/>
    <x v="0"/>
    <s v="Single"/>
    <n v="2994"/>
    <n v="21221"/>
    <n v="1"/>
    <s v="Y"/>
    <x v="0"/>
    <n v="12"/>
    <n v="3"/>
    <n v="4"/>
    <n v="80"/>
    <n v="0"/>
    <n v="1"/>
    <n v="2"/>
    <n v="3"/>
    <n v="1"/>
    <n v="0"/>
    <n v="0"/>
    <n v="1"/>
    <x v="3"/>
    <x v="0"/>
    <s v="Very High"/>
    <x v="0"/>
    <s v="Excellent"/>
    <s v="Better"/>
    <n v="0"/>
    <s v="0–3,000"/>
    <s v="16+ miles"/>
    <s v="0–1 years"/>
  </r>
  <r>
    <n v="23"/>
    <x v="1"/>
    <s v="Travel_Rarely"/>
    <n v="373"/>
    <x v="1"/>
    <n v="1"/>
    <x v="0"/>
    <s v="Life Sciences"/>
    <n v="1"/>
    <n v="1270"/>
    <n v="4"/>
    <s v="Male"/>
    <n v="47"/>
    <n v="3"/>
    <n v="1"/>
    <x v="1"/>
    <x v="2"/>
    <s v="Married"/>
    <n v="1223"/>
    <n v="16901"/>
    <n v="1"/>
    <s v="Y"/>
    <x v="1"/>
    <n v="22"/>
    <n v="4"/>
    <n v="4"/>
    <n v="80"/>
    <n v="1"/>
    <n v="1"/>
    <n v="2"/>
    <n v="3"/>
    <n v="1"/>
    <n v="0"/>
    <n v="0"/>
    <n v="1"/>
    <x v="0"/>
    <x v="2"/>
    <s v="High"/>
    <x v="2"/>
    <s v="Outstanding"/>
    <s v="Better"/>
    <n v="0"/>
    <s v="0–3,000"/>
    <s v="0–5 miles"/>
    <s v="0–1 years"/>
  </r>
  <r>
    <n v="25"/>
    <x v="0"/>
    <s v="Travel_Frequently"/>
    <n v="599"/>
    <x v="0"/>
    <n v="24"/>
    <x v="1"/>
    <s v="Life Sciences"/>
    <n v="1"/>
    <n v="1273"/>
    <n v="3"/>
    <s v="Male"/>
    <n v="73"/>
    <n v="1"/>
    <n v="1"/>
    <x v="6"/>
    <x v="0"/>
    <s v="Single"/>
    <n v="1118"/>
    <n v="8040"/>
    <n v="1"/>
    <s v="Y"/>
    <x v="0"/>
    <n v="14"/>
    <n v="3"/>
    <n v="4"/>
    <n v="80"/>
    <n v="0"/>
    <n v="1"/>
    <n v="4"/>
    <n v="3"/>
    <n v="1"/>
    <n v="0"/>
    <n v="1"/>
    <n v="0"/>
    <x v="1"/>
    <x v="1"/>
    <s v="Low"/>
    <x v="0"/>
    <s v="Excellent"/>
    <s v="Better"/>
    <n v="1"/>
    <s v="0–3,000"/>
    <s v="16+ miles"/>
    <s v="0–1 years"/>
  </r>
  <r>
    <n v="26"/>
    <x v="1"/>
    <s v="Travel_Rarely"/>
    <n v="583"/>
    <x v="1"/>
    <n v="4"/>
    <x v="0"/>
    <s v="Life Sciences"/>
    <n v="1"/>
    <n v="1275"/>
    <n v="3"/>
    <s v="Male"/>
    <n v="53"/>
    <n v="3"/>
    <n v="1"/>
    <x v="1"/>
    <x v="0"/>
    <s v="Single"/>
    <n v="2875"/>
    <n v="9973"/>
    <n v="1"/>
    <s v="Y"/>
    <x v="0"/>
    <n v="20"/>
    <n v="4"/>
    <n v="2"/>
    <n v="80"/>
    <n v="0"/>
    <n v="8"/>
    <n v="2"/>
    <n v="2"/>
    <n v="8"/>
    <n v="5"/>
    <n v="2"/>
    <n v="2"/>
    <x v="0"/>
    <x v="1"/>
    <s v="High"/>
    <x v="0"/>
    <s v="Outstanding"/>
    <s v="Good"/>
    <n v="0"/>
    <s v="0–3,000"/>
    <s v="0–5 miles"/>
    <s v="6–10 years"/>
  </r>
  <r>
    <n v="45"/>
    <x v="0"/>
    <s v="Travel_Rarely"/>
    <n v="1449"/>
    <x v="0"/>
    <n v="2"/>
    <x v="3"/>
    <s v="Marketing"/>
    <n v="1"/>
    <n v="1277"/>
    <n v="1"/>
    <s v="Female"/>
    <n v="94"/>
    <n v="1"/>
    <n v="5"/>
    <x v="5"/>
    <x v="1"/>
    <s v="Single"/>
    <n v="18824"/>
    <n v="2493"/>
    <n v="2"/>
    <s v="Y"/>
    <x v="0"/>
    <n v="16"/>
    <n v="3"/>
    <n v="1"/>
    <n v="80"/>
    <n v="0"/>
    <n v="26"/>
    <n v="2"/>
    <n v="3"/>
    <n v="24"/>
    <n v="10"/>
    <n v="1"/>
    <n v="11"/>
    <x v="3"/>
    <x v="3"/>
    <s v="Low"/>
    <x v="1"/>
    <s v="Excellent"/>
    <s v="Better"/>
    <n v="1"/>
    <s v="10,001+"/>
    <s v="0–5 miles"/>
    <s v="11+ years"/>
  </r>
  <r>
    <n v="55"/>
    <x v="1"/>
    <s v="Non-Travel"/>
    <n v="177"/>
    <x v="1"/>
    <n v="8"/>
    <x v="1"/>
    <s v="Medical"/>
    <n v="1"/>
    <n v="1278"/>
    <n v="4"/>
    <s v="Male"/>
    <n v="37"/>
    <n v="2"/>
    <n v="4"/>
    <x v="4"/>
    <x v="1"/>
    <s v="Divorced"/>
    <n v="13577"/>
    <n v="25592"/>
    <n v="1"/>
    <s v="Y"/>
    <x v="0"/>
    <n v="15"/>
    <n v="3"/>
    <n v="4"/>
    <n v="80"/>
    <n v="1"/>
    <n v="34"/>
    <n v="3"/>
    <n v="3"/>
    <n v="33"/>
    <n v="9"/>
    <n v="15"/>
    <n v="0"/>
    <x v="1"/>
    <x v="2"/>
    <s v="Medium"/>
    <x v="1"/>
    <s v="Excellent"/>
    <s v="Better"/>
    <n v="0"/>
    <s v="10,001+"/>
    <s v="6–10 miles"/>
    <s v="11+ years"/>
  </r>
  <r>
    <n v="21"/>
    <x v="0"/>
    <s v="Travel_Frequently"/>
    <n v="251"/>
    <x v="1"/>
    <n v="10"/>
    <x v="0"/>
    <s v="Life Sciences"/>
    <n v="1"/>
    <n v="1279"/>
    <n v="1"/>
    <s v="Female"/>
    <n v="45"/>
    <n v="2"/>
    <n v="1"/>
    <x v="2"/>
    <x v="2"/>
    <s v="Single"/>
    <n v="2625"/>
    <n v="25308"/>
    <n v="1"/>
    <s v="Y"/>
    <x v="1"/>
    <n v="20"/>
    <n v="4"/>
    <n v="3"/>
    <n v="80"/>
    <n v="0"/>
    <n v="2"/>
    <n v="2"/>
    <n v="1"/>
    <n v="2"/>
    <n v="2"/>
    <n v="2"/>
    <n v="2"/>
    <x v="0"/>
    <x v="3"/>
    <s v="Medium"/>
    <x v="2"/>
    <s v="Outstanding"/>
    <s v="Bad"/>
    <n v="1"/>
    <s v="0–3,000"/>
    <s v="6–10 miles"/>
    <s v="2–5 years"/>
  </r>
  <r>
    <n v="46"/>
    <x v="1"/>
    <s v="Travel_Rarely"/>
    <n v="168"/>
    <x v="0"/>
    <n v="4"/>
    <x v="0"/>
    <s v="Marketing"/>
    <n v="1"/>
    <n v="1280"/>
    <n v="4"/>
    <s v="Female"/>
    <n v="33"/>
    <n v="2"/>
    <n v="5"/>
    <x v="5"/>
    <x v="1"/>
    <s v="Married"/>
    <n v="18789"/>
    <n v="9946"/>
    <n v="2"/>
    <s v="Y"/>
    <x v="1"/>
    <n v="14"/>
    <n v="3"/>
    <n v="3"/>
    <n v="80"/>
    <n v="1"/>
    <n v="26"/>
    <n v="2"/>
    <n v="3"/>
    <n v="11"/>
    <n v="4"/>
    <n v="0"/>
    <n v="8"/>
    <x v="0"/>
    <x v="2"/>
    <s v="Medium"/>
    <x v="1"/>
    <s v="Excellent"/>
    <s v="Better"/>
    <n v="0"/>
    <s v="10,001+"/>
    <s v="0–5 miles"/>
    <s v="11+ years"/>
  </r>
  <r>
    <n v="34"/>
    <x v="1"/>
    <s v="Travel_Rarely"/>
    <n v="131"/>
    <x v="0"/>
    <n v="2"/>
    <x v="3"/>
    <s v="Marketing"/>
    <n v="1"/>
    <n v="1281"/>
    <n v="3"/>
    <s v="Female"/>
    <n v="86"/>
    <n v="3"/>
    <n v="2"/>
    <x v="0"/>
    <x v="3"/>
    <s v="Single"/>
    <n v="4538"/>
    <n v="6039"/>
    <n v="0"/>
    <s v="Y"/>
    <x v="0"/>
    <n v="12"/>
    <n v="3"/>
    <n v="4"/>
    <n v="80"/>
    <n v="0"/>
    <n v="4"/>
    <n v="3"/>
    <n v="3"/>
    <n v="3"/>
    <n v="2"/>
    <n v="0"/>
    <n v="2"/>
    <x v="3"/>
    <x v="1"/>
    <s v="High"/>
    <x v="3"/>
    <s v="Excellent"/>
    <s v="Better"/>
    <n v="0"/>
    <s v="3,001–6,000"/>
    <s v="0–5 miles"/>
    <s v="2–5 years"/>
  </r>
  <r>
    <n v="51"/>
    <x v="1"/>
    <s v="Travel_Frequently"/>
    <n v="237"/>
    <x v="0"/>
    <n v="9"/>
    <x v="3"/>
    <s v="Life Sciences"/>
    <n v="1"/>
    <n v="1282"/>
    <n v="4"/>
    <s v="Male"/>
    <n v="83"/>
    <n v="3"/>
    <n v="5"/>
    <x v="5"/>
    <x v="1"/>
    <s v="Divorced"/>
    <n v="19847"/>
    <n v="19196"/>
    <n v="4"/>
    <s v="Y"/>
    <x v="0"/>
    <n v="24"/>
    <n v="4"/>
    <n v="1"/>
    <n v="80"/>
    <n v="1"/>
    <n v="31"/>
    <n v="5"/>
    <n v="2"/>
    <n v="29"/>
    <n v="10"/>
    <n v="11"/>
    <n v="10"/>
    <x v="3"/>
    <x v="2"/>
    <s v="High"/>
    <x v="1"/>
    <s v="Outstanding"/>
    <s v="Good"/>
    <n v="0"/>
    <s v="10,001+"/>
    <s v="6–10 miles"/>
    <s v="11+ years"/>
  </r>
  <r>
    <n v="59"/>
    <x v="1"/>
    <s v="Travel_Rarely"/>
    <n v="1429"/>
    <x v="1"/>
    <n v="18"/>
    <x v="2"/>
    <s v="Medical"/>
    <n v="1"/>
    <n v="1283"/>
    <n v="4"/>
    <s v="Male"/>
    <n v="67"/>
    <n v="3"/>
    <n v="3"/>
    <x v="3"/>
    <x v="0"/>
    <s v="Single"/>
    <n v="10512"/>
    <n v="20002"/>
    <n v="6"/>
    <s v="Y"/>
    <x v="1"/>
    <n v="12"/>
    <n v="3"/>
    <n v="4"/>
    <n v="80"/>
    <n v="0"/>
    <n v="25"/>
    <n v="6"/>
    <n v="2"/>
    <n v="9"/>
    <n v="7"/>
    <n v="5"/>
    <n v="4"/>
    <x v="2"/>
    <x v="2"/>
    <s v="High"/>
    <x v="0"/>
    <s v="Excellent"/>
    <s v="Good"/>
    <n v="0"/>
    <s v="10,001+"/>
    <s v="16+ miles"/>
    <s v="6–10 years"/>
  </r>
  <r>
    <n v="34"/>
    <x v="1"/>
    <s v="Travel_Frequently"/>
    <n v="135"/>
    <x v="1"/>
    <n v="19"/>
    <x v="3"/>
    <s v="Medical"/>
    <n v="1"/>
    <n v="1285"/>
    <n v="3"/>
    <s v="Female"/>
    <n v="46"/>
    <n v="3"/>
    <n v="2"/>
    <x v="2"/>
    <x v="1"/>
    <s v="Divorced"/>
    <n v="4444"/>
    <n v="22534"/>
    <n v="4"/>
    <s v="Y"/>
    <x v="1"/>
    <n v="13"/>
    <n v="3"/>
    <n v="3"/>
    <n v="80"/>
    <n v="2"/>
    <n v="15"/>
    <n v="2"/>
    <n v="4"/>
    <n v="11"/>
    <n v="8"/>
    <n v="5"/>
    <n v="10"/>
    <x v="3"/>
    <x v="1"/>
    <s v="High"/>
    <x v="1"/>
    <s v="Excellent"/>
    <s v="Best"/>
    <n v="0"/>
    <s v="3,001–6,000"/>
    <s v="16+ miles"/>
    <s v="11+ years"/>
  </r>
  <r>
    <n v="28"/>
    <x v="1"/>
    <s v="Travel_Frequently"/>
    <n v="791"/>
    <x v="1"/>
    <n v="1"/>
    <x v="2"/>
    <s v="Medical"/>
    <n v="1"/>
    <n v="1286"/>
    <n v="4"/>
    <s v="Male"/>
    <n v="44"/>
    <n v="3"/>
    <n v="1"/>
    <x v="2"/>
    <x v="2"/>
    <s v="Single"/>
    <n v="2154"/>
    <n v="6842"/>
    <n v="0"/>
    <s v="Y"/>
    <x v="0"/>
    <n v="11"/>
    <n v="3"/>
    <n v="3"/>
    <n v="80"/>
    <n v="0"/>
    <n v="5"/>
    <n v="2"/>
    <n v="2"/>
    <n v="4"/>
    <n v="2"/>
    <n v="0"/>
    <n v="2"/>
    <x v="2"/>
    <x v="2"/>
    <s v="High"/>
    <x v="2"/>
    <s v="Excellent"/>
    <s v="Good"/>
    <n v="0"/>
    <s v="0–3,000"/>
    <s v="0–5 miles"/>
    <s v="2–5 years"/>
  </r>
  <r>
    <n v="44"/>
    <x v="1"/>
    <s v="Travel_Rarely"/>
    <n v="1199"/>
    <x v="1"/>
    <n v="4"/>
    <x v="0"/>
    <s v="Life Sciences"/>
    <n v="1"/>
    <n v="1288"/>
    <n v="3"/>
    <s v="Male"/>
    <n v="92"/>
    <n v="4"/>
    <n v="5"/>
    <x v="5"/>
    <x v="3"/>
    <s v="Divorced"/>
    <n v="19190"/>
    <n v="17477"/>
    <n v="1"/>
    <s v="Y"/>
    <x v="1"/>
    <n v="14"/>
    <n v="3"/>
    <n v="4"/>
    <n v="80"/>
    <n v="2"/>
    <n v="26"/>
    <n v="4"/>
    <n v="2"/>
    <n v="25"/>
    <n v="9"/>
    <n v="14"/>
    <n v="13"/>
    <x v="0"/>
    <x v="1"/>
    <s v="Very High"/>
    <x v="3"/>
    <s v="Excellent"/>
    <s v="Good"/>
    <n v="0"/>
    <s v="10,001+"/>
    <s v="0–5 miles"/>
    <s v="11+ years"/>
  </r>
  <r>
    <n v="34"/>
    <x v="1"/>
    <s v="Travel_Frequently"/>
    <n v="648"/>
    <x v="2"/>
    <n v="11"/>
    <x v="3"/>
    <s v="Life Sciences"/>
    <n v="1"/>
    <n v="1289"/>
    <n v="3"/>
    <s v="Male"/>
    <n v="56"/>
    <n v="2"/>
    <n v="2"/>
    <x v="8"/>
    <x v="1"/>
    <s v="Married"/>
    <n v="4490"/>
    <n v="21833"/>
    <n v="4"/>
    <s v="Y"/>
    <x v="1"/>
    <n v="11"/>
    <n v="3"/>
    <n v="4"/>
    <n v="80"/>
    <n v="2"/>
    <n v="14"/>
    <n v="5"/>
    <n v="4"/>
    <n v="10"/>
    <n v="9"/>
    <n v="1"/>
    <n v="8"/>
    <x v="3"/>
    <x v="1"/>
    <s v="Medium"/>
    <x v="1"/>
    <s v="Excellent"/>
    <s v="Best"/>
    <n v="0"/>
    <s v="3,001–6,000"/>
    <s v="11–15 miles"/>
    <s v="6–10 years"/>
  </r>
  <r>
    <n v="35"/>
    <x v="1"/>
    <s v="Travel_Rarely"/>
    <n v="735"/>
    <x v="1"/>
    <n v="6"/>
    <x v="1"/>
    <s v="Life Sciences"/>
    <n v="1"/>
    <n v="1291"/>
    <n v="3"/>
    <s v="Male"/>
    <n v="66"/>
    <n v="3"/>
    <n v="1"/>
    <x v="1"/>
    <x v="2"/>
    <s v="Married"/>
    <n v="3506"/>
    <n v="6020"/>
    <n v="0"/>
    <s v="Y"/>
    <x v="0"/>
    <n v="14"/>
    <n v="3"/>
    <n v="4"/>
    <n v="80"/>
    <n v="0"/>
    <n v="4"/>
    <n v="3"/>
    <n v="3"/>
    <n v="3"/>
    <n v="2"/>
    <n v="2"/>
    <n v="2"/>
    <x v="1"/>
    <x v="1"/>
    <s v="High"/>
    <x v="2"/>
    <s v="Excellent"/>
    <s v="Better"/>
    <n v="0"/>
    <s v="3,001–6,000"/>
    <s v="6–10 miles"/>
    <s v="2–5 years"/>
  </r>
  <r>
    <n v="42"/>
    <x v="1"/>
    <s v="Travel_Rarely"/>
    <n v="603"/>
    <x v="1"/>
    <n v="7"/>
    <x v="2"/>
    <s v="Medical"/>
    <n v="1"/>
    <n v="1292"/>
    <n v="2"/>
    <s v="Female"/>
    <n v="78"/>
    <n v="4"/>
    <n v="2"/>
    <x v="1"/>
    <x v="1"/>
    <s v="Married"/>
    <n v="2372"/>
    <n v="5628"/>
    <n v="6"/>
    <s v="Y"/>
    <x v="0"/>
    <n v="16"/>
    <n v="3"/>
    <n v="4"/>
    <n v="80"/>
    <n v="0"/>
    <n v="18"/>
    <n v="2"/>
    <n v="3"/>
    <n v="1"/>
    <n v="0"/>
    <n v="0"/>
    <n v="0"/>
    <x v="2"/>
    <x v="0"/>
    <s v="Very High"/>
    <x v="1"/>
    <s v="Excellent"/>
    <s v="Better"/>
    <n v="0"/>
    <s v="0–3,000"/>
    <s v="6–10 miles"/>
    <s v="0–1 years"/>
  </r>
  <r>
    <n v="43"/>
    <x v="1"/>
    <s v="Travel_Rarely"/>
    <n v="531"/>
    <x v="0"/>
    <n v="4"/>
    <x v="2"/>
    <s v="Marketing"/>
    <n v="1"/>
    <n v="1293"/>
    <n v="4"/>
    <s v="Female"/>
    <n v="56"/>
    <n v="2"/>
    <n v="3"/>
    <x v="0"/>
    <x v="0"/>
    <s v="Single"/>
    <n v="10231"/>
    <n v="20364"/>
    <n v="3"/>
    <s v="Y"/>
    <x v="1"/>
    <n v="14"/>
    <n v="3"/>
    <n v="4"/>
    <n v="80"/>
    <n v="0"/>
    <n v="23"/>
    <n v="3"/>
    <n v="4"/>
    <n v="21"/>
    <n v="7"/>
    <n v="15"/>
    <n v="17"/>
    <x v="2"/>
    <x v="2"/>
    <s v="Medium"/>
    <x v="0"/>
    <s v="Excellent"/>
    <s v="Best"/>
    <n v="0"/>
    <s v="10,001+"/>
    <s v="0–5 miles"/>
    <s v="11+ years"/>
  </r>
  <r>
    <n v="36"/>
    <x v="1"/>
    <s v="Travel_Rarely"/>
    <n v="429"/>
    <x v="1"/>
    <n v="2"/>
    <x v="2"/>
    <s v="Life Sciences"/>
    <n v="1"/>
    <n v="1294"/>
    <n v="3"/>
    <s v="Female"/>
    <n v="53"/>
    <n v="3"/>
    <n v="2"/>
    <x v="3"/>
    <x v="1"/>
    <s v="Single"/>
    <n v="5410"/>
    <n v="2323"/>
    <n v="9"/>
    <s v="Y"/>
    <x v="0"/>
    <n v="11"/>
    <n v="3"/>
    <n v="4"/>
    <n v="80"/>
    <n v="0"/>
    <n v="18"/>
    <n v="2"/>
    <n v="3"/>
    <n v="16"/>
    <n v="14"/>
    <n v="5"/>
    <n v="12"/>
    <x v="2"/>
    <x v="1"/>
    <s v="High"/>
    <x v="1"/>
    <s v="Excellent"/>
    <s v="Better"/>
    <n v="0"/>
    <s v="3,001–6,000"/>
    <s v="0–5 miles"/>
    <s v="11+ years"/>
  </r>
  <r>
    <n v="44"/>
    <x v="0"/>
    <s v="Travel_Rarely"/>
    <n v="621"/>
    <x v="1"/>
    <n v="15"/>
    <x v="3"/>
    <s v="Medical"/>
    <n v="1"/>
    <n v="1295"/>
    <n v="1"/>
    <s v="Female"/>
    <n v="73"/>
    <n v="3"/>
    <n v="3"/>
    <x v="4"/>
    <x v="0"/>
    <s v="Married"/>
    <n v="7978"/>
    <n v="14075"/>
    <n v="1"/>
    <s v="Y"/>
    <x v="1"/>
    <n v="11"/>
    <n v="3"/>
    <n v="4"/>
    <n v="80"/>
    <n v="1"/>
    <n v="10"/>
    <n v="2"/>
    <n v="3"/>
    <n v="10"/>
    <n v="7"/>
    <n v="0"/>
    <n v="5"/>
    <x v="3"/>
    <x v="3"/>
    <s v="High"/>
    <x v="0"/>
    <s v="Excellent"/>
    <s v="Better"/>
    <n v="1"/>
    <s v="6,001–10,000"/>
    <s v="11–15 miles"/>
    <s v="6–10 years"/>
  </r>
  <r>
    <n v="28"/>
    <x v="1"/>
    <s v="Travel_Frequently"/>
    <n v="193"/>
    <x v="1"/>
    <n v="2"/>
    <x v="3"/>
    <s v="Life Sciences"/>
    <n v="1"/>
    <n v="1296"/>
    <n v="4"/>
    <s v="Male"/>
    <n v="52"/>
    <n v="2"/>
    <n v="1"/>
    <x v="2"/>
    <x v="0"/>
    <s v="Married"/>
    <n v="3867"/>
    <n v="14222"/>
    <n v="1"/>
    <s v="Y"/>
    <x v="0"/>
    <n v="12"/>
    <n v="3"/>
    <n v="2"/>
    <n v="80"/>
    <n v="1"/>
    <n v="2"/>
    <n v="2"/>
    <n v="3"/>
    <n v="2"/>
    <n v="2"/>
    <n v="2"/>
    <n v="2"/>
    <x v="3"/>
    <x v="2"/>
    <s v="Medium"/>
    <x v="0"/>
    <s v="Excellent"/>
    <s v="Better"/>
    <n v="0"/>
    <s v="3,001–6,000"/>
    <s v="0–5 miles"/>
    <s v="2–5 years"/>
  </r>
  <r>
    <n v="51"/>
    <x v="1"/>
    <s v="Travel_Frequently"/>
    <n v="968"/>
    <x v="1"/>
    <n v="6"/>
    <x v="0"/>
    <s v="Medical"/>
    <n v="1"/>
    <n v="1297"/>
    <n v="2"/>
    <s v="Female"/>
    <n v="40"/>
    <n v="2"/>
    <n v="1"/>
    <x v="2"/>
    <x v="2"/>
    <s v="Single"/>
    <n v="2838"/>
    <n v="4257"/>
    <n v="0"/>
    <s v="Y"/>
    <x v="1"/>
    <n v="14"/>
    <n v="3"/>
    <n v="2"/>
    <n v="80"/>
    <n v="0"/>
    <n v="8"/>
    <n v="6"/>
    <n v="2"/>
    <n v="7"/>
    <n v="0"/>
    <n v="7"/>
    <n v="7"/>
    <x v="0"/>
    <x v="0"/>
    <s v="Medium"/>
    <x v="2"/>
    <s v="Excellent"/>
    <s v="Good"/>
    <n v="0"/>
    <s v="0–3,000"/>
    <s v="6–10 miles"/>
    <s v="6–10 years"/>
  </r>
  <r>
    <n v="30"/>
    <x v="1"/>
    <s v="Non-Travel"/>
    <n v="879"/>
    <x v="1"/>
    <n v="9"/>
    <x v="0"/>
    <s v="Medical"/>
    <n v="1"/>
    <n v="1298"/>
    <n v="3"/>
    <s v="Female"/>
    <n v="72"/>
    <n v="3"/>
    <n v="2"/>
    <x v="3"/>
    <x v="2"/>
    <s v="Single"/>
    <n v="4695"/>
    <n v="12858"/>
    <n v="7"/>
    <s v="Y"/>
    <x v="0"/>
    <n v="18"/>
    <n v="3"/>
    <n v="3"/>
    <n v="80"/>
    <n v="0"/>
    <n v="10"/>
    <n v="3"/>
    <n v="3"/>
    <n v="8"/>
    <n v="4"/>
    <n v="1"/>
    <n v="7"/>
    <x v="0"/>
    <x v="1"/>
    <s v="High"/>
    <x v="2"/>
    <s v="Excellent"/>
    <s v="Better"/>
    <n v="0"/>
    <s v="3,001–6,000"/>
    <s v="6–10 miles"/>
    <s v="6–10 years"/>
  </r>
  <r>
    <n v="29"/>
    <x v="0"/>
    <s v="Travel_Rarely"/>
    <n v="806"/>
    <x v="1"/>
    <n v="7"/>
    <x v="3"/>
    <s v="Technical Degree"/>
    <n v="1"/>
    <n v="1299"/>
    <n v="2"/>
    <s v="Female"/>
    <n v="39"/>
    <n v="3"/>
    <n v="1"/>
    <x v="2"/>
    <x v="2"/>
    <s v="Divorced"/>
    <n v="3339"/>
    <n v="17285"/>
    <n v="3"/>
    <s v="Y"/>
    <x v="0"/>
    <n v="13"/>
    <n v="3"/>
    <n v="1"/>
    <n v="80"/>
    <n v="2"/>
    <n v="10"/>
    <n v="2"/>
    <n v="3"/>
    <n v="7"/>
    <n v="7"/>
    <n v="7"/>
    <n v="7"/>
    <x v="3"/>
    <x v="0"/>
    <s v="High"/>
    <x v="2"/>
    <s v="Excellent"/>
    <s v="Better"/>
    <n v="1"/>
    <s v="3,001–6,000"/>
    <s v="6–10 miles"/>
    <s v="6–10 years"/>
  </r>
  <r>
    <n v="28"/>
    <x v="1"/>
    <s v="Travel_Rarely"/>
    <n v="640"/>
    <x v="1"/>
    <n v="1"/>
    <x v="3"/>
    <s v="Technical Degree"/>
    <n v="1"/>
    <n v="1301"/>
    <n v="4"/>
    <s v="Male"/>
    <n v="84"/>
    <n v="3"/>
    <n v="1"/>
    <x v="1"/>
    <x v="3"/>
    <s v="Single"/>
    <n v="2080"/>
    <n v="4732"/>
    <n v="2"/>
    <s v="Y"/>
    <x v="1"/>
    <n v="11"/>
    <n v="3"/>
    <n v="2"/>
    <n v="80"/>
    <n v="0"/>
    <n v="5"/>
    <n v="2"/>
    <n v="2"/>
    <n v="3"/>
    <n v="2"/>
    <n v="1"/>
    <n v="2"/>
    <x v="3"/>
    <x v="2"/>
    <s v="High"/>
    <x v="3"/>
    <s v="Excellent"/>
    <s v="Good"/>
    <n v="0"/>
    <s v="0–3,000"/>
    <s v="0–5 miles"/>
    <s v="2–5 years"/>
  </r>
  <r>
    <n v="25"/>
    <x v="1"/>
    <s v="Travel_Rarely"/>
    <n v="266"/>
    <x v="1"/>
    <n v="1"/>
    <x v="3"/>
    <s v="Medical"/>
    <n v="1"/>
    <n v="1303"/>
    <n v="4"/>
    <s v="Female"/>
    <n v="40"/>
    <n v="3"/>
    <n v="1"/>
    <x v="1"/>
    <x v="1"/>
    <s v="Single"/>
    <n v="2096"/>
    <n v="18830"/>
    <n v="1"/>
    <s v="Y"/>
    <x v="1"/>
    <n v="18"/>
    <n v="3"/>
    <n v="4"/>
    <n v="80"/>
    <n v="0"/>
    <n v="2"/>
    <n v="3"/>
    <n v="2"/>
    <n v="2"/>
    <n v="2"/>
    <n v="2"/>
    <n v="1"/>
    <x v="3"/>
    <x v="2"/>
    <s v="High"/>
    <x v="1"/>
    <s v="Excellent"/>
    <s v="Good"/>
    <n v="0"/>
    <s v="0–3,000"/>
    <s v="0–5 miles"/>
    <s v="2–5 years"/>
  </r>
  <r>
    <n v="32"/>
    <x v="1"/>
    <s v="Travel_Rarely"/>
    <n v="604"/>
    <x v="0"/>
    <n v="8"/>
    <x v="3"/>
    <s v="Medical"/>
    <n v="1"/>
    <n v="1304"/>
    <n v="3"/>
    <s v="Male"/>
    <n v="56"/>
    <n v="4"/>
    <n v="2"/>
    <x v="0"/>
    <x v="0"/>
    <s v="Married"/>
    <n v="6209"/>
    <n v="11693"/>
    <n v="1"/>
    <s v="Y"/>
    <x v="1"/>
    <n v="15"/>
    <n v="3"/>
    <n v="3"/>
    <n v="80"/>
    <n v="2"/>
    <n v="10"/>
    <n v="4"/>
    <n v="4"/>
    <n v="10"/>
    <n v="7"/>
    <n v="0"/>
    <n v="8"/>
    <x v="3"/>
    <x v="1"/>
    <s v="Very High"/>
    <x v="0"/>
    <s v="Excellent"/>
    <s v="Best"/>
    <n v="0"/>
    <s v="6,001–10,000"/>
    <s v="6–10 miles"/>
    <s v="6–10 years"/>
  </r>
  <r>
    <n v="45"/>
    <x v="1"/>
    <s v="Travel_Frequently"/>
    <n v="364"/>
    <x v="1"/>
    <n v="25"/>
    <x v="3"/>
    <s v="Medical"/>
    <n v="1"/>
    <n v="1306"/>
    <n v="2"/>
    <s v="Female"/>
    <n v="83"/>
    <n v="3"/>
    <n v="5"/>
    <x v="5"/>
    <x v="1"/>
    <s v="Single"/>
    <n v="18061"/>
    <n v="13035"/>
    <n v="3"/>
    <s v="Y"/>
    <x v="1"/>
    <n v="22"/>
    <n v="4"/>
    <n v="3"/>
    <n v="80"/>
    <n v="0"/>
    <n v="22"/>
    <n v="4"/>
    <n v="3"/>
    <n v="0"/>
    <n v="0"/>
    <n v="0"/>
    <n v="0"/>
    <x v="3"/>
    <x v="0"/>
    <s v="High"/>
    <x v="1"/>
    <s v="Outstanding"/>
    <s v="Better"/>
    <n v="0"/>
    <s v="10,001+"/>
    <s v="16+ miles"/>
    <s v="0–1 years"/>
  </r>
  <r>
    <n v="39"/>
    <x v="1"/>
    <s v="Travel_Rarely"/>
    <n v="412"/>
    <x v="1"/>
    <n v="13"/>
    <x v="2"/>
    <s v="Medical"/>
    <n v="1"/>
    <n v="1307"/>
    <n v="3"/>
    <s v="Female"/>
    <n v="94"/>
    <n v="2"/>
    <n v="4"/>
    <x v="5"/>
    <x v="1"/>
    <s v="Divorced"/>
    <n v="17123"/>
    <n v="17334"/>
    <n v="6"/>
    <s v="Y"/>
    <x v="0"/>
    <n v="13"/>
    <n v="3"/>
    <n v="4"/>
    <n v="80"/>
    <n v="2"/>
    <n v="21"/>
    <n v="4"/>
    <n v="3"/>
    <n v="19"/>
    <n v="9"/>
    <n v="15"/>
    <n v="2"/>
    <x v="2"/>
    <x v="1"/>
    <s v="Medium"/>
    <x v="1"/>
    <s v="Excellent"/>
    <s v="Better"/>
    <n v="0"/>
    <s v="10,001+"/>
    <s v="11–15 miles"/>
    <s v="11+ years"/>
  </r>
  <r>
    <n v="58"/>
    <x v="1"/>
    <s v="Travel_Rarely"/>
    <n v="848"/>
    <x v="1"/>
    <n v="23"/>
    <x v="2"/>
    <s v="Life Sciences"/>
    <n v="1"/>
    <n v="1308"/>
    <n v="1"/>
    <s v="Male"/>
    <n v="88"/>
    <n v="3"/>
    <n v="1"/>
    <x v="1"/>
    <x v="2"/>
    <s v="Divorced"/>
    <n v="2372"/>
    <n v="26076"/>
    <n v="1"/>
    <s v="Y"/>
    <x v="1"/>
    <n v="12"/>
    <n v="3"/>
    <n v="4"/>
    <n v="80"/>
    <n v="2"/>
    <n v="2"/>
    <n v="3"/>
    <n v="3"/>
    <n v="2"/>
    <n v="2"/>
    <n v="2"/>
    <n v="2"/>
    <x v="2"/>
    <x v="3"/>
    <s v="High"/>
    <x v="2"/>
    <s v="Excellent"/>
    <s v="Better"/>
    <n v="0"/>
    <s v="0–3,000"/>
    <s v="16+ miles"/>
    <s v="2–5 years"/>
  </r>
  <r>
    <n v="32"/>
    <x v="0"/>
    <s v="Travel_Rarely"/>
    <n v="1089"/>
    <x v="1"/>
    <n v="7"/>
    <x v="0"/>
    <s v="Life Sciences"/>
    <n v="1"/>
    <n v="1309"/>
    <n v="4"/>
    <s v="Male"/>
    <n v="79"/>
    <n v="3"/>
    <n v="2"/>
    <x v="2"/>
    <x v="2"/>
    <s v="Married"/>
    <n v="4883"/>
    <n v="22845"/>
    <n v="1"/>
    <s v="Y"/>
    <x v="1"/>
    <n v="18"/>
    <n v="3"/>
    <n v="1"/>
    <n v="80"/>
    <n v="1"/>
    <n v="10"/>
    <n v="3"/>
    <n v="3"/>
    <n v="10"/>
    <n v="4"/>
    <n v="1"/>
    <n v="1"/>
    <x v="0"/>
    <x v="2"/>
    <s v="High"/>
    <x v="2"/>
    <s v="Excellent"/>
    <s v="Better"/>
    <n v="1"/>
    <s v="3,001–6,000"/>
    <s v="6–10 miles"/>
    <s v="6–10 years"/>
  </r>
  <r>
    <n v="39"/>
    <x v="0"/>
    <s v="Travel_Rarely"/>
    <n v="360"/>
    <x v="1"/>
    <n v="23"/>
    <x v="3"/>
    <s v="Medical"/>
    <n v="1"/>
    <n v="1310"/>
    <n v="3"/>
    <s v="Male"/>
    <n v="93"/>
    <n v="3"/>
    <n v="1"/>
    <x v="1"/>
    <x v="3"/>
    <s v="Single"/>
    <n v="3904"/>
    <n v="22154"/>
    <n v="0"/>
    <s v="Y"/>
    <x v="1"/>
    <n v="13"/>
    <n v="3"/>
    <n v="1"/>
    <n v="80"/>
    <n v="0"/>
    <n v="6"/>
    <n v="2"/>
    <n v="3"/>
    <n v="5"/>
    <n v="2"/>
    <n v="0"/>
    <n v="3"/>
    <x v="3"/>
    <x v="1"/>
    <s v="High"/>
    <x v="3"/>
    <s v="Excellent"/>
    <s v="Better"/>
    <n v="1"/>
    <s v="3,001–6,000"/>
    <s v="16+ miles"/>
    <s v="2–5 years"/>
  </r>
  <r>
    <n v="30"/>
    <x v="1"/>
    <s v="Travel_Rarely"/>
    <n v="1138"/>
    <x v="1"/>
    <n v="6"/>
    <x v="3"/>
    <s v="Technical Degree"/>
    <n v="1"/>
    <n v="1311"/>
    <n v="1"/>
    <s v="Female"/>
    <n v="48"/>
    <n v="2"/>
    <n v="2"/>
    <x v="2"/>
    <x v="0"/>
    <s v="Married"/>
    <n v="4627"/>
    <n v="23631"/>
    <n v="0"/>
    <s v="Y"/>
    <x v="1"/>
    <n v="12"/>
    <n v="3"/>
    <n v="1"/>
    <n v="80"/>
    <n v="1"/>
    <n v="10"/>
    <n v="6"/>
    <n v="3"/>
    <n v="9"/>
    <n v="2"/>
    <n v="6"/>
    <n v="7"/>
    <x v="3"/>
    <x v="3"/>
    <s v="Medium"/>
    <x v="0"/>
    <s v="Excellent"/>
    <s v="Better"/>
    <n v="0"/>
    <s v="3,001–6,000"/>
    <s v="6–10 miles"/>
    <s v="6–10 years"/>
  </r>
  <r>
    <n v="36"/>
    <x v="1"/>
    <s v="Travel_Rarely"/>
    <n v="325"/>
    <x v="1"/>
    <n v="10"/>
    <x v="2"/>
    <s v="Technical Degree"/>
    <n v="1"/>
    <n v="1312"/>
    <n v="4"/>
    <s v="Female"/>
    <n v="63"/>
    <n v="3"/>
    <n v="3"/>
    <x v="4"/>
    <x v="2"/>
    <s v="Married"/>
    <n v="7094"/>
    <n v="5747"/>
    <n v="3"/>
    <s v="Y"/>
    <x v="1"/>
    <n v="12"/>
    <n v="3"/>
    <n v="1"/>
    <n v="80"/>
    <n v="0"/>
    <n v="10"/>
    <n v="0"/>
    <n v="3"/>
    <n v="7"/>
    <n v="7"/>
    <n v="1"/>
    <n v="7"/>
    <x v="2"/>
    <x v="2"/>
    <s v="High"/>
    <x v="2"/>
    <s v="Excellent"/>
    <s v="Better"/>
    <n v="0"/>
    <s v="6,001–10,000"/>
    <s v="6–10 miles"/>
    <s v="6–10 years"/>
  </r>
  <r>
    <n v="46"/>
    <x v="1"/>
    <s v="Travel_Rarely"/>
    <n v="991"/>
    <x v="2"/>
    <n v="1"/>
    <x v="0"/>
    <s v="Life Sciences"/>
    <n v="1"/>
    <n v="1314"/>
    <n v="4"/>
    <s v="Female"/>
    <n v="44"/>
    <n v="3"/>
    <n v="1"/>
    <x v="8"/>
    <x v="3"/>
    <s v="Single"/>
    <n v="3423"/>
    <n v="22957"/>
    <n v="6"/>
    <s v="Y"/>
    <x v="1"/>
    <n v="12"/>
    <n v="3"/>
    <n v="3"/>
    <n v="80"/>
    <n v="0"/>
    <n v="10"/>
    <n v="3"/>
    <n v="4"/>
    <n v="7"/>
    <n v="6"/>
    <n v="5"/>
    <n v="7"/>
    <x v="0"/>
    <x v="2"/>
    <s v="High"/>
    <x v="3"/>
    <s v="Excellent"/>
    <s v="Best"/>
    <n v="0"/>
    <s v="3,001–6,000"/>
    <s v="0–5 miles"/>
    <s v="6–10 years"/>
  </r>
  <r>
    <n v="28"/>
    <x v="1"/>
    <s v="Non-Travel"/>
    <n v="1476"/>
    <x v="1"/>
    <n v="1"/>
    <x v="3"/>
    <s v="Life Sciences"/>
    <n v="1"/>
    <n v="1315"/>
    <n v="3"/>
    <s v="Female"/>
    <n v="55"/>
    <n v="1"/>
    <n v="2"/>
    <x v="2"/>
    <x v="0"/>
    <s v="Married"/>
    <n v="6674"/>
    <n v="16392"/>
    <n v="0"/>
    <s v="Y"/>
    <x v="1"/>
    <n v="11"/>
    <n v="3"/>
    <n v="1"/>
    <n v="80"/>
    <n v="3"/>
    <n v="10"/>
    <n v="6"/>
    <n v="3"/>
    <n v="9"/>
    <n v="8"/>
    <n v="7"/>
    <n v="5"/>
    <x v="3"/>
    <x v="1"/>
    <s v="Low"/>
    <x v="0"/>
    <s v="Excellent"/>
    <s v="Better"/>
    <n v="0"/>
    <s v="6,001–10,000"/>
    <s v="0–5 miles"/>
    <s v="6–10 years"/>
  </r>
  <r>
    <n v="50"/>
    <x v="1"/>
    <s v="Travel_Rarely"/>
    <n v="1322"/>
    <x v="1"/>
    <n v="28"/>
    <x v="3"/>
    <s v="Life Sciences"/>
    <n v="1"/>
    <n v="1317"/>
    <n v="4"/>
    <s v="Female"/>
    <n v="43"/>
    <n v="3"/>
    <n v="4"/>
    <x v="7"/>
    <x v="3"/>
    <s v="Married"/>
    <n v="16880"/>
    <n v="22422"/>
    <n v="4"/>
    <s v="Y"/>
    <x v="0"/>
    <n v="11"/>
    <n v="3"/>
    <n v="2"/>
    <n v="80"/>
    <n v="0"/>
    <n v="25"/>
    <n v="2"/>
    <n v="3"/>
    <n v="3"/>
    <n v="2"/>
    <n v="1"/>
    <n v="2"/>
    <x v="3"/>
    <x v="2"/>
    <s v="High"/>
    <x v="3"/>
    <s v="Excellent"/>
    <s v="Better"/>
    <n v="0"/>
    <s v="10,001+"/>
    <s v="16+ miles"/>
    <s v="2–5 years"/>
  </r>
  <r>
    <n v="40"/>
    <x v="0"/>
    <s v="Travel_Rarely"/>
    <n v="299"/>
    <x v="0"/>
    <n v="25"/>
    <x v="2"/>
    <s v="Marketing"/>
    <n v="1"/>
    <n v="1318"/>
    <n v="4"/>
    <s v="Male"/>
    <n v="57"/>
    <n v="2"/>
    <n v="3"/>
    <x v="0"/>
    <x v="1"/>
    <s v="Single"/>
    <n v="9094"/>
    <n v="17235"/>
    <n v="2"/>
    <s v="Y"/>
    <x v="0"/>
    <n v="12"/>
    <n v="3"/>
    <n v="3"/>
    <n v="80"/>
    <n v="0"/>
    <n v="9"/>
    <n v="2"/>
    <n v="3"/>
    <n v="5"/>
    <n v="4"/>
    <n v="1"/>
    <n v="0"/>
    <x v="2"/>
    <x v="2"/>
    <s v="Medium"/>
    <x v="1"/>
    <s v="Excellent"/>
    <s v="Better"/>
    <n v="1"/>
    <s v="6,001–10,000"/>
    <s v="16+ miles"/>
    <s v="2–5 years"/>
  </r>
  <r>
    <n v="52"/>
    <x v="0"/>
    <s v="Travel_Rarely"/>
    <n v="1030"/>
    <x v="0"/>
    <n v="5"/>
    <x v="3"/>
    <s v="Life Sciences"/>
    <n v="1"/>
    <n v="1319"/>
    <n v="2"/>
    <s v="Male"/>
    <n v="64"/>
    <n v="3"/>
    <n v="3"/>
    <x v="0"/>
    <x v="1"/>
    <s v="Single"/>
    <n v="8446"/>
    <n v="21534"/>
    <n v="9"/>
    <s v="Y"/>
    <x v="0"/>
    <n v="19"/>
    <n v="3"/>
    <n v="3"/>
    <n v="80"/>
    <n v="0"/>
    <n v="10"/>
    <n v="2"/>
    <n v="2"/>
    <n v="8"/>
    <n v="7"/>
    <n v="7"/>
    <n v="7"/>
    <x v="3"/>
    <x v="0"/>
    <s v="High"/>
    <x v="1"/>
    <s v="Excellent"/>
    <s v="Good"/>
    <n v="1"/>
    <s v="6,001–10,000"/>
    <s v="0–5 miles"/>
    <s v="6–10 years"/>
  </r>
  <r>
    <n v="30"/>
    <x v="1"/>
    <s v="Travel_Rarely"/>
    <n v="634"/>
    <x v="1"/>
    <n v="17"/>
    <x v="2"/>
    <s v="Medical"/>
    <n v="1"/>
    <n v="1321"/>
    <n v="2"/>
    <s v="Female"/>
    <n v="95"/>
    <n v="3"/>
    <n v="3"/>
    <x v="5"/>
    <x v="3"/>
    <s v="Married"/>
    <n v="11916"/>
    <n v="25927"/>
    <n v="1"/>
    <s v="Y"/>
    <x v="0"/>
    <n v="23"/>
    <n v="4"/>
    <n v="4"/>
    <n v="80"/>
    <n v="2"/>
    <n v="9"/>
    <n v="2"/>
    <n v="3"/>
    <n v="9"/>
    <n v="1"/>
    <n v="0"/>
    <n v="8"/>
    <x v="2"/>
    <x v="0"/>
    <s v="High"/>
    <x v="3"/>
    <s v="Outstanding"/>
    <s v="Better"/>
    <n v="0"/>
    <s v="10,001+"/>
    <s v="16+ miles"/>
    <s v="6–10 years"/>
  </r>
  <r>
    <n v="39"/>
    <x v="1"/>
    <s v="Travel_Rarely"/>
    <n v="524"/>
    <x v="1"/>
    <n v="18"/>
    <x v="0"/>
    <s v="Life Sciences"/>
    <n v="1"/>
    <n v="1322"/>
    <n v="1"/>
    <s v="Male"/>
    <n v="32"/>
    <n v="3"/>
    <n v="2"/>
    <x v="3"/>
    <x v="2"/>
    <s v="Single"/>
    <n v="4534"/>
    <n v="13352"/>
    <n v="0"/>
    <s v="Y"/>
    <x v="1"/>
    <n v="11"/>
    <n v="3"/>
    <n v="1"/>
    <n v="80"/>
    <n v="0"/>
    <n v="9"/>
    <n v="6"/>
    <n v="3"/>
    <n v="8"/>
    <n v="7"/>
    <n v="1"/>
    <n v="7"/>
    <x v="0"/>
    <x v="3"/>
    <s v="High"/>
    <x v="2"/>
    <s v="Excellent"/>
    <s v="Better"/>
    <n v="0"/>
    <s v="3,001–6,000"/>
    <s v="16+ miles"/>
    <s v="6–10 years"/>
  </r>
  <r>
    <n v="31"/>
    <x v="1"/>
    <s v="Non-Travel"/>
    <n v="587"/>
    <x v="0"/>
    <n v="2"/>
    <x v="2"/>
    <s v="Life Sciences"/>
    <n v="1"/>
    <n v="1324"/>
    <n v="4"/>
    <s v="Female"/>
    <n v="57"/>
    <n v="3"/>
    <n v="3"/>
    <x v="0"/>
    <x v="2"/>
    <s v="Divorced"/>
    <n v="9852"/>
    <n v="8935"/>
    <n v="1"/>
    <s v="Y"/>
    <x v="0"/>
    <n v="19"/>
    <n v="3"/>
    <n v="1"/>
    <n v="80"/>
    <n v="1"/>
    <n v="10"/>
    <n v="5"/>
    <n v="2"/>
    <n v="10"/>
    <n v="8"/>
    <n v="9"/>
    <n v="6"/>
    <x v="2"/>
    <x v="2"/>
    <s v="High"/>
    <x v="2"/>
    <s v="Excellent"/>
    <s v="Good"/>
    <n v="0"/>
    <s v="6,001–10,000"/>
    <s v="0–5 miles"/>
    <s v="6–10 years"/>
  </r>
  <r>
    <n v="41"/>
    <x v="1"/>
    <s v="Non-Travel"/>
    <n v="256"/>
    <x v="0"/>
    <n v="10"/>
    <x v="0"/>
    <s v="Medical"/>
    <n v="1"/>
    <n v="1329"/>
    <n v="3"/>
    <s v="Male"/>
    <n v="40"/>
    <n v="1"/>
    <n v="2"/>
    <x v="0"/>
    <x v="1"/>
    <s v="Single"/>
    <n v="6151"/>
    <n v="22074"/>
    <n v="1"/>
    <s v="Y"/>
    <x v="1"/>
    <n v="13"/>
    <n v="3"/>
    <n v="1"/>
    <n v="80"/>
    <n v="0"/>
    <n v="19"/>
    <n v="4"/>
    <n v="3"/>
    <n v="19"/>
    <n v="2"/>
    <n v="11"/>
    <n v="9"/>
    <x v="0"/>
    <x v="1"/>
    <s v="Low"/>
    <x v="1"/>
    <s v="Excellent"/>
    <s v="Better"/>
    <n v="0"/>
    <s v="6,001–10,000"/>
    <s v="6–10 miles"/>
    <s v="11+ years"/>
  </r>
  <r>
    <n v="31"/>
    <x v="0"/>
    <s v="Travel_Frequently"/>
    <n v="1060"/>
    <x v="0"/>
    <n v="1"/>
    <x v="3"/>
    <s v="Life Sciences"/>
    <n v="1"/>
    <n v="1331"/>
    <n v="4"/>
    <s v="Female"/>
    <n v="54"/>
    <n v="3"/>
    <n v="1"/>
    <x v="6"/>
    <x v="1"/>
    <s v="Single"/>
    <n v="2302"/>
    <n v="8319"/>
    <n v="1"/>
    <s v="Y"/>
    <x v="0"/>
    <n v="11"/>
    <n v="3"/>
    <n v="1"/>
    <n v="80"/>
    <n v="0"/>
    <n v="3"/>
    <n v="2"/>
    <n v="4"/>
    <n v="3"/>
    <n v="2"/>
    <n v="2"/>
    <n v="2"/>
    <x v="3"/>
    <x v="2"/>
    <s v="High"/>
    <x v="1"/>
    <s v="Excellent"/>
    <s v="Best"/>
    <n v="1"/>
    <s v="0–3,000"/>
    <s v="0–5 miles"/>
    <s v="2–5 years"/>
  </r>
  <r>
    <n v="44"/>
    <x v="0"/>
    <s v="Travel_Rarely"/>
    <n v="935"/>
    <x v="1"/>
    <n v="3"/>
    <x v="3"/>
    <s v="Life Sciences"/>
    <n v="1"/>
    <n v="1333"/>
    <n v="1"/>
    <s v="Male"/>
    <n v="89"/>
    <n v="3"/>
    <n v="1"/>
    <x v="2"/>
    <x v="3"/>
    <s v="Married"/>
    <n v="2362"/>
    <n v="14669"/>
    <n v="4"/>
    <s v="Y"/>
    <x v="1"/>
    <n v="12"/>
    <n v="3"/>
    <n v="3"/>
    <n v="80"/>
    <n v="0"/>
    <n v="10"/>
    <n v="4"/>
    <n v="4"/>
    <n v="3"/>
    <n v="2"/>
    <n v="1"/>
    <n v="2"/>
    <x v="3"/>
    <x v="3"/>
    <s v="High"/>
    <x v="3"/>
    <s v="Excellent"/>
    <s v="Best"/>
    <n v="1"/>
    <s v="0–3,000"/>
    <s v="0–5 miles"/>
    <s v="2–5 years"/>
  </r>
  <r>
    <n v="42"/>
    <x v="1"/>
    <s v="Non-Travel"/>
    <n v="495"/>
    <x v="1"/>
    <n v="2"/>
    <x v="1"/>
    <s v="Life Sciences"/>
    <n v="1"/>
    <n v="1334"/>
    <n v="3"/>
    <s v="Male"/>
    <n v="37"/>
    <n v="3"/>
    <n v="4"/>
    <x v="5"/>
    <x v="2"/>
    <s v="Married"/>
    <n v="17861"/>
    <n v="26582"/>
    <n v="0"/>
    <s v="Y"/>
    <x v="0"/>
    <n v="13"/>
    <n v="3"/>
    <n v="4"/>
    <n v="80"/>
    <n v="0"/>
    <n v="21"/>
    <n v="3"/>
    <n v="2"/>
    <n v="20"/>
    <n v="8"/>
    <n v="2"/>
    <n v="10"/>
    <x v="1"/>
    <x v="1"/>
    <s v="High"/>
    <x v="2"/>
    <s v="Excellent"/>
    <s v="Good"/>
    <n v="0"/>
    <s v="10,001+"/>
    <s v="0–5 miles"/>
    <s v="11+ years"/>
  </r>
  <r>
    <n v="55"/>
    <x v="1"/>
    <s v="Travel_Rarely"/>
    <n v="282"/>
    <x v="1"/>
    <n v="2"/>
    <x v="0"/>
    <s v="Medical"/>
    <n v="1"/>
    <n v="1336"/>
    <n v="4"/>
    <s v="Female"/>
    <n v="58"/>
    <n v="1"/>
    <n v="5"/>
    <x v="5"/>
    <x v="2"/>
    <s v="Married"/>
    <n v="19187"/>
    <n v="6992"/>
    <n v="4"/>
    <s v="Y"/>
    <x v="1"/>
    <n v="14"/>
    <n v="3"/>
    <n v="4"/>
    <n v="80"/>
    <n v="1"/>
    <n v="23"/>
    <n v="5"/>
    <n v="3"/>
    <n v="19"/>
    <n v="9"/>
    <n v="9"/>
    <n v="11"/>
    <x v="0"/>
    <x v="2"/>
    <s v="Low"/>
    <x v="2"/>
    <s v="Excellent"/>
    <s v="Better"/>
    <n v="0"/>
    <s v="10,001+"/>
    <s v="0–5 miles"/>
    <s v="11+ years"/>
  </r>
  <r>
    <n v="56"/>
    <x v="1"/>
    <s v="Travel_Rarely"/>
    <n v="206"/>
    <x v="2"/>
    <n v="8"/>
    <x v="2"/>
    <s v="Life Sciences"/>
    <n v="1"/>
    <n v="1338"/>
    <n v="4"/>
    <s v="Male"/>
    <n v="99"/>
    <n v="3"/>
    <n v="5"/>
    <x v="5"/>
    <x v="1"/>
    <s v="Single"/>
    <n v="19717"/>
    <n v="4022"/>
    <n v="6"/>
    <s v="Y"/>
    <x v="1"/>
    <n v="14"/>
    <n v="3"/>
    <n v="1"/>
    <n v="80"/>
    <n v="0"/>
    <n v="36"/>
    <n v="4"/>
    <n v="3"/>
    <n v="7"/>
    <n v="3"/>
    <n v="7"/>
    <n v="7"/>
    <x v="2"/>
    <x v="2"/>
    <s v="High"/>
    <x v="1"/>
    <s v="Excellent"/>
    <s v="Better"/>
    <n v="0"/>
    <s v="10,001+"/>
    <s v="6–10 miles"/>
    <s v="6–10 years"/>
  </r>
  <r>
    <n v="40"/>
    <x v="1"/>
    <s v="Non-Travel"/>
    <n v="458"/>
    <x v="1"/>
    <n v="16"/>
    <x v="0"/>
    <s v="Life Sciences"/>
    <n v="1"/>
    <n v="1340"/>
    <n v="3"/>
    <s v="Male"/>
    <n v="74"/>
    <n v="3"/>
    <n v="1"/>
    <x v="1"/>
    <x v="2"/>
    <s v="Divorced"/>
    <n v="3544"/>
    <n v="8532"/>
    <n v="9"/>
    <s v="Y"/>
    <x v="1"/>
    <n v="16"/>
    <n v="3"/>
    <n v="2"/>
    <n v="80"/>
    <n v="1"/>
    <n v="6"/>
    <n v="0"/>
    <n v="3"/>
    <n v="4"/>
    <n v="2"/>
    <n v="0"/>
    <n v="0"/>
    <x v="0"/>
    <x v="1"/>
    <s v="High"/>
    <x v="2"/>
    <s v="Excellent"/>
    <s v="Better"/>
    <n v="0"/>
    <s v="3,001–6,000"/>
    <s v="16+ miles"/>
    <s v="2–5 years"/>
  </r>
  <r>
    <n v="34"/>
    <x v="1"/>
    <s v="Travel_Rarely"/>
    <n v="943"/>
    <x v="1"/>
    <n v="9"/>
    <x v="3"/>
    <s v="Life Sciences"/>
    <n v="1"/>
    <n v="1344"/>
    <n v="4"/>
    <s v="Male"/>
    <n v="86"/>
    <n v="3"/>
    <n v="3"/>
    <x v="4"/>
    <x v="0"/>
    <s v="Divorced"/>
    <n v="8500"/>
    <n v="5494"/>
    <n v="0"/>
    <s v="Y"/>
    <x v="1"/>
    <n v="11"/>
    <n v="3"/>
    <n v="4"/>
    <n v="80"/>
    <n v="1"/>
    <n v="10"/>
    <n v="0"/>
    <n v="2"/>
    <n v="9"/>
    <n v="7"/>
    <n v="1"/>
    <n v="6"/>
    <x v="3"/>
    <x v="2"/>
    <s v="High"/>
    <x v="0"/>
    <s v="Excellent"/>
    <s v="Good"/>
    <n v="0"/>
    <s v="6,001–10,000"/>
    <s v="6–10 miles"/>
    <s v="6–10 years"/>
  </r>
  <r>
    <n v="40"/>
    <x v="1"/>
    <s v="Travel_Rarely"/>
    <n v="523"/>
    <x v="1"/>
    <n v="2"/>
    <x v="3"/>
    <s v="Life Sciences"/>
    <n v="1"/>
    <n v="1346"/>
    <n v="3"/>
    <s v="Male"/>
    <n v="98"/>
    <n v="3"/>
    <n v="2"/>
    <x v="1"/>
    <x v="0"/>
    <s v="Single"/>
    <n v="4661"/>
    <n v="22455"/>
    <n v="1"/>
    <s v="Y"/>
    <x v="1"/>
    <n v="13"/>
    <n v="3"/>
    <n v="3"/>
    <n v="80"/>
    <n v="0"/>
    <n v="9"/>
    <n v="4"/>
    <n v="3"/>
    <n v="9"/>
    <n v="8"/>
    <n v="8"/>
    <n v="8"/>
    <x v="3"/>
    <x v="1"/>
    <s v="High"/>
    <x v="0"/>
    <s v="Excellent"/>
    <s v="Better"/>
    <n v="0"/>
    <s v="3,001–6,000"/>
    <s v="0–5 miles"/>
    <s v="6–10 years"/>
  </r>
  <r>
    <n v="41"/>
    <x v="1"/>
    <s v="Travel_Frequently"/>
    <n v="1018"/>
    <x v="0"/>
    <n v="1"/>
    <x v="3"/>
    <s v="Marketing"/>
    <n v="1"/>
    <n v="1349"/>
    <n v="3"/>
    <s v="Female"/>
    <n v="66"/>
    <n v="3"/>
    <n v="2"/>
    <x v="0"/>
    <x v="3"/>
    <s v="Divorced"/>
    <n v="4103"/>
    <n v="4297"/>
    <n v="0"/>
    <s v="Y"/>
    <x v="1"/>
    <n v="17"/>
    <n v="3"/>
    <n v="4"/>
    <n v="80"/>
    <n v="1"/>
    <n v="10"/>
    <n v="2"/>
    <n v="3"/>
    <n v="9"/>
    <n v="3"/>
    <n v="1"/>
    <n v="7"/>
    <x v="3"/>
    <x v="1"/>
    <s v="High"/>
    <x v="3"/>
    <s v="Excellent"/>
    <s v="Better"/>
    <n v="0"/>
    <s v="3,001–6,000"/>
    <s v="0–5 miles"/>
    <s v="6–10 years"/>
  </r>
  <r>
    <n v="35"/>
    <x v="1"/>
    <s v="Travel_Frequently"/>
    <n v="482"/>
    <x v="1"/>
    <n v="4"/>
    <x v="2"/>
    <s v="Life Sciences"/>
    <n v="1"/>
    <n v="1350"/>
    <n v="3"/>
    <s v="Male"/>
    <n v="87"/>
    <n v="3"/>
    <n v="2"/>
    <x v="1"/>
    <x v="2"/>
    <s v="Single"/>
    <n v="4249"/>
    <n v="2690"/>
    <n v="1"/>
    <s v="Y"/>
    <x v="0"/>
    <n v="11"/>
    <n v="3"/>
    <n v="2"/>
    <n v="80"/>
    <n v="0"/>
    <n v="9"/>
    <n v="3"/>
    <n v="3"/>
    <n v="9"/>
    <n v="6"/>
    <n v="1"/>
    <n v="1"/>
    <x v="2"/>
    <x v="1"/>
    <s v="High"/>
    <x v="2"/>
    <s v="Excellent"/>
    <s v="Better"/>
    <n v="0"/>
    <s v="3,001–6,000"/>
    <s v="0–5 miles"/>
    <s v="6–10 years"/>
  </r>
  <r>
    <n v="51"/>
    <x v="1"/>
    <s v="Travel_Rarely"/>
    <n v="770"/>
    <x v="2"/>
    <n v="5"/>
    <x v="3"/>
    <s v="Life Sciences"/>
    <n v="1"/>
    <n v="1352"/>
    <n v="3"/>
    <s v="Male"/>
    <n v="84"/>
    <n v="3"/>
    <n v="4"/>
    <x v="5"/>
    <x v="1"/>
    <s v="Divorced"/>
    <n v="14026"/>
    <n v="17588"/>
    <n v="1"/>
    <s v="Y"/>
    <x v="0"/>
    <n v="11"/>
    <n v="3"/>
    <n v="2"/>
    <n v="80"/>
    <n v="1"/>
    <n v="33"/>
    <n v="2"/>
    <n v="3"/>
    <n v="33"/>
    <n v="9"/>
    <n v="0"/>
    <n v="10"/>
    <x v="3"/>
    <x v="1"/>
    <s v="High"/>
    <x v="1"/>
    <s v="Excellent"/>
    <s v="Better"/>
    <n v="0"/>
    <s v="10,001+"/>
    <s v="0–5 miles"/>
    <s v="11+ years"/>
  </r>
  <r>
    <n v="38"/>
    <x v="1"/>
    <s v="Travel_Rarely"/>
    <n v="1009"/>
    <x v="0"/>
    <n v="2"/>
    <x v="0"/>
    <s v="Life Sciences"/>
    <n v="1"/>
    <n v="1355"/>
    <n v="2"/>
    <s v="Female"/>
    <n v="31"/>
    <n v="3"/>
    <n v="2"/>
    <x v="0"/>
    <x v="3"/>
    <s v="Divorced"/>
    <n v="6893"/>
    <n v="19461"/>
    <n v="3"/>
    <s v="Y"/>
    <x v="1"/>
    <n v="15"/>
    <n v="3"/>
    <n v="4"/>
    <n v="80"/>
    <n v="1"/>
    <n v="11"/>
    <n v="3"/>
    <n v="3"/>
    <n v="7"/>
    <n v="7"/>
    <n v="1"/>
    <n v="7"/>
    <x v="0"/>
    <x v="0"/>
    <s v="High"/>
    <x v="3"/>
    <s v="Excellent"/>
    <s v="Better"/>
    <n v="0"/>
    <s v="6,001–10,000"/>
    <s v="0–5 miles"/>
    <s v="6–10 years"/>
  </r>
  <r>
    <n v="34"/>
    <x v="1"/>
    <s v="Travel_Rarely"/>
    <n v="507"/>
    <x v="0"/>
    <n v="15"/>
    <x v="0"/>
    <s v="Medical"/>
    <n v="1"/>
    <n v="1356"/>
    <n v="3"/>
    <s v="Female"/>
    <n v="66"/>
    <n v="3"/>
    <n v="2"/>
    <x v="0"/>
    <x v="3"/>
    <s v="Single"/>
    <n v="6125"/>
    <n v="23553"/>
    <n v="1"/>
    <s v="Y"/>
    <x v="1"/>
    <n v="12"/>
    <n v="3"/>
    <n v="4"/>
    <n v="80"/>
    <n v="0"/>
    <n v="10"/>
    <n v="6"/>
    <n v="4"/>
    <n v="10"/>
    <n v="8"/>
    <n v="9"/>
    <n v="6"/>
    <x v="0"/>
    <x v="1"/>
    <s v="High"/>
    <x v="3"/>
    <s v="Excellent"/>
    <s v="Best"/>
    <n v="0"/>
    <s v="6,001–10,000"/>
    <s v="11–15 miles"/>
    <s v="6–10 years"/>
  </r>
  <r>
    <n v="25"/>
    <x v="1"/>
    <s v="Travel_Rarely"/>
    <n v="882"/>
    <x v="1"/>
    <n v="19"/>
    <x v="1"/>
    <s v="Medical"/>
    <n v="1"/>
    <n v="1358"/>
    <n v="4"/>
    <s v="Male"/>
    <n v="67"/>
    <n v="3"/>
    <n v="1"/>
    <x v="2"/>
    <x v="0"/>
    <s v="Married"/>
    <n v="3669"/>
    <n v="9075"/>
    <n v="3"/>
    <s v="Y"/>
    <x v="1"/>
    <n v="11"/>
    <n v="3"/>
    <n v="3"/>
    <n v="80"/>
    <n v="3"/>
    <n v="7"/>
    <n v="6"/>
    <n v="2"/>
    <n v="3"/>
    <n v="2"/>
    <n v="1"/>
    <n v="2"/>
    <x v="1"/>
    <x v="2"/>
    <s v="High"/>
    <x v="0"/>
    <s v="Excellent"/>
    <s v="Good"/>
    <n v="0"/>
    <s v="3,001–6,000"/>
    <s v="16+ miles"/>
    <s v="2–5 years"/>
  </r>
  <r>
    <n v="58"/>
    <x v="0"/>
    <s v="Travel_Rarely"/>
    <n v="601"/>
    <x v="1"/>
    <n v="7"/>
    <x v="2"/>
    <s v="Medical"/>
    <n v="1"/>
    <n v="1360"/>
    <n v="3"/>
    <s v="Female"/>
    <n v="53"/>
    <n v="2"/>
    <n v="3"/>
    <x v="3"/>
    <x v="3"/>
    <s v="Married"/>
    <n v="10008"/>
    <n v="12023"/>
    <n v="7"/>
    <s v="Y"/>
    <x v="0"/>
    <n v="14"/>
    <n v="3"/>
    <n v="4"/>
    <n v="80"/>
    <n v="0"/>
    <n v="31"/>
    <n v="0"/>
    <n v="2"/>
    <n v="10"/>
    <n v="9"/>
    <n v="5"/>
    <n v="9"/>
    <x v="2"/>
    <x v="1"/>
    <s v="Medium"/>
    <x v="3"/>
    <s v="Excellent"/>
    <s v="Good"/>
    <n v="1"/>
    <s v="10,001+"/>
    <s v="6–10 miles"/>
    <s v="6–10 years"/>
  </r>
  <r>
    <n v="40"/>
    <x v="1"/>
    <s v="Travel_Rarely"/>
    <n v="329"/>
    <x v="1"/>
    <n v="1"/>
    <x v="2"/>
    <s v="Life Sciences"/>
    <n v="1"/>
    <n v="1361"/>
    <n v="2"/>
    <s v="Male"/>
    <n v="88"/>
    <n v="3"/>
    <n v="1"/>
    <x v="2"/>
    <x v="1"/>
    <s v="Married"/>
    <n v="2387"/>
    <n v="6762"/>
    <n v="3"/>
    <s v="Y"/>
    <x v="1"/>
    <n v="22"/>
    <n v="4"/>
    <n v="3"/>
    <n v="80"/>
    <n v="1"/>
    <n v="7"/>
    <n v="3"/>
    <n v="3"/>
    <n v="4"/>
    <n v="2"/>
    <n v="0"/>
    <n v="3"/>
    <x v="2"/>
    <x v="0"/>
    <s v="High"/>
    <x v="1"/>
    <s v="Outstanding"/>
    <s v="Better"/>
    <n v="0"/>
    <s v="0–3,000"/>
    <s v="0–5 miles"/>
    <s v="2–5 years"/>
  </r>
  <r>
    <n v="36"/>
    <x v="1"/>
    <s v="Travel_Frequently"/>
    <n v="607"/>
    <x v="0"/>
    <n v="7"/>
    <x v="3"/>
    <s v="Marketing"/>
    <n v="1"/>
    <n v="1362"/>
    <n v="1"/>
    <s v="Female"/>
    <n v="83"/>
    <n v="4"/>
    <n v="2"/>
    <x v="0"/>
    <x v="3"/>
    <s v="Married"/>
    <n v="4639"/>
    <n v="2261"/>
    <n v="2"/>
    <s v="Y"/>
    <x v="1"/>
    <n v="16"/>
    <n v="3"/>
    <n v="4"/>
    <n v="80"/>
    <n v="1"/>
    <n v="17"/>
    <n v="2"/>
    <n v="2"/>
    <n v="15"/>
    <n v="7"/>
    <n v="6"/>
    <n v="13"/>
    <x v="3"/>
    <x v="3"/>
    <s v="Very High"/>
    <x v="3"/>
    <s v="Excellent"/>
    <s v="Good"/>
    <n v="0"/>
    <s v="3,001–6,000"/>
    <s v="6–10 miles"/>
    <s v="11+ years"/>
  </r>
  <r>
    <n v="48"/>
    <x v="1"/>
    <s v="Travel_Rarely"/>
    <n v="855"/>
    <x v="1"/>
    <n v="4"/>
    <x v="3"/>
    <s v="Life Sciences"/>
    <n v="1"/>
    <n v="1363"/>
    <n v="4"/>
    <s v="Male"/>
    <n v="54"/>
    <n v="3"/>
    <n v="3"/>
    <x v="3"/>
    <x v="0"/>
    <s v="Single"/>
    <n v="7898"/>
    <n v="18706"/>
    <n v="1"/>
    <s v="Y"/>
    <x v="1"/>
    <n v="11"/>
    <n v="3"/>
    <n v="3"/>
    <n v="80"/>
    <n v="0"/>
    <n v="11"/>
    <n v="2"/>
    <n v="3"/>
    <n v="10"/>
    <n v="9"/>
    <n v="0"/>
    <n v="8"/>
    <x v="3"/>
    <x v="2"/>
    <s v="High"/>
    <x v="0"/>
    <s v="Excellent"/>
    <s v="Better"/>
    <n v="0"/>
    <s v="6,001–10,000"/>
    <s v="0–5 miles"/>
    <s v="6–10 years"/>
  </r>
  <r>
    <n v="27"/>
    <x v="1"/>
    <s v="Travel_Rarely"/>
    <n v="1291"/>
    <x v="0"/>
    <n v="11"/>
    <x v="3"/>
    <s v="Medical"/>
    <n v="1"/>
    <n v="1364"/>
    <n v="3"/>
    <s v="Female"/>
    <n v="98"/>
    <n v="4"/>
    <n v="1"/>
    <x v="6"/>
    <x v="0"/>
    <s v="Married"/>
    <n v="2534"/>
    <n v="6527"/>
    <n v="8"/>
    <s v="Y"/>
    <x v="1"/>
    <n v="14"/>
    <n v="3"/>
    <n v="2"/>
    <n v="80"/>
    <n v="1"/>
    <n v="5"/>
    <n v="4"/>
    <n v="3"/>
    <n v="1"/>
    <n v="0"/>
    <n v="0"/>
    <n v="0"/>
    <x v="3"/>
    <x v="1"/>
    <s v="Very High"/>
    <x v="0"/>
    <s v="Excellent"/>
    <s v="Better"/>
    <n v="0"/>
    <s v="0–3,000"/>
    <s v="11–15 miles"/>
    <s v="0–1 years"/>
  </r>
  <r>
    <n v="51"/>
    <x v="1"/>
    <s v="Travel_Rarely"/>
    <n v="1405"/>
    <x v="1"/>
    <n v="11"/>
    <x v="0"/>
    <s v="Technical Degree"/>
    <n v="1"/>
    <n v="1367"/>
    <n v="4"/>
    <s v="Female"/>
    <n v="82"/>
    <n v="2"/>
    <n v="4"/>
    <x v="3"/>
    <x v="1"/>
    <s v="Single"/>
    <n v="13142"/>
    <n v="24439"/>
    <n v="3"/>
    <s v="Y"/>
    <x v="1"/>
    <n v="16"/>
    <n v="3"/>
    <n v="2"/>
    <n v="80"/>
    <n v="0"/>
    <n v="29"/>
    <n v="1"/>
    <n v="2"/>
    <n v="5"/>
    <n v="2"/>
    <n v="0"/>
    <n v="3"/>
    <x v="0"/>
    <x v="2"/>
    <s v="Medium"/>
    <x v="1"/>
    <s v="Excellent"/>
    <s v="Good"/>
    <n v="0"/>
    <s v="10,001+"/>
    <s v="11–15 miles"/>
    <s v="2–5 years"/>
  </r>
  <r>
    <n v="18"/>
    <x v="1"/>
    <s v="Non-Travel"/>
    <n v="1124"/>
    <x v="1"/>
    <n v="1"/>
    <x v="3"/>
    <s v="Life Sciences"/>
    <n v="1"/>
    <n v="1368"/>
    <n v="4"/>
    <s v="Female"/>
    <n v="97"/>
    <n v="3"/>
    <n v="1"/>
    <x v="2"/>
    <x v="0"/>
    <s v="Single"/>
    <n v="1611"/>
    <n v="19305"/>
    <n v="1"/>
    <s v="Y"/>
    <x v="1"/>
    <n v="15"/>
    <n v="3"/>
    <n v="3"/>
    <n v="80"/>
    <n v="0"/>
    <n v="0"/>
    <n v="5"/>
    <n v="4"/>
    <n v="0"/>
    <n v="0"/>
    <n v="0"/>
    <n v="0"/>
    <x v="3"/>
    <x v="2"/>
    <s v="High"/>
    <x v="0"/>
    <s v="Excellent"/>
    <s v="Best"/>
    <n v="0"/>
    <s v="0–3,000"/>
    <s v="0–5 miles"/>
    <s v="0–1 years"/>
  </r>
  <r>
    <n v="35"/>
    <x v="1"/>
    <s v="Travel_Rarely"/>
    <n v="817"/>
    <x v="1"/>
    <n v="1"/>
    <x v="3"/>
    <s v="Medical"/>
    <n v="1"/>
    <n v="1369"/>
    <n v="4"/>
    <s v="Female"/>
    <n v="60"/>
    <n v="2"/>
    <n v="2"/>
    <x v="2"/>
    <x v="0"/>
    <s v="Married"/>
    <n v="5363"/>
    <n v="10846"/>
    <n v="0"/>
    <s v="Y"/>
    <x v="1"/>
    <n v="12"/>
    <n v="3"/>
    <n v="2"/>
    <n v="80"/>
    <n v="1"/>
    <n v="10"/>
    <n v="0"/>
    <n v="3"/>
    <n v="9"/>
    <n v="7"/>
    <n v="0"/>
    <n v="0"/>
    <x v="3"/>
    <x v="2"/>
    <s v="Medium"/>
    <x v="0"/>
    <s v="Excellent"/>
    <s v="Better"/>
    <n v="0"/>
    <s v="3,001–6,000"/>
    <s v="0–5 miles"/>
    <s v="6–10 years"/>
  </r>
  <r>
    <n v="27"/>
    <x v="1"/>
    <s v="Travel_Frequently"/>
    <n v="793"/>
    <x v="0"/>
    <n v="2"/>
    <x v="1"/>
    <s v="Life Sciences"/>
    <n v="1"/>
    <n v="1371"/>
    <n v="4"/>
    <s v="Male"/>
    <n v="43"/>
    <n v="1"/>
    <n v="2"/>
    <x v="0"/>
    <x v="0"/>
    <s v="Single"/>
    <n v="5071"/>
    <n v="20392"/>
    <n v="3"/>
    <s v="Y"/>
    <x v="1"/>
    <n v="20"/>
    <n v="4"/>
    <n v="2"/>
    <n v="80"/>
    <n v="0"/>
    <n v="8"/>
    <n v="3"/>
    <n v="3"/>
    <n v="6"/>
    <n v="2"/>
    <n v="0"/>
    <n v="0"/>
    <x v="1"/>
    <x v="2"/>
    <s v="Low"/>
    <x v="0"/>
    <s v="Outstanding"/>
    <s v="Better"/>
    <n v="0"/>
    <s v="3,001–6,000"/>
    <s v="0–5 miles"/>
    <s v="6–10 years"/>
  </r>
  <r>
    <n v="55"/>
    <x v="0"/>
    <s v="Travel_Rarely"/>
    <n v="267"/>
    <x v="0"/>
    <n v="13"/>
    <x v="2"/>
    <s v="Marketing"/>
    <n v="1"/>
    <n v="1372"/>
    <n v="1"/>
    <s v="Male"/>
    <n v="85"/>
    <n v="4"/>
    <n v="4"/>
    <x v="0"/>
    <x v="2"/>
    <s v="Single"/>
    <n v="13695"/>
    <n v="9277"/>
    <n v="6"/>
    <s v="Y"/>
    <x v="0"/>
    <n v="17"/>
    <n v="3"/>
    <n v="3"/>
    <n v="80"/>
    <n v="0"/>
    <n v="24"/>
    <n v="2"/>
    <n v="2"/>
    <n v="19"/>
    <n v="7"/>
    <n v="3"/>
    <n v="8"/>
    <x v="2"/>
    <x v="3"/>
    <s v="Very High"/>
    <x v="2"/>
    <s v="Excellent"/>
    <s v="Good"/>
    <n v="1"/>
    <s v="10,001+"/>
    <s v="11–15 miles"/>
    <s v="11+ years"/>
  </r>
  <r>
    <n v="56"/>
    <x v="1"/>
    <s v="Travel_Rarely"/>
    <n v="1369"/>
    <x v="1"/>
    <n v="23"/>
    <x v="3"/>
    <s v="Life Sciences"/>
    <n v="1"/>
    <n v="1373"/>
    <n v="4"/>
    <s v="Male"/>
    <n v="68"/>
    <n v="3"/>
    <n v="4"/>
    <x v="3"/>
    <x v="1"/>
    <s v="Married"/>
    <n v="13402"/>
    <n v="18235"/>
    <n v="4"/>
    <s v="Y"/>
    <x v="0"/>
    <n v="12"/>
    <n v="3"/>
    <n v="1"/>
    <n v="80"/>
    <n v="1"/>
    <n v="33"/>
    <n v="0"/>
    <n v="3"/>
    <n v="19"/>
    <n v="16"/>
    <n v="15"/>
    <n v="9"/>
    <x v="3"/>
    <x v="2"/>
    <s v="High"/>
    <x v="1"/>
    <s v="Excellent"/>
    <s v="Better"/>
    <n v="0"/>
    <s v="10,001+"/>
    <s v="16+ miles"/>
    <s v="11+ years"/>
  </r>
  <r>
    <n v="34"/>
    <x v="1"/>
    <s v="Non-Travel"/>
    <n v="999"/>
    <x v="1"/>
    <n v="26"/>
    <x v="1"/>
    <s v="Technical Degree"/>
    <n v="1"/>
    <n v="1374"/>
    <n v="1"/>
    <s v="Female"/>
    <n v="92"/>
    <n v="2"/>
    <n v="1"/>
    <x v="1"/>
    <x v="2"/>
    <s v="Divorced"/>
    <n v="2029"/>
    <n v="15891"/>
    <n v="1"/>
    <s v="Y"/>
    <x v="1"/>
    <n v="20"/>
    <n v="4"/>
    <n v="3"/>
    <n v="80"/>
    <n v="3"/>
    <n v="5"/>
    <n v="2"/>
    <n v="3"/>
    <n v="5"/>
    <n v="4"/>
    <n v="0"/>
    <n v="0"/>
    <x v="1"/>
    <x v="3"/>
    <s v="Medium"/>
    <x v="2"/>
    <s v="Outstanding"/>
    <s v="Better"/>
    <n v="0"/>
    <s v="0–3,000"/>
    <s v="16+ miles"/>
    <s v="2–5 years"/>
  </r>
  <r>
    <n v="40"/>
    <x v="1"/>
    <s v="Travel_Rarely"/>
    <n v="1202"/>
    <x v="1"/>
    <n v="2"/>
    <x v="1"/>
    <s v="Medical"/>
    <n v="1"/>
    <n v="1375"/>
    <n v="2"/>
    <s v="Female"/>
    <n v="89"/>
    <n v="4"/>
    <n v="2"/>
    <x v="4"/>
    <x v="2"/>
    <s v="Divorced"/>
    <n v="6377"/>
    <n v="13888"/>
    <n v="5"/>
    <s v="Y"/>
    <x v="1"/>
    <n v="20"/>
    <n v="4"/>
    <n v="2"/>
    <n v="80"/>
    <n v="3"/>
    <n v="15"/>
    <n v="0"/>
    <n v="3"/>
    <n v="12"/>
    <n v="11"/>
    <n v="11"/>
    <n v="8"/>
    <x v="1"/>
    <x v="0"/>
    <s v="Very High"/>
    <x v="2"/>
    <s v="Outstanding"/>
    <s v="Better"/>
    <n v="0"/>
    <s v="6,001–10,000"/>
    <s v="0–5 miles"/>
    <s v="11+ years"/>
  </r>
  <r>
    <n v="34"/>
    <x v="1"/>
    <s v="Travel_Rarely"/>
    <n v="285"/>
    <x v="1"/>
    <n v="29"/>
    <x v="3"/>
    <s v="Medical"/>
    <n v="1"/>
    <n v="1377"/>
    <n v="2"/>
    <s v="Male"/>
    <n v="86"/>
    <n v="3"/>
    <n v="2"/>
    <x v="2"/>
    <x v="2"/>
    <s v="Married"/>
    <n v="5429"/>
    <n v="17491"/>
    <n v="4"/>
    <s v="Y"/>
    <x v="1"/>
    <n v="13"/>
    <n v="3"/>
    <n v="1"/>
    <n v="80"/>
    <n v="2"/>
    <n v="10"/>
    <n v="1"/>
    <n v="3"/>
    <n v="8"/>
    <n v="7"/>
    <n v="7"/>
    <n v="7"/>
    <x v="3"/>
    <x v="0"/>
    <s v="High"/>
    <x v="2"/>
    <s v="Excellent"/>
    <s v="Better"/>
    <n v="0"/>
    <s v="3,001–6,000"/>
    <s v="16+ miles"/>
    <s v="6–10 years"/>
  </r>
  <r>
    <n v="31"/>
    <x v="0"/>
    <s v="Travel_Frequently"/>
    <n v="703"/>
    <x v="0"/>
    <n v="2"/>
    <x v="3"/>
    <s v="Life Sciences"/>
    <n v="1"/>
    <n v="1379"/>
    <n v="3"/>
    <s v="Female"/>
    <n v="90"/>
    <n v="2"/>
    <n v="1"/>
    <x v="6"/>
    <x v="0"/>
    <s v="Single"/>
    <n v="2785"/>
    <n v="11882"/>
    <n v="7"/>
    <s v="Y"/>
    <x v="1"/>
    <n v="14"/>
    <n v="3"/>
    <n v="3"/>
    <n v="80"/>
    <n v="0"/>
    <n v="3"/>
    <n v="3"/>
    <n v="4"/>
    <n v="1"/>
    <n v="0"/>
    <n v="0"/>
    <n v="0"/>
    <x v="3"/>
    <x v="1"/>
    <s v="Medium"/>
    <x v="0"/>
    <s v="Excellent"/>
    <s v="Best"/>
    <n v="1"/>
    <s v="0–3,000"/>
    <s v="0–5 miles"/>
    <s v="0–1 years"/>
  </r>
  <r>
    <n v="35"/>
    <x v="0"/>
    <s v="Travel_Frequently"/>
    <n v="662"/>
    <x v="0"/>
    <n v="18"/>
    <x v="2"/>
    <s v="Marketing"/>
    <n v="1"/>
    <n v="1380"/>
    <n v="4"/>
    <s v="Female"/>
    <n v="67"/>
    <n v="3"/>
    <n v="2"/>
    <x v="0"/>
    <x v="2"/>
    <s v="Married"/>
    <n v="4614"/>
    <n v="23288"/>
    <n v="0"/>
    <s v="Y"/>
    <x v="0"/>
    <n v="18"/>
    <n v="3"/>
    <n v="3"/>
    <n v="80"/>
    <n v="1"/>
    <n v="5"/>
    <n v="0"/>
    <n v="2"/>
    <n v="4"/>
    <n v="2"/>
    <n v="3"/>
    <n v="2"/>
    <x v="2"/>
    <x v="2"/>
    <s v="High"/>
    <x v="2"/>
    <s v="Excellent"/>
    <s v="Good"/>
    <n v="1"/>
    <s v="3,001–6,000"/>
    <s v="16+ miles"/>
    <s v="2–5 years"/>
  </r>
  <r>
    <n v="38"/>
    <x v="1"/>
    <s v="Travel_Frequently"/>
    <n v="693"/>
    <x v="1"/>
    <n v="7"/>
    <x v="3"/>
    <s v="Life Sciences"/>
    <n v="1"/>
    <n v="1382"/>
    <n v="4"/>
    <s v="Male"/>
    <n v="57"/>
    <n v="4"/>
    <n v="1"/>
    <x v="1"/>
    <x v="2"/>
    <s v="Divorced"/>
    <n v="2610"/>
    <n v="15748"/>
    <n v="1"/>
    <s v="Y"/>
    <x v="1"/>
    <n v="11"/>
    <n v="3"/>
    <n v="4"/>
    <n v="80"/>
    <n v="3"/>
    <n v="4"/>
    <n v="2"/>
    <n v="3"/>
    <n v="4"/>
    <n v="2"/>
    <n v="0"/>
    <n v="3"/>
    <x v="3"/>
    <x v="2"/>
    <s v="Very High"/>
    <x v="2"/>
    <s v="Excellent"/>
    <s v="Better"/>
    <n v="0"/>
    <s v="0–3,000"/>
    <s v="6–10 miles"/>
    <s v="2–5 years"/>
  </r>
  <r>
    <n v="34"/>
    <x v="1"/>
    <s v="Travel_Rarely"/>
    <n v="404"/>
    <x v="1"/>
    <n v="2"/>
    <x v="2"/>
    <s v="Technical Degree"/>
    <n v="1"/>
    <n v="1383"/>
    <n v="3"/>
    <s v="Female"/>
    <n v="98"/>
    <n v="3"/>
    <n v="2"/>
    <x v="4"/>
    <x v="0"/>
    <s v="Single"/>
    <n v="6687"/>
    <n v="6163"/>
    <n v="1"/>
    <s v="Y"/>
    <x v="1"/>
    <n v="11"/>
    <n v="3"/>
    <n v="4"/>
    <n v="80"/>
    <n v="0"/>
    <n v="14"/>
    <n v="2"/>
    <n v="4"/>
    <n v="14"/>
    <n v="11"/>
    <n v="4"/>
    <n v="11"/>
    <x v="2"/>
    <x v="1"/>
    <s v="High"/>
    <x v="0"/>
    <s v="Excellent"/>
    <s v="Best"/>
    <n v="0"/>
    <s v="6,001–10,000"/>
    <s v="0–5 miles"/>
    <s v="11+ years"/>
  </r>
  <r>
    <n v="28"/>
    <x v="1"/>
    <s v="Travel_Rarely"/>
    <n v="736"/>
    <x v="0"/>
    <n v="26"/>
    <x v="3"/>
    <s v="Life Sciences"/>
    <n v="1"/>
    <n v="1387"/>
    <n v="3"/>
    <s v="Male"/>
    <n v="48"/>
    <n v="2"/>
    <n v="2"/>
    <x v="0"/>
    <x v="3"/>
    <s v="Married"/>
    <n v="4724"/>
    <n v="24232"/>
    <n v="1"/>
    <s v="Y"/>
    <x v="1"/>
    <n v="11"/>
    <n v="3"/>
    <n v="3"/>
    <n v="80"/>
    <n v="1"/>
    <n v="5"/>
    <n v="0"/>
    <n v="3"/>
    <n v="5"/>
    <n v="3"/>
    <n v="0"/>
    <n v="4"/>
    <x v="3"/>
    <x v="1"/>
    <s v="Medium"/>
    <x v="3"/>
    <s v="Excellent"/>
    <s v="Better"/>
    <n v="0"/>
    <s v="3,001–6,000"/>
    <s v="16+ miles"/>
    <s v="2–5 years"/>
  </r>
  <r>
    <n v="31"/>
    <x v="0"/>
    <s v="Travel_Rarely"/>
    <n v="330"/>
    <x v="1"/>
    <n v="22"/>
    <x v="2"/>
    <s v="Medical"/>
    <n v="1"/>
    <n v="1389"/>
    <n v="4"/>
    <s v="Male"/>
    <n v="98"/>
    <n v="3"/>
    <n v="2"/>
    <x v="3"/>
    <x v="2"/>
    <s v="Married"/>
    <n v="6179"/>
    <n v="21057"/>
    <n v="1"/>
    <s v="Y"/>
    <x v="0"/>
    <n v="15"/>
    <n v="3"/>
    <n v="4"/>
    <n v="80"/>
    <n v="2"/>
    <n v="10"/>
    <n v="3"/>
    <n v="2"/>
    <n v="10"/>
    <n v="2"/>
    <n v="6"/>
    <n v="7"/>
    <x v="2"/>
    <x v="2"/>
    <s v="High"/>
    <x v="2"/>
    <s v="Excellent"/>
    <s v="Good"/>
    <n v="1"/>
    <s v="6,001–10,000"/>
    <s v="16+ miles"/>
    <s v="6–10 years"/>
  </r>
  <r>
    <n v="39"/>
    <x v="1"/>
    <s v="Travel_Rarely"/>
    <n v="1498"/>
    <x v="0"/>
    <n v="21"/>
    <x v="2"/>
    <s v="Life Sciences"/>
    <n v="1"/>
    <n v="1390"/>
    <n v="1"/>
    <s v="Male"/>
    <n v="44"/>
    <n v="2"/>
    <n v="2"/>
    <x v="0"/>
    <x v="0"/>
    <s v="Married"/>
    <n v="6120"/>
    <n v="3567"/>
    <n v="3"/>
    <s v="Y"/>
    <x v="0"/>
    <n v="12"/>
    <n v="3"/>
    <n v="4"/>
    <n v="80"/>
    <n v="2"/>
    <n v="8"/>
    <n v="2"/>
    <n v="4"/>
    <n v="5"/>
    <n v="4"/>
    <n v="1"/>
    <n v="4"/>
    <x v="2"/>
    <x v="3"/>
    <s v="Medium"/>
    <x v="0"/>
    <s v="Excellent"/>
    <s v="Best"/>
    <n v="0"/>
    <s v="6,001–10,000"/>
    <s v="16+ miles"/>
    <s v="2–5 years"/>
  </r>
  <r>
    <n v="51"/>
    <x v="1"/>
    <s v="Travel_Frequently"/>
    <n v="541"/>
    <x v="0"/>
    <n v="2"/>
    <x v="3"/>
    <s v="Marketing"/>
    <n v="1"/>
    <n v="1391"/>
    <n v="2"/>
    <s v="Male"/>
    <n v="52"/>
    <n v="3"/>
    <n v="3"/>
    <x v="0"/>
    <x v="1"/>
    <s v="Married"/>
    <n v="10596"/>
    <n v="15395"/>
    <n v="2"/>
    <s v="Y"/>
    <x v="1"/>
    <n v="11"/>
    <n v="3"/>
    <n v="2"/>
    <n v="80"/>
    <n v="0"/>
    <n v="14"/>
    <n v="5"/>
    <n v="3"/>
    <n v="4"/>
    <n v="2"/>
    <n v="3"/>
    <n v="2"/>
    <x v="3"/>
    <x v="0"/>
    <s v="High"/>
    <x v="1"/>
    <s v="Excellent"/>
    <s v="Better"/>
    <n v="0"/>
    <s v="10,001+"/>
    <s v="0–5 miles"/>
    <s v="2–5 years"/>
  </r>
  <r>
    <n v="41"/>
    <x v="1"/>
    <s v="Travel_Frequently"/>
    <n v="1200"/>
    <x v="1"/>
    <n v="22"/>
    <x v="3"/>
    <s v="Life Sciences"/>
    <n v="1"/>
    <n v="1392"/>
    <n v="4"/>
    <s v="Female"/>
    <n v="75"/>
    <n v="3"/>
    <n v="2"/>
    <x v="1"/>
    <x v="0"/>
    <s v="Divorced"/>
    <n v="5467"/>
    <n v="13953"/>
    <n v="3"/>
    <s v="Y"/>
    <x v="0"/>
    <n v="14"/>
    <n v="3"/>
    <n v="1"/>
    <n v="80"/>
    <n v="2"/>
    <n v="12"/>
    <n v="4"/>
    <n v="2"/>
    <n v="6"/>
    <n v="2"/>
    <n v="3"/>
    <n v="3"/>
    <x v="3"/>
    <x v="2"/>
    <s v="High"/>
    <x v="0"/>
    <s v="Excellent"/>
    <s v="Good"/>
    <n v="0"/>
    <s v="3,001–6,000"/>
    <s v="16+ miles"/>
    <s v="6–10 years"/>
  </r>
  <r>
    <n v="37"/>
    <x v="1"/>
    <s v="Travel_Rarely"/>
    <n v="1439"/>
    <x v="1"/>
    <n v="4"/>
    <x v="1"/>
    <s v="Life Sciences"/>
    <n v="1"/>
    <n v="1394"/>
    <n v="3"/>
    <s v="Male"/>
    <n v="54"/>
    <n v="3"/>
    <n v="1"/>
    <x v="1"/>
    <x v="2"/>
    <s v="Married"/>
    <n v="2996"/>
    <n v="5182"/>
    <n v="7"/>
    <s v="Y"/>
    <x v="0"/>
    <n v="15"/>
    <n v="3"/>
    <n v="4"/>
    <n v="80"/>
    <n v="0"/>
    <n v="8"/>
    <n v="2"/>
    <n v="3"/>
    <n v="6"/>
    <n v="4"/>
    <n v="1"/>
    <n v="3"/>
    <x v="1"/>
    <x v="1"/>
    <s v="High"/>
    <x v="2"/>
    <s v="Excellent"/>
    <s v="Better"/>
    <n v="0"/>
    <s v="0–3,000"/>
    <s v="0–5 miles"/>
    <s v="6–10 years"/>
  </r>
  <r>
    <n v="33"/>
    <x v="1"/>
    <s v="Travel_Frequently"/>
    <n v="1111"/>
    <x v="0"/>
    <n v="5"/>
    <x v="1"/>
    <s v="Life Sciences"/>
    <n v="1"/>
    <n v="1395"/>
    <n v="2"/>
    <s v="Male"/>
    <n v="61"/>
    <n v="3"/>
    <n v="2"/>
    <x v="0"/>
    <x v="0"/>
    <s v="Married"/>
    <n v="9998"/>
    <n v="19293"/>
    <n v="6"/>
    <s v="Y"/>
    <x v="1"/>
    <n v="13"/>
    <n v="3"/>
    <n v="1"/>
    <n v="80"/>
    <n v="0"/>
    <n v="8"/>
    <n v="2"/>
    <n v="4"/>
    <n v="5"/>
    <n v="4"/>
    <n v="1"/>
    <n v="2"/>
    <x v="1"/>
    <x v="0"/>
    <s v="High"/>
    <x v="0"/>
    <s v="Excellent"/>
    <s v="Best"/>
    <n v="0"/>
    <s v="6,001–10,000"/>
    <s v="0–5 miles"/>
    <s v="2–5 years"/>
  </r>
  <r>
    <n v="32"/>
    <x v="1"/>
    <s v="Travel_Rarely"/>
    <n v="499"/>
    <x v="0"/>
    <n v="2"/>
    <x v="1"/>
    <s v="Marketing"/>
    <n v="1"/>
    <n v="1396"/>
    <n v="3"/>
    <s v="Male"/>
    <n v="36"/>
    <n v="3"/>
    <n v="2"/>
    <x v="0"/>
    <x v="1"/>
    <s v="Married"/>
    <n v="4078"/>
    <n v="20497"/>
    <n v="0"/>
    <s v="Y"/>
    <x v="0"/>
    <n v="13"/>
    <n v="3"/>
    <n v="1"/>
    <n v="80"/>
    <n v="3"/>
    <n v="4"/>
    <n v="3"/>
    <n v="2"/>
    <n v="3"/>
    <n v="2"/>
    <n v="1"/>
    <n v="2"/>
    <x v="1"/>
    <x v="1"/>
    <s v="High"/>
    <x v="1"/>
    <s v="Excellent"/>
    <s v="Good"/>
    <n v="0"/>
    <s v="3,001–6,000"/>
    <s v="0–5 miles"/>
    <s v="2–5 years"/>
  </r>
  <r>
    <n v="39"/>
    <x v="1"/>
    <s v="Non-Travel"/>
    <n v="1485"/>
    <x v="1"/>
    <n v="25"/>
    <x v="0"/>
    <s v="Life Sciences"/>
    <n v="1"/>
    <n v="1397"/>
    <n v="3"/>
    <s v="Male"/>
    <n v="71"/>
    <n v="3"/>
    <n v="3"/>
    <x v="4"/>
    <x v="2"/>
    <s v="Married"/>
    <n v="10920"/>
    <n v="3449"/>
    <n v="3"/>
    <s v="Y"/>
    <x v="1"/>
    <n v="21"/>
    <n v="4"/>
    <n v="2"/>
    <n v="80"/>
    <n v="1"/>
    <n v="13"/>
    <n v="2"/>
    <n v="3"/>
    <n v="6"/>
    <n v="4"/>
    <n v="0"/>
    <n v="5"/>
    <x v="0"/>
    <x v="1"/>
    <s v="High"/>
    <x v="2"/>
    <s v="Outstanding"/>
    <s v="Better"/>
    <n v="0"/>
    <s v="10,001+"/>
    <s v="16+ miles"/>
    <s v="6–10 years"/>
  </r>
  <r>
    <n v="25"/>
    <x v="1"/>
    <s v="Travel_Rarely"/>
    <n v="1372"/>
    <x v="0"/>
    <n v="18"/>
    <x v="1"/>
    <s v="Life Sciences"/>
    <n v="1"/>
    <n v="1399"/>
    <n v="1"/>
    <s v="Male"/>
    <n v="93"/>
    <n v="4"/>
    <n v="2"/>
    <x v="0"/>
    <x v="2"/>
    <s v="Married"/>
    <n v="6232"/>
    <n v="12477"/>
    <n v="2"/>
    <s v="Y"/>
    <x v="1"/>
    <n v="11"/>
    <n v="3"/>
    <n v="2"/>
    <n v="80"/>
    <n v="0"/>
    <n v="6"/>
    <n v="3"/>
    <n v="2"/>
    <n v="3"/>
    <n v="2"/>
    <n v="1"/>
    <n v="2"/>
    <x v="1"/>
    <x v="3"/>
    <s v="Very High"/>
    <x v="2"/>
    <s v="Excellent"/>
    <s v="Good"/>
    <n v="0"/>
    <s v="6,001–10,000"/>
    <s v="16+ miles"/>
    <s v="2–5 years"/>
  </r>
  <r>
    <n v="52"/>
    <x v="1"/>
    <s v="Travel_Frequently"/>
    <n v="322"/>
    <x v="1"/>
    <n v="28"/>
    <x v="0"/>
    <s v="Medical"/>
    <n v="1"/>
    <n v="1401"/>
    <n v="4"/>
    <s v="Female"/>
    <n v="59"/>
    <n v="4"/>
    <n v="4"/>
    <x v="3"/>
    <x v="2"/>
    <s v="Married"/>
    <n v="13247"/>
    <n v="9731"/>
    <n v="2"/>
    <s v="Y"/>
    <x v="0"/>
    <n v="11"/>
    <n v="3"/>
    <n v="2"/>
    <n v="80"/>
    <n v="1"/>
    <n v="24"/>
    <n v="3"/>
    <n v="2"/>
    <n v="5"/>
    <n v="3"/>
    <n v="0"/>
    <n v="2"/>
    <x v="0"/>
    <x v="2"/>
    <s v="Very High"/>
    <x v="2"/>
    <s v="Excellent"/>
    <s v="Good"/>
    <n v="0"/>
    <s v="10,001+"/>
    <s v="16+ miles"/>
    <s v="2–5 years"/>
  </r>
  <r>
    <n v="43"/>
    <x v="1"/>
    <s v="Travel_Rarely"/>
    <n v="930"/>
    <x v="1"/>
    <n v="6"/>
    <x v="3"/>
    <s v="Medical"/>
    <n v="1"/>
    <n v="1402"/>
    <n v="1"/>
    <s v="Female"/>
    <n v="73"/>
    <n v="2"/>
    <n v="2"/>
    <x v="1"/>
    <x v="2"/>
    <s v="Single"/>
    <n v="4081"/>
    <n v="20003"/>
    <n v="1"/>
    <s v="Y"/>
    <x v="0"/>
    <n v="14"/>
    <n v="3"/>
    <n v="1"/>
    <n v="80"/>
    <n v="0"/>
    <n v="20"/>
    <n v="3"/>
    <n v="1"/>
    <n v="20"/>
    <n v="7"/>
    <n v="1"/>
    <n v="8"/>
    <x v="3"/>
    <x v="3"/>
    <s v="Medium"/>
    <x v="2"/>
    <s v="Excellent"/>
    <s v="Bad"/>
    <n v="0"/>
    <s v="3,001–6,000"/>
    <s v="6–10 miles"/>
    <s v="11+ years"/>
  </r>
  <r>
    <n v="27"/>
    <x v="1"/>
    <s v="Travel_Rarely"/>
    <n v="205"/>
    <x v="0"/>
    <n v="10"/>
    <x v="3"/>
    <s v="Marketing"/>
    <n v="1"/>
    <n v="1403"/>
    <n v="4"/>
    <s v="Female"/>
    <n v="98"/>
    <n v="2"/>
    <n v="2"/>
    <x v="0"/>
    <x v="0"/>
    <s v="Married"/>
    <n v="5769"/>
    <n v="7100"/>
    <n v="1"/>
    <s v="Y"/>
    <x v="0"/>
    <n v="11"/>
    <n v="3"/>
    <n v="4"/>
    <n v="80"/>
    <n v="0"/>
    <n v="6"/>
    <n v="3"/>
    <n v="3"/>
    <n v="6"/>
    <n v="2"/>
    <n v="4"/>
    <n v="4"/>
    <x v="3"/>
    <x v="2"/>
    <s v="Medium"/>
    <x v="0"/>
    <s v="Excellent"/>
    <s v="Better"/>
    <n v="0"/>
    <s v="3,001–6,000"/>
    <s v="6–10 miles"/>
    <s v="6–10 years"/>
  </r>
  <r>
    <n v="27"/>
    <x v="0"/>
    <s v="Travel_Rarely"/>
    <n v="135"/>
    <x v="1"/>
    <n v="17"/>
    <x v="2"/>
    <s v="Life Sciences"/>
    <n v="1"/>
    <n v="1405"/>
    <n v="4"/>
    <s v="Female"/>
    <n v="51"/>
    <n v="3"/>
    <n v="1"/>
    <x v="1"/>
    <x v="2"/>
    <s v="Single"/>
    <n v="2394"/>
    <n v="25681"/>
    <n v="1"/>
    <s v="Y"/>
    <x v="0"/>
    <n v="13"/>
    <n v="3"/>
    <n v="4"/>
    <n v="80"/>
    <n v="0"/>
    <n v="8"/>
    <n v="2"/>
    <n v="3"/>
    <n v="8"/>
    <n v="2"/>
    <n v="7"/>
    <n v="7"/>
    <x v="2"/>
    <x v="2"/>
    <s v="High"/>
    <x v="2"/>
    <s v="Excellent"/>
    <s v="Better"/>
    <n v="1"/>
    <s v="0–3,000"/>
    <s v="16+ miles"/>
    <s v="6–10 years"/>
  </r>
  <r>
    <n v="26"/>
    <x v="1"/>
    <s v="Travel_Rarely"/>
    <n v="683"/>
    <x v="1"/>
    <n v="2"/>
    <x v="1"/>
    <s v="Medical"/>
    <n v="1"/>
    <n v="1407"/>
    <n v="1"/>
    <s v="Male"/>
    <n v="36"/>
    <n v="2"/>
    <n v="1"/>
    <x v="1"/>
    <x v="0"/>
    <s v="Single"/>
    <n v="3904"/>
    <n v="4050"/>
    <n v="0"/>
    <s v="Y"/>
    <x v="1"/>
    <n v="12"/>
    <n v="3"/>
    <n v="4"/>
    <n v="80"/>
    <n v="0"/>
    <n v="5"/>
    <n v="2"/>
    <n v="3"/>
    <n v="4"/>
    <n v="3"/>
    <n v="1"/>
    <n v="1"/>
    <x v="1"/>
    <x v="3"/>
    <s v="Medium"/>
    <x v="0"/>
    <s v="Excellent"/>
    <s v="Better"/>
    <n v="0"/>
    <s v="3,001–6,000"/>
    <s v="0–5 miles"/>
    <s v="2–5 years"/>
  </r>
  <r>
    <n v="42"/>
    <x v="1"/>
    <s v="Travel_Rarely"/>
    <n v="1147"/>
    <x v="2"/>
    <n v="10"/>
    <x v="3"/>
    <s v="Human Resources"/>
    <n v="1"/>
    <n v="1408"/>
    <n v="3"/>
    <s v="Female"/>
    <n v="31"/>
    <n v="3"/>
    <n v="4"/>
    <x v="5"/>
    <x v="3"/>
    <s v="Married"/>
    <n v="16799"/>
    <n v="16616"/>
    <n v="0"/>
    <s v="Y"/>
    <x v="1"/>
    <n v="14"/>
    <n v="3"/>
    <n v="3"/>
    <n v="80"/>
    <n v="1"/>
    <n v="21"/>
    <n v="5"/>
    <n v="3"/>
    <n v="20"/>
    <n v="7"/>
    <n v="0"/>
    <n v="9"/>
    <x v="3"/>
    <x v="1"/>
    <s v="High"/>
    <x v="3"/>
    <s v="Excellent"/>
    <s v="Better"/>
    <n v="0"/>
    <s v="10,001+"/>
    <s v="6–10 miles"/>
    <s v="11+ years"/>
  </r>
  <r>
    <n v="52"/>
    <x v="1"/>
    <s v="Travel_Rarely"/>
    <n v="258"/>
    <x v="1"/>
    <n v="8"/>
    <x v="2"/>
    <s v="Other"/>
    <n v="1"/>
    <n v="1409"/>
    <n v="3"/>
    <s v="Female"/>
    <n v="54"/>
    <n v="3"/>
    <n v="1"/>
    <x v="2"/>
    <x v="3"/>
    <s v="Married"/>
    <n v="2950"/>
    <n v="17363"/>
    <n v="9"/>
    <s v="Y"/>
    <x v="1"/>
    <n v="13"/>
    <n v="3"/>
    <n v="3"/>
    <n v="80"/>
    <n v="0"/>
    <n v="12"/>
    <n v="2"/>
    <n v="1"/>
    <n v="5"/>
    <n v="4"/>
    <n v="0"/>
    <n v="4"/>
    <x v="2"/>
    <x v="1"/>
    <s v="High"/>
    <x v="3"/>
    <s v="Excellent"/>
    <s v="Bad"/>
    <n v="0"/>
    <s v="0–3,000"/>
    <s v="6–10 miles"/>
    <s v="2–5 years"/>
  </r>
  <r>
    <n v="37"/>
    <x v="1"/>
    <s v="Travel_Rarely"/>
    <n v="1462"/>
    <x v="1"/>
    <n v="11"/>
    <x v="3"/>
    <s v="Medical"/>
    <n v="1"/>
    <n v="1411"/>
    <n v="1"/>
    <s v="Female"/>
    <n v="94"/>
    <n v="3"/>
    <n v="1"/>
    <x v="2"/>
    <x v="2"/>
    <s v="Single"/>
    <n v="3629"/>
    <n v="19106"/>
    <n v="4"/>
    <s v="Y"/>
    <x v="1"/>
    <n v="18"/>
    <n v="3"/>
    <n v="1"/>
    <n v="80"/>
    <n v="0"/>
    <n v="8"/>
    <n v="6"/>
    <n v="3"/>
    <n v="3"/>
    <n v="2"/>
    <n v="0"/>
    <n v="2"/>
    <x v="3"/>
    <x v="3"/>
    <s v="High"/>
    <x v="2"/>
    <s v="Excellent"/>
    <s v="Better"/>
    <n v="0"/>
    <s v="3,001–6,000"/>
    <s v="11–15 miles"/>
    <s v="2–5 years"/>
  </r>
  <r>
    <n v="35"/>
    <x v="1"/>
    <s v="Travel_Frequently"/>
    <n v="200"/>
    <x v="1"/>
    <n v="18"/>
    <x v="0"/>
    <s v="Life Sciences"/>
    <n v="1"/>
    <n v="1412"/>
    <n v="3"/>
    <s v="Male"/>
    <n v="60"/>
    <n v="3"/>
    <n v="3"/>
    <x v="3"/>
    <x v="0"/>
    <s v="Single"/>
    <n v="9362"/>
    <n v="19944"/>
    <n v="2"/>
    <s v="Y"/>
    <x v="1"/>
    <n v="11"/>
    <n v="3"/>
    <n v="3"/>
    <n v="80"/>
    <n v="0"/>
    <n v="10"/>
    <n v="2"/>
    <n v="3"/>
    <n v="2"/>
    <n v="2"/>
    <n v="2"/>
    <n v="2"/>
    <x v="0"/>
    <x v="1"/>
    <s v="High"/>
    <x v="0"/>
    <s v="Excellent"/>
    <s v="Better"/>
    <n v="0"/>
    <s v="6,001–10,000"/>
    <s v="16+ miles"/>
    <s v="2–5 years"/>
  </r>
  <r>
    <n v="25"/>
    <x v="1"/>
    <s v="Travel_Rarely"/>
    <n v="949"/>
    <x v="1"/>
    <n v="1"/>
    <x v="3"/>
    <s v="Technical Degree"/>
    <n v="1"/>
    <n v="1415"/>
    <n v="1"/>
    <s v="Male"/>
    <n v="81"/>
    <n v="3"/>
    <n v="1"/>
    <x v="2"/>
    <x v="0"/>
    <s v="Married"/>
    <n v="3229"/>
    <n v="4910"/>
    <n v="4"/>
    <s v="Y"/>
    <x v="1"/>
    <n v="11"/>
    <n v="3"/>
    <n v="2"/>
    <n v="80"/>
    <n v="1"/>
    <n v="7"/>
    <n v="2"/>
    <n v="2"/>
    <n v="3"/>
    <n v="2"/>
    <n v="0"/>
    <n v="2"/>
    <x v="3"/>
    <x v="3"/>
    <s v="High"/>
    <x v="0"/>
    <s v="Excellent"/>
    <s v="Good"/>
    <n v="0"/>
    <s v="3,001–6,000"/>
    <s v="0–5 miles"/>
    <s v="2–5 years"/>
  </r>
  <r>
    <n v="26"/>
    <x v="1"/>
    <s v="Travel_Rarely"/>
    <n v="652"/>
    <x v="1"/>
    <n v="7"/>
    <x v="3"/>
    <s v="Other"/>
    <n v="1"/>
    <n v="1417"/>
    <n v="3"/>
    <s v="Male"/>
    <n v="100"/>
    <n v="4"/>
    <n v="1"/>
    <x v="2"/>
    <x v="3"/>
    <s v="Single"/>
    <n v="3578"/>
    <n v="23577"/>
    <n v="0"/>
    <s v="Y"/>
    <x v="1"/>
    <n v="12"/>
    <n v="3"/>
    <n v="4"/>
    <n v="80"/>
    <n v="0"/>
    <n v="8"/>
    <n v="2"/>
    <n v="3"/>
    <n v="7"/>
    <n v="7"/>
    <n v="0"/>
    <n v="7"/>
    <x v="3"/>
    <x v="1"/>
    <s v="Very High"/>
    <x v="3"/>
    <s v="Excellent"/>
    <s v="Better"/>
    <n v="0"/>
    <s v="3,001–6,000"/>
    <s v="6–10 miles"/>
    <s v="6–10 years"/>
  </r>
  <r>
    <n v="29"/>
    <x v="1"/>
    <s v="Travel_Rarely"/>
    <n v="332"/>
    <x v="2"/>
    <n v="17"/>
    <x v="3"/>
    <s v="Other"/>
    <n v="1"/>
    <n v="1419"/>
    <n v="2"/>
    <s v="Male"/>
    <n v="51"/>
    <n v="2"/>
    <n v="3"/>
    <x v="8"/>
    <x v="3"/>
    <s v="Single"/>
    <n v="7988"/>
    <n v="9769"/>
    <n v="1"/>
    <s v="Y"/>
    <x v="1"/>
    <n v="13"/>
    <n v="3"/>
    <n v="1"/>
    <n v="80"/>
    <n v="0"/>
    <n v="10"/>
    <n v="3"/>
    <n v="2"/>
    <n v="10"/>
    <n v="9"/>
    <n v="0"/>
    <n v="9"/>
    <x v="3"/>
    <x v="0"/>
    <s v="Medium"/>
    <x v="3"/>
    <s v="Excellent"/>
    <s v="Good"/>
    <n v="0"/>
    <s v="6,001–10,000"/>
    <s v="16+ miles"/>
    <s v="6–10 years"/>
  </r>
  <r>
    <n v="49"/>
    <x v="0"/>
    <s v="Travel_Frequently"/>
    <n v="1475"/>
    <x v="1"/>
    <n v="28"/>
    <x v="0"/>
    <s v="Life Sciences"/>
    <n v="1"/>
    <n v="1420"/>
    <n v="1"/>
    <s v="Male"/>
    <n v="97"/>
    <n v="2"/>
    <n v="2"/>
    <x v="2"/>
    <x v="3"/>
    <s v="Single"/>
    <n v="4284"/>
    <n v="22710"/>
    <n v="3"/>
    <s v="Y"/>
    <x v="1"/>
    <n v="20"/>
    <n v="4"/>
    <n v="1"/>
    <n v="80"/>
    <n v="0"/>
    <n v="20"/>
    <n v="2"/>
    <n v="3"/>
    <n v="4"/>
    <n v="3"/>
    <n v="1"/>
    <n v="3"/>
    <x v="0"/>
    <x v="3"/>
    <s v="Medium"/>
    <x v="3"/>
    <s v="Outstanding"/>
    <s v="Better"/>
    <n v="1"/>
    <s v="3,001–6,000"/>
    <s v="16+ miles"/>
    <s v="2–5 years"/>
  </r>
  <r>
    <n v="29"/>
    <x v="0"/>
    <s v="Travel_Frequently"/>
    <n v="337"/>
    <x v="1"/>
    <n v="14"/>
    <x v="1"/>
    <s v="Other"/>
    <n v="1"/>
    <n v="1421"/>
    <n v="3"/>
    <s v="Female"/>
    <n v="84"/>
    <n v="3"/>
    <n v="3"/>
    <x v="4"/>
    <x v="0"/>
    <s v="Single"/>
    <n v="7553"/>
    <n v="22930"/>
    <n v="0"/>
    <s v="Y"/>
    <x v="0"/>
    <n v="12"/>
    <n v="3"/>
    <n v="1"/>
    <n v="80"/>
    <n v="0"/>
    <n v="9"/>
    <n v="1"/>
    <n v="3"/>
    <n v="8"/>
    <n v="7"/>
    <n v="7"/>
    <n v="7"/>
    <x v="1"/>
    <x v="1"/>
    <s v="High"/>
    <x v="0"/>
    <s v="Excellent"/>
    <s v="Better"/>
    <n v="1"/>
    <s v="6,001–10,000"/>
    <s v="11–15 miles"/>
    <s v="6–10 years"/>
  </r>
  <r>
    <n v="54"/>
    <x v="1"/>
    <s v="Travel_Rarely"/>
    <n v="971"/>
    <x v="1"/>
    <n v="1"/>
    <x v="3"/>
    <s v="Medical"/>
    <n v="1"/>
    <n v="1422"/>
    <n v="4"/>
    <s v="Female"/>
    <n v="54"/>
    <n v="3"/>
    <n v="4"/>
    <x v="7"/>
    <x v="0"/>
    <s v="Single"/>
    <n v="17328"/>
    <n v="5652"/>
    <n v="6"/>
    <s v="Y"/>
    <x v="1"/>
    <n v="19"/>
    <n v="3"/>
    <n v="4"/>
    <n v="80"/>
    <n v="0"/>
    <n v="29"/>
    <n v="3"/>
    <n v="2"/>
    <n v="20"/>
    <n v="7"/>
    <n v="12"/>
    <n v="7"/>
    <x v="3"/>
    <x v="2"/>
    <s v="High"/>
    <x v="0"/>
    <s v="Excellent"/>
    <s v="Good"/>
    <n v="0"/>
    <s v="10,001+"/>
    <s v="0–5 miles"/>
    <s v="11+ years"/>
  </r>
  <r>
    <n v="58"/>
    <x v="1"/>
    <s v="Travel_Rarely"/>
    <n v="1055"/>
    <x v="1"/>
    <n v="1"/>
    <x v="3"/>
    <s v="Medical"/>
    <n v="1"/>
    <n v="1423"/>
    <n v="4"/>
    <s v="Female"/>
    <n v="76"/>
    <n v="3"/>
    <n v="5"/>
    <x v="7"/>
    <x v="3"/>
    <s v="Married"/>
    <n v="19701"/>
    <n v="22456"/>
    <n v="3"/>
    <s v="Y"/>
    <x v="0"/>
    <n v="21"/>
    <n v="4"/>
    <n v="3"/>
    <n v="80"/>
    <n v="1"/>
    <n v="32"/>
    <n v="3"/>
    <n v="3"/>
    <n v="9"/>
    <n v="8"/>
    <n v="1"/>
    <n v="5"/>
    <x v="3"/>
    <x v="2"/>
    <s v="High"/>
    <x v="3"/>
    <s v="Outstanding"/>
    <s v="Better"/>
    <n v="0"/>
    <s v="10,001+"/>
    <s v="0–5 miles"/>
    <s v="6–10 years"/>
  </r>
  <r>
    <n v="55"/>
    <x v="1"/>
    <s v="Travel_Rarely"/>
    <n v="1136"/>
    <x v="1"/>
    <n v="1"/>
    <x v="2"/>
    <s v="Medical"/>
    <n v="1"/>
    <n v="1424"/>
    <n v="2"/>
    <s v="Male"/>
    <n v="81"/>
    <n v="4"/>
    <n v="4"/>
    <x v="7"/>
    <x v="0"/>
    <s v="Divorced"/>
    <n v="14732"/>
    <n v="12414"/>
    <n v="2"/>
    <s v="Y"/>
    <x v="1"/>
    <n v="13"/>
    <n v="3"/>
    <n v="4"/>
    <n v="80"/>
    <n v="2"/>
    <n v="31"/>
    <n v="4"/>
    <n v="4"/>
    <n v="7"/>
    <n v="7"/>
    <n v="0"/>
    <n v="0"/>
    <x v="2"/>
    <x v="0"/>
    <s v="Very High"/>
    <x v="0"/>
    <s v="Excellent"/>
    <s v="Best"/>
    <n v="0"/>
    <s v="10,001+"/>
    <s v="0–5 miles"/>
    <s v="6–10 years"/>
  </r>
  <r>
    <n v="36"/>
    <x v="1"/>
    <s v="Travel_Rarely"/>
    <n v="1174"/>
    <x v="0"/>
    <n v="3"/>
    <x v="2"/>
    <s v="Marketing"/>
    <n v="1"/>
    <n v="1425"/>
    <n v="1"/>
    <s v="Female"/>
    <n v="99"/>
    <n v="3"/>
    <n v="2"/>
    <x v="0"/>
    <x v="1"/>
    <s v="Single"/>
    <n v="9278"/>
    <n v="20763"/>
    <n v="3"/>
    <s v="Y"/>
    <x v="0"/>
    <n v="16"/>
    <n v="3"/>
    <n v="4"/>
    <n v="80"/>
    <n v="0"/>
    <n v="15"/>
    <n v="3"/>
    <n v="3"/>
    <n v="5"/>
    <n v="4"/>
    <n v="0"/>
    <n v="1"/>
    <x v="2"/>
    <x v="3"/>
    <s v="High"/>
    <x v="1"/>
    <s v="Excellent"/>
    <s v="Better"/>
    <n v="0"/>
    <s v="6,001–10,000"/>
    <s v="0–5 miles"/>
    <s v="2–5 years"/>
  </r>
  <r>
    <n v="31"/>
    <x v="0"/>
    <s v="Travel_Frequently"/>
    <n v="667"/>
    <x v="0"/>
    <n v="1"/>
    <x v="2"/>
    <s v="Life Sciences"/>
    <n v="1"/>
    <n v="1427"/>
    <n v="2"/>
    <s v="Female"/>
    <n v="50"/>
    <n v="1"/>
    <n v="1"/>
    <x v="6"/>
    <x v="2"/>
    <s v="Single"/>
    <n v="1359"/>
    <n v="16154"/>
    <n v="1"/>
    <s v="Y"/>
    <x v="1"/>
    <n v="12"/>
    <n v="3"/>
    <n v="2"/>
    <n v="80"/>
    <n v="0"/>
    <n v="1"/>
    <n v="3"/>
    <n v="3"/>
    <n v="1"/>
    <n v="0"/>
    <n v="0"/>
    <n v="0"/>
    <x v="2"/>
    <x v="0"/>
    <s v="Low"/>
    <x v="2"/>
    <s v="Excellent"/>
    <s v="Better"/>
    <n v="1"/>
    <s v="0–3,000"/>
    <s v="0–5 miles"/>
    <s v="0–1 years"/>
  </r>
  <r>
    <n v="30"/>
    <x v="1"/>
    <s v="Travel_Rarely"/>
    <n v="855"/>
    <x v="0"/>
    <n v="7"/>
    <x v="2"/>
    <s v="Marketing"/>
    <n v="1"/>
    <n v="1428"/>
    <n v="4"/>
    <s v="Female"/>
    <n v="73"/>
    <n v="3"/>
    <n v="2"/>
    <x v="0"/>
    <x v="3"/>
    <s v="Divorced"/>
    <n v="4779"/>
    <n v="12761"/>
    <n v="7"/>
    <s v="Y"/>
    <x v="1"/>
    <n v="14"/>
    <n v="3"/>
    <n v="2"/>
    <n v="80"/>
    <n v="2"/>
    <n v="8"/>
    <n v="3"/>
    <n v="3"/>
    <n v="3"/>
    <n v="2"/>
    <n v="0"/>
    <n v="2"/>
    <x v="2"/>
    <x v="2"/>
    <s v="High"/>
    <x v="3"/>
    <s v="Excellent"/>
    <s v="Better"/>
    <n v="0"/>
    <s v="3,001–6,000"/>
    <s v="6–10 miles"/>
    <s v="2–5 years"/>
  </r>
  <r>
    <n v="31"/>
    <x v="1"/>
    <s v="Travel_Rarely"/>
    <n v="182"/>
    <x v="1"/>
    <n v="8"/>
    <x v="4"/>
    <s v="Life Sciences"/>
    <n v="1"/>
    <n v="1430"/>
    <n v="1"/>
    <s v="Female"/>
    <n v="93"/>
    <n v="3"/>
    <n v="4"/>
    <x v="7"/>
    <x v="1"/>
    <s v="Single"/>
    <n v="16422"/>
    <n v="8847"/>
    <n v="3"/>
    <s v="Y"/>
    <x v="1"/>
    <n v="11"/>
    <n v="3"/>
    <n v="3"/>
    <n v="80"/>
    <n v="0"/>
    <n v="9"/>
    <n v="3"/>
    <n v="4"/>
    <n v="3"/>
    <n v="2"/>
    <n v="1"/>
    <n v="0"/>
    <x v="4"/>
    <x v="3"/>
    <s v="High"/>
    <x v="1"/>
    <s v="Excellent"/>
    <s v="Best"/>
    <n v="0"/>
    <s v="10,001+"/>
    <s v="6–10 miles"/>
    <s v="2–5 years"/>
  </r>
  <r>
    <n v="34"/>
    <x v="1"/>
    <s v="Travel_Frequently"/>
    <n v="560"/>
    <x v="1"/>
    <n v="1"/>
    <x v="2"/>
    <s v="Other"/>
    <n v="1"/>
    <n v="1431"/>
    <n v="4"/>
    <s v="Male"/>
    <n v="91"/>
    <n v="3"/>
    <n v="1"/>
    <x v="1"/>
    <x v="3"/>
    <s v="Divorced"/>
    <n v="2996"/>
    <n v="20284"/>
    <n v="5"/>
    <s v="Y"/>
    <x v="1"/>
    <n v="14"/>
    <n v="3"/>
    <n v="3"/>
    <n v="80"/>
    <n v="2"/>
    <n v="10"/>
    <n v="2"/>
    <n v="3"/>
    <n v="4"/>
    <n v="3"/>
    <n v="1"/>
    <n v="3"/>
    <x v="2"/>
    <x v="2"/>
    <s v="High"/>
    <x v="3"/>
    <s v="Excellent"/>
    <s v="Better"/>
    <n v="0"/>
    <s v="0–3,000"/>
    <s v="0–5 miles"/>
    <s v="2–5 years"/>
  </r>
  <r>
    <n v="31"/>
    <x v="0"/>
    <s v="Travel_Rarely"/>
    <n v="202"/>
    <x v="1"/>
    <n v="8"/>
    <x v="3"/>
    <s v="Life Sciences"/>
    <n v="1"/>
    <n v="1433"/>
    <n v="1"/>
    <s v="Female"/>
    <n v="34"/>
    <n v="2"/>
    <n v="1"/>
    <x v="1"/>
    <x v="1"/>
    <s v="Single"/>
    <n v="1261"/>
    <n v="22262"/>
    <n v="1"/>
    <s v="Y"/>
    <x v="1"/>
    <n v="12"/>
    <n v="3"/>
    <n v="3"/>
    <n v="80"/>
    <n v="0"/>
    <n v="1"/>
    <n v="3"/>
    <n v="4"/>
    <n v="1"/>
    <n v="0"/>
    <n v="0"/>
    <n v="0"/>
    <x v="3"/>
    <x v="3"/>
    <s v="Medium"/>
    <x v="1"/>
    <s v="Excellent"/>
    <s v="Best"/>
    <n v="1"/>
    <s v="0–3,000"/>
    <s v="6–10 miles"/>
    <s v="0–1 years"/>
  </r>
  <r>
    <n v="27"/>
    <x v="1"/>
    <s v="Travel_Rarely"/>
    <n v="1377"/>
    <x v="1"/>
    <n v="11"/>
    <x v="1"/>
    <s v="Life Sciences"/>
    <n v="1"/>
    <n v="1434"/>
    <n v="2"/>
    <s v="Male"/>
    <n v="91"/>
    <n v="3"/>
    <n v="1"/>
    <x v="2"/>
    <x v="3"/>
    <s v="Married"/>
    <n v="2099"/>
    <n v="7679"/>
    <n v="0"/>
    <s v="Y"/>
    <x v="1"/>
    <n v="14"/>
    <n v="3"/>
    <n v="2"/>
    <n v="80"/>
    <n v="0"/>
    <n v="6"/>
    <n v="3"/>
    <n v="4"/>
    <n v="5"/>
    <n v="0"/>
    <n v="1"/>
    <n v="4"/>
    <x v="1"/>
    <x v="0"/>
    <s v="High"/>
    <x v="3"/>
    <s v="Excellent"/>
    <s v="Best"/>
    <n v="0"/>
    <s v="0–3,000"/>
    <s v="11–15 miles"/>
    <s v="2–5 years"/>
  </r>
  <r>
    <n v="36"/>
    <x v="1"/>
    <s v="Travel_Rarely"/>
    <n v="172"/>
    <x v="1"/>
    <n v="4"/>
    <x v="2"/>
    <s v="Life Sciences"/>
    <n v="1"/>
    <n v="1435"/>
    <n v="1"/>
    <s v="Male"/>
    <n v="37"/>
    <n v="2"/>
    <n v="2"/>
    <x v="2"/>
    <x v="0"/>
    <s v="Single"/>
    <n v="5810"/>
    <n v="22604"/>
    <n v="1"/>
    <s v="Y"/>
    <x v="1"/>
    <n v="16"/>
    <n v="3"/>
    <n v="3"/>
    <n v="80"/>
    <n v="0"/>
    <n v="10"/>
    <n v="2"/>
    <n v="2"/>
    <n v="10"/>
    <n v="4"/>
    <n v="1"/>
    <n v="8"/>
    <x v="2"/>
    <x v="3"/>
    <s v="Medium"/>
    <x v="0"/>
    <s v="Excellent"/>
    <s v="Good"/>
    <n v="0"/>
    <s v="3,001–6,000"/>
    <s v="0–5 miles"/>
    <s v="6–10 years"/>
  </r>
  <r>
    <n v="36"/>
    <x v="1"/>
    <s v="Travel_Rarely"/>
    <n v="329"/>
    <x v="0"/>
    <n v="16"/>
    <x v="2"/>
    <s v="Marketing"/>
    <n v="1"/>
    <n v="1436"/>
    <n v="3"/>
    <s v="Female"/>
    <n v="98"/>
    <n v="2"/>
    <n v="2"/>
    <x v="0"/>
    <x v="3"/>
    <s v="Married"/>
    <n v="5647"/>
    <n v="13494"/>
    <n v="4"/>
    <s v="Y"/>
    <x v="1"/>
    <n v="13"/>
    <n v="3"/>
    <n v="1"/>
    <n v="80"/>
    <n v="2"/>
    <n v="11"/>
    <n v="3"/>
    <n v="2"/>
    <n v="3"/>
    <n v="2"/>
    <n v="0"/>
    <n v="2"/>
    <x v="2"/>
    <x v="1"/>
    <s v="Medium"/>
    <x v="3"/>
    <s v="Excellent"/>
    <s v="Good"/>
    <n v="0"/>
    <s v="3,001–6,000"/>
    <s v="16+ miles"/>
    <s v="2–5 years"/>
  </r>
  <r>
    <n v="47"/>
    <x v="1"/>
    <s v="Travel_Rarely"/>
    <n v="465"/>
    <x v="1"/>
    <n v="1"/>
    <x v="3"/>
    <s v="Technical Degree"/>
    <n v="1"/>
    <n v="1438"/>
    <n v="1"/>
    <s v="Male"/>
    <n v="74"/>
    <n v="3"/>
    <n v="1"/>
    <x v="1"/>
    <x v="0"/>
    <s v="Married"/>
    <n v="3420"/>
    <n v="10205"/>
    <n v="7"/>
    <s v="Y"/>
    <x v="1"/>
    <n v="12"/>
    <n v="3"/>
    <n v="3"/>
    <n v="80"/>
    <n v="1"/>
    <n v="17"/>
    <n v="2"/>
    <n v="2"/>
    <n v="6"/>
    <n v="5"/>
    <n v="1"/>
    <n v="2"/>
    <x v="3"/>
    <x v="3"/>
    <s v="High"/>
    <x v="0"/>
    <s v="Excellent"/>
    <s v="Good"/>
    <n v="0"/>
    <s v="3,001–6,000"/>
    <s v="0–5 miles"/>
    <s v="6–10 years"/>
  </r>
  <r>
    <n v="25"/>
    <x v="0"/>
    <s v="Travel_Rarely"/>
    <n v="383"/>
    <x v="0"/>
    <n v="9"/>
    <x v="0"/>
    <s v="Life Sciences"/>
    <n v="1"/>
    <n v="1439"/>
    <n v="1"/>
    <s v="Male"/>
    <n v="68"/>
    <n v="2"/>
    <n v="1"/>
    <x v="6"/>
    <x v="3"/>
    <s v="Married"/>
    <n v="4400"/>
    <n v="15182"/>
    <n v="3"/>
    <s v="Y"/>
    <x v="1"/>
    <n v="12"/>
    <n v="3"/>
    <n v="1"/>
    <n v="80"/>
    <n v="0"/>
    <n v="6"/>
    <n v="2"/>
    <n v="3"/>
    <n v="3"/>
    <n v="2"/>
    <n v="2"/>
    <n v="2"/>
    <x v="0"/>
    <x v="3"/>
    <s v="Medium"/>
    <x v="3"/>
    <s v="Excellent"/>
    <s v="Better"/>
    <n v="1"/>
    <s v="3,001–6,000"/>
    <s v="6–10 miles"/>
    <s v="2–5 years"/>
  </r>
  <r>
    <n v="37"/>
    <x v="1"/>
    <s v="Non-Travel"/>
    <n v="1413"/>
    <x v="1"/>
    <n v="5"/>
    <x v="0"/>
    <s v="Technical Degree"/>
    <n v="1"/>
    <n v="1440"/>
    <n v="3"/>
    <s v="Male"/>
    <n v="84"/>
    <n v="4"/>
    <n v="1"/>
    <x v="2"/>
    <x v="2"/>
    <s v="Single"/>
    <n v="3500"/>
    <n v="25470"/>
    <n v="0"/>
    <s v="Y"/>
    <x v="1"/>
    <n v="14"/>
    <n v="3"/>
    <n v="1"/>
    <n v="80"/>
    <n v="0"/>
    <n v="7"/>
    <n v="2"/>
    <n v="1"/>
    <n v="6"/>
    <n v="5"/>
    <n v="1"/>
    <n v="3"/>
    <x v="0"/>
    <x v="1"/>
    <s v="Very High"/>
    <x v="2"/>
    <s v="Excellent"/>
    <s v="Bad"/>
    <n v="0"/>
    <s v="3,001–6,000"/>
    <s v="0–5 miles"/>
    <s v="6–10 years"/>
  </r>
  <r>
    <n v="56"/>
    <x v="1"/>
    <s v="Travel_Rarely"/>
    <n v="1255"/>
    <x v="1"/>
    <n v="1"/>
    <x v="0"/>
    <s v="Life Sciences"/>
    <n v="1"/>
    <n v="1441"/>
    <n v="1"/>
    <s v="Female"/>
    <n v="90"/>
    <n v="3"/>
    <n v="1"/>
    <x v="1"/>
    <x v="3"/>
    <s v="Married"/>
    <n v="2066"/>
    <n v="10494"/>
    <n v="2"/>
    <s v="Y"/>
    <x v="1"/>
    <n v="22"/>
    <n v="4"/>
    <n v="4"/>
    <n v="80"/>
    <n v="1"/>
    <n v="5"/>
    <n v="3"/>
    <n v="4"/>
    <n v="3"/>
    <n v="2"/>
    <n v="1"/>
    <n v="0"/>
    <x v="0"/>
    <x v="3"/>
    <s v="High"/>
    <x v="3"/>
    <s v="Outstanding"/>
    <s v="Best"/>
    <n v="0"/>
    <s v="0–3,000"/>
    <s v="0–5 miles"/>
    <s v="2–5 years"/>
  </r>
  <r>
    <n v="47"/>
    <x v="1"/>
    <s v="Travel_Rarely"/>
    <n v="359"/>
    <x v="1"/>
    <n v="2"/>
    <x v="2"/>
    <s v="Medical"/>
    <n v="1"/>
    <n v="1443"/>
    <n v="1"/>
    <s v="Female"/>
    <n v="82"/>
    <n v="3"/>
    <n v="4"/>
    <x v="7"/>
    <x v="2"/>
    <s v="Married"/>
    <n v="17169"/>
    <n v="26703"/>
    <n v="3"/>
    <s v="Y"/>
    <x v="1"/>
    <n v="19"/>
    <n v="3"/>
    <n v="2"/>
    <n v="80"/>
    <n v="2"/>
    <n v="26"/>
    <n v="2"/>
    <n v="4"/>
    <n v="20"/>
    <n v="17"/>
    <n v="5"/>
    <n v="6"/>
    <x v="2"/>
    <x v="3"/>
    <s v="High"/>
    <x v="2"/>
    <s v="Excellent"/>
    <s v="Best"/>
    <n v="0"/>
    <s v="10,001+"/>
    <s v="0–5 miles"/>
    <s v="11+ years"/>
  </r>
  <r>
    <n v="24"/>
    <x v="1"/>
    <s v="Travel_Rarely"/>
    <n v="1476"/>
    <x v="0"/>
    <n v="4"/>
    <x v="1"/>
    <s v="Medical"/>
    <n v="1"/>
    <n v="1445"/>
    <n v="4"/>
    <s v="Female"/>
    <n v="42"/>
    <n v="3"/>
    <n v="2"/>
    <x v="0"/>
    <x v="2"/>
    <s v="Married"/>
    <n v="4162"/>
    <n v="15211"/>
    <n v="1"/>
    <s v="Y"/>
    <x v="0"/>
    <n v="12"/>
    <n v="3"/>
    <n v="3"/>
    <n v="80"/>
    <n v="2"/>
    <n v="5"/>
    <n v="3"/>
    <n v="3"/>
    <n v="5"/>
    <n v="4"/>
    <n v="0"/>
    <n v="3"/>
    <x v="1"/>
    <x v="2"/>
    <s v="High"/>
    <x v="2"/>
    <s v="Excellent"/>
    <s v="Better"/>
    <n v="0"/>
    <s v="3,001–6,000"/>
    <s v="0–5 miles"/>
    <s v="2–5 years"/>
  </r>
  <r>
    <n v="32"/>
    <x v="1"/>
    <s v="Travel_Rarely"/>
    <n v="601"/>
    <x v="0"/>
    <n v="7"/>
    <x v="4"/>
    <s v="Marketing"/>
    <n v="1"/>
    <n v="1446"/>
    <n v="4"/>
    <s v="Male"/>
    <n v="97"/>
    <n v="3"/>
    <n v="2"/>
    <x v="0"/>
    <x v="0"/>
    <s v="Married"/>
    <n v="9204"/>
    <n v="23343"/>
    <n v="4"/>
    <s v="Y"/>
    <x v="1"/>
    <n v="12"/>
    <n v="3"/>
    <n v="3"/>
    <n v="80"/>
    <n v="1"/>
    <n v="7"/>
    <n v="3"/>
    <n v="2"/>
    <n v="4"/>
    <n v="3"/>
    <n v="0"/>
    <n v="3"/>
    <x v="4"/>
    <x v="2"/>
    <s v="High"/>
    <x v="0"/>
    <s v="Excellent"/>
    <s v="Good"/>
    <n v="0"/>
    <s v="6,001–10,000"/>
    <s v="6–10 miles"/>
    <s v="2–5 years"/>
  </r>
  <r>
    <n v="34"/>
    <x v="1"/>
    <s v="Travel_Rarely"/>
    <n v="401"/>
    <x v="1"/>
    <n v="1"/>
    <x v="3"/>
    <s v="Life Sciences"/>
    <n v="1"/>
    <n v="1447"/>
    <n v="4"/>
    <s v="Female"/>
    <n v="86"/>
    <n v="2"/>
    <n v="1"/>
    <x v="2"/>
    <x v="1"/>
    <s v="Married"/>
    <n v="3294"/>
    <n v="3708"/>
    <n v="5"/>
    <s v="Y"/>
    <x v="1"/>
    <n v="17"/>
    <n v="3"/>
    <n v="1"/>
    <n v="80"/>
    <n v="1"/>
    <n v="7"/>
    <n v="2"/>
    <n v="2"/>
    <n v="5"/>
    <n v="4"/>
    <n v="0"/>
    <n v="2"/>
    <x v="3"/>
    <x v="2"/>
    <s v="Medium"/>
    <x v="1"/>
    <s v="Excellent"/>
    <s v="Good"/>
    <n v="0"/>
    <s v="3,001–6,000"/>
    <s v="0–5 miles"/>
    <s v="2–5 years"/>
  </r>
  <r>
    <n v="41"/>
    <x v="1"/>
    <s v="Travel_Rarely"/>
    <n v="1283"/>
    <x v="1"/>
    <n v="5"/>
    <x v="4"/>
    <s v="Medical"/>
    <n v="1"/>
    <n v="1448"/>
    <n v="2"/>
    <s v="Male"/>
    <n v="90"/>
    <n v="4"/>
    <n v="1"/>
    <x v="1"/>
    <x v="2"/>
    <s v="Married"/>
    <n v="2127"/>
    <n v="5561"/>
    <n v="2"/>
    <s v="Y"/>
    <x v="0"/>
    <n v="12"/>
    <n v="3"/>
    <n v="1"/>
    <n v="80"/>
    <n v="0"/>
    <n v="7"/>
    <n v="5"/>
    <n v="2"/>
    <n v="4"/>
    <n v="2"/>
    <n v="0"/>
    <n v="3"/>
    <x v="4"/>
    <x v="0"/>
    <s v="Very High"/>
    <x v="2"/>
    <s v="Excellent"/>
    <s v="Good"/>
    <n v="0"/>
    <s v="0–3,000"/>
    <s v="0–5 miles"/>
    <s v="2–5 years"/>
  </r>
  <r>
    <n v="40"/>
    <x v="1"/>
    <s v="Non-Travel"/>
    <n v="663"/>
    <x v="1"/>
    <n v="9"/>
    <x v="2"/>
    <s v="Other"/>
    <n v="1"/>
    <n v="1449"/>
    <n v="3"/>
    <s v="Male"/>
    <n v="81"/>
    <n v="3"/>
    <n v="2"/>
    <x v="2"/>
    <x v="2"/>
    <s v="Divorced"/>
    <n v="3975"/>
    <n v="23099"/>
    <n v="3"/>
    <s v="Y"/>
    <x v="1"/>
    <n v="11"/>
    <n v="3"/>
    <n v="3"/>
    <n v="80"/>
    <n v="2"/>
    <n v="11"/>
    <n v="2"/>
    <n v="4"/>
    <n v="8"/>
    <n v="7"/>
    <n v="0"/>
    <n v="7"/>
    <x v="2"/>
    <x v="1"/>
    <s v="High"/>
    <x v="2"/>
    <s v="Excellent"/>
    <s v="Best"/>
    <n v="0"/>
    <s v="3,001–6,000"/>
    <s v="6–10 miles"/>
    <s v="6–10 years"/>
  </r>
  <r>
    <n v="31"/>
    <x v="1"/>
    <s v="Travel_Rarely"/>
    <n v="326"/>
    <x v="0"/>
    <n v="8"/>
    <x v="0"/>
    <s v="Life Sciences"/>
    <n v="1"/>
    <n v="1453"/>
    <n v="1"/>
    <s v="Male"/>
    <n v="31"/>
    <n v="3"/>
    <n v="3"/>
    <x v="0"/>
    <x v="0"/>
    <s v="Divorced"/>
    <n v="10793"/>
    <n v="8386"/>
    <n v="1"/>
    <s v="Y"/>
    <x v="1"/>
    <n v="18"/>
    <n v="3"/>
    <n v="1"/>
    <n v="80"/>
    <n v="1"/>
    <n v="13"/>
    <n v="5"/>
    <n v="3"/>
    <n v="13"/>
    <n v="7"/>
    <n v="9"/>
    <n v="9"/>
    <x v="0"/>
    <x v="3"/>
    <s v="High"/>
    <x v="0"/>
    <s v="Excellent"/>
    <s v="Better"/>
    <n v="0"/>
    <s v="10,001+"/>
    <s v="6–10 miles"/>
    <s v="11+ years"/>
  </r>
  <r>
    <n v="46"/>
    <x v="0"/>
    <s v="Travel_Rarely"/>
    <n v="377"/>
    <x v="0"/>
    <n v="9"/>
    <x v="3"/>
    <s v="Marketing"/>
    <n v="1"/>
    <n v="1457"/>
    <n v="1"/>
    <s v="Male"/>
    <n v="52"/>
    <n v="3"/>
    <n v="3"/>
    <x v="0"/>
    <x v="0"/>
    <s v="Divorced"/>
    <n v="10096"/>
    <n v="15986"/>
    <n v="4"/>
    <s v="Y"/>
    <x v="1"/>
    <n v="11"/>
    <n v="3"/>
    <n v="1"/>
    <n v="80"/>
    <n v="1"/>
    <n v="28"/>
    <n v="1"/>
    <n v="4"/>
    <n v="7"/>
    <n v="7"/>
    <n v="4"/>
    <n v="3"/>
    <x v="3"/>
    <x v="3"/>
    <s v="High"/>
    <x v="0"/>
    <s v="Excellent"/>
    <s v="Best"/>
    <n v="1"/>
    <s v="10,001+"/>
    <s v="6–10 miles"/>
    <s v="6–10 years"/>
  </r>
  <r>
    <n v="39"/>
    <x v="0"/>
    <s v="Non-Travel"/>
    <n v="592"/>
    <x v="1"/>
    <n v="2"/>
    <x v="3"/>
    <s v="Life Sciences"/>
    <n v="1"/>
    <n v="1458"/>
    <n v="1"/>
    <s v="Female"/>
    <n v="54"/>
    <n v="2"/>
    <n v="1"/>
    <x v="2"/>
    <x v="3"/>
    <s v="Single"/>
    <n v="3646"/>
    <n v="17181"/>
    <n v="2"/>
    <s v="Y"/>
    <x v="0"/>
    <n v="23"/>
    <n v="4"/>
    <n v="2"/>
    <n v="80"/>
    <n v="0"/>
    <n v="11"/>
    <n v="2"/>
    <n v="4"/>
    <n v="1"/>
    <n v="0"/>
    <n v="0"/>
    <n v="0"/>
    <x v="3"/>
    <x v="3"/>
    <s v="Medium"/>
    <x v="3"/>
    <s v="Outstanding"/>
    <s v="Best"/>
    <n v="1"/>
    <s v="3,001–6,000"/>
    <s v="0–5 miles"/>
    <s v="0–1 years"/>
  </r>
  <r>
    <n v="31"/>
    <x v="0"/>
    <s v="Travel_Frequently"/>
    <n v="1445"/>
    <x v="1"/>
    <n v="1"/>
    <x v="4"/>
    <s v="Life Sciences"/>
    <n v="1"/>
    <n v="1459"/>
    <n v="3"/>
    <s v="Female"/>
    <n v="100"/>
    <n v="4"/>
    <n v="3"/>
    <x v="3"/>
    <x v="1"/>
    <s v="Single"/>
    <n v="7446"/>
    <n v="8931"/>
    <n v="1"/>
    <s v="Y"/>
    <x v="1"/>
    <n v="11"/>
    <n v="3"/>
    <n v="1"/>
    <n v="80"/>
    <n v="0"/>
    <n v="10"/>
    <n v="2"/>
    <n v="3"/>
    <n v="10"/>
    <n v="8"/>
    <n v="4"/>
    <n v="7"/>
    <x v="4"/>
    <x v="1"/>
    <s v="Very High"/>
    <x v="1"/>
    <s v="Excellent"/>
    <s v="Better"/>
    <n v="1"/>
    <s v="6,001–10,000"/>
    <s v="0–5 miles"/>
    <s v="6–10 years"/>
  </r>
  <r>
    <n v="45"/>
    <x v="1"/>
    <s v="Travel_Rarely"/>
    <n v="1038"/>
    <x v="1"/>
    <n v="20"/>
    <x v="3"/>
    <s v="Medical"/>
    <n v="1"/>
    <n v="1460"/>
    <n v="2"/>
    <s v="Male"/>
    <n v="95"/>
    <n v="1"/>
    <n v="3"/>
    <x v="4"/>
    <x v="3"/>
    <s v="Divorced"/>
    <n v="10851"/>
    <n v="19863"/>
    <n v="2"/>
    <s v="Y"/>
    <x v="0"/>
    <n v="18"/>
    <n v="3"/>
    <n v="2"/>
    <n v="80"/>
    <n v="1"/>
    <n v="24"/>
    <n v="2"/>
    <n v="3"/>
    <n v="7"/>
    <n v="7"/>
    <n v="0"/>
    <n v="7"/>
    <x v="3"/>
    <x v="0"/>
    <s v="Low"/>
    <x v="3"/>
    <s v="Excellent"/>
    <s v="Better"/>
    <n v="0"/>
    <s v="10,001+"/>
    <s v="16+ miles"/>
    <s v="6–10 years"/>
  </r>
  <r>
    <n v="31"/>
    <x v="1"/>
    <s v="Travel_Rarely"/>
    <n v="1398"/>
    <x v="2"/>
    <n v="8"/>
    <x v="0"/>
    <s v="Medical"/>
    <n v="1"/>
    <n v="1461"/>
    <n v="4"/>
    <s v="Female"/>
    <n v="96"/>
    <n v="4"/>
    <n v="1"/>
    <x v="8"/>
    <x v="1"/>
    <s v="Single"/>
    <n v="2109"/>
    <n v="24609"/>
    <n v="9"/>
    <s v="Y"/>
    <x v="1"/>
    <n v="18"/>
    <n v="3"/>
    <n v="4"/>
    <n v="80"/>
    <n v="0"/>
    <n v="8"/>
    <n v="3"/>
    <n v="3"/>
    <n v="3"/>
    <n v="2"/>
    <n v="0"/>
    <n v="2"/>
    <x v="0"/>
    <x v="2"/>
    <s v="Very High"/>
    <x v="1"/>
    <s v="Excellent"/>
    <s v="Better"/>
    <n v="0"/>
    <s v="0–3,000"/>
    <s v="6–10 miles"/>
    <s v="2–5 years"/>
  </r>
  <r>
    <n v="31"/>
    <x v="0"/>
    <s v="Travel_Frequently"/>
    <n v="523"/>
    <x v="1"/>
    <n v="2"/>
    <x v="3"/>
    <s v="Life Sciences"/>
    <n v="1"/>
    <n v="1464"/>
    <n v="2"/>
    <s v="Male"/>
    <n v="94"/>
    <n v="3"/>
    <n v="1"/>
    <x v="2"/>
    <x v="0"/>
    <s v="Married"/>
    <n v="3722"/>
    <n v="21081"/>
    <n v="6"/>
    <s v="Y"/>
    <x v="0"/>
    <n v="13"/>
    <n v="3"/>
    <n v="3"/>
    <n v="80"/>
    <n v="1"/>
    <n v="7"/>
    <n v="2"/>
    <n v="1"/>
    <n v="2"/>
    <n v="2"/>
    <n v="2"/>
    <n v="2"/>
    <x v="3"/>
    <x v="0"/>
    <s v="High"/>
    <x v="0"/>
    <s v="Excellent"/>
    <s v="Bad"/>
    <n v="1"/>
    <s v="3,001–6,000"/>
    <s v="0–5 miles"/>
    <s v="2–5 years"/>
  </r>
  <r>
    <n v="45"/>
    <x v="1"/>
    <s v="Travel_Rarely"/>
    <n v="1448"/>
    <x v="1"/>
    <n v="29"/>
    <x v="3"/>
    <s v="Technical Degree"/>
    <n v="1"/>
    <n v="1465"/>
    <n v="2"/>
    <s v="Male"/>
    <n v="55"/>
    <n v="3"/>
    <n v="3"/>
    <x v="3"/>
    <x v="0"/>
    <s v="Married"/>
    <n v="9380"/>
    <n v="14720"/>
    <n v="4"/>
    <s v="Y"/>
    <x v="0"/>
    <n v="18"/>
    <n v="3"/>
    <n v="4"/>
    <n v="80"/>
    <n v="2"/>
    <n v="10"/>
    <n v="4"/>
    <n v="4"/>
    <n v="3"/>
    <n v="1"/>
    <n v="1"/>
    <n v="2"/>
    <x v="3"/>
    <x v="0"/>
    <s v="High"/>
    <x v="0"/>
    <s v="Excellent"/>
    <s v="Best"/>
    <n v="0"/>
    <s v="6,001–10,000"/>
    <s v="16+ miles"/>
    <s v="2–5 years"/>
  </r>
  <r>
    <n v="48"/>
    <x v="1"/>
    <s v="Travel_Rarely"/>
    <n v="1221"/>
    <x v="0"/>
    <n v="7"/>
    <x v="3"/>
    <s v="Marketing"/>
    <n v="1"/>
    <n v="1466"/>
    <n v="3"/>
    <s v="Male"/>
    <n v="96"/>
    <n v="3"/>
    <n v="2"/>
    <x v="0"/>
    <x v="3"/>
    <s v="Divorced"/>
    <n v="5486"/>
    <n v="24795"/>
    <n v="4"/>
    <s v="Y"/>
    <x v="1"/>
    <n v="11"/>
    <n v="3"/>
    <n v="1"/>
    <n v="80"/>
    <n v="3"/>
    <n v="15"/>
    <n v="3"/>
    <n v="3"/>
    <n v="2"/>
    <n v="2"/>
    <n v="2"/>
    <n v="2"/>
    <x v="3"/>
    <x v="1"/>
    <s v="High"/>
    <x v="3"/>
    <s v="Excellent"/>
    <s v="Better"/>
    <n v="0"/>
    <s v="3,001–6,000"/>
    <s v="6–10 miles"/>
    <s v="2–5 years"/>
  </r>
  <r>
    <n v="34"/>
    <x v="0"/>
    <s v="Travel_Rarely"/>
    <n v="1107"/>
    <x v="2"/>
    <n v="9"/>
    <x v="2"/>
    <s v="Technical Degree"/>
    <n v="1"/>
    <n v="1467"/>
    <n v="1"/>
    <s v="Female"/>
    <n v="52"/>
    <n v="3"/>
    <n v="1"/>
    <x v="8"/>
    <x v="2"/>
    <s v="Married"/>
    <n v="2742"/>
    <n v="3072"/>
    <n v="1"/>
    <s v="Y"/>
    <x v="1"/>
    <n v="15"/>
    <n v="3"/>
    <n v="4"/>
    <n v="80"/>
    <n v="0"/>
    <n v="2"/>
    <n v="0"/>
    <n v="3"/>
    <n v="2"/>
    <n v="2"/>
    <n v="2"/>
    <n v="2"/>
    <x v="2"/>
    <x v="3"/>
    <s v="High"/>
    <x v="2"/>
    <s v="Excellent"/>
    <s v="Better"/>
    <n v="1"/>
    <s v="0–3,000"/>
    <s v="6–10 miles"/>
    <s v="2–5 years"/>
  </r>
  <r>
    <n v="40"/>
    <x v="1"/>
    <s v="Non-Travel"/>
    <n v="218"/>
    <x v="1"/>
    <n v="8"/>
    <x v="1"/>
    <s v="Medical"/>
    <n v="1"/>
    <n v="1468"/>
    <n v="4"/>
    <s v="Male"/>
    <n v="55"/>
    <n v="2"/>
    <n v="3"/>
    <x v="7"/>
    <x v="1"/>
    <s v="Divorced"/>
    <n v="13757"/>
    <n v="25178"/>
    <n v="2"/>
    <s v="Y"/>
    <x v="1"/>
    <n v="11"/>
    <n v="3"/>
    <n v="3"/>
    <n v="80"/>
    <n v="1"/>
    <n v="16"/>
    <n v="5"/>
    <n v="3"/>
    <n v="9"/>
    <n v="8"/>
    <n v="4"/>
    <n v="8"/>
    <x v="1"/>
    <x v="2"/>
    <s v="Medium"/>
    <x v="1"/>
    <s v="Excellent"/>
    <s v="Better"/>
    <n v="0"/>
    <s v="10,001+"/>
    <s v="6–10 miles"/>
    <s v="6–10 years"/>
  </r>
  <r>
    <n v="28"/>
    <x v="1"/>
    <s v="Travel_Rarely"/>
    <n v="866"/>
    <x v="0"/>
    <n v="5"/>
    <x v="3"/>
    <s v="Medical"/>
    <n v="1"/>
    <n v="1469"/>
    <n v="4"/>
    <s v="Male"/>
    <n v="84"/>
    <n v="3"/>
    <n v="2"/>
    <x v="0"/>
    <x v="3"/>
    <s v="Single"/>
    <n v="8463"/>
    <n v="23490"/>
    <n v="0"/>
    <s v="Y"/>
    <x v="1"/>
    <n v="18"/>
    <n v="3"/>
    <n v="4"/>
    <n v="80"/>
    <n v="0"/>
    <n v="6"/>
    <n v="4"/>
    <n v="3"/>
    <n v="5"/>
    <n v="4"/>
    <n v="1"/>
    <n v="3"/>
    <x v="3"/>
    <x v="2"/>
    <s v="High"/>
    <x v="3"/>
    <s v="Excellent"/>
    <s v="Better"/>
    <n v="0"/>
    <s v="6,001–10,000"/>
    <s v="0–5 miles"/>
    <s v="2–5 years"/>
  </r>
  <r>
    <n v="44"/>
    <x v="1"/>
    <s v="Non-Travel"/>
    <n v="981"/>
    <x v="1"/>
    <n v="5"/>
    <x v="3"/>
    <s v="Life Sciences"/>
    <n v="1"/>
    <n v="1471"/>
    <n v="3"/>
    <s v="Male"/>
    <n v="90"/>
    <n v="2"/>
    <n v="1"/>
    <x v="2"/>
    <x v="2"/>
    <s v="Single"/>
    <n v="3162"/>
    <n v="7973"/>
    <n v="3"/>
    <s v="Y"/>
    <x v="1"/>
    <n v="14"/>
    <n v="3"/>
    <n v="4"/>
    <n v="80"/>
    <n v="0"/>
    <n v="7"/>
    <n v="5"/>
    <n v="3"/>
    <n v="5"/>
    <n v="2"/>
    <n v="0"/>
    <n v="3"/>
    <x v="3"/>
    <x v="1"/>
    <s v="Medium"/>
    <x v="2"/>
    <s v="Excellent"/>
    <s v="Better"/>
    <n v="0"/>
    <s v="3,001–6,000"/>
    <s v="0–5 miles"/>
    <s v="2–5 years"/>
  </r>
  <r>
    <n v="53"/>
    <x v="1"/>
    <s v="Travel_Rarely"/>
    <n v="447"/>
    <x v="1"/>
    <n v="2"/>
    <x v="3"/>
    <s v="Medical"/>
    <n v="1"/>
    <n v="1472"/>
    <n v="4"/>
    <s v="Male"/>
    <n v="39"/>
    <n v="4"/>
    <n v="4"/>
    <x v="7"/>
    <x v="1"/>
    <s v="Single"/>
    <n v="16598"/>
    <n v="19764"/>
    <n v="4"/>
    <s v="Y"/>
    <x v="1"/>
    <n v="12"/>
    <n v="3"/>
    <n v="2"/>
    <n v="80"/>
    <n v="0"/>
    <n v="35"/>
    <n v="2"/>
    <n v="2"/>
    <n v="9"/>
    <n v="8"/>
    <n v="8"/>
    <n v="8"/>
    <x v="3"/>
    <x v="2"/>
    <s v="Very High"/>
    <x v="1"/>
    <s v="Excellent"/>
    <s v="Good"/>
    <n v="0"/>
    <s v="10,001+"/>
    <s v="0–5 miles"/>
    <s v="6–10 years"/>
  </r>
  <r>
    <n v="49"/>
    <x v="1"/>
    <s v="Travel_Rarely"/>
    <n v="1495"/>
    <x v="1"/>
    <n v="5"/>
    <x v="2"/>
    <s v="Technical Degree"/>
    <n v="1"/>
    <n v="1473"/>
    <n v="1"/>
    <s v="Male"/>
    <n v="96"/>
    <n v="3"/>
    <n v="2"/>
    <x v="4"/>
    <x v="2"/>
    <s v="Married"/>
    <n v="6651"/>
    <n v="21534"/>
    <n v="2"/>
    <s v="Y"/>
    <x v="1"/>
    <n v="14"/>
    <n v="3"/>
    <n v="2"/>
    <n v="80"/>
    <n v="1"/>
    <n v="20"/>
    <n v="0"/>
    <n v="2"/>
    <n v="3"/>
    <n v="2"/>
    <n v="1"/>
    <n v="2"/>
    <x v="2"/>
    <x v="3"/>
    <s v="High"/>
    <x v="2"/>
    <s v="Excellent"/>
    <s v="Good"/>
    <n v="0"/>
    <s v="6,001–10,000"/>
    <s v="0–5 miles"/>
    <s v="2–5 years"/>
  </r>
  <r>
    <n v="40"/>
    <x v="1"/>
    <s v="Travel_Rarely"/>
    <n v="896"/>
    <x v="1"/>
    <n v="2"/>
    <x v="3"/>
    <s v="Medical"/>
    <n v="1"/>
    <n v="1474"/>
    <n v="3"/>
    <s v="Male"/>
    <n v="68"/>
    <n v="3"/>
    <n v="1"/>
    <x v="1"/>
    <x v="2"/>
    <s v="Divorced"/>
    <n v="2345"/>
    <n v="8045"/>
    <n v="2"/>
    <s v="Y"/>
    <x v="1"/>
    <n v="14"/>
    <n v="3"/>
    <n v="3"/>
    <n v="80"/>
    <n v="1"/>
    <n v="8"/>
    <n v="3"/>
    <n v="4"/>
    <n v="3"/>
    <n v="1"/>
    <n v="1"/>
    <n v="2"/>
    <x v="3"/>
    <x v="1"/>
    <s v="High"/>
    <x v="2"/>
    <s v="Excellent"/>
    <s v="Best"/>
    <n v="0"/>
    <s v="0–3,000"/>
    <s v="0–5 miles"/>
    <s v="2–5 years"/>
  </r>
  <r>
    <n v="44"/>
    <x v="1"/>
    <s v="Travel_Rarely"/>
    <n v="1467"/>
    <x v="1"/>
    <n v="20"/>
    <x v="3"/>
    <s v="Life Sciences"/>
    <n v="1"/>
    <n v="1475"/>
    <n v="4"/>
    <s v="Male"/>
    <n v="49"/>
    <n v="3"/>
    <n v="1"/>
    <x v="1"/>
    <x v="1"/>
    <s v="Single"/>
    <n v="3420"/>
    <n v="21158"/>
    <n v="1"/>
    <s v="Y"/>
    <x v="1"/>
    <n v="13"/>
    <n v="3"/>
    <n v="3"/>
    <n v="80"/>
    <n v="0"/>
    <n v="6"/>
    <n v="3"/>
    <n v="2"/>
    <n v="5"/>
    <n v="2"/>
    <n v="1"/>
    <n v="3"/>
    <x v="3"/>
    <x v="2"/>
    <s v="High"/>
    <x v="1"/>
    <s v="Excellent"/>
    <s v="Good"/>
    <n v="0"/>
    <s v="3,001–6,000"/>
    <s v="16+ miles"/>
    <s v="2–5 years"/>
  </r>
  <r>
    <n v="33"/>
    <x v="1"/>
    <s v="Travel_Frequently"/>
    <n v="430"/>
    <x v="0"/>
    <n v="7"/>
    <x v="3"/>
    <s v="Medical"/>
    <n v="1"/>
    <n v="1477"/>
    <n v="4"/>
    <s v="Male"/>
    <n v="54"/>
    <n v="3"/>
    <n v="2"/>
    <x v="0"/>
    <x v="3"/>
    <s v="Married"/>
    <n v="4373"/>
    <n v="17456"/>
    <n v="0"/>
    <s v="Y"/>
    <x v="1"/>
    <n v="14"/>
    <n v="3"/>
    <n v="1"/>
    <n v="80"/>
    <n v="2"/>
    <n v="5"/>
    <n v="2"/>
    <n v="3"/>
    <n v="4"/>
    <n v="3"/>
    <n v="0"/>
    <n v="3"/>
    <x v="3"/>
    <x v="2"/>
    <s v="High"/>
    <x v="3"/>
    <s v="Excellent"/>
    <s v="Better"/>
    <n v="0"/>
    <s v="3,001–6,000"/>
    <s v="6–10 miles"/>
    <s v="2–5 years"/>
  </r>
  <r>
    <n v="34"/>
    <x v="1"/>
    <s v="Travel_Rarely"/>
    <n v="1326"/>
    <x v="0"/>
    <n v="3"/>
    <x v="3"/>
    <s v="Other"/>
    <n v="1"/>
    <n v="1478"/>
    <n v="4"/>
    <s v="Male"/>
    <n v="81"/>
    <n v="1"/>
    <n v="2"/>
    <x v="0"/>
    <x v="3"/>
    <s v="Single"/>
    <n v="4759"/>
    <n v="15891"/>
    <n v="3"/>
    <s v="Y"/>
    <x v="1"/>
    <n v="18"/>
    <n v="3"/>
    <n v="4"/>
    <n v="80"/>
    <n v="0"/>
    <n v="15"/>
    <n v="2"/>
    <n v="3"/>
    <n v="13"/>
    <n v="9"/>
    <n v="3"/>
    <n v="12"/>
    <x v="3"/>
    <x v="2"/>
    <s v="Low"/>
    <x v="3"/>
    <s v="Excellent"/>
    <s v="Better"/>
    <n v="0"/>
    <s v="3,001–6,000"/>
    <s v="0–5 miles"/>
    <s v="11+ years"/>
  </r>
  <r>
    <n v="30"/>
    <x v="1"/>
    <s v="Travel_Rarely"/>
    <n v="1358"/>
    <x v="0"/>
    <n v="16"/>
    <x v="1"/>
    <s v="Life Sciences"/>
    <n v="1"/>
    <n v="1479"/>
    <n v="4"/>
    <s v="Male"/>
    <n v="96"/>
    <n v="3"/>
    <n v="2"/>
    <x v="0"/>
    <x v="2"/>
    <s v="Married"/>
    <n v="5301"/>
    <n v="2939"/>
    <n v="8"/>
    <s v="Y"/>
    <x v="1"/>
    <n v="15"/>
    <n v="3"/>
    <n v="3"/>
    <n v="80"/>
    <n v="2"/>
    <n v="4"/>
    <n v="2"/>
    <n v="2"/>
    <n v="2"/>
    <n v="1"/>
    <n v="2"/>
    <n v="2"/>
    <x v="1"/>
    <x v="2"/>
    <s v="High"/>
    <x v="2"/>
    <s v="Excellent"/>
    <s v="Good"/>
    <n v="0"/>
    <s v="3,001–6,000"/>
    <s v="16+ miles"/>
    <s v="2–5 years"/>
  </r>
  <r>
    <n v="42"/>
    <x v="1"/>
    <s v="Travel_Frequently"/>
    <n v="748"/>
    <x v="1"/>
    <n v="9"/>
    <x v="0"/>
    <s v="Medical"/>
    <n v="1"/>
    <n v="1480"/>
    <n v="1"/>
    <s v="Female"/>
    <n v="74"/>
    <n v="3"/>
    <n v="1"/>
    <x v="2"/>
    <x v="0"/>
    <s v="Single"/>
    <n v="3673"/>
    <n v="16458"/>
    <n v="1"/>
    <s v="Y"/>
    <x v="1"/>
    <n v="13"/>
    <n v="3"/>
    <n v="3"/>
    <n v="80"/>
    <n v="0"/>
    <n v="12"/>
    <n v="3"/>
    <n v="3"/>
    <n v="12"/>
    <n v="9"/>
    <n v="5"/>
    <n v="8"/>
    <x v="0"/>
    <x v="3"/>
    <s v="High"/>
    <x v="0"/>
    <s v="Excellent"/>
    <s v="Better"/>
    <n v="0"/>
    <s v="3,001–6,000"/>
    <s v="6–10 miles"/>
    <s v="11+ years"/>
  </r>
  <r>
    <n v="44"/>
    <x v="1"/>
    <s v="Travel_Frequently"/>
    <n v="383"/>
    <x v="0"/>
    <n v="1"/>
    <x v="4"/>
    <s v="Marketing"/>
    <n v="1"/>
    <n v="1481"/>
    <n v="1"/>
    <s v="Female"/>
    <n v="79"/>
    <n v="3"/>
    <n v="2"/>
    <x v="0"/>
    <x v="2"/>
    <s v="Married"/>
    <n v="4768"/>
    <n v="9282"/>
    <n v="7"/>
    <s v="Y"/>
    <x v="1"/>
    <n v="12"/>
    <n v="3"/>
    <n v="3"/>
    <n v="80"/>
    <n v="1"/>
    <n v="11"/>
    <n v="4"/>
    <n v="2"/>
    <n v="1"/>
    <n v="0"/>
    <n v="0"/>
    <n v="0"/>
    <x v="4"/>
    <x v="3"/>
    <s v="High"/>
    <x v="2"/>
    <s v="Excellent"/>
    <s v="Good"/>
    <n v="0"/>
    <s v="3,001–6,000"/>
    <s v="0–5 miles"/>
    <s v="0–1 years"/>
  </r>
  <r>
    <n v="30"/>
    <x v="1"/>
    <s v="Non-Travel"/>
    <n v="990"/>
    <x v="1"/>
    <n v="7"/>
    <x v="3"/>
    <s v="Technical Degree"/>
    <n v="1"/>
    <n v="1482"/>
    <n v="3"/>
    <s v="Male"/>
    <n v="64"/>
    <n v="3"/>
    <n v="1"/>
    <x v="1"/>
    <x v="2"/>
    <s v="Divorced"/>
    <n v="1274"/>
    <n v="7152"/>
    <n v="1"/>
    <s v="Y"/>
    <x v="1"/>
    <n v="13"/>
    <n v="3"/>
    <n v="2"/>
    <n v="80"/>
    <n v="2"/>
    <n v="1"/>
    <n v="2"/>
    <n v="2"/>
    <n v="1"/>
    <n v="0"/>
    <n v="0"/>
    <n v="0"/>
    <x v="3"/>
    <x v="1"/>
    <s v="High"/>
    <x v="2"/>
    <s v="Excellent"/>
    <s v="Good"/>
    <n v="0"/>
    <s v="0–3,000"/>
    <s v="6–10 miles"/>
    <s v="0–1 years"/>
  </r>
  <r>
    <n v="57"/>
    <x v="1"/>
    <s v="Travel_Rarely"/>
    <n v="405"/>
    <x v="1"/>
    <n v="1"/>
    <x v="0"/>
    <s v="Life Sciences"/>
    <n v="1"/>
    <n v="1483"/>
    <n v="2"/>
    <s v="Male"/>
    <n v="93"/>
    <n v="4"/>
    <n v="2"/>
    <x v="1"/>
    <x v="2"/>
    <s v="Married"/>
    <n v="4900"/>
    <n v="2721"/>
    <n v="0"/>
    <s v="Y"/>
    <x v="1"/>
    <n v="24"/>
    <n v="4"/>
    <n v="1"/>
    <n v="80"/>
    <n v="1"/>
    <n v="13"/>
    <n v="2"/>
    <n v="2"/>
    <n v="12"/>
    <n v="9"/>
    <n v="2"/>
    <n v="8"/>
    <x v="0"/>
    <x v="0"/>
    <s v="Very High"/>
    <x v="2"/>
    <s v="Outstanding"/>
    <s v="Good"/>
    <n v="0"/>
    <s v="3,001–6,000"/>
    <s v="0–5 miles"/>
    <s v="11+ years"/>
  </r>
  <r>
    <n v="49"/>
    <x v="1"/>
    <s v="Travel_Rarely"/>
    <n v="1490"/>
    <x v="1"/>
    <n v="7"/>
    <x v="2"/>
    <s v="Life Sciences"/>
    <n v="1"/>
    <n v="1484"/>
    <n v="3"/>
    <s v="Male"/>
    <n v="35"/>
    <n v="3"/>
    <n v="3"/>
    <x v="4"/>
    <x v="1"/>
    <s v="Divorced"/>
    <n v="10466"/>
    <n v="20948"/>
    <n v="3"/>
    <s v="Y"/>
    <x v="1"/>
    <n v="14"/>
    <n v="3"/>
    <n v="2"/>
    <n v="80"/>
    <n v="2"/>
    <n v="29"/>
    <n v="3"/>
    <n v="3"/>
    <n v="8"/>
    <n v="7"/>
    <n v="0"/>
    <n v="7"/>
    <x v="2"/>
    <x v="1"/>
    <s v="High"/>
    <x v="1"/>
    <s v="Excellent"/>
    <s v="Better"/>
    <n v="0"/>
    <s v="10,001+"/>
    <s v="6–10 miles"/>
    <s v="6–10 years"/>
  </r>
  <r>
    <n v="34"/>
    <x v="1"/>
    <s v="Travel_Frequently"/>
    <n v="829"/>
    <x v="1"/>
    <n v="15"/>
    <x v="3"/>
    <s v="Medical"/>
    <n v="1"/>
    <n v="1485"/>
    <n v="2"/>
    <s v="Male"/>
    <n v="71"/>
    <n v="3"/>
    <n v="4"/>
    <x v="7"/>
    <x v="3"/>
    <s v="Divorced"/>
    <n v="17007"/>
    <n v="11929"/>
    <n v="7"/>
    <s v="Y"/>
    <x v="1"/>
    <n v="14"/>
    <n v="3"/>
    <n v="4"/>
    <n v="80"/>
    <n v="2"/>
    <n v="16"/>
    <n v="3"/>
    <n v="2"/>
    <n v="14"/>
    <n v="8"/>
    <n v="6"/>
    <n v="9"/>
    <x v="3"/>
    <x v="0"/>
    <s v="High"/>
    <x v="3"/>
    <s v="Excellent"/>
    <s v="Good"/>
    <n v="0"/>
    <s v="10,001+"/>
    <s v="11–15 miles"/>
    <s v="11+ years"/>
  </r>
  <r>
    <n v="28"/>
    <x v="0"/>
    <s v="Travel_Frequently"/>
    <n v="1496"/>
    <x v="0"/>
    <n v="1"/>
    <x v="3"/>
    <s v="Technical Degree"/>
    <n v="1"/>
    <n v="1486"/>
    <n v="1"/>
    <s v="Male"/>
    <n v="92"/>
    <n v="3"/>
    <n v="1"/>
    <x v="6"/>
    <x v="2"/>
    <s v="Married"/>
    <n v="2909"/>
    <n v="15747"/>
    <n v="3"/>
    <s v="Y"/>
    <x v="1"/>
    <n v="15"/>
    <n v="3"/>
    <n v="4"/>
    <n v="80"/>
    <n v="1"/>
    <n v="5"/>
    <n v="3"/>
    <n v="4"/>
    <n v="3"/>
    <n v="2"/>
    <n v="1"/>
    <n v="2"/>
    <x v="3"/>
    <x v="3"/>
    <s v="High"/>
    <x v="2"/>
    <s v="Excellent"/>
    <s v="Best"/>
    <n v="1"/>
    <s v="0–3,000"/>
    <s v="0–5 miles"/>
    <s v="2–5 years"/>
  </r>
  <r>
    <n v="29"/>
    <x v="0"/>
    <s v="Travel_Frequently"/>
    <n v="115"/>
    <x v="0"/>
    <n v="13"/>
    <x v="3"/>
    <s v="Technical Degree"/>
    <n v="1"/>
    <n v="1487"/>
    <n v="1"/>
    <s v="Female"/>
    <n v="51"/>
    <n v="3"/>
    <n v="2"/>
    <x v="0"/>
    <x v="1"/>
    <s v="Single"/>
    <n v="5765"/>
    <n v="17485"/>
    <n v="5"/>
    <s v="Y"/>
    <x v="1"/>
    <n v="11"/>
    <n v="3"/>
    <n v="1"/>
    <n v="80"/>
    <n v="0"/>
    <n v="7"/>
    <n v="4"/>
    <n v="1"/>
    <n v="5"/>
    <n v="3"/>
    <n v="0"/>
    <n v="0"/>
    <x v="3"/>
    <x v="3"/>
    <s v="High"/>
    <x v="1"/>
    <s v="Excellent"/>
    <s v="Bad"/>
    <n v="1"/>
    <s v="3,001–6,000"/>
    <s v="11–15 miles"/>
    <s v="2–5 years"/>
  </r>
  <r>
    <n v="34"/>
    <x v="0"/>
    <s v="Travel_Rarely"/>
    <n v="790"/>
    <x v="0"/>
    <n v="24"/>
    <x v="2"/>
    <s v="Medical"/>
    <n v="1"/>
    <n v="1489"/>
    <n v="1"/>
    <s v="Female"/>
    <n v="40"/>
    <n v="2"/>
    <n v="2"/>
    <x v="0"/>
    <x v="1"/>
    <s v="Single"/>
    <n v="4599"/>
    <n v="7815"/>
    <n v="0"/>
    <s v="Y"/>
    <x v="0"/>
    <n v="23"/>
    <n v="4"/>
    <n v="3"/>
    <n v="80"/>
    <n v="0"/>
    <n v="16"/>
    <n v="2"/>
    <n v="4"/>
    <n v="15"/>
    <n v="9"/>
    <n v="10"/>
    <n v="10"/>
    <x v="2"/>
    <x v="3"/>
    <s v="Medium"/>
    <x v="1"/>
    <s v="Outstanding"/>
    <s v="Best"/>
    <n v="1"/>
    <s v="3,001–6,000"/>
    <s v="16+ miles"/>
    <s v="11+ years"/>
  </r>
  <r>
    <n v="35"/>
    <x v="1"/>
    <s v="Travel_Rarely"/>
    <n v="660"/>
    <x v="0"/>
    <n v="7"/>
    <x v="1"/>
    <s v="Life Sciences"/>
    <n v="1"/>
    <n v="1492"/>
    <n v="4"/>
    <s v="Male"/>
    <n v="76"/>
    <n v="3"/>
    <n v="1"/>
    <x v="6"/>
    <x v="2"/>
    <s v="Married"/>
    <n v="2404"/>
    <n v="16192"/>
    <n v="1"/>
    <s v="Y"/>
    <x v="1"/>
    <n v="13"/>
    <n v="3"/>
    <n v="1"/>
    <n v="80"/>
    <n v="1"/>
    <n v="1"/>
    <n v="3"/>
    <n v="3"/>
    <n v="1"/>
    <n v="0"/>
    <n v="0"/>
    <n v="0"/>
    <x v="1"/>
    <x v="2"/>
    <s v="High"/>
    <x v="2"/>
    <s v="Excellent"/>
    <s v="Better"/>
    <n v="0"/>
    <s v="0–3,000"/>
    <s v="6–10 miles"/>
    <s v="0–1 years"/>
  </r>
  <r>
    <n v="24"/>
    <x v="0"/>
    <s v="Travel_Frequently"/>
    <n v="381"/>
    <x v="1"/>
    <n v="9"/>
    <x v="3"/>
    <s v="Medical"/>
    <n v="1"/>
    <n v="1494"/>
    <n v="2"/>
    <s v="Male"/>
    <n v="89"/>
    <n v="3"/>
    <n v="1"/>
    <x v="2"/>
    <x v="3"/>
    <s v="Single"/>
    <n v="3172"/>
    <n v="16998"/>
    <n v="2"/>
    <s v="Y"/>
    <x v="0"/>
    <n v="11"/>
    <n v="3"/>
    <n v="3"/>
    <n v="80"/>
    <n v="0"/>
    <n v="4"/>
    <n v="2"/>
    <n v="2"/>
    <n v="0"/>
    <n v="0"/>
    <n v="0"/>
    <n v="0"/>
    <x v="3"/>
    <x v="0"/>
    <s v="High"/>
    <x v="3"/>
    <s v="Excellent"/>
    <s v="Good"/>
    <n v="1"/>
    <s v="3,001–6,000"/>
    <s v="6–10 miles"/>
    <s v="0–1 years"/>
  </r>
  <r>
    <n v="24"/>
    <x v="1"/>
    <s v="Non-Travel"/>
    <n v="830"/>
    <x v="0"/>
    <n v="13"/>
    <x v="0"/>
    <s v="Life Sciences"/>
    <n v="1"/>
    <n v="1495"/>
    <n v="4"/>
    <s v="Female"/>
    <n v="78"/>
    <n v="3"/>
    <n v="1"/>
    <x v="6"/>
    <x v="1"/>
    <s v="Married"/>
    <n v="2033"/>
    <n v="7103"/>
    <n v="1"/>
    <s v="Y"/>
    <x v="1"/>
    <n v="13"/>
    <n v="3"/>
    <n v="3"/>
    <n v="80"/>
    <n v="1"/>
    <n v="1"/>
    <n v="2"/>
    <n v="3"/>
    <n v="1"/>
    <n v="0"/>
    <n v="0"/>
    <n v="0"/>
    <x v="0"/>
    <x v="2"/>
    <s v="High"/>
    <x v="1"/>
    <s v="Excellent"/>
    <s v="Better"/>
    <n v="0"/>
    <s v="0–3,000"/>
    <s v="11–15 miles"/>
    <s v="0–1 years"/>
  </r>
  <r>
    <n v="44"/>
    <x v="1"/>
    <s v="Travel_Frequently"/>
    <n v="1193"/>
    <x v="1"/>
    <n v="2"/>
    <x v="1"/>
    <s v="Medical"/>
    <n v="1"/>
    <n v="1496"/>
    <n v="2"/>
    <s v="Male"/>
    <n v="86"/>
    <n v="3"/>
    <n v="3"/>
    <x v="3"/>
    <x v="2"/>
    <s v="Single"/>
    <n v="10209"/>
    <n v="19719"/>
    <n v="5"/>
    <s v="Y"/>
    <x v="0"/>
    <n v="18"/>
    <n v="3"/>
    <n v="2"/>
    <n v="80"/>
    <n v="0"/>
    <n v="16"/>
    <n v="2"/>
    <n v="2"/>
    <n v="2"/>
    <n v="2"/>
    <n v="2"/>
    <n v="2"/>
    <x v="1"/>
    <x v="0"/>
    <s v="High"/>
    <x v="2"/>
    <s v="Excellent"/>
    <s v="Good"/>
    <n v="0"/>
    <s v="10,001+"/>
    <s v="0–5 miles"/>
    <s v="2–5 years"/>
  </r>
  <r>
    <n v="29"/>
    <x v="1"/>
    <s v="Travel_Rarely"/>
    <n v="1246"/>
    <x v="0"/>
    <n v="19"/>
    <x v="3"/>
    <s v="Life Sciences"/>
    <n v="1"/>
    <n v="1497"/>
    <n v="3"/>
    <s v="Male"/>
    <n v="77"/>
    <n v="2"/>
    <n v="2"/>
    <x v="0"/>
    <x v="2"/>
    <s v="Divorced"/>
    <n v="8620"/>
    <n v="23757"/>
    <n v="1"/>
    <s v="Y"/>
    <x v="1"/>
    <n v="14"/>
    <n v="3"/>
    <n v="3"/>
    <n v="80"/>
    <n v="2"/>
    <n v="10"/>
    <n v="3"/>
    <n v="3"/>
    <n v="10"/>
    <n v="7"/>
    <n v="0"/>
    <n v="4"/>
    <x v="3"/>
    <x v="1"/>
    <s v="Medium"/>
    <x v="2"/>
    <s v="Excellent"/>
    <s v="Better"/>
    <n v="0"/>
    <s v="6,001–10,000"/>
    <s v="16+ miles"/>
    <s v="6–10 years"/>
  </r>
  <r>
    <n v="30"/>
    <x v="1"/>
    <s v="Travel_Rarely"/>
    <n v="330"/>
    <x v="2"/>
    <n v="1"/>
    <x v="3"/>
    <s v="Life Sciences"/>
    <n v="1"/>
    <n v="1499"/>
    <n v="3"/>
    <s v="Male"/>
    <n v="46"/>
    <n v="3"/>
    <n v="1"/>
    <x v="8"/>
    <x v="2"/>
    <s v="Divorced"/>
    <n v="2064"/>
    <n v="15428"/>
    <n v="0"/>
    <s v="Y"/>
    <x v="1"/>
    <n v="21"/>
    <n v="4"/>
    <n v="1"/>
    <n v="80"/>
    <n v="1"/>
    <n v="6"/>
    <n v="3"/>
    <n v="4"/>
    <n v="5"/>
    <n v="3"/>
    <n v="1"/>
    <n v="3"/>
    <x v="3"/>
    <x v="1"/>
    <s v="High"/>
    <x v="2"/>
    <s v="Outstanding"/>
    <s v="Best"/>
    <n v="0"/>
    <s v="0–3,000"/>
    <s v="0–5 miles"/>
    <s v="2–5 years"/>
  </r>
  <r>
    <n v="55"/>
    <x v="1"/>
    <s v="Travel_Rarely"/>
    <n v="1229"/>
    <x v="1"/>
    <n v="4"/>
    <x v="2"/>
    <s v="Life Sciences"/>
    <n v="1"/>
    <n v="1501"/>
    <n v="4"/>
    <s v="Male"/>
    <n v="30"/>
    <n v="3"/>
    <n v="2"/>
    <x v="4"/>
    <x v="2"/>
    <s v="Married"/>
    <n v="4035"/>
    <n v="16143"/>
    <n v="0"/>
    <s v="Y"/>
    <x v="0"/>
    <n v="16"/>
    <n v="3"/>
    <n v="2"/>
    <n v="80"/>
    <n v="0"/>
    <n v="4"/>
    <n v="2"/>
    <n v="3"/>
    <n v="3"/>
    <n v="2"/>
    <n v="1"/>
    <n v="2"/>
    <x v="2"/>
    <x v="2"/>
    <s v="High"/>
    <x v="2"/>
    <s v="Excellent"/>
    <s v="Better"/>
    <n v="0"/>
    <s v="3,001–6,000"/>
    <s v="0–5 miles"/>
    <s v="2–5 years"/>
  </r>
  <r>
    <n v="33"/>
    <x v="1"/>
    <s v="Travel_Rarely"/>
    <n v="1099"/>
    <x v="1"/>
    <n v="4"/>
    <x v="2"/>
    <s v="Medical"/>
    <n v="1"/>
    <n v="1502"/>
    <n v="1"/>
    <s v="Female"/>
    <n v="82"/>
    <n v="2"/>
    <n v="1"/>
    <x v="2"/>
    <x v="1"/>
    <s v="Married"/>
    <n v="3838"/>
    <n v="8192"/>
    <n v="8"/>
    <s v="Y"/>
    <x v="1"/>
    <n v="11"/>
    <n v="3"/>
    <n v="4"/>
    <n v="80"/>
    <n v="0"/>
    <n v="8"/>
    <n v="5"/>
    <n v="3"/>
    <n v="5"/>
    <n v="4"/>
    <n v="0"/>
    <n v="2"/>
    <x v="2"/>
    <x v="3"/>
    <s v="Medium"/>
    <x v="1"/>
    <s v="Excellent"/>
    <s v="Better"/>
    <n v="0"/>
    <s v="3,001–6,000"/>
    <s v="0–5 miles"/>
    <s v="2–5 years"/>
  </r>
  <r>
    <n v="47"/>
    <x v="1"/>
    <s v="Travel_Rarely"/>
    <n v="571"/>
    <x v="0"/>
    <n v="14"/>
    <x v="3"/>
    <s v="Medical"/>
    <n v="1"/>
    <n v="1503"/>
    <n v="3"/>
    <s v="Female"/>
    <n v="78"/>
    <n v="3"/>
    <n v="2"/>
    <x v="0"/>
    <x v="2"/>
    <s v="Married"/>
    <n v="4591"/>
    <n v="24200"/>
    <n v="3"/>
    <s v="Y"/>
    <x v="0"/>
    <n v="17"/>
    <n v="3"/>
    <n v="3"/>
    <n v="80"/>
    <n v="1"/>
    <n v="11"/>
    <n v="4"/>
    <n v="2"/>
    <n v="5"/>
    <n v="4"/>
    <n v="1"/>
    <n v="2"/>
    <x v="3"/>
    <x v="1"/>
    <s v="High"/>
    <x v="2"/>
    <s v="Excellent"/>
    <s v="Good"/>
    <n v="0"/>
    <s v="3,001–6,000"/>
    <s v="11–15 miles"/>
    <s v="2–5 years"/>
  </r>
  <r>
    <n v="28"/>
    <x v="0"/>
    <s v="Travel_Frequently"/>
    <n v="289"/>
    <x v="1"/>
    <n v="2"/>
    <x v="0"/>
    <s v="Medical"/>
    <n v="1"/>
    <n v="1504"/>
    <n v="3"/>
    <s v="Male"/>
    <n v="38"/>
    <n v="2"/>
    <n v="1"/>
    <x v="2"/>
    <x v="3"/>
    <s v="Single"/>
    <n v="2561"/>
    <n v="5355"/>
    <n v="7"/>
    <s v="Y"/>
    <x v="1"/>
    <n v="11"/>
    <n v="3"/>
    <n v="3"/>
    <n v="80"/>
    <n v="0"/>
    <n v="8"/>
    <n v="2"/>
    <n v="2"/>
    <n v="0"/>
    <n v="0"/>
    <n v="0"/>
    <n v="0"/>
    <x v="0"/>
    <x v="1"/>
    <s v="Medium"/>
    <x v="3"/>
    <s v="Excellent"/>
    <s v="Good"/>
    <n v="1"/>
    <s v="0–3,000"/>
    <s v="0–5 miles"/>
    <s v="0–1 years"/>
  </r>
  <r>
    <n v="28"/>
    <x v="1"/>
    <s v="Travel_Rarely"/>
    <n v="1423"/>
    <x v="1"/>
    <n v="1"/>
    <x v="3"/>
    <s v="Life Sciences"/>
    <n v="1"/>
    <n v="1506"/>
    <n v="1"/>
    <s v="Male"/>
    <n v="72"/>
    <n v="2"/>
    <n v="1"/>
    <x v="1"/>
    <x v="2"/>
    <s v="Divorced"/>
    <n v="1563"/>
    <n v="12530"/>
    <n v="1"/>
    <s v="Y"/>
    <x v="1"/>
    <n v="14"/>
    <n v="3"/>
    <n v="4"/>
    <n v="80"/>
    <n v="1"/>
    <n v="1"/>
    <n v="2"/>
    <n v="1"/>
    <n v="1"/>
    <n v="0"/>
    <n v="0"/>
    <n v="0"/>
    <x v="3"/>
    <x v="3"/>
    <s v="Medium"/>
    <x v="2"/>
    <s v="Excellent"/>
    <s v="Bad"/>
    <n v="0"/>
    <s v="0–3,000"/>
    <s v="0–5 miles"/>
    <s v="0–1 years"/>
  </r>
  <r>
    <n v="28"/>
    <x v="1"/>
    <s v="Travel_Frequently"/>
    <n v="467"/>
    <x v="0"/>
    <n v="7"/>
    <x v="3"/>
    <s v="Life Sciences"/>
    <n v="1"/>
    <n v="1507"/>
    <n v="3"/>
    <s v="Male"/>
    <n v="55"/>
    <n v="3"/>
    <n v="2"/>
    <x v="0"/>
    <x v="3"/>
    <s v="Single"/>
    <n v="4898"/>
    <n v="11827"/>
    <n v="0"/>
    <s v="Y"/>
    <x v="1"/>
    <n v="14"/>
    <n v="3"/>
    <n v="4"/>
    <n v="80"/>
    <n v="0"/>
    <n v="5"/>
    <n v="5"/>
    <n v="3"/>
    <n v="4"/>
    <n v="2"/>
    <n v="1"/>
    <n v="3"/>
    <x v="3"/>
    <x v="1"/>
    <s v="High"/>
    <x v="3"/>
    <s v="Excellent"/>
    <s v="Better"/>
    <n v="0"/>
    <s v="3,001–6,000"/>
    <s v="6–10 miles"/>
    <s v="2–5 years"/>
  </r>
  <r>
    <n v="49"/>
    <x v="1"/>
    <s v="Travel_Rarely"/>
    <n v="271"/>
    <x v="1"/>
    <n v="3"/>
    <x v="0"/>
    <s v="Medical"/>
    <n v="1"/>
    <n v="1509"/>
    <n v="3"/>
    <s v="Female"/>
    <n v="43"/>
    <n v="2"/>
    <n v="2"/>
    <x v="2"/>
    <x v="3"/>
    <s v="Married"/>
    <n v="4789"/>
    <n v="23070"/>
    <n v="4"/>
    <s v="Y"/>
    <x v="1"/>
    <n v="25"/>
    <n v="4"/>
    <n v="1"/>
    <n v="80"/>
    <n v="1"/>
    <n v="10"/>
    <n v="3"/>
    <n v="3"/>
    <n v="3"/>
    <n v="2"/>
    <n v="1"/>
    <n v="2"/>
    <x v="0"/>
    <x v="1"/>
    <s v="Medium"/>
    <x v="3"/>
    <s v="Outstanding"/>
    <s v="Better"/>
    <n v="0"/>
    <s v="3,001–6,000"/>
    <s v="0–5 miles"/>
    <s v="2–5 years"/>
  </r>
  <r>
    <n v="29"/>
    <x v="1"/>
    <s v="Travel_Frequently"/>
    <n v="410"/>
    <x v="1"/>
    <n v="2"/>
    <x v="1"/>
    <s v="Life Sciences"/>
    <n v="1"/>
    <n v="1513"/>
    <n v="4"/>
    <s v="Female"/>
    <n v="97"/>
    <n v="3"/>
    <n v="1"/>
    <x v="2"/>
    <x v="1"/>
    <s v="Married"/>
    <n v="3180"/>
    <n v="4668"/>
    <n v="0"/>
    <s v="Y"/>
    <x v="1"/>
    <n v="13"/>
    <n v="3"/>
    <n v="3"/>
    <n v="80"/>
    <n v="3"/>
    <n v="4"/>
    <n v="3"/>
    <n v="3"/>
    <n v="3"/>
    <n v="2"/>
    <n v="0"/>
    <n v="2"/>
    <x v="1"/>
    <x v="2"/>
    <s v="High"/>
    <x v="1"/>
    <s v="Excellent"/>
    <s v="Better"/>
    <n v="0"/>
    <s v="3,001–6,000"/>
    <s v="0–5 miles"/>
    <s v="2–5 years"/>
  </r>
  <r>
    <n v="28"/>
    <x v="1"/>
    <s v="Travel_Rarely"/>
    <n v="1083"/>
    <x v="1"/>
    <n v="29"/>
    <x v="1"/>
    <s v="Life Sciences"/>
    <n v="1"/>
    <n v="1514"/>
    <n v="3"/>
    <s v="Male"/>
    <n v="96"/>
    <n v="1"/>
    <n v="2"/>
    <x v="3"/>
    <x v="1"/>
    <s v="Married"/>
    <n v="6549"/>
    <n v="3173"/>
    <n v="1"/>
    <s v="Y"/>
    <x v="1"/>
    <n v="14"/>
    <n v="3"/>
    <n v="2"/>
    <n v="80"/>
    <n v="2"/>
    <n v="8"/>
    <n v="2"/>
    <n v="2"/>
    <n v="8"/>
    <n v="6"/>
    <n v="1"/>
    <n v="7"/>
    <x v="1"/>
    <x v="1"/>
    <s v="Low"/>
    <x v="1"/>
    <s v="Excellent"/>
    <s v="Good"/>
    <n v="0"/>
    <s v="6,001–10,000"/>
    <s v="16+ miles"/>
    <s v="6–10 years"/>
  </r>
  <r>
    <n v="33"/>
    <x v="1"/>
    <s v="Travel_Rarely"/>
    <n v="516"/>
    <x v="1"/>
    <n v="8"/>
    <x v="4"/>
    <s v="Life Sciences"/>
    <n v="1"/>
    <n v="1515"/>
    <n v="4"/>
    <s v="Male"/>
    <n v="69"/>
    <n v="3"/>
    <n v="2"/>
    <x v="4"/>
    <x v="2"/>
    <s v="Single"/>
    <n v="6388"/>
    <n v="22049"/>
    <n v="2"/>
    <s v="Y"/>
    <x v="0"/>
    <n v="17"/>
    <n v="3"/>
    <n v="1"/>
    <n v="80"/>
    <n v="0"/>
    <n v="14"/>
    <n v="6"/>
    <n v="3"/>
    <n v="0"/>
    <n v="0"/>
    <n v="0"/>
    <n v="0"/>
    <x v="4"/>
    <x v="2"/>
    <s v="High"/>
    <x v="2"/>
    <s v="Excellent"/>
    <s v="Better"/>
    <n v="0"/>
    <s v="6,001–10,000"/>
    <s v="6–10 miles"/>
    <s v="0–1 years"/>
  </r>
  <r>
    <n v="32"/>
    <x v="1"/>
    <s v="Travel_Rarely"/>
    <n v="495"/>
    <x v="1"/>
    <n v="10"/>
    <x v="3"/>
    <s v="Medical"/>
    <n v="1"/>
    <n v="1516"/>
    <n v="3"/>
    <s v="Male"/>
    <n v="64"/>
    <n v="3"/>
    <n v="3"/>
    <x v="5"/>
    <x v="0"/>
    <s v="Single"/>
    <n v="11244"/>
    <n v="21072"/>
    <n v="2"/>
    <s v="Y"/>
    <x v="1"/>
    <n v="25"/>
    <n v="4"/>
    <n v="2"/>
    <n v="80"/>
    <n v="0"/>
    <n v="10"/>
    <n v="5"/>
    <n v="4"/>
    <n v="5"/>
    <n v="2"/>
    <n v="0"/>
    <n v="0"/>
    <x v="3"/>
    <x v="1"/>
    <s v="High"/>
    <x v="0"/>
    <s v="Outstanding"/>
    <s v="Best"/>
    <n v="0"/>
    <s v="10,001+"/>
    <s v="6–10 miles"/>
    <s v="2–5 years"/>
  </r>
  <r>
    <n v="54"/>
    <x v="1"/>
    <s v="Travel_Frequently"/>
    <n v="1050"/>
    <x v="1"/>
    <n v="11"/>
    <x v="2"/>
    <s v="Medical"/>
    <n v="1"/>
    <n v="1520"/>
    <n v="2"/>
    <s v="Female"/>
    <n v="87"/>
    <n v="3"/>
    <n v="4"/>
    <x v="5"/>
    <x v="0"/>
    <s v="Divorced"/>
    <n v="16032"/>
    <n v="24456"/>
    <n v="3"/>
    <s v="Y"/>
    <x v="1"/>
    <n v="20"/>
    <n v="4"/>
    <n v="1"/>
    <n v="80"/>
    <n v="1"/>
    <n v="26"/>
    <n v="2"/>
    <n v="3"/>
    <n v="14"/>
    <n v="9"/>
    <n v="1"/>
    <n v="12"/>
    <x v="2"/>
    <x v="0"/>
    <s v="High"/>
    <x v="0"/>
    <s v="Outstanding"/>
    <s v="Better"/>
    <n v="0"/>
    <s v="10,001+"/>
    <s v="11–15 miles"/>
    <s v="11+ years"/>
  </r>
  <r>
    <n v="29"/>
    <x v="0"/>
    <s v="Travel_Rarely"/>
    <n v="224"/>
    <x v="1"/>
    <n v="1"/>
    <x v="2"/>
    <s v="Technical Degree"/>
    <n v="1"/>
    <n v="1522"/>
    <n v="1"/>
    <s v="Male"/>
    <n v="100"/>
    <n v="2"/>
    <n v="1"/>
    <x v="1"/>
    <x v="3"/>
    <s v="Single"/>
    <n v="2362"/>
    <n v="7568"/>
    <n v="6"/>
    <s v="Y"/>
    <x v="1"/>
    <n v="13"/>
    <n v="3"/>
    <n v="3"/>
    <n v="80"/>
    <n v="0"/>
    <n v="11"/>
    <n v="2"/>
    <n v="1"/>
    <n v="9"/>
    <n v="7"/>
    <n v="0"/>
    <n v="7"/>
    <x v="2"/>
    <x v="3"/>
    <s v="Medium"/>
    <x v="3"/>
    <s v="Excellent"/>
    <s v="Bad"/>
    <n v="1"/>
    <s v="0–3,000"/>
    <s v="0–5 miles"/>
    <s v="6–10 years"/>
  </r>
  <r>
    <n v="44"/>
    <x v="1"/>
    <s v="Travel_Rarely"/>
    <n v="136"/>
    <x v="1"/>
    <n v="28"/>
    <x v="3"/>
    <s v="Life Sciences"/>
    <n v="1"/>
    <n v="1523"/>
    <n v="4"/>
    <s v="Male"/>
    <n v="32"/>
    <n v="3"/>
    <n v="4"/>
    <x v="7"/>
    <x v="3"/>
    <s v="Married"/>
    <n v="16328"/>
    <n v="22074"/>
    <n v="3"/>
    <s v="Y"/>
    <x v="1"/>
    <n v="13"/>
    <n v="3"/>
    <n v="3"/>
    <n v="80"/>
    <n v="1"/>
    <n v="24"/>
    <n v="1"/>
    <n v="4"/>
    <n v="20"/>
    <n v="6"/>
    <n v="14"/>
    <n v="17"/>
    <x v="3"/>
    <x v="2"/>
    <s v="High"/>
    <x v="3"/>
    <s v="Excellent"/>
    <s v="Best"/>
    <n v="0"/>
    <s v="10,001+"/>
    <s v="16+ miles"/>
    <s v="11+ years"/>
  </r>
  <r>
    <n v="39"/>
    <x v="1"/>
    <s v="Travel_Rarely"/>
    <n v="1089"/>
    <x v="1"/>
    <n v="6"/>
    <x v="3"/>
    <s v="Life Sciences"/>
    <n v="1"/>
    <n v="1525"/>
    <n v="2"/>
    <s v="Female"/>
    <n v="32"/>
    <n v="3"/>
    <n v="3"/>
    <x v="3"/>
    <x v="1"/>
    <s v="Single"/>
    <n v="8376"/>
    <n v="9150"/>
    <n v="4"/>
    <s v="Y"/>
    <x v="1"/>
    <n v="18"/>
    <n v="3"/>
    <n v="4"/>
    <n v="80"/>
    <n v="0"/>
    <n v="9"/>
    <n v="3"/>
    <n v="3"/>
    <n v="2"/>
    <n v="0"/>
    <n v="2"/>
    <n v="2"/>
    <x v="3"/>
    <x v="0"/>
    <s v="High"/>
    <x v="1"/>
    <s v="Excellent"/>
    <s v="Better"/>
    <n v="0"/>
    <s v="6,001–10,000"/>
    <s v="6–10 miles"/>
    <s v="2–5 years"/>
  </r>
  <r>
    <n v="46"/>
    <x v="1"/>
    <s v="Travel_Rarely"/>
    <n v="228"/>
    <x v="0"/>
    <n v="3"/>
    <x v="3"/>
    <s v="Life Sciences"/>
    <n v="1"/>
    <n v="1527"/>
    <n v="3"/>
    <s v="Female"/>
    <n v="51"/>
    <n v="3"/>
    <n v="4"/>
    <x v="5"/>
    <x v="1"/>
    <s v="Married"/>
    <n v="16606"/>
    <n v="11380"/>
    <n v="8"/>
    <s v="Y"/>
    <x v="1"/>
    <n v="12"/>
    <n v="3"/>
    <n v="4"/>
    <n v="80"/>
    <n v="1"/>
    <n v="23"/>
    <n v="2"/>
    <n v="4"/>
    <n v="13"/>
    <n v="12"/>
    <n v="5"/>
    <n v="1"/>
    <x v="3"/>
    <x v="1"/>
    <s v="High"/>
    <x v="1"/>
    <s v="Excellent"/>
    <s v="Best"/>
    <n v="0"/>
    <s v="10,001+"/>
    <s v="0–5 miles"/>
    <s v="11+ years"/>
  </r>
  <r>
    <n v="35"/>
    <x v="1"/>
    <s v="Travel_Rarely"/>
    <n v="1029"/>
    <x v="1"/>
    <n v="16"/>
    <x v="3"/>
    <s v="Life Sciences"/>
    <n v="1"/>
    <n v="1529"/>
    <n v="4"/>
    <s v="Female"/>
    <n v="91"/>
    <n v="2"/>
    <n v="3"/>
    <x v="4"/>
    <x v="1"/>
    <s v="Single"/>
    <n v="8606"/>
    <n v="21195"/>
    <n v="1"/>
    <s v="Y"/>
    <x v="1"/>
    <n v="19"/>
    <n v="3"/>
    <n v="4"/>
    <n v="80"/>
    <n v="0"/>
    <n v="11"/>
    <n v="3"/>
    <n v="1"/>
    <n v="11"/>
    <n v="8"/>
    <n v="3"/>
    <n v="3"/>
    <x v="3"/>
    <x v="2"/>
    <s v="Medium"/>
    <x v="1"/>
    <s v="Excellent"/>
    <s v="Bad"/>
    <n v="0"/>
    <s v="6,001–10,000"/>
    <s v="16+ miles"/>
    <s v="11+ years"/>
  </r>
  <r>
    <n v="23"/>
    <x v="1"/>
    <s v="Travel_Rarely"/>
    <n v="507"/>
    <x v="1"/>
    <n v="20"/>
    <x v="1"/>
    <s v="Life Sciences"/>
    <n v="1"/>
    <n v="1533"/>
    <n v="1"/>
    <s v="Male"/>
    <n v="97"/>
    <n v="3"/>
    <n v="2"/>
    <x v="2"/>
    <x v="2"/>
    <s v="Single"/>
    <n v="2272"/>
    <n v="24812"/>
    <n v="0"/>
    <s v="Y"/>
    <x v="1"/>
    <n v="14"/>
    <n v="3"/>
    <n v="2"/>
    <n v="80"/>
    <n v="0"/>
    <n v="5"/>
    <n v="2"/>
    <n v="3"/>
    <n v="4"/>
    <n v="3"/>
    <n v="1"/>
    <n v="2"/>
    <x v="1"/>
    <x v="3"/>
    <s v="High"/>
    <x v="2"/>
    <s v="Excellent"/>
    <s v="Better"/>
    <n v="0"/>
    <s v="0–3,000"/>
    <s v="16+ miles"/>
    <s v="2–5 years"/>
  </r>
  <r>
    <n v="40"/>
    <x v="0"/>
    <s v="Travel_Rarely"/>
    <n v="676"/>
    <x v="1"/>
    <n v="9"/>
    <x v="2"/>
    <s v="Life Sciences"/>
    <n v="1"/>
    <n v="1534"/>
    <n v="4"/>
    <s v="Male"/>
    <n v="86"/>
    <n v="3"/>
    <n v="1"/>
    <x v="2"/>
    <x v="3"/>
    <s v="Single"/>
    <n v="2018"/>
    <n v="21831"/>
    <n v="3"/>
    <s v="Y"/>
    <x v="1"/>
    <n v="14"/>
    <n v="3"/>
    <n v="2"/>
    <n v="80"/>
    <n v="0"/>
    <n v="15"/>
    <n v="3"/>
    <n v="1"/>
    <n v="5"/>
    <n v="4"/>
    <n v="1"/>
    <n v="0"/>
    <x v="2"/>
    <x v="2"/>
    <s v="High"/>
    <x v="3"/>
    <s v="Excellent"/>
    <s v="Bad"/>
    <n v="1"/>
    <s v="0–3,000"/>
    <s v="6–10 miles"/>
    <s v="2–5 years"/>
  </r>
  <r>
    <n v="34"/>
    <x v="1"/>
    <s v="Travel_Rarely"/>
    <n v="971"/>
    <x v="0"/>
    <n v="1"/>
    <x v="3"/>
    <s v="Technical Degree"/>
    <n v="1"/>
    <n v="1535"/>
    <n v="4"/>
    <s v="Male"/>
    <n v="64"/>
    <n v="2"/>
    <n v="3"/>
    <x v="0"/>
    <x v="2"/>
    <s v="Married"/>
    <n v="7083"/>
    <n v="12288"/>
    <n v="1"/>
    <s v="Y"/>
    <x v="0"/>
    <n v="14"/>
    <n v="3"/>
    <n v="4"/>
    <n v="80"/>
    <n v="0"/>
    <n v="10"/>
    <n v="3"/>
    <n v="3"/>
    <n v="10"/>
    <n v="9"/>
    <n v="8"/>
    <n v="6"/>
    <x v="3"/>
    <x v="2"/>
    <s v="Medium"/>
    <x v="2"/>
    <s v="Excellent"/>
    <s v="Better"/>
    <n v="0"/>
    <s v="6,001–10,000"/>
    <s v="0–5 miles"/>
    <s v="6–10 years"/>
  </r>
  <r>
    <n v="31"/>
    <x v="0"/>
    <s v="Travel_Frequently"/>
    <n v="561"/>
    <x v="1"/>
    <n v="3"/>
    <x v="3"/>
    <s v="Life Sciences"/>
    <n v="1"/>
    <n v="1537"/>
    <n v="4"/>
    <s v="Female"/>
    <n v="33"/>
    <n v="3"/>
    <n v="1"/>
    <x v="1"/>
    <x v="2"/>
    <s v="Single"/>
    <n v="4084"/>
    <n v="4156"/>
    <n v="1"/>
    <s v="Y"/>
    <x v="1"/>
    <n v="12"/>
    <n v="3"/>
    <n v="1"/>
    <n v="80"/>
    <n v="0"/>
    <n v="7"/>
    <n v="2"/>
    <n v="1"/>
    <n v="7"/>
    <n v="2"/>
    <n v="7"/>
    <n v="7"/>
    <x v="3"/>
    <x v="2"/>
    <s v="High"/>
    <x v="2"/>
    <s v="Excellent"/>
    <s v="Bad"/>
    <n v="1"/>
    <s v="3,001–6,000"/>
    <s v="0–5 miles"/>
    <s v="6–10 years"/>
  </r>
  <r>
    <n v="50"/>
    <x v="1"/>
    <s v="Travel_Frequently"/>
    <n v="333"/>
    <x v="1"/>
    <n v="22"/>
    <x v="4"/>
    <s v="Medical"/>
    <n v="1"/>
    <n v="1539"/>
    <n v="3"/>
    <s v="Male"/>
    <n v="88"/>
    <n v="1"/>
    <n v="4"/>
    <x v="7"/>
    <x v="0"/>
    <s v="Single"/>
    <n v="14411"/>
    <n v="24450"/>
    <n v="1"/>
    <s v="Y"/>
    <x v="0"/>
    <n v="13"/>
    <n v="3"/>
    <n v="4"/>
    <n v="80"/>
    <n v="0"/>
    <n v="32"/>
    <n v="2"/>
    <n v="3"/>
    <n v="32"/>
    <n v="6"/>
    <n v="13"/>
    <n v="9"/>
    <x v="4"/>
    <x v="1"/>
    <s v="Low"/>
    <x v="0"/>
    <s v="Excellent"/>
    <s v="Better"/>
    <n v="0"/>
    <s v="10,001+"/>
    <s v="16+ miles"/>
    <s v="11+ years"/>
  </r>
  <r>
    <n v="34"/>
    <x v="1"/>
    <s v="Travel_Rarely"/>
    <n v="1440"/>
    <x v="0"/>
    <n v="7"/>
    <x v="0"/>
    <s v="Technical Degree"/>
    <n v="1"/>
    <n v="1541"/>
    <n v="2"/>
    <s v="Male"/>
    <n v="55"/>
    <n v="3"/>
    <n v="1"/>
    <x v="6"/>
    <x v="2"/>
    <s v="Married"/>
    <n v="2308"/>
    <n v="4944"/>
    <n v="0"/>
    <s v="Y"/>
    <x v="0"/>
    <n v="25"/>
    <n v="4"/>
    <n v="2"/>
    <n v="80"/>
    <n v="1"/>
    <n v="12"/>
    <n v="4"/>
    <n v="3"/>
    <n v="11"/>
    <n v="10"/>
    <n v="5"/>
    <n v="7"/>
    <x v="0"/>
    <x v="0"/>
    <s v="High"/>
    <x v="2"/>
    <s v="Outstanding"/>
    <s v="Better"/>
    <n v="0"/>
    <s v="0–3,000"/>
    <s v="6–10 miles"/>
    <s v="11+ years"/>
  </r>
  <r>
    <n v="42"/>
    <x v="1"/>
    <s v="Travel_Rarely"/>
    <n v="1210"/>
    <x v="1"/>
    <n v="2"/>
    <x v="3"/>
    <s v="Medical"/>
    <n v="1"/>
    <n v="1542"/>
    <n v="3"/>
    <s v="Male"/>
    <n v="68"/>
    <n v="2"/>
    <n v="1"/>
    <x v="2"/>
    <x v="1"/>
    <s v="Married"/>
    <n v="4841"/>
    <n v="24052"/>
    <n v="4"/>
    <s v="Y"/>
    <x v="1"/>
    <n v="14"/>
    <n v="3"/>
    <n v="2"/>
    <n v="80"/>
    <n v="1"/>
    <n v="4"/>
    <n v="3"/>
    <n v="3"/>
    <n v="1"/>
    <n v="0"/>
    <n v="0"/>
    <n v="0"/>
    <x v="3"/>
    <x v="1"/>
    <s v="Medium"/>
    <x v="1"/>
    <s v="Excellent"/>
    <s v="Better"/>
    <n v="0"/>
    <s v="3,001–6,000"/>
    <s v="0–5 miles"/>
    <s v="0–1 years"/>
  </r>
  <r>
    <n v="37"/>
    <x v="1"/>
    <s v="Travel_Rarely"/>
    <n v="674"/>
    <x v="1"/>
    <n v="13"/>
    <x v="3"/>
    <s v="Medical"/>
    <n v="1"/>
    <n v="1543"/>
    <n v="1"/>
    <s v="Male"/>
    <n v="47"/>
    <n v="3"/>
    <n v="2"/>
    <x v="1"/>
    <x v="0"/>
    <s v="Married"/>
    <n v="4285"/>
    <n v="3031"/>
    <n v="1"/>
    <s v="Y"/>
    <x v="1"/>
    <n v="17"/>
    <n v="3"/>
    <n v="1"/>
    <n v="80"/>
    <n v="0"/>
    <n v="10"/>
    <n v="2"/>
    <n v="3"/>
    <n v="10"/>
    <n v="8"/>
    <n v="3"/>
    <n v="7"/>
    <x v="3"/>
    <x v="3"/>
    <s v="High"/>
    <x v="0"/>
    <s v="Excellent"/>
    <s v="Better"/>
    <n v="0"/>
    <s v="3,001–6,000"/>
    <s v="11–15 miles"/>
    <s v="6–10 years"/>
  </r>
  <r>
    <n v="29"/>
    <x v="1"/>
    <s v="Travel_Rarely"/>
    <n v="441"/>
    <x v="1"/>
    <n v="8"/>
    <x v="1"/>
    <s v="Other"/>
    <n v="1"/>
    <n v="1544"/>
    <n v="3"/>
    <s v="Female"/>
    <n v="39"/>
    <n v="1"/>
    <n v="2"/>
    <x v="4"/>
    <x v="3"/>
    <s v="Married"/>
    <n v="9715"/>
    <n v="7288"/>
    <n v="3"/>
    <s v="Y"/>
    <x v="1"/>
    <n v="13"/>
    <n v="3"/>
    <n v="3"/>
    <n v="80"/>
    <n v="1"/>
    <n v="9"/>
    <n v="3"/>
    <n v="3"/>
    <n v="7"/>
    <n v="7"/>
    <n v="0"/>
    <n v="7"/>
    <x v="1"/>
    <x v="1"/>
    <s v="Low"/>
    <x v="3"/>
    <s v="Excellent"/>
    <s v="Better"/>
    <n v="0"/>
    <s v="6,001–10,000"/>
    <s v="6–10 miles"/>
    <s v="6–10 years"/>
  </r>
  <r>
    <n v="33"/>
    <x v="1"/>
    <s v="Travel_Rarely"/>
    <n v="575"/>
    <x v="1"/>
    <n v="25"/>
    <x v="3"/>
    <s v="Life Sciences"/>
    <n v="1"/>
    <n v="1545"/>
    <n v="4"/>
    <s v="Male"/>
    <n v="44"/>
    <n v="2"/>
    <n v="2"/>
    <x v="3"/>
    <x v="1"/>
    <s v="Single"/>
    <n v="4320"/>
    <n v="24152"/>
    <n v="1"/>
    <s v="Y"/>
    <x v="1"/>
    <n v="13"/>
    <n v="3"/>
    <n v="4"/>
    <n v="80"/>
    <n v="0"/>
    <n v="5"/>
    <n v="2"/>
    <n v="3"/>
    <n v="5"/>
    <n v="3"/>
    <n v="0"/>
    <n v="2"/>
    <x v="3"/>
    <x v="2"/>
    <s v="Medium"/>
    <x v="1"/>
    <s v="Excellent"/>
    <s v="Better"/>
    <n v="0"/>
    <s v="3,001–6,000"/>
    <s v="16+ miles"/>
    <s v="2–5 years"/>
  </r>
  <r>
    <n v="45"/>
    <x v="1"/>
    <s v="Travel_Rarely"/>
    <n v="950"/>
    <x v="1"/>
    <n v="28"/>
    <x v="3"/>
    <s v="Technical Degree"/>
    <n v="1"/>
    <n v="1546"/>
    <n v="4"/>
    <s v="Male"/>
    <n v="97"/>
    <n v="3"/>
    <n v="1"/>
    <x v="1"/>
    <x v="0"/>
    <s v="Married"/>
    <n v="2132"/>
    <n v="4585"/>
    <n v="4"/>
    <s v="Y"/>
    <x v="1"/>
    <n v="20"/>
    <n v="4"/>
    <n v="4"/>
    <n v="80"/>
    <n v="1"/>
    <n v="8"/>
    <n v="3"/>
    <n v="3"/>
    <n v="5"/>
    <n v="4"/>
    <n v="0"/>
    <n v="3"/>
    <x v="3"/>
    <x v="2"/>
    <s v="High"/>
    <x v="0"/>
    <s v="Outstanding"/>
    <s v="Better"/>
    <n v="0"/>
    <s v="0–3,000"/>
    <s v="16+ miles"/>
    <s v="2–5 years"/>
  </r>
  <r>
    <n v="42"/>
    <x v="1"/>
    <s v="Travel_Frequently"/>
    <n v="288"/>
    <x v="1"/>
    <n v="2"/>
    <x v="3"/>
    <s v="Life Sciences"/>
    <n v="1"/>
    <n v="1547"/>
    <n v="4"/>
    <s v="Male"/>
    <n v="40"/>
    <n v="3"/>
    <n v="3"/>
    <x v="4"/>
    <x v="0"/>
    <s v="Married"/>
    <n v="10124"/>
    <n v="18611"/>
    <n v="2"/>
    <s v="Y"/>
    <x v="0"/>
    <n v="14"/>
    <n v="3"/>
    <n v="3"/>
    <n v="80"/>
    <n v="1"/>
    <n v="24"/>
    <n v="3"/>
    <n v="1"/>
    <n v="20"/>
    <n v="8"/>
    <n v="13"/>
    <n v="9"/>
    <x v="3"/>
    <x v="2"/>
    <s v="High"/>
    <x v="0"/>
    <s v="Excellent"/>
    <s v="Bad"/>
    <n v="0"/>
    <s v="10,001+"/>
    <s v="0–5 miles"/>
    <s v="11+ years"/>
  </r>
  <r>
    <n v="40"/>
    <x v="1"/>
    <s v="Travel_Rarely"/>
    <n v="1342"/>
    <x v="0"/>
    <n v="9"/>
    <x v="0"/>
    <s v="Medical"/>
    <n v="1"/>
    <n v="1548"/>
    <n v="1"/>
    <s v="Male"/>
    <n v="47"/>
    <n v="3"/>
    <n v="2"/>
    <x v="0"/>
    <x v="3"/>
    <s v="Married"/>
    <n v="5473"/>
    <n v="19345"/>
    <n v="0"/>
    <s v="Y"/>
    <x v="1"/>
    <n v="12"/>
    <n v="3"/>
    <n v="4"/>
    <n v="80"/>
    <n v="0"/>
    <n v="9"/>
    <n v="5"/>
    <n v="4"/>
    <n v="8"/>
    <n v="4"/>
    <n v="7"/>
    <n v="1"/>
    <x v="0"/>
    <x v="3"/>
    <s v="High"/>
    <x v="3"/>
    <s v="Excellent"/>
    <s v="Best"/>
    <n v="0"/>
    <s v="3,001–6,000"/>
    <s v="6–10 miles"/>
    <s v="6–10 years"/>
  </r>
  <r>
    <n v="33"/>
    <x v="1"/>
    <s v="Travel_Rarely"/>
    <n v="589"/>
    <x v="1"/>
    <n v="28"/>
    <x v="2"/>
    <s v="Life Sciences"/>
    <n v="1"/>
    <n v="1549"/>
    <n v="2"/>
    <s v="Male"/>
    <n v="79"/>
    <n v="3"/>
    <n v="2"/>
    <x v="2"/>
    <x v="2"/>
    <s v="Married"/>
    <n v="5207"/>
    <n v="22949"/>
    <n v="1"/>
    <s v="Y"/>
    <x v="0"/>
    <n v="12"/>
    <n v="3"/>
    <n v="2"/>
    <n v="80"/>
    <n v="1"/>
    <n v="15"/>
    <n v="3"/>
    <n v="3"/>
    <n v="15"/>
    <n v="14"/>
    <n v="5"/>
    <n v="7"/>
    <x v="2"/>
    <x v="0"/>
    <s v="High"/>
    <x v="2"/>
    <s v="Excellent"/>
    <s v="Better"/>
    <n v="0"/>
    <s v="3,001–6,000"/>
    <s v="16+ miles"/>
    <s v="11+ years"/>
  </r>
  <r>
    <n v="40"/>
    <x v="1"/>
    <s v="Travel_Rarely"/>
    <n v="898"/>
    <x v="2"/>
    <n v="6"/>
    <x v="0"/>
    <s v="Medical"/>
    <n v="1"/>
    <n v="1550"/>
    <n v="3"/>
    <s v="Male"/>
    <n v="38"/>
    <n v="3"/>
    <n v="4"/>
    <x v="5"/>
    <x v="0"/>
    <s v="Single"/>
    <n v="16437"/>
    <n v="17381"/>
    <n v="1"/>
    <s v="Y"/>
    <x v="0"/>
    <n v="21"/>
    <n v="4"/>
    <n v="4"/>
    <n v="80"/>
    <n v="0"/>
    <n v="21"/>
    <n v="2"/>
    <n v="3"/>
    <n v="21"/>
    <n v="7"/>
    <n v="7"/>
    <n v="7"/>
    <x v="0"/>
    <x v="1"/>
    <s v="High"/>
    <x v="0"/>
    <s v="Outstanding"/>
    <s v="Better"/>
    <n v="0"/>
    <s v="10,001+"/>
    <s v="6–10 miles"/>
    <s v="11+ years"/>
  </r>
  <r>
    <n v="24"/>
    <x v="1"/>
    <s v="Travel_Rarely"/>
    <n v="350"/>
    <x v="1"/>
    <n v="21"/>
    <x v="0"/>
    <s v="Technical Degree"/>
    <n v="1"/>
    <n v="1551"/>
    <n v="3"/>
    <s v="Male"/>
    <n v="57"/>
    <n v="2"/>
    <n v="1"/>
    <x v="2"/>
    <x v="3"/>
    <s v="Divorced"/>
    <n v="2296"/>
    <n v="10036"/>
    <n v="0"/>
    <s v="Y"/>
    <x v="1"/>
    <n v="14"/>
    <n v="3"/>
    <n v="2"/>
    <n v="80"/>
    <n v="3"/>
    <n v="2"/>
    <n v="3"/>
    <n v="3"/>
    <n v="1"/>
    <n v="1"/>
    <n v="0"/>
    <n v="0"/>
    <x v="0"/>
    <x v="1"/>
    <s v="Medium"/>
    <x v="3"/>
    <s v="Excellent"/>
    <s v="Better"/>
    <n v="0"/>
    <s v="0–3,000"/>
    <s v="16+ miles"/>
    <s v="0–1 years"/>
  </r>
  <r>
    <n v="40"/>
    <x v="1"/>
    <s v="Non-Travel"/>
    <n v="1142"/>
    <x v="1"/>
    <n v="8"/>
    <x v="0"/>
    <s v="Life Sciences"/>
    <n v="1"/>
    <n v="1552"/>
    <n v="4"/>
    <s v="Male"/>
    <n v="72"/>
    <n v="3"/>
    <n v="2"/>
    <x v="4"/>
    <x v="0"/>
    <s v="Divorced"/>
    <n v="4069"/>
    <n v="8841"/>
    <n v="3"/>
    <s v="Y"/>
    <x v="0"/>
    <n v="18"/>
    <n v="3"/>
    <n v="3"/>
    <n v="80"/>
    <n v="0"/>
    <n v="8"/>
    <n v="2"/>
    <n v="3"/>
    <n v="2"/>
    <n v="2"/>
    <n v="2"/>
    <n v="2"/>
    <x v="0"/>
    <x v="2"/>
    <s v="High"/>
    <x v="0"/>
    <s v="Excellent"/>
    <s v="Better"/>
    <n v="0"/>
    <s v="3,001–6,000"/>
    <s v="6–10 miles"/>
    <s v="2–5 years"/>
  </r>
  <r>
    <n v="45"/>
    <x v="1"/>
    <s v="Travel_Rarely"/>
    <n v="538"/>
    <x v="1"/>
    <n v="1"/>
    <x v="2"/>
    <s v="Technical Degree"/>
    <n v="1"/>
    <n v="1553"/>
    <n v="1"/>
    <s v="Male"/>
    <n v="66"/>
    <n v="3"/>
    <n v="3"/>
    <x v="4"/>
    <x v="1"/>
    <s v="Divorced"/>
    <n v="7441"/>
    <n v="20933"/>
    <n v="1"/>
    <s v="Y"/>
    <x v="1"/>
    <n v="12"/>
    <n v="3"/>
    <n v="1"/>
    <n v="80"/>
    <n v="3"/>
    <n v="10"/>
    <n v="4"/>
    <n v="3"/>
    <n v="10"/>
    <n v="8"/>
    <n v="7"/>
    <n v="7"/>
    <x v="2"/>
    <x v="3"/>
    <s v="High"/>
    <x v="1"/>
    <s v="Excellent"/>
    <s v="Better"/>
    <n v="0"/>
    <s v="6,001–10,000"/>
    <s v="0–5 miles"/>
    <s v="6–10 years"/>
  </r>
  <r>
    <n v="35"/>
    <x v="1"/>
    <s v="Travel_Rarely"/>
    <n v="1402"/>
    <x v="0"/>
    <n v="28"/>
    <x v="2"/>
    <s v="Life Sciences"/>
    <n v="1"/>
    <n v="1554"/>
    <n v="2"/>
    <s v="Female"/>
    <n v="98"/>
    <n v="2"/>
    <n v="1"/>
    <x v="6"/>
    <x v="2"/>
    <s v="Married"/>
    <n v="2430"/>
    <n v="26204"/>
    <n v="0"/>
    <s v="Y"/>
    <x v="1"/>
    <n v="23"/>
    <n v="4"/>
    <n v="1"/>
    <n v="80"/>
    <n v="2"/>
    <n v="6"/>
    <n v="5"/>
    <n v="3"/>
    <n v="5"/>
    <n v="3"/>
    <n v="4"/>
    <n v="2"/>
    <x v="2"/>
    <x v="0"/>
    <s v="Medium"/>
    <x v="2"/>
    <s v="Outstanding"/>
    <s v="Better"/>
    <n v="0"/>
    <s v="0–3,000"/>
    <s v="16+ miles"/>
    <s v="2–5 years"/>
  </r>
  <r>
    <n v="32"/>
    <x v="1"/>
    <s v="Travel_Rarely"/>
    <n v="824"/>
    <x v="1"/>
    <n v="5"/>
    <x v="0"/>
    <s v="Life Sciences"/>
    <n v="1"/>
    <n v="1555"/>
    <n v="4"/>
    <s v="Female"/>
    <n v="67"/>
    <n v="2"/>
    <n v="2"/>
    <x v="1"/>
    <x v="1"/>
    <s v="Married"/>
    <n v="5878"/>
    <n v="15624"/>
    <n v="3"/>
    <s v="Y"/>
    <x v="1"/>
    <n v="12"/>
    <n v="3"/>
    <n v="1"/>
    <n v="80"/>
    <n v="1"/>
    <n v="12"/>
    <n v="2"/>
    <n v="3"/>
    <n v="7"/>
    <n v="1"/>
    <n v="2"/>
    <n v="5"/>
    <x v="0"/>
    <x v="2"/>
    <s v="Medium"/>
    <x v="1"/>
    <s v="Excellent"/>
    <s v="Better"/>
    <n v="0"/>
    <s v="3,001–6,000"/>
    <s v="0–5 miles"/>
    <s v="6–10 years"/>
  </r>
  <r>
    <n v="36"/>
    <x v="1"/>
    <s v="Travel_Rarely"/>
    <n v="1157"/>
    <x v="0"/>
    <n v="2"/>
    <x v="2"/>
    <s v="Life Sciences"/>
    <n v="1"/>
    <n v="1556"/>
    <n v="3"/>
    <s v="Male"/>
    <n v="70"/>
    <n v="3"/>
    <n v="1"/>
    <x v="6"/>
    <x v="0"/>
    <s v="Single"/>
    <n v="2644"/>
    <n v="17001"/>
    <n v="3"/>
    <s v="Y"/>
    <x v="0"/>
    <n v="21"/>
    <n v="4"/>
    <n v="4"/>
    <n v="80"/>
    <n v="0"/>
    <n v="7"/>
    <n v="3"/>
    <n v="2"/>
    <n v="3"/>
    <n v="2"/>
    <n v="1"/>
    <n v="2"/>
    <x v="2"/>
    <x v="1"/>
    <s v="High"/>
    <x v="0"/>
    <s v="Outstanding"/>
    <s v="Good"/>
    <n v="0"/>
    <s v="0–3,000"/>
    <s v="0–5 miles"/>
    <s v="2–5 years"/>
  </r>
  <r>
    <n v="48"/>
    <x v="1"/>
    <s v="Travel_Rarely"/>
    <n v="492"/>
    <x v="0"/>
    <n v="16"/>
    <x v="2"/>
    <s v="Life Sciences"/>
    <n v="1"/>
    <n v="1557"/>
    <n v="3"/>
    <s v="Female"/>
    <n v="96"/>
    <n v="3"/>
    <n v="2"/>
    <x v="0"/>
    <x v="2"/>
    <s v="Divorced"/>
    <n v="6439"/>
    <n v="13693"/>
    <n v="8"/>
    <s v="Y"/>
    <x v="1"/>
    <n v="14"/>
    <n v="3"/>
    <n v="3"/>
    <n v="80"/>
    <n v="1"/>
    <n v="18"/>
    <n v="2"/>
    <n v="3"/>
    <n v="8"/>
    <n v="7"/>
    <n v="7"/>
    <n v="7"/>
    <x v="2"/>
    <x v="1"/>
    <s v="High"/>
    <x v="2"/>
    <s v="Excellent"/>
    <s v="Better"/>
    <n v="0"/>
    <s v="6,001–10,000"/>
    <s v="16+ miles"/>
    <s v="6–10 years"/>
  </r>
  <r>
    <n v="29"/>
    <x v="1"/>
    <s v="Travel_Rarely"/>
    <n v="598"/>
    <x v="1"/>
    <n v="9"/>
    <x v="3"/>
    <s v="Life Sciences"/>
    <n v="1"/>
    <n v="1558"/>
    <n v="3"/>
    <s v="Male"/>
    <n v="91"/>
    <n v="4"/>
    <n v="1"/>
    <x v="1"/>
    <x v="2"/>
    <s v="Married"/>
    <n v="2451"/>
    <n v="22376"/>
    <n v="6"/>
    <s v="Y"/>
    <x v="1"/>
    <n v="18"/>
    <n v="3"/>
    <n v="1"/>
    <n v="80"/>
    <n v="2"/>
    <n v="5"/>
    <n v="2"/>
    <n v="2"/>
    <n v="1"/>
    <n v="0"/>
    <n v="0"/>
    <n v="0"/>
    <x v="3"/>
    <x v="1"/>
    <s v="Very High"/>
    <x v="2"/>
    <s v="Excellent"/>
    <s v="Good"/>
    <n v="0"/>
    <s v="0–3,000"/>
    <s v="6–10 miles"/>
    <s v="0–1 years"/>
  </r>
  <r>
    <n v="33"/>
    <x v="1"/>
    <s v="Travel_Rarely"/>
    <n v="1242"/>
    <x v="0"/>
    <n v="8"/>
    <x v="2"/>
    <s v="Life Sciences"/>
    <n v="1"/>
    <n v="1560"/>
    <n v="1"/>
    <s v="Male"/>
    <n v="46"/>
    <n v="3"/>
    <n v="2"/>
    <x v="0"/>
    <x v="3"/>
    <s v="Married"/>
    <n v="6392"/>
    <n v="10589"/>
    <n v="2"/>
    <s v="Y"/>
    <x v="1"/>
    <n v="13"/>
    <n v="3"/>
    <n v="4"/>
    <n v="80"/>
    <n v="1"/>
    <n v="8"/>
    <n v="6"/>
    <n v="1"/>
    <n v="2"/>
    <n v="2"/>
    <n v="2"/>
    <n v="2"/>
    <x v="2"/>
    <x v="3"/>
    <s v="High"/>
    <x v="3"/>
    <s v="Excellent"/>
    <s v="Bad"/>
    <n v="0"/>
    <s v="6,001–10,000"/>
    <s v="6–10 miles"/>
    <s v="2–5 years"/>
  </r>
  <r>
    <n v="30"/>
    <x v="0"/>
    <s v="Travel_Rarely"/>
    <n v="740"/>
    <x v="0"/>
    <n v="1"/>
    <x v="3"/>
    <s v="Life Sciences"/>
    <n v="1"/>
    <n v="1562"/>
    <n v="2"/>
    <s v="Male"/>
    <n v="64"/>
    <n v="2"/>
    <n v="2"/>
    <x v="0"/>
    <x v="3"/>
    <s v="Married"/>
    <n v="9714"/>
    <n v="5323"/>
    <n v="1"/>
    <s v="Y"/>
    <x v="1"/>
    <n v="11"/>
    <n v="3"/>
    <n v="4"/>
    <n v="80"/>
    <n v="1"/>
    <n v="10"/>
    <n v="4"/>
    <n v="3"/>
    <n v="10"/>
    <n v="8"/>
    <n v="6"/>
    <n v="7"/>
    <x v="3"/>
    <x v="0"/>
    <s v="Medium"/>
    <x v="3"/>
    <s v="Excellent"/>
    <s v="Better"/>
    <n v="1"/>
    <s v="6,001–10,000"/>
    <s v="0–5 miles"/>
    <s v="6–10 years"/>
  </r>
  <r>
    <n v="38"/>
    <x v="1"/>
    <s v="Travel_Frequently"/>
    <n v="888"/>
    <x v="2"/>
    <n v="10"/>
    <x v="2"/>
    <s v="Human Resources"/>
    <n v="1"/>
    <n v="1563"/>
    <n v="3"/>
    <s v="Male"/>
    <n v="71"/>
    <n v="3"/>
    <n v="2"/>
    <x v="8"/>
    <x v="2"/>
    <s v="Married"/>
    <n v="6077"/>
    <n v="14814"/>
    <n v="3"/>
    <s v="Y"/>
    <x v="1"/>
    <n v="11"/>
    <n v="3"/>
    <n v="3"/>
    <n v="80"/>
    <n v="0"/>
    <n v="10"/>
    <n v="2"/>
    <n v="3"/>
    <n v="6"/>
    <n v="3"/>
    <n v="1"/>
    <n v="2"/>
    <x v="2"/>
    <x v="1"/>
    <s v="High"/>
    <x v="2"/>
    <s v="Excellent"/>
    <s v="Better"/>
    <n v="0"/>
    <s v="6,001–10,000"/>
    <s v="6–10 miles"/>
    <s v="6–10 years"/>
  </r>
  <r>
    <n v="35"/>
    <x v="1"/>
    <s v="Travel_Rarely"/>
    <n v="992"/>
    <x v="1"/>
    <n v="1"/>
    <x v="3"/>
    <s v="Medical"/>
    <n v="1"/>
    <n v="1564"/>
    <n v="4"/>
    <s v="Male"/>
    <n v="68"/>
    <n v="2"/>
    <n v="1"/>
    <x v="2"/>
    <x v="3"/>
    <s v="Single"/>
    <n v="2450"/>
    <n v="21731"/>
    <n v="1"/>
    <s v="Y"/>
    <x v="1"/>
    <n v="19"/>
    <n v="3"/>
    <n v="2"/>
    <n v="80"/>
    <n v="0"/>
    <n v="3"/>
    <n v="3"/>
    <n v="3"/>
    <n v="3"/>
    <n v="0"/>
    <n v="1"/>
    <n v="2"/>
    <x v="3"/>
    <x v="2"/>
    <s v="Medium"/>
    <x v="3"/>
    <s v="Excellent"/>
    <s v="Better"/>
    <n v="0"/>
    <s v="0–3,000"/>
    <s v="0–5 miles"/>
    <s v="2–5 years"/>
  </r>
  <r>
    <n v="30"/>
    <x v="1"/>
    <s v="Travel_Rarely"/>
    <n v="1288"/>
    <x v="0"/>
    <n v="29"/>
    <x v="2"/>
    <s v="Technical Degree"/>
    <n v="1"/>
    <n v="1568"/>
    <n v="3"/>
    <s v="Male"/>
    <n v="33"/>
    <n v="3"/>
    <n v="3"/>
    <x v="0"/>
    <x v="1"/>
    <s v="Married"/>
    <n v="9250"/>
    <n v="17799"/>
    <n v="3"/>
    <s v="Y"/>
    <x v="1"/>
    <n v="12"/>
    <n v="3"/>
    <n v="2"/>
    <n v="80"/>
    <n v="1"/>
    <n v="9"/>
    <n v="3"/>
    <n v="3"/>
    <n v="4"/>
    <n v="2"/>
    <n v="1"/>
    <n v="3"/>
    <x v="2"/>
    <x v="1"/>
    <s v="High"/>
    <x v="1"/>
    <s v="Excellent"/>
    <s v="Better"/>
    <n v="0"/>
    <s v="6,001–10,000"/>
    <s v="16+ miles"/>
    <s v="2–5 years"/>
  </r>
  <r>
    <n v="35"/>
    <x v="0"/>
    <s v="Travel_Rarely"/>
    <n v="104"/>
    <x v="1"/>
    <n v="2"/>
    <x v="3"/>
    <s v="Life Sciences"/>
    <n v="1"/>
    <n v="1569"/>
    <n v="1"/>
    <s v="Female"/>
    <n v="69"/>
    <n v="3"/>
    <n v="1"/>
    <x v="2"/>
    <x v="3"/>
    <s v="Divorced"/>
    <n v="2074"/>
    <n v="26619"/>
    <n v="1"/>
    <s v="Y"/>
    <x v="0"/>
    <n v="12"/>
    <n v="3"/>
    <n v="4"/>
    <n v="80"/>
    <n v="1"/>
    <n v="1"/>
    <n v="2"/>
    <n v="3"/>
    <n v="1"/>
    <n v="0"/>
    <n v="0"/>
    <n v="0"/>
    <x v="3"/>
    <x v="3"/>
    <s v="High"/>
    <x v="3"/>
    <s v="Excellent"/>
    <s v="Better"/>
    <n v="1"/>
    <s v="0–3,000"/>
    <s v="0–5 miles"/>
    <s v="0–1 years"/>
  </r>
  <r>
    <n v="53"/>
    <x v="0"/>
    <s v="Travel_Rarely"/>
    <n v="607"/>
    <x v="1"/>
    <n v="2"/>
    <x v="4"/>
    <s v="Technical Degree"/>
    <n v="1"/>
    <n v="1572"/>
    <n v="3"/>
    <s v="Female"/>
    <n v="78"/>
    <n v="2"/>
    <n v="3"/>
    <x v="3"/>
    <x v="0"/>
    <s v="Married"/>
    <n v="10169"/>
    <n v="14618"/>
    <n v="0"/>
    <s v="Y"/>
    <x v="1"/>
    <n v="16"/>
    <n v="3"/>
    <n v="2"/>
    <n v="80"/>
    <n v="1"/>
    <n v="34"/>
    <n v="4"/>
    <n v="3"/>
    <n v="33"/>
    <n v="7"/>
    <n v="1"/>
    <n v="9"/>
    <x v="4"/>
    <x v="1"/>
    <s v="Medium"/>
    <x v="0"/>
    <s v="Excellent"/>
    <s v="Better"/>
    <n v="1"/>
    <s v="10,001+"/>
    <s v="0–5 miles"/>
    <s v="11+ years"/>
  </r>
  <r>
    <n v="38"/>
    <x v="0"/>
    <s v="Travel_Rarely"/>
    <n v="903"/>
    <x v="1"/>
    <n v="2"/>
    <x v="3"/>
    <s v="Medical"/>
    <n v="1"/>
    <n v="1573"/>
    <n v="3"/>
    <s v="Male"/>
    <n v="81"/>
    <n v="3"/>
    <n v="2"/>
    <x v="3"/>
    <x v="1"/>
    <s v="Married"/>
    <n v="4855"/>
    <n v="7653"/>
    <n v="4"/>
    <s v="Y"/>
    <x v="1"/>
    <n v="11"/>
    <n v="3"/>
    <n v="1"/>
    <n v="80"/>
    <n v="2"/>
    <n v="7"/>
    <n v="2"/>
    <n v="3"/>
    <n v="5"/>
    <n v="2"/>
    <n v="1"/>
    <n v="4"/>
    <x v="3"/>
    <x v="1"/>
    <s v="High"/>
    <x v="1"/>
    <s v="Excellent"/>
    <s v="Better"/>
    <n v="1"/>
    <s v="3,001–6,000"/>
    <s v="0–5 miles"/>
    <s v="2–5 years"/>
  </r>
  <r>
    <n v="32"/>
    <x v="1"/>
    <s v="Non-Travel"/>
    <n v="1200"/>
    <x v="1"/>
    <n v="1"/>
    <x v="2"/>
    <s v="Technical Degree"/>
    <n v="1"/>
    <n v="1574"/>
    <n v="4"/>
    <s v="Male"/>
    <n v="62"/>
    <n v="3"/>
    <n v="2"/>
    <x v="1"/>
    <x v="3"/>
    <s v="Married"/>
    <n v="4087"/>
    <n v="25174"/>
    <n v="4"/>
    <s v="Y"/>
    <x v="1"/>
    <n v="14"/>
    <n v="3"/>
    <n v="2"/>
    <n v="80"/>
    <n v="1"/>
    <n v="9"/>
    <n v="3"/>
    <n v="2"/>
    <n v="6"/>
    <n v="5"/>
    <n v="1"/>
    <n v="2"/>
    <x v="2"/>
    <x v="2"/>
    <s v="High"/>
    <x v="3"/>
    <s v="Excellent"/>
    <s v="Good"/>
    <n v="0"/>
    <s v="3,001–6,000"/>
    <s v="0–5 miles"/>
    <s v="6–10 years"/>
  </r>
  <r>
    <n v="48"/>
    <x v="1"/>
    <s v="Travel_Rarely"/>
    <n v="1108"/>
    <x v="1"/>
    <n v="15"/>
    <x v="2"/>
    <s v="Other"/>
    <n v="1"/>
    <n v="1576"/>
    <n v="3"/>
    <s v="Female"/>
    <n v="65"/>
    <n v="3"/>
    <n v="1"/>
    <x v="1"/>
    <x v="3"/>
    <s v="Married"/>
    <n v="2367"/>
    <n v="16530"/>
    <n v="8"/>
    <s v="Y"/>
    <x v="1"/>
    <n v="12"/>
    <n v="3"/>
    <n v="4"/>
    <n v="80"/>
    <n v="1"/>
    <n v="10"/>
    <n v="3"/>
    <n v="2"/>
    <n v="8"/>
    <n v="2"/>
    <n v="7"/>
    <n v="6"/>
    <x v="2"/>
    <x v="1"/>
    <s v="High"/>
    <x v="3"/>
    <s v="Excellent"/>
    <s v="Good"/>
    <n v="0"/>
    <s v="0–3,000"/>
    <s v="11–15 miles"/>
    <s v="6–10 years"/>
  </r>
  <r>
    <n v="34"/>
    <x v="1"/>
    <s v="Travel_Rarely"/>
    <n v="479"/>
    <x v="1"/>
    <n v="7"/>
    <x v="2"/>
    <s v="Medical"/>
    <n v="1"/>
    <n v="1577"/>
    <n v="1"/>
    <s v="Male"/>
    <n v="35"/>
    <n v="3"/>
    <n v="1"/>
    <x v="1"/>
    <x v="0"/>
    <s v="Single"/>
    <n v="2972"/>
    <n v="22061"/>
    <n v="1"/>
    <s v="Y"/>
    <x v="1"/>
    <n v="13"/>
    <n v="3"/>
    <n v="3"/>
    <n v="80"/>
    <n v="0"/>
    <n v="1"/>
    <n v="4"/>
    <n v="1"/>
    <n v="1"/>
    <n v="0"/>
    <n v="0"/>
    <n v="0"/>
    <x v="2"/>
    <x v="3"/>
    <s v="High"/>
    <x v="0"/>
    <s v="Excellent"/>
    <s v="Bad"/>
    <n v="0"/>
    <s v="0–3,000"/>
    <s v="6–10 miles"/>
    <s v="0–1 years"/>
  </r>
  <r>
    <n v="55"/>
    <x v="1"/>
    <s v="Travel_Rarely"/>
    <n v="685"/>
    <x v="0"/>
    <n v="26"/>
    <x v="4"/>
    <s v="Marketing"/>
    <n v="1"/>
    <n v="1578"/>
    <n v="3"/>
    <s v="Male"/>
    <n v="60"/>
    <n v="2"/>
    <n v="5"/>
    <x v="5"/>
    <x v="0"/>
    <s v="Married"/>
    <n v="19586"/>
    <n v="23037"/>
    <n v="1"/>
    <s v="Y"/>
    <x v="1"/>
    <n v="21"/>
    <n v="4"/>
    <n v="3"/>
    <n v="80"/>
    <n v="1"/>
    <n v="36"/>
    <n v="3"/>
    <n v="3"/>
    <n v="36"/>
    <n v="6"/>
    <n v="2"/>
    <n v="13"/>
    <x v="4"/>
    <x v="1"/>
    <s v="Medium"/>
    <x v="0"/>
    <s v="Outstanding"/>
    <s v="Better"/>
    <n v="0"/>
    <s v="10,001+"/>
    <s v="16+ miles"/>
    <s v="11+ years"/>
  </r>
  <r>
    <n v="34"/>
    <x v="1"/>
    <s v="Travel_Rarely"/>
    <n v="1351"/>
    <x v="1"/>
    <n v="1"/>
    <x v="2"/>
    <s v="Life Sciences"/>
    <n v="1"/>
    <n v="1580"/>
    <n v="2"/>
    <s v="Male"/>
    <n v="45"/>
    <n v="3"/>
    <n v="2"/>
    <x v="1"/>
    <x v="0"/>
    <s v="Married"/>
    <n v="5484"/>
    <n v="13008"/>
    <n v="9"/>
    <s v="Y"/>
    <x v="1"/>
    <n v="17"/>
    <n v="3"/>
    <n v="2"/>
    <n v="80"/>
    <n v="1"/>
    <n v="9"/>
    <n v="3"/>
    <n v="2"/>
    <n v="2"/>
    <n v="2"/>
    <n v="2"/>
    <n v="1"/>
    <x v="2"/>
    <x v="0"/>
    <s v="High"/>
    <x v="0"/>
    <s v="Excellent"/>
    <s v="Good"/>
    <n v="0"/>
    <s v="3,001–6,000"/>
    <s v="0–5 miles"/>
    <s v="2–5 years"/>
  </r>
  <r>
    <n v="26"/>
    <x v="1"/>
    <s v="Travel_Rarely"/>
    <n v="474"/>
    <x v="1"/>
    <n v="3"/>
    <x v="3"/>
    <s v="Life Sciences"/>
    <n v="1"/>
    <n v="1581"/>
    <n v="1"/>
    <s v="Female"/>
    <n v="89"/>
    <n v="3"/>
    <n v="1"/>
    <x v="1"/>
    <x v="0"/>
    <s v="Married"/>
    <n v="2061"/>
    <n v="11133"/>
    <n v="1"/>
    <s v="Y"/>
    <x v="1"/>
    <n v="21"/>
    <n v="4"/>
    <n v="1"/>
    <n v="80"/>
    <n v="0"/>
    <n v="1"/>
    <n v="5"/>
    <n v="3"/>
    <n v="1"/>
    <n v="0"/>
    <n v="0"/>
    <n v="0"/>
    <x v="3"/>
    <x v="3"/>
    <s v="High"/>
    <x v="0"/>
    <s v="Outstanding"/>
    <s v="Better"/>
    <n v="0"/>
    <s v="0–3,000"/>
    <s v="0–5 miles"/>
    <s v="0–1 years"/>
  </r>
  <r>
    <n v="38"/>
    <x v="1"/>
    <s v="Travel_Rarely"/>
    <n v="1245"/>
    <x v="0"/>
    <n v="14"/>
    <x v="3"/>
    <s v="Life Sciences"/>
    <n v="1"/>
    <n v="1582"/>
    <n v="3"/>
    <s v="Male"/>
    <n v="80"/>
    <n v="3"/>
    <n v="2"/>
    <x v="0"/>
    <x v="1"/>
    <s v="Married"/>
    <n v="9924"/>
    <n v="12355"/>
    <n v="0"/>
    <s v="Y"/>
    <x v="1"/>
    <n v="11"/>
    <n v="3"/>
    <n v="4"/>
    <n v="80"/>
    <n v="1"/>
    <n v="10"/>
    <n v="3"/>
    <n v="3"/>
    <n v="9"/>
    <n v="8"/>
    <n v="7"/>
    <n v="7"/>
    <x v="3"/>
    <x v="1"/>
    <s v="High"/>
    <x v="1"/>
    <s v="Excellent"/>
    <s v="Better"/>
    <n v="0"/>
    <s v="6,001–10,000"/>
    <s v="11–15 miles"/>
    <s v="6–10 years"/>
  </r>
  <r>
    <n v="38"/>
    <x v="1"/>
    <s v="Travel_Rarely"/>
    <n v="437"/>
    <x v="0"/>
    <n v="16"/>
    <x v="3"/>
    <s v="Life Sciences"/>
    <n v="1"/>
    <n v="1583"/>
    <n v="2"/>
    <s v="Female"/>
    <n v="90"/>
    <n v="3"/>
    <n v="2"/>
    <x v="0"/>
    <x v="1"/>
    <s v="Single"/>
    <n v="4198"/>
    <n v="16379"/>
    <n v="2"/>
    <s v="Y"/>
    <x v="1"/>
    <n v="12"/>
    <n v="3"/>
    <n v="2"/>
    <n v="80"/>
    <n v="0"/>
    <n v="8"/>
    <n v="5"/>
    <n v="4"/>
    <n v="3"/>
    <n v="2"/>
    <n v="1"/>
    <n v="2"/>
    <x v="3"/>
    <x v="0"/>
    <s v="High"/>
    <x v="1"/>
    <s v="Excellent"/>
    <s v="Best"/>
    <n v="0"/>
    <s v="3,001–6,000"/>
    <s v="16+ miles"/>
    <s v="2–5 years"/>
  </r>
  <r>
    <n v="36"/>
    <x v="1"/>
    <s v="Travel_Rarely"/>
    <n v="884"/>
    <x v="0"/>
    <n v="1"/>
    <x v="2"/>
    <s v="Life Sciences"/>
    <n v="1"/>
    <n v="1585"/>
    <n v="2"/>
    <s v="Female"/>
    <n v="73"/>
    <n v="3"/>
    <n v="2"/>
    <x v="0"/>
    <x v="2"/>
    <s v="Single"/>
    <n v="6815"/>
    <n v="21447"/>
    <n v="6"/>
    <s v="Y"/>
    <x v="1"/>
    <n v="13"/>
    <n v="3"/>
    <n v="1"/>
    <n v="80"/>
    <n v="0"/>
    <n v="15"/>
    <n v="5"/>
    <n v="3"/>
    <n v="1"/>
    <n v="0"/>
    <n v="0"/>
    <n v="0"/>
    <x v="2"/>
    <x v="0"/>
    <s v="High"/>
    <x v="2"/>
    <s v="Excellent"/>
    <s v="Better"/>
    <n v="0"/>
    <s v="6,001–10,000"/>
    <s v="0–5 miles"/>
    <s v="0–1 years"/>
  </r>
  <r>
    <n v="29"/>
    <x v="1"/>
    <s v="Travel_Rarely"/>
    <n v="1370"/>
    <x v="1"/>
    <n v="3"/>
    <x v="1"/>
    <s v="Medical"/>
    <n v="1"/>
    <n v="1586"/>
    <n v="2"/>
    <s v="Male"/>
    <n v="87"/>
    <n v="3"/>
    <n v="1"/>
    <x v="2"/>
    <x v="3"/>
    <s v="Single"/>
    <n v="4723"/>
    <n v="16213"/>
    <n v="1"/>
    <s v="Y"/>
    <x v="0"/>
    <n v="18"/>
    <n v="3"/>
    <n v="4"/>
    <n v="80"/>
    <n v="0"/>
    <n v="10"/>
    <n v="3"/>
    <n v="3"/>
    <n v="10"/>
    <n v="9"/>
    <n v="1"/>
    <n v="5"/>
    <x v="1"/>
    <x v="0"/>
    <s v="High"/>
    <x v="3"/>
    <s v="Excellent"/>
    <s v="Better"/>
    <n v="0"/>
    <s v="3,001–6,000"/>
    <s v="0–5 miles"/>
    <s v="6–10 years"/>
  </r>
  <r>
    <n v="35"/>
    <x v="1"/>
    <s v="Travel_Rarely"/>
    <n v="670"/>
    <x v="1"/>
    <n v="10"/>
    <x v="2"/>
    <s v="Medical"/>
    <n v="1"/>
    <n v="1587"/>
    <n v="1"/>
    <s v="Female"/>
    <n v="51"/>
    <n v="3"/>
    <n v="2"/>
    <x v="4"/>
    <x v="2"/>
    <s v="Single"/>
    <n v="6142"/>
    <n v="4223"/>
    <n v="3"/>
    <s v="Y"/>
    <x v="0"/>
    <n v="16"/>
    <n v="3"/>
    <n v="3"/>
    <n v="80"/>
    <n v="0"/>
    <n v="10"/>
    <n v="4"/>
    <n v="3"/>
    <n v="5"/>
    <n v="2"/>
    <n v="0"/>
    <n v="4"/>
    <x v="2"/>
    <x v="3"/>
    <s v="High"/>
    <x v="2"/>
    <s v="Excellent"/>
    <s v="Better"/>
    <n v="0"/>
    <s v="6,001–10,000"/>
    <s v="6–10 miles"/>
    <s v="2–5 years"/>
  </r>
  <r>
    <n v="39"/>
    <x v="1"/>
    <s v="Travel_Rarely"/>
    <n v="1462"/>
    <x v="0"/>
    <n v="6"/>
    <x v="3"/>
    <s v="Medical"/>
    <n v="1"/>
    <n v="1588"/>
    <n v="4"/>
    <s v="Male"/>
    <n v="38"/>
    <n v="4"/>
    <n v="3"/>
    <x v="0"/>
    <x v="2"/>
    <s v="Married"/>
    <n v="8237"/>
    <n v="4658"/>
    <n v="2"/>
    <s v="Y"/>
    <x v="1"/>
    <n v="11"/>
    <n v="3"/>
    <n v="1"/>
    <n v="80"/>
    <n v="1"/>
    <n v="11"/>
    <n v="3"/>
    <n v="3"/>
    <n v="7"/>
    <n v="6"/>
    <n v="7"/>
    <n v="6"/>
    <x v="3"/>
    <x v="2"/>
    <s v="Very High"/>
    <x v="2"/>
    <s v="Excellent"/>
    <s v="Better"/>
    <n v="0"/>
    <s v="6,001–10,000"/>
    <s v="6–10 miles"/>
    <s v="6–10 years"/>
  </r>
  <r>
    <n v="29"/>
    <x v="1"/>
    <s v="Travel_Frequently"/>
    <n v="995"/>
    <x v="1"/>
    <n v="2"/>
    <x v="1"/>
    <s v="Life Sciences"/>
    <n v="1"/>
    <n v="1590"/>
    <n v="1"/>
    <s v="Male"/>
    <n v="87"/>
    <n v="3"/>
    <n v="2"/>
    <x v="4"/>
    <x v="0"/>
    <s v="Divorced"/>
    <n v="8853"/>
    <n v="24483"/>
    <n v="1"/>
    <s v="Y"/>
    <x v="1"/>
    <n v="19"/>
    <n v="3"/>
    <n v="4"/>
    <n v="80"/>
    <n v="1"/>
    <n v="6"/>
    <n v="0"/>
    <n v="4"/>
    <n v="6"/>
    <n v="4"/>
    <n v="1"/>
    <n v="3"/>
    <x v="1"/>
    <x v="3"/>
    <s v="High"/>
    <x v="0"/>
    <s v="Excellent"/>
    <s v="Best"/>
    <n v="0"/>
    <s v="6,001–10,000"/>
    <s v="0–5 miles"/>
    <s v="6–10 years"/>
  </r>
  <r>
    <n v="50"/>
    <x v="1"/>
    <s v="Travel_Rarely"/>
    <n v="264"/>
    <x v="0"/>
    <n v="9"/>
    <x v="3"/>
    <s v="Marketing"/>
    <n v="1"/>
    <n v="1591"/>
    <n v="3"/>
    <s v="Male"/>
    <n v="59"/>
    <n v="3"/>
    <n v="5"/>
    <x v="5"/>
    <x v="2"/>
    <s v="Married"/>
    <n v="19331"/>
    <n v="19519"/>
    <n v="4"/>
    <s v="Y"/>
    <x v="0"/>
    <n v="16"/>
    <n v="3"/>
    <n v="3"/>
    <n v="80"/>
    <n v="1"/>
    <n v="27"/>
    <n v="2"/>
    <n v="3"/>
    <n v="1"/>
    <n v="0"/>
    <n v="0"/>
    <n v="0"/>
    <x v="3"/>
    <x v="1"/>
    <s v="High"/>
    <x v="2"/>
    <s v="Excellent"/>
    <s v="Better"/>
    <n v="0"/>
    <s v="10,001+"/>
    <s v="6–10 miles"/>
    <s v="0–1 years"/>
  </r>
  <r>
    <n v="23"/>
    <x v="1"/>
    <s v="Travel_Rarely"/>
    <n v="977"/>
    <x v="1"/>
    <n v="10"/>
    <x v="3"/>
    <s v="Technical Degree"/>
    <n v="1"/>
    <n v="1592"/>
    <n v="4"/>
    <s v="Male"/>
    <n v="45"/>
    <n v="4"/>
    <n v="1"/>
    <x v="1"/>
    <x v="2"/>
    <s v="Married"/>
    <n v="2073"/>
    <n v="12826"/>
    <n v="2"/>
    <s v="Y"/>
    <x v="1"/>
    <n v="16"/>
    <n v="3"/>
    <n v="4"/>
    <n v="80"/>
    <n v="1"/>
    <n v="4"/>
    <n v="2"/>
    <n v="3"/>
    <n v="2"/>
    <n v="2"/>
    <n v="2"/>
    <n v="2"/>
    <x v="3"/>
    <x v="2"/>
    <s v="Very High"/>
    <x v="2"/>
    <s v="Excellent"/>
    <s v="Better"/>
    <n v="0"/>
    <s v="0–3,000"/>
    <s v="6–10 miles"/>
    <s v="2–5 years"/>
  </r>
  <r>
    <n v="36"/>
    <x v="1"/>
    <s v="Travel_Frequently"/>
    <n v="1302"/>
    <x v="1"/>
    <n v="6"/>
    <x v="2"/>
    <s v="Life Sciences"/>
    <n v="1"/>
    <n v="1594"/>
    <n v="1"/>
    <s v="Male"/>
    <n v="80"/>
    <n v="4"/>
    <n v="2"/>
    <x v="2"/>
    <x v="3"/>
    <s v="Married"/>
    <n v="5562"/>
    <n v="19711"/>
    <n v="3"/>
    <s v="Y"/>
    <x v="0"/>
    <n v="13"/>
    <n v="3"/>
    <n v="4"/>
    <n v="80"/>
    <n v="1"/>
    <n v="9"/>
    <n v="3"/>
    <n v="3"/>
    <n v="3"/>
    <n v="2"/>
    <n v="0"/>
    <n v="2"/>
    <x v="2"/>
    <x v="3"/>
    <s v="Very High"/>
    <x v="3"/>
    <s v="Excellent"/>
    <s v="Better"/>
    <n v="0"/>
    <s v="3,001–6,000"/>
    <s v="6–10 miles"/>
    <s v="2–5 years"/>
  </r>
  <r>
    <n v="42"/>
    <x v="1"/>
    <s v="Travel_Rarely"/>
    <n v="1059"/>
    <x v="1"/>
    <n v="9"/>
    <x v="0"/>
    <s v="Other"/>
    <n v="1"/>
    <n v="1595"/>
    <n v="4"/>
    <s v="Male"/>
    <n v="93"/>
    <n v="2"/>
    <n v="5"/>
    <x v="5"/>
    <x v="0"/>
    <s v="Single"/>
    <n v="19613"/>
    <n v="26362"/>
    <n v="8"/>
    <s v="Y"/>
    <x v="1"/>
    <n v="22"/>
    <n v="4"/>
    <n v="4"/>
    <n v="80"/>
    <n v="0"/>
    <n v="24"/>
    <n v="2"/>
    <n v="3"/>
    <n v="1"/>
    <n v="0"/>
    <n v="0"/>
    <n v="1"/>
    <x v="0"/>
    <x v="2"/>
    <s v="Medium"/>
    <x v="0"/>
    <s v="Outstanding"/>
    <s v="Better"/>
    <n v="0"/>
    <s v="10,001+"/>
    <s v="6–10 miles"/>
    <s v="0–1 years"/>
  </r>
  <r>
    <n v="35"/>
    <x v="1"/>
    <s v="Travel_Rarely"/>
    <n v="750"/>
    <x v="1"/>
    <n v="28"/>
    <x v="3"/>
    <s v="Life Sciences"/>
    <n v="1"/>
    <n v="1596"/>
    <n v="2"/>
    <s v="Male"/>
    <n v="46"/>
    <n v="4"/>
    <n v="2"/>
    <x v="2"/>
    <x v="2"/>
    <s v="Married"/>
    <n v="3407"/>
    <n v="25348"/>
    <n v="1"/>
    <s v="Y"/>
    <x v="1"/>
    <n v="17"/>
    <n v="3"/>
    <n v="4"/>
    <n v="80"/>
    <n v="2"/>
    <n v="10"/>
    <n v="3"/>
    <n v="2"/>
    <n v="10"/>
    <n v="9"/>
    <n v="6"/>
    <n v="8"/>
    <x v="3"/>
    <x v="0"/>
    <s v="Very High"/>
    <x v="2"/>
    <s v="Excellent"/>
    <s v="Good"/>
    <n v="0"/>
    <s v="3,001–6,000"/>
    <s v="16+ miles"/>
    <s v="6–10 years"/>
  </r>
  <r>
    <n v="34"/>
    <x v="1"/>
    <s v="Travel_Frequently"/>
    <n v="653"/>
    <x v="1"/>
    <n v="10"/>
    <x v="2"/>
    <s v="Technical Degree"/>
    <n v="1"/>
    <n v="1597"/>
    <n v="4"/>
    <s v="Male"/>
    <n v="92"/>
    <n v="2"/>
    <n v="2"/>
    <x v="4"/>
    <x v="2"/>
    <s v="Married"/>
    <n v="5063"/>
    <n v="15332"/>
    <n v="1"/>
    <s v="Y"/>
    <x v="1"/>
    <n v="14"/>
    <n v="3"/>
    <n v="2"/>
    <n v="80"/>
    <n v="1"/>
    <n v="8"/>
    <n v="3"/>
    <n v="2"/>
    <n v="8"/>
    <n v="2"/>
    <n v="7"/>
    <n v="7"/>
    <x v="2"/>
    <x v="2"/>
    <s v="Medium"/>
    <x v="2"/>
    <s v="Excellent"/>
    <s v="Good"/>
    <n v="0"/>
    <s v="3,001–6,000"/>
    <s v="6–10 miles"/>
    <s v="6–10 years"/>
  </r>
  <r>
    <n v="40"/>
    <x v="1"/>
    <s v="Travel_Rarely"/>
    <n v="118"/>
    <x v="0"/>
    <n v="14"/>
    <x v="0"/>
    <s v="Life Sciences"/>
    <n v="1"/>
    <n v="1598"/>
    <n v="4"/>
    <s v="Female"/>
    <n v="84"/>
    <n v="3"/>
    <n v="2"/>
    <x v="0"/>
    <x v="3"/>
    <s v="Married"/>
    <n v="4639"/>
    <n v="11262"/>
    <n v="1"/>
    <s v="Y"/>
    <x v="1"/>
    <n v="15"/>
    <n v="3"/>
    <n v="3"/>
    <n v="80"/>
    <n v="1"/>
    <n v="5"/>
    <n v="2"/>
    <n v="3"/>
    <n v="5"/>
    <n v="4"/>
    <n v="1"/>
    <n v="2"/>
    <x v="0"/>
    <x v="2"/>
    <s v="High"/>
    <x v="3"/>
    <s v="Excellent"/>
    <s v="Better"/>
    <n v="0"/>
    <s v="3,001–6,000"/>
    <s v="11–15 miles"/>
    <s v="2–5 years"/>
  </r>
  <r>
    <n v="43"/>
    <x v="1"/>
    <s v="Travel_Rarely"/>
    <n v="990"/>
    <x v="1"/>
    <n v="27"/>
    <x v="3"/>
    <s v="Technical Degree"/>
    <n v="1"/>
    <n v="1599"/>
    <n v="4"/>
    <s v="Male"/>
    <n v="87"/>
    <n v="4"/>
    <n v="1"/>
    <x v="2"/>
    <x v="1"/>
    <s v="Divorced"/>
    <n v="4876"/>
    <n v="5855"/>
    <n v="5"/>
    <s v="Y"/>
    <x v="1"/>
    <n v="12"/>
    <n v="3"/>
    <n v="3"/>
    <n v="80"/>
    <n v="1"/>
    <n v="8"/>
    <n v="0"/>
    <n v="3"/>
    <n v="6"/>
    <n v="4"/>
    <n v="0"/>
    <n v="2"/>
    <x v="3"/>
    <x v="2"/>
    <s v="Very High"/>
    <x v="1"/>
    <s v="Excellent"/>
    <s v="Better"/>
    <n v="0"/>
    <s v="3,001–6,000"/>
    <s v="16+ miles"/>
    <s v="6–10 years"/>
  </r>
  <r>
    <n v="35"/>
    <x v="1"/>
    <s v="Travel_Rarely"/>
    <n v="1349"/>
    <x v="1"/>
    <n v="7"/>
    <x v="0"/>
    <s v="Life Sciences"/>
    <n v="1"/>
    <n v="1601"/>
    <n v="3"/>
    <s v="Male"/>
    <n v="63"/>
    <n v="2"/>
    <n v="1"/>
    <x v="2"/>
    <x v="0"/>
    <s v="Married"/>
    <n v="2690"/>
    <n v="7713"/>
    <n v="1"/>
    <s v="Y"/>
    <x v="1"/>
    <n v="18"/>
    <n v="3"/>
    <n v="4"/>
    <n v="80"/>
    <n v="1"/>
    <n v="1"/>
    <n v="5"/>
    <n v="2"/>
    <n v="1"/>
    <n v="0"/>
    <n v="0"/>
    <n v="1"/>
    <x v="0"/>
    <x v="1"/>
    <s v="Medium"/>
    <x v="0"/>
    <s v="Excellent"/>
    <s v="Good"/>
    <n v="0"/>
    <s v="0–3,000"/>
    <s v="6–10 miles"/>
    <s v="0–1 years"/>
  </r>
  <r>
    <n v="46"/>
    <x v="1"/>
    <s v="Travel_Rarely"/>
    <n v="563"/>
    <x v="0"/>
    <n v="1"/>
    <x v="2"/>
    <s v="Life Sciences"/>
    <n v="1"/>
    <n v="1602"/>
    <n v="4"/>
    <s v="Male"/>
    <n v="56"/>
    <n v="4"/>
    <n v="4"/>
    <x v="5"/>
    <x v="3"/>
    <s v="Single"/>
    <n v="17567"/>
    <n v="3156"/>
    <n v="1"/>
    <s v="Y"/>
    <x v="1"/>
    <n v="15"/>
    <n v="3"/>
    <n v="2"/>
    <n v="80"/>
    <n v="0"/>
    <n v="27"/>
    <n v="5"/>
    <n v="1"/>
    <n v="26"/>
    <n v="0"/>
    <n v="0"/>
    <n v="12"/>
    <x v="2"/>
    <x v="2"/>
    <s v="Very High"/>
    <x v="3"/>
    <s v="Excellent"/>
    <s v="Bad"/>
    <n v="0"/>
    <s v="10,001+"/>
    <s v="0–5 miles"/>
    <s v="11+ years"/>
  </r>
  <r>
    <n v="28"/>
    <x v="0"/>
    <s v="Travel_Rarely"/>
    <n v="329"/>
    <x v="1"/>
    <n v="24"/>
    <x v="3"/>
    <s v="Medical"/>
    <n v="1"/>
    <n v="1604"/>
    <n v="3"/>
    <s v="Male"/>
    <n v="51"/>
    <n v="3"/>
    <n v="1"/>
    <x v="2"/>
    <x v="1"/>
    <s v="Married"/>
    <n v="2408"/>
    <n v="7324"/>
    <n v="1"/>
    <s v="Y"/>
    <x v="0"/>
    <n v="17"/>
    <n v="3"/>
    <n v="3"/>
    <n v="80"/>
    <n v="3"/>
    <n v="1"/>
    <n v="3"/>
    <n v="3"/>
    <n v="1"/>
    <n v="1"/>
    <n v="0"/>
    <n v="0"/>
    <x v="3"/>
    <x v="1"/>
    <s v="High"/>
    <x v="1"/>
    <s v="Excellent"/>
    <s v="Better"/>
    <n v="1"/>
    <s v="0–3,000"/>
    <s v="16+ miles"/>
    <s v="0–1 years"/>
  </r>
  <r>
    <n v="22"/>
    <x v="1"/>
    <s v="Non-Travel"/>
    <n v="457"/>
    <x v="1"/>
    <n v="26"/>
    <x v="0"/>
    <s v="Other"/>
    <n v="1"/>
    <n v="1605"/>
    <n v="2"/>
    <s v="Female"/>
    <n v="85"/>
    <n v="2"/>
    <n v="1"/>
    <x v="1"/>
    <x v="2"/>
    <s v="Married"/>
    <n v="2814"/>
    <n v="10293"/>
    <n v="1"/>
    <s v="Y"/>
    <x v="0"/>
    <n v="14"/>
    <n v="3"/>
    <n v="2"/>
    <n v="80"/>
    <n v="0"/>
    <n v="4"/>
    <n v="2"/>
    <n v="2"/>
    <n v="4"/>
    <n v="2"/>
    <n v="1"/>
    <n v="3"/>
    <x v="0"/>
    <x v="0"/>
    <s v="Medium"/>
    <x v="2"/>
    <s v="Excellent"/>
    <s v="Good"/>
    <n v="0"/>
    <s v="0–3,000"/>
    <s v="16+ miles"/>
    <s v="2–5 years"/>
  </r>
  <r>
    <n v="50"/>
    <x v="1"/>
    <s v="Travel_Frequently"/>
    <n v="1234"/>
    <x v="1"/>
    <n v="20"/>
    <x v="4"/>
    <s v="Medical"/>
    <n v="1"/>
    <n v="1606"/>
    <n v="2"/>
    <s v="Male"/>
    <n v="41"/>
    <n v="3"/>
    <n v="4"/>
    <x v="4"/>
    <x v="2"/>
    <s v="Married"/>
    <n v="11245"/>
    <n v="20689"/>
    <n v="2"/>
    <s v="Y"/>
    <x v="0"/>
    <n v="15"/>
    <n v="3"/>
    <n v="3"/>
    <n v="80"/>
    <n v="1"/>
    <n v="32"/>
    <n v="3"/>
    <n v="3"/>
    <n v="30"/>
    <n v="8"/>
    <n v="12"/>
    <n v="13"/>
    <x v="4"/>
    <x v="0"/>
    <s v="High"/>
    <x v="2"/>
    <s v="Excellent"/>
    <s v="Better"/>
    <n v="0"/>
    <s v="10,001+"/>
    <s v="16+ miles"/>
    <s v="11+ years"/>
  </r>
  <r>
    <n v="32"/>
    <x v="1"/>
    <s v="Travel_Rarely"/>
    <n v="634"/>
    <x v="1"/>
    <n v="5"/>
    <x v="2"/>
    <s v="Other"/>
    <n v="1"/>
    <n v="1607"/>
    <n v="2"/>
    <s v="Female"/>
    <n v="35"/>
    <n v="4"/>
    <n v="1"/>
    <x v="1"/>
    <x v="0"/>
    <s v="Married"/>
    <n v="3312"/>
    <n v="18783"/>
    <n v="3"/>
    <s v="Y"/>
    <x v="1"/>
    <n v="17"/>
    <n v="3"/>
    <n v="4"/>
    <n v="80"/>
    <n v="2"/>
    <n v="6"/>
    <n v="3"/>
    <n v="3"/>
    <n v="3"/>
    <n v="2"/>
    <n v="0"/>
    <n v="2"/>
    <x v="2"/>
    <x v="0"/>
    <s v="Very High"/>
    <x v="0"/>
    <s v="Excellent"/>
    <s v="Better"/>
    <n v="0"/>
    <s v="3,001–6,000"/>
    <s v="0–5 miles"/>
    <s v="2–5 years"/>
  </r>
  <r>
    <n v="44"/>
    <x v="1"/>
    <s v="Travel_Rarely"/>
    <n v="1313"/>
    <x v="1"/>
    <n v="7"/>
    <x v="3"/>
    <s v="Medical"/>
    <n v="1"/>
    <n v="1608"/>
    <n v="2"/>
    <s v="Female"/>
    <n v="31"/>
    <n v="3"/>
    <n v="5"/>
    <x v="7"/>
    <x v="0"/>
    <s v="Divorced"/>
    <n v="19049"/>
    <n v="3549"/>
    <n v="0"/>
    <s v="Y"/>
    <x v="0"/>
    <n v="14"/>
    <n v="3"/>
    <n v="4"/>
    <n v="80"/>
    <n v="1"/>
    <n v="23"/>
    <n v="4"/>
    <n v="2"/>
    <n v="22"/>
    <n v="7"/>
    <n v="1"/>
    <n v="10"/>
    <x v="3"/>
    <x v="0"/>
    <s v="High"/>
    <x v="0"/>
    <s v="Excellent"/>
    <s v="Good"/>
    <n v="0"/>
    <s v="10,001+"/>
    <s v="6–10 miles"/>
    <s v="11+ years"/>
  </r>
  <r>
    <n v="30"/>
    <x v="1"/>
    <s v="Travel_Rarely"/>
    <n v="241"/>
    <x v="1"/>
    <n v="7"/>
    <x v="3"/>
    <s v="Medical"/>
    <n v="1"/>
    <n v="1609"/>
    <n v="2"/>
    <s v="Male"/>
    <n v="48"/>
    <n v="2"/>
    <n v="1"/>
    <x v="1"/>
    <x v="1"/>
    <s v="Married"/>
    <n v="2141"/>
    <n v="5348"/>
    <n v="1"/>
    <s v="Y"/>
    <x v="1"/>
    <n v="12"/>
    <n v="3"/>
    <n v="2"/>
    <n v="80"/>
    <n v="1"/>
    <n v="6"/>
    <n v="3"/>
    <n v="2"/>
    <n v="6"/>
    <n v="4"/>
    <n v="1"/>
    <n v="1"/>
    <x v="3"/>
    <x v="0"/>
    <s v="Medium"/>
    <x v="1"/>
    <s v="Excellent"/>
    <s v="Good"/>
    <n v="0"/>
    <s v="0–3,000"/>
    <s v="6–10 miles"/>
    <s v="6–10 years"/>
  </r>
  <r>
    <n v="45"/>
    <x v="1"/>
    <s v="Travel_Rarely"/>
    <n v="1015"/>
    <x v="1"/>
    <n v="5"/>
    <x v="4"/>
    <s v="Medical"/>
    <n v="1"/>
    <n v="1611"/>
    <n v="3"/>
    <s v="Female"/>
    <n v="50"/>
    <n v="1"/>
    <n v="2"/>
    <x v="2"/>
    <x v="3"/>
    <s v="Single"/>
    <n v="5769"/>
    <n v="23447"/>
    <n v="1"/>
    <s v="Y"/>
    <x v="0"/>
    <n v="14"/>
    <n v="3"/>
    <n v="1"/>
    <n v="80"/>
    <n v="0"/>
    <n v="10"/>
    <n v="3"/>
    <n v="3"/>
    <n v="10"/>
    <n v="7"/>
    <n v="1"/>
    <n v="4"/>
    <x v="4"/>
    <x v="1"/>
    <s v="Low"/>
    <x v="3"/>
    <s v="Excellent"/>
    <s v="Better"/>
    <n v="0"/>
    <s v="3,001–6,000"/>
    <s v="0–5 miles"/>
    <s v="6–10 years"/>
  </r>
  <r>
    <n v="45"/>
    <x v="1"/>
    <s v="Non-Travel"/>
    <n v="336"/>
    <x v="0"/>
    <n v="26"/>
    <x v="3"/>
    <s v="Marketing"/>
    <n v="1"/>
    <n v="1612"/>
    <n v="1"/>
    <s v="Male"/>
    <n v="52"/>
    <n v="2"/>
    <n v="2"/>
    <x v="0"/>
    <x v="3"/>
    <s v="Married"/>
    <n v="4385"/>
    <n v="24162"/>
    <n v="1"/>
    <s v="Y"/>
    <x v="1"/>
    <n v="15"/>
    <n v="3"/>
    <n v="1"/>
    <n v="80"/>
    <n v="1"/>
    <n v="10"/>
    <n v="2"/>
    <n v="3"/>
    <n v="10"/>
    <n v="7"/>
    <n v="4"/>
    <n v="5"/>
    <x v="3"/>
    <x v="3"/>
    <s v="Medium"/>
    <x v="3"/>
    <s v="Excellent"/>
    <s v="Better"/>
    <n v="0"/>
    <s v="3,001–6,000"/>
    <s v="16+ miles"/>
    <s v="6–10 years"/>
  </r>
  <r>
    <n v="31"/>
    <x v="1"/>
    <s v="Travel_Frequently"/>
    <n v="715"/>
    <x v="0"/>
    <n v="2"/>
    <x v="2"/>
    <s v="Other"/>
    <n v="1"/>
    <n v="1613"/>
    <n v="4"/>
    <s v="Male"/>
    <n v="54"/>
    <n v="3"/>
    <n v="2"/>
    <x v="0"/>
    <x v="3"/>
    <s v="Single"/>
    <n v="5332"/>
    <n v="21602"/>
    <n v="7"/>
    <s v="Y"/>
    <x v="1"/>
    <n v="13"/>
    <n v="3"/>
    <n v="4"/>
    <n v="80"/>
    <n v="0"/>
    <n v="10"/>
    <n v="3"/>
    <n v="3"/>
    <n v="5"/>
    <n v="2"/>
    <n v="0"/>
    <n v="3"/>
    <x v="2"/>
    <x v="2"/>
    <s v="High"/>
    <x v="3"/>
    <s v="Excellent"/>
    <s v="Better"/>
    <n v="0"/>
    <s v="3,001–6,000"/>
    <s v="0–5 miles"/>
    <s v="2–5 years"/>
  </r>
  <r>
    <n v="36"/>
    <x v="1"/>
    <s v="Travel_Rarely"/>
    <n v="559"/>
    <x v="1"/>
    <n v="12"/>
    <x v="2"/>
    <s v="Life Sciences"/>
    <n v="1"/>
    <n v="1614"/>
    <n v="3"/>
    <s v="Female"/>
    <n v="76"/>
    <n v="3"/>
    <n v="2"/>
    <x v="3"/>
    <x v="2"/>
    <s v="Married"/>
    <n v="4663"/>
    <n v="12421"/>
    <n v="9"/>
    <s v="Y"/>
    <x v="0"/>
    <n v="12"/>
    <n v="3"/>
    <n v="2"/>
    <n v="80"/>
    <n v="2"/>
    <n v="7"/>
    <n v="2"/>
    <n v="3"/>
    <n v="3"/>
    <n v="2"/>
    <n v="1"/>
    <n v="1"/>
    <x v="2"/>
    <x v="1"/>
    <s v="High"/>
    <x v="2"/>
    <s v="Excellent"/>
    <s v="Better"/>
    <n v="0"/>
    <s v="3,001–6,000"/>
    <s v="11–15 miles"/>
    <s v="2–5 years"/>
  </r>
  <r>
    <n v="34"/>
    <x v="1"/>
    <s v="Travel_Frequently"/>
    <n v="426"/>
    <x v="1"/>
    <n v="10"/>
    <x v="2"/>
    <s v="Life Sciences"/>
    <n v="1"/>
    <n v="1615"/>
    <n v="3"/>
    <s v="Male"/>
    <n v="42"/>
    <n v="4"/>
    <n v="2"/>
    <x v="3"/>
    <x v="0"/>
    <s v="Divorced"/>
    <n v="4724"/>
    <n v="17000"/>
    <n v="1"/>
    <s v="Y"/>
    <x v="1"/>
    <n v="13"/>
    <n v="3"/>
    <n v="1"/>
    <n v="80"/>
    <n v="1"/>
    <n v="9"/>
    <n v="3"/>
    <n v="3"/>
    <n v="9"/>
    <n v="7"/>
    <n v="7"/>
    <n v="2"/>
    <x v="2"/>
    <x v="1"/>
    <s v="Very High"/>
    <x v="0"/>
    <s v="Excellent"/>
    <s v="Better"/>
    <n v="0"/>
    <s v="3,001–6,000"/>
    <s v="6–10 miles"/>
    <s v="6–10 years"/>
  </r>
  <r>
    <n v="49"/>
    <x v="1"/>
    <s v="Travel_Rarely"/>
    <n v="722"/>
    <x v="1"/>
    <n v="25"/>
    <x v="2"/>
    <s v="Life Sciences"/>
    <n v="1"/>
    <n v="1617"/>
    <n v="3"/>
    <s v="Female"/>
    <n v="84"/>
    <n v="3"/>
    <n v="1"/>
    <x v="2"/>
    <x v="3"/>
    <s v="Married"/>
    <n v="3211"/>
    <n v="22102"/>
    <n v="1"/>
    <s v="Y"/>
    <x v="1"/>
    <n v="14"/>
    <n v="3"/>
    <n v="4"/>
    <n v="80"/>
    <n v="1"/>
    <n v="10"/>
    <n v="3"/>
    <n v="2"/>
    <n v="9"/>
    <n v="6"/>
    <n v="1"/>
    <n v="4"/>
    <x v="2"/>
    <x v="1"/>
    <s v="High"/>
    <x v="3"/>
    <s v="Excellent"/>
    <s v="Good"/>
    <n v="0"/>
    <s v="3,001–6,000"/>
    <s v="16+ miles"/>
    <s v="6–10 years"/>
  </r>
  <r>
    <n v="39"/>
    <x v="1"/>
    <s v="Travel_Rarely"/>
    <n v="1387"/>
    <x v="1"/>
    <n v="10"/>
    <x v="4"/>
    <s v="Medical"/>
    <n v="1"/>
    <n v="1618"/>
    <n v="2"/>
    <s v="Male"/>
    <n v="76"/>
    <n v="3"/>
    <n v="2"/>
    <x v="3"/>
    <x v="3"/>
    <s v="Married"/>
    <n v="5377"/>
    <n v="3835"/>
    <n v="2"/>
    <s v="Y"/>
    <x v="1"/>
    <n v="13"/>
    <n v="3"/>
    <n v="4"/>
    <n v="80"/>
    <n v="3"/>
    <n v="10"/>
    <n v="3"/>
    <n v="3"/>
    <n v="7"/>
    <n v="7"/>
    <n v="7"/>
    <n v="7"/>
    <x v="4"/>
    <x v="0"/>
    <s v="High"/>
    <x v="3"/>
    <s v="Excellent"/>
    <s v="Better"/>
    <n v="0"/>
    <s v="3,001–6,000"/>
    <s v="6–10 miles"/>
    <s v="6–10 years"/>
  </r>
  <r>
    <n v="27"/>
    <x v="1"/>
    <s v="Travel_Rarely"/>
    <n v="1302"/>
    <x v="1"/>
    <n v="19"/>
    <x v="3"/>
    <s v="Other"/>
    <n v="1"/>
    <n v="1619"/>
    <n v="4"/>
    <s v="Male"/>
    <n v="67"/>
    <n v="2"/>
    <n v="1"/>
    <x v="2"/>
    <x v="3"/>
    <s v="Divorced"/>
    <n v="4066"/>
    <n v="16290"/>
    <n v="1"/>
    <s v="Y"/>
    <x v="1"/>
    <n v="11"/>
    <n v="3"/>
    <n v="1"/>
    <n v="80"/>
    <n v="2"/>
    <n v="7"/>
    <n v="3"/>
    <n v="3"/>
    <n v="7"/>
    <n v="7"/>
    <n v="0"/>
    <n v="7"/>
    <x v="3"/>
    <x v="2"/>
    <s v="Medium"/>
    <x v="3"/>
    <s v="Excellent"/>
    <s v="Better"/>
    <n v="0"/>
    <s v="3,001–6,000"/>
    <s v="16+ miles"/>
    <s v="6–10 years"/>
  </r>
  <r>
    <n v="35"/>
    <x v="1"/>
    <s v="Travel_Rarely"/>
    <n v="819"/>
    <x v="1"/>
    <n v="18"/>
    <x v="4"/>
    <s v="Life Sciences"/>
    <n v="1"/>
    <n v="1621"/>
    <n v="2"/>
    <s v="Male"/>
    <n v="48"/>
    <n v="4"/>
    <n v="2"/>
    <x v="1"/>
    <x v="3"/>
    <s v="Married"/>
    <n v="5208"/>
    <n v="26312"/>
    <n v="1"/>
    <s v="Y"/>
    <x v="1"/>
    <n v="11"/>
    <n v="3"/>
    <n v="4"/>
    <n v="80"/>
    <n v="0"/>
    <n v="16"/>
    <n v="2"/>
    <n v="3"/>
    <n v="16"/>
    <n v="15"/>
    <n v="1"/>
    <n v="10"/>
    <x v="4"/>
    <x v="0"/>
    <s v="Very High"/>
    <x v="3"/>
    <s v="Excellent"/>
    <s v="Better"/>
    <n v="0"/>
    <s v="3,001–6,000"/>
    <s v="16+ miles"/>
    <s v="11+ years"/>
  </r>
  <r>
    <n v="28"/>
    <x v="1"/>
    <s v="Travel_Rarely"/>
    <n v="580"/>
    <x v="1"/>
    <n v="27"/>
    <x v="3"/>
    <s v="Medical"/>
    <n v="1"/>
    <n v="1622"/>
    <n v="2"/>
    <s v="Female"/>
    <n v="39"/>
    <n v="1"/>
    <n v="2"/>
    <x v="3"/>
    <x v="3"/>
    <s v="Divorced"/>
    <n v="4877"/>
    <n v="20460"/>
    <n v="0"/>
    <s v="Y"/>
    <x v="1"/>
    <n v="21"/>
    <n v="4"/>
    <n v="2"/>
    <n v="80"/>
    <n v="1"/>
    <n v="6"/>
    <n v="5"/>
    <n v="2"/>
    <n v="5"/>
    <n v="3"/>
    <n v="0"/>
    <n v="0"/>
    <x v="3"/>
    <x v="0"/>
    <s v="Low"/>
    <x v="3"/>
    <s v="Outstanding"/>
    <s v="Good"/>
    <n v="0"/>
    <s v="3,001–6,000"/>
    <s v="16+ miles"/>
    <s v="2–5 years"/>
  </r>
  <r>
    <n v="21"/>
    <x v="1"/>
    <s v="Travel_Rarely"/>
    <n v="546"/>
    <x v="1"/>
    <n v="5"/>
    <x v="1"/>
    <s v="Medical"/>
    <n v="1"/>
    <n v="1623"/>
    <n v="3"/>
    <s v="Male"/>
    <n v="97"/>
    <n v="3"/>
    <n v="1"/>
    <x v="1"/>
    <x v="0"/>
    <s v="Single"/>
    <n v="3117"/>
    <n v="26009"/>
    <n v="1"/>
    <s v="Y"/>
    <x v="1"/>
    <n v="18"/>
    <n v="3"/>
    <n v="3"/>
    <n v="80"/>
    <n v="0"/>
    <n v="3"/>
    <n v="2"/>
    <n v="3"/>
    <n v="2"/>
    <n v="2"/>
    <n v="2"/>
    <n v="2"/>
    <x v="1"/>
    <x v="1"/>
    <s v="High"/>
    <x v="0"/>
    <s v="Excellent"/>
    <s v="Better"/>
    <n v="0"/>
    <s v="3,001–6,000"/>
    <s v="0–5 miles"/>
    <s v="2–5 years"/>
  </r>
  <r>
    <n v="18"/>
    <x v="0"/>
    <s v="Travel_Frequently"/>
    <n v="544"/>
    <x v="0"/>
    <n v="3"/>
    <x v="0"/>
    <s v="Medical"/>
    <n v="1"/>
    <n v="1624"/>
    <n v="2"/>
    <s v="Female"/>
    <n v="70"/>
    <n v="3"/>
    <n v="1"/>
    <x v="6"/>
    <x v="0"/>
    <s v="Single"/>
    <n v="1569"/>
    <n v="18420"/>
    <n v="1"/>
    <s v="Y"/>
    <x v="0"/>
    <n v="12"/>
    <n v="3"/>
    <n v="3"/>
    <n v="80"/>
    <n v="0"/>
    <n v="0"/>
    <n v="2"/>
    <n v="4"/>
    <n v="0"/>
    <n v="0"/>
    <n v="0"/>
    <n v="0"/>
    <x v="0"/>
    <x v="0"/>
    <s v="High"/>
    <x v="0"/>
    <s v="Excellent"/>
    <s v="Best"/>
    <n v="1"/>
    <s v="0–3,000"/>
    <s v="0–5 miles"/>
    <s v="0–1 years"/>
  </r>
  <r>
    <n v="47"/>
    <x v="1"/>
    <s v="Travel_Rarely"/>
    <n v="1176"/>
    <x v="2"/>
    <n v="26"/>
    <x v="2"/>
    <s v="Life Sciences"/>
    <n v="1"/>
    <n v="1625"/>
    <n v="4"/>
    <s v="Female"/>
    <n v="98"/>
    <n v="3"/>
    <n v="5"/>
    <x v="5"/>
    <x v="2"/>
    <s v="Married"/>
    <n v="19658"/>
    <n v="5220"/>
    <n v="3"/>
    <s v="Y"/>
    <x v="1"/>
    <n v="11"/>
    <n v="3"/>
    <n v="3"/>
    <n v="80"/>
    <n v="1"/>
    <n v="27"/>
    <n v="2"/>
    <n v="3"/>
    <n v="5"/>
    <n v="2"/>
    <n v="1"/>
    <n v="0"/>
    <x v="2"/>
    <x v="2"/>
    <s v="High"/>
    <x v="2"/>
    <s v="Excellent"/>
    <s v="Better"/>
    <n v="0"/>
    <s v="10,001+"/>
    <s v="16+ miles"/>
    <s v="2–5 years"/>
  </r>
  <r>
    <n v="39"/>
    <x v="1"/>
    <s v="Travel_Rarely"/>
    <n v="170"/>
    <x v="1"/>
    <n v="3"/>
    <x v="0"/>
    <s v="Medical"/>
    <n v="1"/>
    <n v="1627"/>
    <n v="3"/>
    <s v="Male"/>
    <n v="76"/>
    <n v="2"/>
    <n v="2"/>
    <x v="2"/>
    <x v="2"/>
    <s v="Divorced"/>
    <n v="3069"/>
    <n v="10302"/>
    <n v="0"/>
    <s v="Y"/>
    <x v="1"/>
    <n v="15"/>
    <n v="3"/>
    <n v="4"/>
    <n v="80"/>
    <n v="1"/>
    <n v="11"/>
    <n v="3"/>
    <n v="3"/>
    <n v="10"/>
    <n v="8"/>
    <n v="0"/>
    <n v="7"/>
    <x v="0"/>
    <x v="1"/>
    <s v="Medium"/>
    <x v="2"/>
    <s v="Excellent"/>
    <s v="Better"/>
    <n v="0"/>
    <s v="3,001–6,000"/>
    <s v="0–5 miles"/>
    <s v="6–10 years"/>
  </r>
  <r>
    <n v="40"/>
    <x v="1"/>
    <s v="Travel_Rarely"/>
    <n v="884"/>
    <x v="1"/>
    <n v="15"/>
    <x v="3"/>
    <s v="Life Sciences"/>
    <n v="1"/>
    <n v="1628"/>
    <n v="1"/>
    <s v="Female"/>
    <n v="80"/>
    <n v="2"/>
    <n v="3"/>
    <x v="3"/>
    <x v="2"/>
    <s v="Married"/>
    <n v="10435"/>
    <n v="25800"/>
    <n v="1"/>
    <s v="Y"/>
    <x v="1"/>
    <n v="13"/>
    <n v="3"/>
    <n v="4"/>
    <n v="80"/>
    <n v="2"/>
    <n v="18"/>
    <n v="2"/>
    <n v="3"/>
    <n v="18"/>
    <n v="15"/>
    <n v="14"/>
    <n v="12"/>
    <x v="3"/>
    <x v="3"/>
    <s v="Medium"/>
    <x v="2"/>
    <s v="Excellent"/>
    <s v="Better"/>
    <n v="0"/>
    <s v="10,001+"/>
    <s v="11–15 miles"/>
    <s v="11+ years"/>
  </r>
  <r>
    <n v="35"/>
    <x v="1"/>
    <s v="Non-Travel"/>
    <n v="208"/>
    <x v="1"/>
    <n v="8"/>
    <x v="2"/>
    <s v="Life Sciences"/>
    <n v="1"/>
    <n v="1630"/>
    <n v="3"/>
    <s v="Female"/>
    <n v="52"/>
    <n v="3"/>
    <n v="2"/>
    <x v="4"/>
    <x v="2"/>
    <s v="Married"/>
    <n v="4148"/>
    <n v="12250"/>
    <n v="1"/>
    <s v="Y"/>
    <x v="1"/>
    <n v="12"/>
    <n v="3"/>
    <n v="4"/>
    <n v="80"/>
    <n v="1"/>
    <n v="15"/>
    <n v="5"/>
    <n v="3"/>
    <n v="14"/>
    <n v="11"/>
    <n v="2"/>
    <n v="9"/>
    <x v="2"/>
    <x v="1"/>
    <s v="High"/>
    <x v="2"/>
    <s v="Excellent"/>
    <s v="Better"/>
    <n v="0"/>
    <s v="3,001–6,000"/>
    <s v="6–10 miles"/>
    <s v="11+ years"/>
  </r>
  <r>
    <n v="37"/>
    <x v="1"/>
    <s v="Travel_Rarely"/>
    <n v="671"/>
    <x v="1"/>
    <n v="19"/>
    <x v="3"/>
    <s v="Life Sciences"/>
    <n v="1"/>
    <n v="1631"/>
    <n v="3"/>
    <s v="Male"/>
    <n v="85"/>
    <n v="3"/>
    <n v="2"/>
    <x v="3"/>
    <x v="2"/>
    <s v="Married"/>
    <n v="5768"/>
    <n v="26493"/>
    <n v="3"/>
    <s v="Y"/>
    <x v="1"/>
    <n v="17"/>
    <n v="3"/>
    <n v="1"/>
    <n v="80"/>
    <n v="3"/>
    <n v="9"/>
    <n v="2"/>
    <n v="2"/>
    <n v="4"/>
    <n v="3"/>
    <n v="0"/>
    <n v="2"/>
    <x v="3"/>
    <x v="1"/>
    <s v="High"/>
    <x v="2"/>
    <s v="Excellent"/>
    <s v="Good"/>
    <n v="0"/>
    <s v="3,001–6,000"/>
    <s v="16+ miles"/>
    <s v="2–5 years"/>
  </r>
  <r>
    <n v="39"/>
    <x v="1"/>
    <s v="Travel_Frequently"/>
    <n v="711"/>
    <x v="1"/>
    <n v="4"/>
    <x v="3"/>
    <s v="Medical"/>
    <n v="1"/>
    <n v="1633"/>
    <n v="1"/>
    <s v="Female"/>
    <n v="81"/>
    <n v="3"/>
    <n v="2"/>
    <x v="3"/>
    <x v="2"/>
    <s v="Single"/>
    <n v="5042"/>
    <n v="3140"/>
    <n v="0"/>
    <s v="Y"/>
    <x v="1"/>
    <n v="13"/>
    <n v="3"/>
    <n v="4"/>
    <n v="80"/>
    <n v="0"/>
    <n v="10"/>
    <n v="2"/>
    <n v="1"/>
    <n v="9"/>
    <n v="2"/>
    <n v="3"/>
    <n v="8"/>
    <x v="3"/>
    <x v="3"/>
    <s v="High"/>
    <x v="2"/>
    <s v="Excellent"/>
    <s v="Bad"/>
    <n v="0"/>
    <s v="3,001–6,000"/>
    <s v="0–5 miles"/>
    <s v="6–10 years"/>
  </r>
  <r>
    <n v="45"/>
    <x v="1"/>
    <s v="Travel_Rarely"/>
    <n v="1329"/>
    <x v="1"/>
    <n v="2"/>
    <x v="0"/>
    <s v="Other"/>
    <n v="1"/>
    <n v="1635"/>
    <n v="4"/>
    <s v="Female"/>
    <n v="59"/>
    <n v="2"/>
    <n v="2"/>
    <x v="3"/>
    <x v="0"/>
    <s v="Divorced"/>
    <n v="5770"/>
    <n v="5388"/>
    <n v="1"/>
    <s v="Y"/>
    <x v="1"/>
    <n v="19"/>
    <n v="3"/>
    <n v="1"/>
    <n v="80"/>
    <n v="2"/>
    <n v="10"/>
    <n v="3"/>
    <n v="3"/>
    <n v="10"/>
    <n v="7"/>
    <n v="3"/>
    <n v="9"/>
    <x v="0"/>
    <x v="2"/>
    <s v="Medium"/>
    <x v="0"/>
    <s v="Excellent"/>
    <s v="Better"/>
    <n v="0"/>
    <s v="3,001–6,000"/>
    <s v="0–5 miles"/>
    <s v="6–10 years"/>
  </r>
  <r>
    <n v="38"/>
    <x v="1"/>
    <s v="Travel_Rarely"/>
    <n v="397"/>
    <x v="1"/>
    <n v="2"/>
    <x v="0"/>
    <s v="Medical"/>
    <n v="1"/>
    <n v="1638"/>
    <n v="4"/>
    <s v="Female"/>
    <n v="54"/>
    <n v="2"/>
    <n v="3"/>
    <x v="3"/>
    <x v="2"/>
    <s v="Married"/>
    <n v="7756"/>
    <n v="14199"/>
    <n v="3"/>
    <s v="Y"/>
    <x v="0"/>
    <n v="19"/>
    <n v="3"/>
    <n v="4"/>
    <n v="80"/>
    <n v="1"/>
    <n v="10"/>
    <n v="6"/>
    <n v="4"/>
    <n v="5"/>
    <n v="4"/>
    <n v="0"/>
    <n v="2"/>
    <x v="0"/>
    <x v="2"/>
    <s v="Medium"/>
    <x v="2"/>
    <s v="Excellent"/>
    <s v="Best"/>
    <n v="0"/>
    <s v="6,001–10,000"/>
    <s v="0–5 miles"/>
    <s v="2–5 years"/>
  </r>
  <r>
    <n v="35"/>
    <x v="0"/>
    <s v="Travel_Rarely"/>
    <n v="737"/>
    <x v="0"/>
    <n v="10"/>
    <x v="3"/>
    <s v="Medical"/>
    <n v="1"/>
    <n v="1639"/>
    <n v="4"/>
    <s v="Male"/>
    <n v="55"/>
    <n v="2"/>
    <n v="3"/>
    <x v="0"/>
    <x v="3"/>
    <s v="Married"/>
    <n v="10306"/>
    <n v="21530"/>
    <n v="9"/>
    <s v="Y"/>
    <x v="1"/>
    <n v="17"/>
    <n v="3"/>
    <n v="3"/>
    <n v="80"/>
    <n v="0"/>
    <n v="15"/>
    <n v="3"/>
    <n v="3"/>
    <n v="13"/>
    <n v="12"/>
    <n v="6"/>
    <n v="0"/>
    <x v="3"/>
    <x v="2"/>
    <s v="Medium"/>
    <x v="3"/>
    <s v="Excellent"/>
    <s v="Better"/>
    <n v="1"/>
    <s v="10,001+"/>
    <s v="6–10 miles"/>
    <s v="11+ years"/>
  </r>
  <r>
    <n v="37"/>
    <x v="1"/>
    <s v="Travel_Rarely"/>
    <n v="1470"/>
    <x v="1"/>
    <n v="10"/>
    <x v="3"/>
    <s v="Medical"/>
    <n v="1"/>
    <n v="1640"/>
    <n v="2"/>
    <s v="Female"/>
    <n v="71"/>
    <n v="3"/>
    <n v="1"/>
    <x v="1"/>
    <x v="1"/>
    <s v="Married"/>
    <n v="3936"/>
    <n v="9953"/>
    <n v="1"/>
    <s v="Y"/>
    <x v="1"/>
    <n v="11"/>
    <n v="3"/>
    <n v="1"/>
    <n v="80"/>
    <n v="1"/>
    <n v="8"/>
    <n v="2"/>
    <n v="1"/>
    <n v="8"/>
    <n v="4"/>
    <n v="7"/>
    <n v="7"/>
    <x v="3"/>
    <x v="0"/>
    <s v="High"/>
    <x v="1"/>
    <s v="Excellent"/>
    <s v="Bad"/>
    <n v="0"/>
    <s v="3,001–6,000"/>
    <s v="6–10 miles"/>
    <s v="6–10 years"/>
  </r>
  <r>
    <n v="40"/>
    <x v="1"/>
    <s v="Travel_Rarely"/>
    <n v="448"/>
    <x v="1"/>
    <n v="16"/>
    <x v="3"/>
    <s v="Life Sciences"/>
    <n v="1"/>
    <n v="1641"/>
    <n v="3"/>
    <s v="Female"/>
    <n v="84"/>
    <n v="3"/>
    <n v="3"/>
    <x v="3"/>
    <x v="0"/>
    <s v="Single"/>
    <n v="7945"/>
    <n v="19948"/>
    <n v="6"/>
    <s v="Y"/>
    <x v="0"/>
    <n v="15"/>
    <n v="3"/>
    <n v="4"/>
    <n v="80"/>
    <n v="0"/>
    <n v="18"/>
    <n v="2"/>
    <n v="2"/>
    <n v="4"/>
    <n v="2"/>
    <n v="3"/>
    <n v="3"/>
    <x v="3"/>
    <x v="1"/>
    <s v="High"/>
    <x v="0"/>
    <s v="Excellent"/>
    <s v="Good"/>
    <n v="0"/>
    <s v="6,001–10,000"/>
    <s v="16+ miles"/>
    <s v="2–5 years"/>
  </r>
  <r>
    <n v="44"/>
    <x v="1"/>
    <s v="Travel_Frequently"/>
    <n v="602"/>
    <x v="2"/>
    <n v="1"/>
    <x v="4"/>
    <s v="Human Resources"/>
    <n v="1"/>
    <n v="1642"/>
    <n v="1"/>
    <s v="Male"/>
    <n v="37"/>
    <n v="3"/>
    <n v="2"/>
    <x v="8"/>
    <x v="0"/>
    <s v="Married"/>
    <n v="5743"/>
    <n v="10503"/>
    <n v="4"/>
    <s v="Y"/>
    <x v="0"/>
    <n v="11"/>
    <n v="3"/>
    <n v="3"/>
    <n v="80"/>
    <n v="0"/>
    <n v="14"/>
    <n v="3"/>
    <n v="3"/>
    <n v="10"/>
    <n v="7"/>
    <n v="0"/>
    <n v="2"/>
    <x v="4"/>
    <x v="3"/>
    <s v="High"/>
    <x v="0"/>
    <s v="Excellent"/>
    <s v="Better"/>
    <n v="0"/>
    <s v="3,001–6,000"/>
    <s v="0–5 miles"/>
    <s v="6–10 years"/>
  </r>
  <r>
    <n v="48"/>
    <x v="1"/>
    <s v="Travel_Frequently"/>
    <n v="365"/>
    <x v="1"/>
    <n v="4"/>
    <x v="4"/>
    <s v="Medical"/>
    <n v="1"/>
    <n v="1644"/>
    <n v="3"/>
    <s v="Male"/>
    <n v="89"/>
    <n v="2"/>
    <n v="4"/>
    <x v="5"/>
    <x v="0"/>
    <s v="Married"/>
    <n v="15202"/>
    <n v="5602"/>
    <n v="2"/>
    <s v="Y"/>
    <x v="1"/>
    <n v="25"/>
    <n v="4"/>
    <n v="2"/>
    <n v="80"/>
    <n v="1"/>
    <n v="23"/>
    <n v="3"/>
    <n v="3"/>
    <n v="2"/>
    <n v="2"/>
    <n v="2"/>
    <n v="2"/>
    <x v="4"/>
    <x v="1"/>
    <s v="Medium"/>
    <x v="0"/>
    <s v="Outstanding"/>
    <s v="Better"/>
    <n v="0"/>
    <s v="10,001+"/>
    <s v="0–5 miles"/>
    <s v="2–5 years"/>
  </r>
  <r>
    <n v="35"/>
    <x v="0"/>
    <s v="Travel_Rarely"/>
    <n v="763"/>
    <x v="0"/>
    <n v="15"/>
    <x v="0"/>
    <s v="Medical"/>
    <n v="1"/>
    <n v="1645"/>
    <n v="1"/>
    <s v="Male"/>
    <n v="59"/>
    <n v="1"/>
    <n v="2"/>
    <x v="0"/>
    <x v="0"/>
    <s v="Divorced"/>
    <n v="5440"/>
    <n v="22098"/>
    <n v="6"/>
    <s v="Y"/>
    <x v="0"/>
    <n v="14"/>
    <n v="3"/>
    <n v="4"/>
    <n v="80"/>
    <n v="2"/>
    <n v="7"/>
    <n v="2"/>
    <n v="2"/>
    <n v="2"/>
    <n v="2"/>
    <n v="2"/>
    <n v="2"/>
    <x v="0"/>
    <x v="3"/>
    <s v="Low"/>
    <x v="0"/>
    <s v="Excellent"/>
    <s v="Good"/>
    <n v="1"/>
    <s v="3,001–6,000"/>
    <s v="11–15 miles"/>
    <s v="2–5 years"/>
  </r>
  <r>
    <n v="24"/>
    <x v="1"/>
    <s v="Travel_Frequently"/>
    <n v="567"/>
    <x v="1"/>
    <n v="2"/>
    <x v="1"/>
    <s v="Technical Degree"/>
    <n v="1"/>
    <n v="1646"/>
    <n v="1"/>
    <s v="Female"/>
    <n v="32"/>
    <n v="3"/>
    <n v="1"/>
    <x v="1"/>
    <x v="0"/>
    <s v="Single"/>
    <n v="3760"/>
    <n v="17218"/>
    <n v="1"/>
    <s v="Y"/>
    <x v="0"/>
    <n v="13"/>
    <n v="3"/>
    <n v="3"/>
    <n v="80"/>
    <n v="0"/>
    <n v="6"/>
    <n v="2"/>
    <n v="3"/>
    <n v="6"/>
    <n v="3"/>
    <n v="1"/>
    <n v="3"/>
    <x v="1"/>
    <x v="3"/>
    <s v="High"/>
    <x v="0"/>
    <s v="Excellent"/>
    <s v="Better"/>
    <n v="0"/>
    <s v="3,001–6,000"/>
    <s v="0–5 miles"/>
    <s v="6–10 years"/>
  </r>
  <r>
    <n v="27"/>
    <x v="1"/>
    <s v="Travel_Rarely"/>
    <n v="486"/>
    <x v="1"/>
    <n v="8"/>
    <x v="3"/>
    <s v="Medical"/>
    <n v="1"/>
    <n v="1647"/>
    <n v="2"/>
    <s v="Female"/>
    <n v="86"/>
    <n v="4"/>
    <n v="1"/>
    <x v="1"/>
    <x v="2"/>
    <s v="Married"/>
    <n v="3517"/>
    <n v="22490"/>
    <n v="7"/>
    <s v="Y"/>
    <x v="1"/>
    <n v="17"/>
    <n v="3"/>
    <n v="1"/>
    <n v="80"/>
    <n v="0"/>
    <n v="5"/>
    <n v="0"/>
    <n v="3"/>
    <n v="3"/>
    <n v="2"/>
    <n v="0"/>
    <n v="2"/>
    <x v="3"/>
    <x v="0"/>
    <s v="Very High"/>
    <x v="2"/>
    <s v="Excellent"/>
    <s v="Better"/>
    <n v="0"/>
    <s v="3,001–6,000"/>
    <s v="6–10 miles"/>
    <s v="2–5 years"/>
  </r>
  <r>
    <n v="27"/>
    <x v="1"/>
    <s v="Travel_Frequently"/>
    <n v="591"/>
    <x v="1"/>
    <n v="2"/>
    <x v="3"/>
    <s v="Medical"/>
    <n v="1"/>
    <n v="1648"/>
    <n v="4"/>
    <s v="Male"/>
    <n v="87"/>
    <n v="3"/>
    <n v="1"/>
    <x v="1"/>
    <x v="0"/>
    <s v="Single"/>
    <n v="2580"/>
    <n v="6297"/>
    <n v="2"/>
    <s v="Y"/>
    <x v="1"/>
    <n v="13"/>
    <n v="3"/>
    <n v="3"/>
    <n v="80"/>
    <n v="0"/>
    <n v="6"/>
    <n v="0"/>
    <n v="2"/>
    <n v="4"/>
    <n v="2"/>
    <n v="1"/>
    <n v="2"/>
    <x v="3"/>
    <x v="2"/>
    <s v="High"/>
    <x v="0"/>
    <s v="Excellent"/>
    <s v="Good"/>
    <n v="0"/>
    <s v="0–3,000"/>
    <s v="0–5 miles"/>
    <s v="2–5 years"/>
  </r>
  <r>
    <n v="40"/>
    <x v="0"/>
    <s v="Travel_Rarely"/>
    <n v="1329"/>
    <x v="1"/>
    <n v="7"/>
    <x v="3"/>
    <s v="Life Sciences"/>
    <n v="1"/>
    <n v="1649"/>
    <n v="1"/>
    <s v="Male"/>
    <n v="73"/>
    <n v="3"/>
    <n v="1"/>
    <x v="2"/>
    <x v="3"/>
    <s v="Single"/>
    <n v="2166"/>
    <n v="3339"/>
    <n v="3"/>
    <s v="Y"/>
    <x v="0"/>
    <n v="14"/>
    <n v="3"/>
    <n v="2"/>
    <n v="80"/>
    <n v="0"/>
    <n v="10"/>
    <n v="3"/>
    <n v="1"/>
    <n v="4"/>
    <n v="2"/>
    <n v="0"/>
    <n v="3"/>
    <x v="3"/>
    <x v="3"/>
    <s v="High"/>
    <x v="3"/>
    <s v="Excellent"/>
    <s v="Bad"/>
    <n v="1"/>
    <s v="0–3,000"/>
    <s v="6–10 miles"/>
    <s v="2–5 years"/>
  </r>
  <r>
    <n v="29"/>
    <x v="1"/>
    <s v="Travel_Rarely"/>
    <n v="469"/>
    <x v="0"/>
    <n v="10"/>
    <x v="3"/>
    <s v="Medical"/>
    <n v="1"/>
    <n v="1650"/>
    <n v="3"/>
    <s v="Male"/>
    <n v="42"/>
    <n v="2"/>
    <n v="2"/>
    <x v="0"/>
    <x v="2"/>
    <s v="Single"/>
    <n v="5869"/>
    <n v="23413"/>
    <n v="9"/>
    <s v="Y"/>
    <x v="1"/>
    <n v="11"/>
    <n v="3"/>
    <n v="3"/>
    <n v="80"/>
    <n v="0"/>
    <n v="8"/>
    <n v="2"/>
    <n v="3"/>
    <n v="5"/>
    <n v="2"/>
    <n v="1"/>
    <n v="4"/>
    <x v="3"/>
    <x v="1"/>
    <s v="Medium"/>
    <x v="2"/>
    <s v="Excellent"/>
    <s v="Better"/>
    <n v="0"/>
    <s v="3,001–6,000"/>
    <s v="6–10 miles"/>
    <s v="2–5 years"/>
  </r>
  <r>
    <n v="36"/>
    <x v="1"/>
    <s v="Travel_Rarely"/>
    <n v="711"/>
    <x v="1"/>
    <n v="5"/>
    <x v="2"/>
    <s v="Life Sciences"/>
    <n v="1"/>
    <n v="1651"/>
    <n v="2"/>
    <s v="Female"/>
    <n v="42"/>
    <n v="3"/>
    <n v="3"/>
    <x v="4"/>
    <x v="3"/>
    <s v="Married"/>
    <n v="8008"/>
    <n v="22792"/>
    <n v="4"/>
    <s v="Y"/>
    <x v="1"/>
    <n v="12"/>
    <n v="3"/>
    <n v="3"/>
    <n v="80"/>
    <n v="2"/>
    <n v="9"/>
    <n v="6"/>
    <n v="3"/>
    <n v="3"/>
    <n v="2"/>
    <n v="0"/>
    <n v="2"/>
    <x v="2"/>
    <x v="0"/>
    <s v="High"/>
    <x v="3"/>
    <s v="Excellent"/>
    <s v="Better"/>
    <n v="0"/>
    <s v="6,001–10,000"/>
    <s v="0–5 miles"/>
    <s v="2–5 years"/>
  </r>
  <r>
    <n v="25"/>
    <x v="1"/>
    <s v="Travel_Frequently"/>
    <n v="772"/>
    <x v="1"/>
    <n v="2"/>
    <x v="1"/>
    <s v="Life Sciences"/>
    <n v="1"/>
    <n v="1653"/>
    <n v="4"/>
    <s v="Male"/>
    <n v="77"/>
    <n v="4"/>
    <n v="2"/>
    <x v="3"/>
    <x v="2"/>
    <s v="Divorced"/>
    <n v="5206"/>
    <n v="4973"/>
    <n v="1"/>
    <s v="Y"/>
    <x v="1"/>
    <n v="17"/>
    <n v="3"/>
    <n v="3"/>
    <n v="80"/>
    <n v="2"/>
    <n v="7"/>
    <n v="6"/>
    <n v="3"/>
    <n v="7"/>
    <n v="7"/>
    <n v="0"/>
    <n v="7"/>
    <x v="1"/>
    <x v="2"/>
    <s v="Very High"/>
    <x v="2"/>
    <s v="Excellent"/>
    <s v="Better"/>
    <n v="0"/>
    <s v="3,001–6,000"/>
    <s v="0–5 miles"/>
    <s v="6–10 years"/>
  </r>
  <r>
    <n v="39"/>
    <x v="1"/>
    <s v="Travel_Rarely"/>
    <n v="492"/>
    <x v="1"/>
    <n v="12"/>
    <x v="3"/>
    <s v="Medical"/>
    <n v="1"/>
    <n v="1654"/>
    <n v="4"/>
    <s v="Male"/>
    <n v="66"/>
    <n v="3"/>
    <n v="2"/>
    <x v="3"/>
    <x v="1"/>
    <s v="Married"/>
    <n v="5295"/>
    <n v="7693"/>
    <n v="4"/>
    <s v="Y"/>
    <x v="1"/>
    <n v="21"/>
    <n v="4"/>
    <n v="3"/>
    <n v="80"/>
    <n v="0"/>
    <n v="7"/>
    <n v="3"/>
    <n v="3"/>
    <n v="5"/>
    <n v="4"/>
    <n v="1"/>
    <n v="0"/>
    <x v="3"/>
    <x v="2"/>
    <s v="High"/>
    <x v="1"/>
    <s v="Outstanding"/>
    <s v="Better"/>
    <n v="0"/>
    <s v="3,001–6,000"/>
    <s v="11–15 miles"/>
    <s v="2–5 years"/>
  </r>
  <r>
    <n v="49"/>
    <x v="1"/>
    <s v="Travel_Rarely"/>
    <n v="301"/>
    <x v="1"/>
    <n v="22"/>
    <x v="2"/>
    <s v="Other"/>
    <n v="1"/>
    <n v="1655"/>
    <n v="1"/>
    <s v="Female"/>
    <n v="72"/>
    <n v="3"/>
    <n v="4"/>
    <x v="7"/>
    <x v="1"/>
    <s v="Married"/>
    <n v="16413"/>
    <n v="3498"/>
    <n v="3"/>
    <s v="Y"/>
    <x v="1"/>
    <n v="16"/>
    <n v="3"/>
    <n v="2"/>
    <n v="80"/>
    <n v="2"/>
    <n v="27"/>
    <n v="2"/>
    <n v="3"/>
    <n v="4"/>
    <n v="2"/>
    <n v="1"/>
    <n v="2"/>
    <x v="2"/>
    <x v="3"/>
    <s v="High"/>
    <x v="1"/>
    <s v="Excellent"/>
    <s v="Better"/>
    <n v="0"/>
    <s v="10,001+"/>
    <s v="16+ miles"/>
    <s v="2–5 years"/>
  </r>
  <r>
    <n v="50"/>
    <x v="1"/>
    <s v="Travel_Rarely"/>
    <n v="813"/>
    <x v="1"/>
    <n v="17"/>
    <x v="4"/>
    <s v="Life Sciences"/>
    <n v="1"/>
    <n v="1656"/>
    <n v="4"/>
    <s v="Female"/>
    <n v="50"/>
    <n v="2"/>
    <n v="3"/>
    <x v="7"/>
    <x v="3"/>
    <s v="Divorced"/>
    <n v="13269"/>
    <n v="21981"/>
    <n v="5"/>
    <s v="Y"/>
    <x v="1"/>
    <n v="15"/>
    <n v="3"/>
    <n v="3"/>
    <n v="80"/>
    <n v="3"/>
    <n v="19"/>
    <n v="3"/>
    <n v="3"/>
    <n v="14"/>
    <n v="11"/>
    <n v="1"/>
    <n v="11"/>
    <x v="4"/>
    <x v="2"/>
    <s v="Medium"/>
    <x v="3"/>
    <s v="Excellent"/>
    <s v="Better"/>
    <n v="0"/>
    <s v="10,001+"/>
    <s v="16+ miles"/>
    <s v="11+ years"/>
  </r>
  <r>
    <n v="20"/>
    <x v="1"/>
    <s v="Travel_Rarely"/>
    <n v="1141"/>
    <x v="0"/>
    <n v="2"/>
    <x v="3"/>
    <s v="Medical"/>
    <n v="1"/>
    <n v="1657"/>
    <n v="3"/>
    <s v="Female"/>
    <n v="31"/>
    <n v="3"/>
    <n v="1"/>
    <x v="6"/>
    <x v="2"/>
    <s v="Single"/>
    <n v="2783"/>
    <n v="13251"/>
    <n v="1"/>
    <s v="Y"/>
    <x v="1"/>
    <n v="19"/>
    <n v="3"/>
    <n v="1"/>
    <n v="80"/>
    <n v="0"/>
    <n v="2"/>
    <n v="3"/>
    <n v="3"/>
    <n v="2"/>
    <n v="2"/>
    <n v="2"/>
    <n v="2"/>
    <x v="3"/>
    <x v="1"/>
    <s v="High"/>
    <x v="2"/>
    <s v="Excellent"/>
    <s v="Better"/>
    <n v="0"/>
    <s v="0–3,000"/>
    <s v="0–5 miles"/>
    <s v="2–5 years"/>
  </r>
  <r>
    <n v="34"/>
    <x v="1"/>
    <s v="Travel_Rarely"/>
    <n v="1130"/>
    <x v="1"/>
    <n v="3"/>
    <x v="3"/>
    <s v="Life Sciences"/>
    <n v="1"/>
    <n v="1658"/>
    <n v="4"/>
    <s v="Female"/>
    <n v="66"/>
    <n v="3"/>
    <n v="2"/>
    <x v="1"/>
    <x v="1"/>
    <s v="Divorced"/>
    <n v="5433"/>
    <n v="19332"/>
    <n v="1"/>
    <s v="Y"/>
    <x v="1"/>
    <n v="12"/>
    <n v="3"/>
    <n v="3"/>
    <n v="80"/>
    <n v="1"/>
    <n v="11"/>
    <n v="2"/>
    <n v="3"/>
    <n v="11"/>
    <n v="8"/>
    <n v="7"/>
    <n v="9"/>
    <x v="3"/>
    <x v="2"/>
    <s v="High"/>
    <x v="1"/>
    <s v="Excellent"/>
    <s v="Better"/>
    <n v="0"/>
    <s v="3,001–6,000"/>
    <s v="0–5 miles"/>
    <s v="11+ years"/>
  </r>
  <r>
    <n v="36"/>
    <x v="1"/>
    <s v="Travel_Rarely"/>
    <n v="311"/>
    <x v="1"/>
    <n v="7"/>
    <x v="3"/>
    <s v="Life Sciences"/>
    <n v="1"/>
    <n v="1659"/>
    <n v="1"/>
    <s v="Male"/>
    <n v="77"/>
    <n v="3"/>
    <n v="1"/>
    <x v="2"/>
    <x v="1"/>
    <s v="Single"/>
    <n v="2013"/>
    <n v="10950"/>
    <n v="2"/>
    <s v="Y"/>
    <x v="1"/>
    <n v="11"/>
    <n v="3"/>
    <n v="3"/>
    <n v="80"/>
    <n v="0"/>
    <n v="15"/>
    <n v="4"/>
    <n v="3"/>
    <n v="4"/>
    <n v="3"/>
    <n v="1"/>
    <n v="3"/>
    <x v="3"/>
    <x v="3"/>
    <s v="High"/>
    <x v="1"/>
    <s v="Excellent"/>
    <s v="Better"/>
    <n v="0"/>
    <s v="0–3,000"/>
    <s v="6–10 miles"/>
    <s v="2–5 years"/>
  </r>
  <r>
    <n v="49"/>
    <x v="1"/>
    <s v="Travel_Rarely"/>
    <n v="465"/>
    <x v="1"/>
    <n v="6"/>
    <x v="1"/>
    <s v="Life Sciences"/>
    <n v="1"/>
    <n v="1661"/>
    <n v="3"/>
    <s v="Female"/>
    <n v="41"/>
    <n v="2"/>
    <n v="4"/>
    <x v="4"/>
    <x v="2"/>
    <s v="Married"/>
    <n v="13966"/>
    <n v="11652"/>
    <n v="2"/>
    <s v="Y"/>
    <x v="0"/>
    <n v="19"/>
    <n v="3"/>
    <n v="2"/>
    <n v="80"/>
    <n v="1"/>
    <n v="30"/>
    <n v="3"/>
    <n v="3"/>
    <n v="15"/>
    <n v="11"/>
    <n v="2"/>
    <n v="12"/>
    <x v="1"/>
    <x v="1"/>
    <s v="Medium"/>
    <x v="2"/>
    <s v="Excellent"/>
    <s v="Better"/>
    <n v="0"/>
    <s v="10,001+"/>
    <s v="6–10 miles"/>
    <s v="11+ years"/>
  </r>
  <r>
    <n v="36"/>
    <x v="1"/>
    <s v="Non-Travel"/>
    <n v="894"/>
    <x v="1"/>
    <n v="1"/>
    <x v="2"/>
    <s v="Medical"/>
    <n v="1"/>
    <n v="1662"/>
    <n v="4"/>
    <s v="Female"/>
    <n v="33"/>
    <n v="2"/>
    <n v="2"/>
    <x v="3"/>
    <x v="2"/>
    <s v="Married"/>
    <n v="4374"/>
    <n v="15411"/>
    <n v="0"/>
    <s v="Y"/>
    <x v="1"/>
    <n v="15"/>
    <n v="3"/>
    <n v="3"/>
    <n v="80"/>
    <n v="0"/>
    <n v="4"/>
    <n v="6"/>
    <n v="3"/>
    <n v="3"/>
    <n v="2"/>
    <n v="1"/>
    <n v="2"/>
    <x v="2"/>
    <x v="2"/>
    <s v="Medium"/>
    <x v="2"/>
    <s v="Excellent"/>
    <s v="Better"/>
    <n v="0"/>
    <s v="3,001–6,000"/>
    <s v="0–5 miles"/>
    <s v="2–5 years"/>
  </r>
  <r>
    <n v="36"/>
    <x v="1"/>
    <s v="Travel_Rarely"/>
    <n v="1040"/>
    <x v="1"/>
    <n v="3"/>
    <x v="0"/>
    <s v="Life Sciences"/>
    <n v="1"/>
    <n v="1664"/>
    <n v="4"/>
    <s v="Male"/>
    <n v="79"/>
    <n v="4"/>
    <n v="2"/>
    <x v="4"/>
    <x v="3"/>
    <s v="Divorced"/>
    <n v="6842"/>
    <n v="26308"/>
    <n v="6"/>
    <s v="Y"/>
    <x v="1"/>
    <n v="20"/>
    <n v="4"/>
    <n v="1"/>
    <n v="80"/>
    <n v="1"/>
    <n v="13"/>
    <n v="3"/>
    <n v="3"/>
    <n v="5"/>
    <n v="4"/>
    <n v="0"/>
    <n v="4"/>
    <x v="0"/>
    <x v="2"/>
    <s v="Very High"/>
    <x v="3"/>
    <s v="Outstanding"/>
    <s v="Better"/>
    <n v="0"/>
    <s v="6,001–10,000"/>
    <s v="0–5 miles"/>
    <s v="2–5 years"/>
  </r>
  <r>
    <n v="54"/>
    <x v="1"/>
    <s v="Travel_Rarely"/>
    <n v="584"/>
    <x v="1"/>
    <n v="22"/>
    <x v="4"/>
    <s v="Medical"/>
    <n v="1"/>
    <n v="1665"/>
    <n v="2"/>
    <s v="Female"/>
    <n v="91"/>
    <n v="3"/>
    <n v="4"/>
    <x v="5"/>
    <x v="2"/>
    <s v="Married"/>
    <n v="17426"/>
    <n v="18685"/>
    <n v="3"/>
    <s v="Y"/>
    <x v="1"/>
    <n v="25"/>
    <n v="4"/>
    <n v="3"/>
    <n v="80"/>
    <n v="1"/>
    <n v="36"/>
    <n v="6"/>
    <n v="3"/>
    <n v="10"/>
    <n v="8"/>
    <n v="4"/>
    <n v="7"/>
    <x v="4"/>
    <x v="0"/>
    <s v="High"/>
    <x v="2"/>
    <s v="Outstanding"/>
    <s v="Better"/>
    <n v="0"/>
    <s v="10,001+"/>
    <s v="16+ miles"/>
    <s v="6–10 years"/>
  </r>
  <r>
    <n v="43"/>
    <x v="1"/>
    <s v="Travel_Rarely"/>
    <n v="1291"/>
    <x v="1"/>
    <n v="15"/>
    <x v="0"/>
    <s v="Life Sciences"/>
    <n v="1"/>
    <n v="1666"/>
    <n v="3"/>
    <s v="Male"/>
    <n v="65"/>
    <n v="2"/>
    <n v="4"/>
    <x v="7"/>
    <x v="2"/>
    <s v="Married"/>
    <n v="17603"/>
    <n v="3525"/>
    <n v="1"/>
    <s v="Y"/>
    <x v="1"/>
    <n v="24"/>
    <n v="4"/>
    <n v="1"/>
    <n v="80"/>
    <n v="1"/>
    <n v="14"/>
    <n v="3"/>
    <n v="3"/>
    <n v="14"/>
    <n v="10"/>
    <n v="6"/>
    <n v="11"/>
    <x v="0"/>
    <x v="1"/>
    <s v="Medium"/>
    <x v="2"/>
    <s v="Outstanding"/>
    <s v="Better"/>
    <n v="0"/>
    <s v="10,001+"/>
    <s v="11–15 miles"/>
    <s v="11+ years"/>
  </r>
  <r>
    <n v="35"/>
    <x v="0"/>
    <s v="Travel_Frequently"/>
    <n v="880"/>
    <x v="0"/>
    <n v="12"/>
    <x v="2"/>
    <s v="Other"/>
    <n v="1"/>
    <n v="1667"/>
    <n v="4"/>
    <s v="Male"/>
    <n v="36"/>
    <n v="3"/>
    <n v="2"/>
    <x v="0"/>
    <x v="0"/>
    <s v="Single"/>
    <n v="4581"/>
    <n v="10414"/>
    <n v="3"/>
    <s v="Y"/>
    <x v="0"/>
    <n v="24"/>
    <n v="4"/>
    <n v="1"/>
    <n v="80"/>
    <n v="0"/>
    <n v="13"/>
    <n v="2"/>
    <n v="4"/>
    <n v="11"/>
    <n v="9"/>
    <n v="6"/>
    <n v="7"/>
    <x v="2"/>
    <x v="2"/>
    <s v="High"/>
    <x v="0"/>
    <s v="Outstanding"/>
    <s v="Best"/>
    <n v="1"/>
    <s v="3,001–6,000"/>
    <s v="11–15 miles"/>
    <s v="11+ years"/>
  </r>
  <r>
    <n v="38"/>
    <x v="1"/>
    <s v="Travel_Frequently"/>
    <n v="1189"/>
    <x v="1"/>
    <n v="1"/>
    <x v="3"/>
    <s v="Life Sciences"/>
    <n v="1"/>
    <n v="1668"/>
    <n v="4"/>
    <s v="Male"/>
    <n v="90"/>
    <n v="3"/>
    <n v="2"/>
    <x v="1"/>
    <x v="0"/>
    <s v="Married"/>
    <n v="4735"/>
    <n v="9867"/>
    <n v="7"/>
    <s v="Y"/>
    <x v="1"/>
    <n v="15"/>
    <n v="3"/>
    <n v="4"/>
    <n v="80"/>
    <n v="2"/>
    <n v="19"/>
    <n v="4"/>
    <n v="4"/>
    <n v="13"/>
    <n v="11"/>
    <n v="2"/>
    <n v="9"/>
    <x v="3"/>
    <x v="2"/>
    <s v="High"/>
    <x v="0"/>
    <s v="Excellent"/>
    <s v="Best"/>
    <n v="0"/>
    <s v="3,001–6,000"/>
    <s v="0–5 miles"/>
    <s v="11+ years"/>
  </r>
  <r>
    <n v="29"/>
    <x v="1"/>
    <s v="Travel_Rarely"/>
    <n v="991"/>
    <x v="0"/>
    <n v="5"/>
    <x v="3"/>
    <s v="Medical"/>
    <n v="1"/>
    <n v="1669"/>
    <n v="1"/>
    <s v="Male"/>
    <n v="43"/>
    <n v="2"/>
    <n v="2"/>
    <x v="0"/>
    <x v="1"/>
    <s v="Divorced"/>
    <n v="4187"/>
    <n v="3356"/>
    <n v="1"/>
    <s v="Y"/>
    <x v="0"/>
    <n v="13"/>
    <n v="3"/>
    <n v="2"/>
    <n v="80"/>
    <n v="1"/>
    <n v="10"/>
    <n v="3"/>
    <n v="2"/>
    <n v="10"/>
    <n v="0"/>
    <n v="0"/>
    <n v="9"/>
    <x v="3"/>
    <x v="3"/>
    <s v="Medium"/>
    <x v="1"/>
    <s v="Excellent"/>
    <s v="Good"/>
    <n v="0"/>
    <s v="3,001–6,000"/>
    <s v="0–5 miles"/>
    <s v="6–10 years"/>
  </r>
  <r>
    <n v="33"/>
    <x v="1"/>
    <s v="Travel_Rarely"/>
    <n v="392"/>
    <x v="0"/>
    <n v="2"/>
    <x v="2"/>
    <s v="Medical"/>
    <n v="1"/>
    <n v="1670"/>
    <n v="4"/>
    <s v="Male"/>
    <n v="93"/>
    <n v="3"/>
    <n v="2"/>
    <x v="0"/>
    <x v="0"/>
    <s v="Divorced"/>
    <n v="5505"/>
    <n v="3921"/>
    <n v="1"/>
    <s v="Y"/>
    <x v="1"/>
    <n v="14"/>
    <n v="3"/>
    <n v="3"/>
    <n v="80"/>
    <n v="2"/>
    <n v="6"/>
    <n v="5"/>
    <n v="3"/>
    <n v="6"/>
    <n v="2"/>
    <n v="0"/>
    <n v="4"/>
    <x v="2"/>
    <x v="2"/>
    <s v="High"/>
    <x v="0"/>
    <s v="Excellent"/>
    <s v="Better"/>
    <n v="0"/>
    <s v="3,001–6,000"/>
    <s v="0–5 miles"/>
    <s v="6–10 years"/>
  </r>
  <r>
    <n v="32"/>
    <x v="1"/>
    <s v="Travel_Rarely"/>
    <n v="977"/>
    <x v="1"/>
    <n v="2"/>
    <x v="3"/>
    <s v="Medical"/>
    <n v="1"/>
    <n v="1671"/>
    <n v="4"/>
    <s v="Male"/>
    <n v="45"/>
    <n v="3"/>
    <n v="2"/>
    <x v="1"/>
    <x v="1"/>
    <s v="Divorced"/>
    <n v="5470"/>
    <n v="25518"/>
    <n v="0"/>
    <s v="Y"/>
    <x v="1"/>
    <n v="13"/>
    <n v="3"/>
    <n v="3"/>
    <n v="80"/>
    <n v="2"/>
    <n v="10"/>
    <n v="4"/>
    <n v="2"/>
    <n v="9"/>
    <n v="5"/>
    <n v="1"/>
    <n v="6"/>
    <x v="3"/>
    <x v="2"/>
    <s v="High"/>
    <x v="1"/>
    <s v="Excellent"/>
    <s v="Good"/>
    <n v="0"/>
    <s v="3,001–6,000"/>
    <s v="0–5 miles"/>
    <s v="6–10 years"/>
  </r>
  <r>
    <n v="31"/>
    <x v="1"/>
    <s v="Travel_Rarely"/>
    <n v="1112"/>
    <x v="0"/>
    <n v="5"/>
    <x v="2"/>
    <s v="Life Sciences"/>
    <n v="1"/>
    <n v="1673"/>
    <n v="1"/>
    <s v="Female"/>
    <n v="67"/>
    <n v="3"/>
    <n v="2"/>
    <x v="0"/>
    <x v="0"/>
    <s v="Married"/>
    <n v="5476"/>
    <n v="22589"/>
    <n v="1"/>
    <s v="Y"/>
    <x v="1"/>
    <n v="11"/>
    <n v="3"/>
    <n v="1"/>
    <n v="80"/>
    <n v="2"/>
    <n v="10"/>
    <n v="2"/>
    <n v="3"/>
    <n v="10"/>
    <n v="0"/>
    <n v="0"/>
    <n v="2"/>
    <x v="2"/>
    <x v="3"/>
    <s v="High"/>
    <x v="0"/>
    <s v="Excellent"/>
    <s v="Better"/>
    <n v="0"/>
    <s v="3,001–6,000"/>
    <s v="0–5 miles"/>
    <s v="6–10 years"/>
  </r>
  <r>
    <n v="49"/>
    <x v="1"/>
    <s v="Travel_Rarely"/>
    <n v="464"/>
    <x v="1"/>
    <n v="16"/>
    <x v="3"/>
    <s v="Medical"/>
    <n v="1"/>
    <n v="1674"/>
    <n v="4"/>
    <s v="Female"/>
    <n v="74"/>
    <n v="3"/>
    <n v="1"/>
    <x v="2"/>
    <x v="3"/>
    <s v="Divorced"/>
    <n v="2587"/>
    <n v="24941"/>
    <n v="4"/>
    <s v="Y"/>
    <x v="0"/>
    <n v="16"/>
    <n v="3"/>
    <n v="2"/>
    <n v="80"/>
    <n v="1"/>
    <n v="17"/>
    <n v="2"/>
    <n v="2"/>
    <n v="2"/>
    <n v="2"/>
    <n v="2"/>
    <n v="2"/>
    <x v="3"/>
    <x v="2"/>
    <s v="High"/>
    <x v="3"/>
    <s v="Excellent"/>
    <s v="Good"/>
    <n v="0"/>
    <s v="0–3,000"/>
    <s v="16+ miles"/>
    <s v="2–5 years"/>
  </r>
  <r>
    <n v="38"/>
    <x v="1"/>
    <s v="Travel_Frequently"/>
    <n v="148"/>
    <x v="1"/>
    <n v="2"/>
    <x v="3"/>
    <s v="Medical"/>
    <n v="1"/>
    <n v="1675"/>
    <n v="4"/>
    <s v="Female"/>
    <n v="42"/>
    <n v="2"/>
    <n v="1"/>
    <x v="2"/>
    <x v="1"/>
    <s v="Single"/>
    <n v="2440"/>
    <n v="23826"/>
    <n v="1"/>
    <s v="Y"/>
    <x v="1"/>
    <n v="22"/>
    <n v="4"/>
    <n v="2"/>
    <n v="80"/>
    <n v="0"/>
    <n v="4"/>
    <n v="3"/>
    <n v="3"/>
    <n v="4"/>
    <n v="3"/>
    <n v="3"/>
    <n v="3"/>
    <x v="3"/>
    <x v="2"/>
    <s v="Medium"/>
    <x v="1"/>
    <s v="Outstanding"/>
    <s v="Better"/>
    <n v="0"/>
    <s v="0–3,000"/>
    <s v="0–5 miles"/>
    <s v="2–5 years"/>
  </r>
  <r>
    <n v="47"/>
    <x v="1"/>
    <s v="Travel_Rarely"/>
    <n v="1225"/>
    <x v="0"/>
    <n v="2"/>
    <x v="2"/>
    <s v="Life Sciences"/>
    <n v="1"/>
    <n v="1676"/>
    <n v="2"/>
    <s v="Female"/>
    <n v="47"/>
    <n v="4"/>
    <n v="4"/>
    <x v="5"/>
    <x v="1"/>
    <s v="Divorced"/>
    <n v="15972"/>
    <n v="21086"/>
    <n v="6"/>
    <s v="Y"/>
    <x v="1"/>
    <n v="14"/>
    <n v="3"/>
    <n v="3"/>
    <n v="80"/>
    <n v="3"/>
    <n v="29"/>
    <n v="2"/>
    <n v="3"/>
    <n v="3"/>
    <n v="2"/>
    <n v="1"/>
    <n v="2"/>
    <x v="2"/>
    <x v="0"/>
    <s v="Very High"/>
    <x v="1"/>
    <s v="Excellent"/>
    <s v="Better"/>
    <n v="0"/>
    <s v="10,001+"/>
    <s v="0–5 miles"/>
    <s v="2–5 years"/>
  </r>
  <r>
    <n v="49"/>
    <x v="1"/>
    <s v="Travel_Rarely"/>
    <n v="809"/>
    <x v="1"/>
    <n v="1"/>
    <x v="3"/>
    <s v="Life Sciences"/>
    <n v="1"/>
    <n v="1677"/>
    <n v="3"/>
    <s v="Male"/>
    <n v="36"/>
    <n v="3"/>
    <n v="4"/>
    <x v="5"/>
    <x v="2"/>
    <s v="Single"/>
    <n v="15379"/>
    <n v="22384"/>
    <n v="4"/>
    <s v="Y"/>
    <x v="1"/>
    <n v="14"/>
    <n v="3"/>
    <n v="1"/>
    <n v="80"/>
    <n v="0"/>
    <n v="23"/>
    <n v="2"/>
    <n v="3"/>
    <n v="8"/>
    <n v="7"/>
    <n v="0"/>
    <n v="0"/>
    <x v="3"/>
    <x v="1"/>
    <s v="High"/>
    <x v="2"/>
    <s v="Excellent"/>
    <s v="Better"/>
    <n v="0"/>
    <s v="10,001+"/>
    <s v="0–5 miles"/>
    <s v="6–10 years"/>
  </r>
  <r>
    <n v="41"/>
    <x v="1"/>
    <s v="Travel_Rarely"/>
    <n v="1206"/>
    <x v="0"/>
    <n v="23"/>
    <x v="0"/>
    <s v="Life Sciences"/>
    <n v="1"/>
    <n v="1678"/>
    <n v="4"/>
    <s v="Male"/>
    <n v="80"/>
    <n v="3"/>
    <n v="3"/>
    <x v="0"/>
    <x v="2"/>
    <s v="Single"/>
    <n v="7082"/>
    <n v="11591"/>
    <n v="3"/>
    <s v="Y"/>
    <x v="0"/>
    <n v="16"/>
    <n v="3"/>
    <n v="4"/>
    <n v="80"/>
    <n v="0"/>
    <n v="21"/>
    <n v="2"/>
    <n v="3"/>
    <n v="2"/>
    <n v="0"/>
    <n v="0"/>
    <n v="2"/>
    <x v="0"/>
    <x v="2"/>
    <s v="High"/>
    <x v="2"/>
    <s v="Excellent"/>
    <s v="Better"/>
    <n v="0"/>
    <s v="6,001–10,000"/>
    <s v="16+ miles"/>
    <s v="2–5 years"/>
  </r>
  <r>
    <n v="20"/>
    <x v="1"/>
    <s v="Travel_Rarely"/>
    <n v="727"/>
    <x v="0"/>
    <n v="9"/>
    <x v="1"/>
    <s v="Life Sciences"/>
    <n v="1"/>
    <n v="1680"/>
    <n v="4"/>
    <s v="Male"/>
    <n v="54"/>
    <n v="3"/>
    <n v="1"/>
    <x v="6"/>
    <x v="3"/>
    <s v="Single"/>
    <n v="2728"/>
    <n v="21082"/>
    <n v="1"/>
    <s v="Y"/>
    <x v="1"/>
    <n v="11"/>
    <n v="3"/>
    <n v="1"/>
    <n v="80"/>
    <n v="0"/>
    <n v="2"/>
    <n v="3"/>
    <n v="3"/>
    <n v="2"/>
    <n v="2"/>
    <n v="0"/>
    <n v="2"/>
    <x v="1"/>
    <x v="2"/>
    <s v="High"/>
    <x v="3"/>
    <s v="Excellent"/>
    <s v="Better"/>
    <n v="0"/>
    <s v="0–3,000"/>
    <s v="6–10 miles"/>
    <s v="2–5 years"/>
  </r>
  <r>
    <n v="33"/>
    <x v="1"/>
    <s v="Non-Travel"/>
    <n v="530"/>
    <x v="0"/>
    <n v="16"/>
    <x v="3"/>
    <s v="Life Sciences"/>
    <n v="1"/>
    <n v="1681"/>
    <n v="3"/>
    <s v="Female"/>
    <n v="36"/>
    <n v="3"/>
    <n v="2"/>
    <x v="0"/>
    <x v="0"/>
    <s v="Divorced"/>
    <n v="5368"/>
    <n v="16130"/>
    <n v="1"/>
    <s v="Y"/>
    <x v="0"/>
    <n v="25"/>
    <n v="4"/>
    <n v="3"/>
    <n v="80"/>
    <n v="1"/>
    <n v="7"/>
    <n v="2"/>
    <n v="3"/>
    <n v="6"/>
    <n v="5"/>
    <n v="1"/>
    <n v="2"/>
    <x v="3"/>
    <x v="1"/>
    <s v="High"/>
    <x v="0"/>
    <s v="Outstanding"/>
    <s v="Better"/>
    <n v="0"/>
    <s v="3,001–6,000"/>
    <s v="16+ miles"/>
    <s v="6–10 years"/>
  </r>
  <r>
    <n v="36"/>
    <x v="1"/>
    <s v="Travel_Rarely"/>
    <n v="1351"/>
    <x v="1"/>
    <n v="26"/>
    <x v="2"/>
    <s v="Life Sciences"/>
    <n v="1"/>
    <n v="1682"/>
    <n v="1"/>
    <s v="Male"/>
    <n v="80"/>
    <n v="3"/>
    <n v="2"/>
    <x v="4"/>
    <x v="2"/>
    <s v="Married"/>
    <n v="5347"/>
    <n v="7419"/>
    <n v="6"/>
    <s v="Y"/>
    <x v="1"/>
    <n v="14"/>
    <n v="3"/>
    <n v="2"/>
    <n v="80"/>
    <n v="2"/>
    <n v="10"/>
    <n v="2"/>
    <n v="2"/>
    <n v="3"/>
    <n v="2"/>
    <n v="0"/>
    <n v="2"/>
    <x v="2"/>
    <x v="3"/>
    <s v="High"/>
    <x v="2"/>
    <s v="Excellent"/>
    <s v="Good"/>
    <n v="0"/>
    <s v="3,001–6,000"/>
    <s v="16+ miles"/>
    <s v="2–5 years"/>
  </r>
  <r>
    <n v="44"/>
    <x v="1"/>
    <s v="Travel_Rarely"/>
    <n v="528"/>
    <x v="2"/>
    <n v="1"/>
    <x v="3"/>
    <s v="Life Sciences"/>
    <n v="1"/>
    <n v="1683"/>
    <n v="3"/>
    <s v="Female"/>
    <n v="44"/>
    <n v="3"/>
    <n v="1"/>
    <x v="8"/>
    <x v="0"/>
    <s v="Divorced"/>
    <n v="3195"/>
    <n v="4167"/>
    <n v="4"/>
    <s v="Y"/>
    <x v="0"/>
    <n v="18"/>
    <n v="3"/>
    <n v="1"/>
    <n v="80"/>
    <n v="3"/>
    <n v="8"/>
    <n v="2"/>
    <n v="3"/>
    <n v="2"/>
    <n v="2"/>
    <n v="2"/>
    <n v="2"/>
    <x v="3"/>
    <x v="1"/>
    <s v="High"/>
    <x v="0"/>
    <s v="Excellent"/>
    <s v="Better"/>
    <n v="0"/>
    <s v="3,001–6,000"/>
    <s v="0–5 miles"/>
    <s v="2–5 years"/>
  </r>
  <r>
    <n v="23"/>
    <x v="0"/>
    <s v="Travel_Rarely"/>
    <n v="1320"/>
    <x v="1"/>
    <n v="8"/>
    <x v="1"/>
    <s v="Medical"/>
    <n v="1"/>
    <n v="1684"/>
    <n v="4"/>
    <s v="Male"/>
    <n v="93"/>
    <n v="2"/>
    <n v="1"/>
    <x v="2"/>
    <x v="2"/>
    <s v="Single"/>
    <n v="3989"/>
    <n v="20586"/>
    <n v="1"/>
    <s v="Y"/>
    <x v="0"/>
    <n v="11"/>
    <n v="3"/>
    <n v="1"/>
    <n v="80"/>
    <n v="0"/>
    <n v="5"/>
    <n v="2"/>
    <n v="3"/>
    <n v="5"/>
    <n v="4"/>
    <n v="1"/>
    <n v="2"/>
    <x v="1"/>
    <x v="2"/>
    <s v="Medium"/>
    <x v="2"/>
    <s v="Excellent"/>
    <s v="Better"/>
    <n v="1"/>
    <s v="3,001–6,000"/>
    <s v="6–10 miles"/>
    <s v="2–5 years"/>
  </r>
  <r>
    <n v="38"/>
    <x v="1"/>
    <s v="Travel_Rarely"/>
    <n v="1495"/>
    <x v="1"/>
    <n v="4"/>
    <x v="0"/>
    <s v="Medical"/>
    <n v="1"/>
    <n v="1687"/>
    <n v="4"/>
    <s v="Female"/>
    <n v="87"/>
    <n v="3"/>
    <n v="1"/>
    <x v="2"/>
    <x v="2"/>
    <s v="Married"/>
    <n v="3306"/>
    <n v="26176"/>
    <n v="7"/>
    <s v="Y"/>
    <x v="1"/>
    <n v="19"/>
    <n v="3"/>
    <n v="4"/>
    <n v="80"/>
    <n v="1"/>
    <n v="7"/>
    <n v="5"/>
    <n v="2"/>
    <n v="0"/>
    <n v="0"/>
    <n v="0"/>
    <n v="0"/>
    <x v="0"/>
    <x v="2"/>
    <s v="High"/>
    <x v="2"/>
    <s v="Excellent"/>
    <s v="Good"/>
    <n v="0"/>
    <s v="3,001–6,000"/>
    <s v="0–5 miles"/>
    <s v="0–1 years"/>
  </r>
  <r>
    <n v="53"/>
    <x v="1"/>
    <s v="Travel_Rarely"/>
    <n v="1395"/>
    <x v="1"/>
    <n v="24"/>
    <x v="2"/>
    <s v="Medical"/>
    <n v="1"/>
    <n v="1689"/>
    <n v="2"/>
    <s v="Male"/>
    <n v="48"/>
    <n v="4"/>
    <n v="3"/>
    <x v="4"/>
    <x v="0"/>
    <s v="Married"/>
    <n v="7005"/>
    <n v="3458"/>
    <n v="3"/>
    <s v="Y"/>
    <x v="1"/>
    <n v="15"/>
    <n v="3"/>
    <n v="3"/>
    <n v="80"/>
    <n v="0"/>
    <n v="11"/>
    <n v="2"/>
    <n v="3"/>
    <n v="4"/>
    <n v="3"/>
    <n v="1"/>
    <n v="2"/>
    <x v="2"/>
    <x v="0"/>
    <s v="Very High"/>
    <x v="0"/>
    <s v="Excellent"/>
    <s v="Better"/>
    <n v="0"/>
    <s v="6,001–10,000"/>
    <s v="16+ miles"/>
    <s v="2–5 years"/>
  </r>
  <r>
    <n v="48"/>
    <x v="0"/>
    <s v="Travel_Frequently"/>
    <n v="708"/>
    <x v="0"/>
    <n v="7"/>
    <x v="0"/>
    <s v="Medical"/>
    <n v="1"/>
    <n v="1691"/>
    <n v="4"/>
    <s v="Female"/>
    <n v="95"/>
    <n v="3"/>
    <n v="1"/>
    <x v="6"/>
    <x v="2"/>
    <s v="Married"/>
    <n v="2655"/>
    <n v="11740"/>
    <n v="2"/>
    <s v="Y"/>
    <x v="0"/>
    <n v="11"/>
    <n v="3"/>
    <n v="3"/>
    <n v="80"/>
    <n v="2"/>
    <n v="19"/>
    <n v="3"/>
    <n v="3"/>
    <n v="9"/>
    <n v="7"/>
    <n v="7"/>
    <n v="7"/>
    <x v="0"/>
    <x v="2"/>
    <s v="High"/>
    <x v="2"/>
    <s v="Excellent"/>
    <s v="Better"/>
    <n v="1"/>
    <s v="0–3,000"/>
    <s v="6–10 miles"/>
    <s v="6–10 years"/>
  </r>
  <r>
    <n v="32"/>
    <x v="0"/>
    <s v="Travel_Rarely"/>
    <n v="1259"/>
    <x v="1"/>
    <n v="2"/>
    <x v="2"/>
    <s v="Life Sciences"/>
    <n v="1"/>
    <n v="1692"/>
    <n v="4"/>
    <s v="Male"/>
    <n v="95"/>
    <n v="3"/>
    <n v="1"/>
    <x v="2"/>
    <x v="1"/>
    <s v="Single"/>
    <n v="1393"/>
    <n v="24852"/>
    <n v="1"/>
    <s v="Y"/>
    <x v="1"/>
    <n v="12"/>
    <n v="3"/>
    <n v="1"/>
    <n v="80"/>
    <n v="0"/>
    <n v="1"/>
    <n v="2"/>
    <n v="3"/>
    <n v="1"/>
    <n v="0"/>
    <n v="0"/>
    <n v="0"/>
    <x v="2"/>
    <x v="2"/>
    <s v="High"/>
    <x v="1"/>
    <s v="Excellent"/>
    <s v="Better"/>
    <n v="1"/>
    <s v="0–3,000"/>
    <s v="0–5 miles"/>
    <s v="0–1 years"/>
  </r>
  <r>
    <n v="26"/>
    <x v="1"/>
    <s v="Non-Travel"/>
    <n v="786"/>
    <x v="1"/>
    <n v="7"/>
    <x v="3"/>
    <s v="Medical"/>
    <n v="1"/>
    <n v="1693"/>
    <n v="4"/>
    <s v="Male"/>
    <n v="76"/>
    <n v="3"/>
    <n v="1"/>
    <x v="2"/>
    <x v="0"/>
    <s v="Single"/>
    <n v="2570"/>
    <n v="11925"/>
    <n v="1"/>
    <s v="Y"/>
    <x v="1"/>
    <n v="20"/>
    <n v="4"/>
    <n v="3"/>
    <n v="80"/>
    <n v="0"/>
    <n v="7"/>
    <n v="5"/>
    <n v="3"/>
    <n v="7"/>
    <n v="7"/>
    <n v="5"/>
    <n v="7"/>
    <x v="3"/>
    <x v="2"/>
    <s v="High"/>
    <x v="0"/>
    <s v="Outstanding"/>
    <s v="Better"/>
    <n v="0"/>
    <s v="0–3,000"/>
    <s v="6–10 miles"/>
    <s v="6–10 years"/>
  </r>
  <r>
    <n v="55"/>
    <x v="1"/>
    <s v="Travel_Rarely"/>
    <n v="1441"/>
    <x v="1"/>
    <n v="22"/>
    <x v="3"/>
    <s v="Technical Degree"/>
    <n v="1"/>
    <n v="1694"/>
    <n v="1"/>
    <s v="Male"/>
    <n v="94"/>
    <n v="2"/>
    <n v="1"/>
    <x v="1"/>
    <x v="1"/>
    <s v="Divorced"/>
    <n v="3537"/>
    <n v="23737"/>
    <n v="5"/>
    <s v="Y"/>
    <x v="1"/>
    <n v="12"/>
    <n v="3"/>
    <n v="4"/>
    <n v="80"/>
    <n v="1"/>
    <n v="8"/>
    <n v="1"/>
    <n v="3"/>
    <n v="4"/>
    <n v="2"/>
    <n v="1"/>
    <n v="2"/>
    <x v="3"/>
    <x v="3"/>
    <s v="Medium"/>
    <x v="1"/>
    <s v="Excellent"/>
    <s v="Better"/>
    <n v="0"/>
    <s v="3,001–6,000"/>
    <s v="16+ miles"/>
    <s v="2–5 years"/>
  </r>
  <r>
    <n v="34"/>
    <x v="1"/>
    <s v="Travel_Rarely"/>
    <n v="1157"/>
    <x v="1"/>
    <n v="5"/>
    <x v="0"/>
    <s v="Medical"/>
    <n v="1"/>
    <n v="1696"/>
    <n v="2"/>
    <s v="Male"/>
    <n v="57"/>
    <n v="2"/>
    <n v="2"/>
    <x v="2"/>
    <x v="0"/>
    <s v="Married"/>
    <n v="3986"/>
    <n v="11912"/>
    <n v="1"/>
    <s v="Y"/>
    <x v="1"/>
    <n v="14"/>
    <n v="3"/>
    <n v="3"/>
    <n v="80"/>
    <n v="1"/>
    <n v="15"/>
    <n v="3"/>
    <n v="4"/>
    <n v="15"/>
    <n v="10"/>
    <n v="4"/>
    <n v="13"/>
    <x v="0"/>
    <x v="0"/>
    <s v="Medium"/>
    <x v="0"/>
    <s v="Excellent"/>
    <s v="Best"/>
    <n v="0"/>
    <s v="3,001–6,000"/>
    <s v="0–5 miles"/>
    <s v="11+ years"/>
  </r>
  <r>
    <n v="60"/>
    <x v="1"/>
    <s v="Travel_Rarely"/>
    <n v="370"/>
    <x v="1"/>
    <n v="1"/>
    <x v="2"/>
    <s v="Medical"/>
    <n v="1"/>
    <n v="1697"/>
    <n v="3"/>
    <s v="Male"/>
    <n v="92"/>
    <n v="1"/>
    <n v="3"/>
    <x v="4"/>
    <x v="0"/>
    <s v="Divorced"/>
    <n v="10883"/>
    <n v="20467"/>
    <n v="3"/>
    <s v="Y"/>
    <x v="1"/>
    <n v="20"/>
    <n v="4"/>
    <n v="3"/>
    <n v="80"/>
    <n v="1"/>
    <n v="19"/>
    <n v="2"/>
    <n v="4"/>
    <n v="1"/>
    <n v="0"/>
    <n v="0"/>
    <n v="0"/>
    <x v="2"/>
    <x v="1"/>
    <s v="Low"/>
    <x v="0"/>
    <s v="Outstanding"/>
    <s v="Best"/>
    <n v="0"/>
    <s v="10,001+"/>
    <s v="0–5 miles"/>
    <s v="0–1 years"/>
  </r>
  <r>
    <n v="33"/>
    <x v="1"/>
    <s v="Travel_Rarely"/>
    <n v="267"/>
    <x v="1"/>
    <n v="21"/>
    <x v="3"/>
    <s v="Medical"/>
    <n v="1"/>
    <n v="1698"/>
    <n v="2"/>
    <s v="Male"/>
    <n v="79"/>
    <n v="4"/>
    <n v="1"/>
    <x v="2"/>
    <x v="1"/>
    <s v="Married"/>
    <n v="2028"/>
    <n v="13637"/>
    <n v="1"/>
    <s v="Y"/>
    <x v="1"/>
    <n v="18"/>
    <n v="3"/>
    <n v="4"/>
    <n v="80"/>
    <n v="3"/>
    <n v="14"/>
    <n v="6"/>
    <n v="3"/>
    <n v="14"/>
    <n v="11"/>
    <n v="2"/>
    <n v="13"/>
    <x v="3"/>
    <x v="0"/>
    <s v="Very High"/>
    <x v="1"/>
    <s v="Excellent"/>
    <s v="Better"/>
    <n v="0"/>
    <s v="0–3,000"/>
    <s v="16+ miles"/>
    <s v="11+ years"/>
  </r>
  <r>
    <n v="37"/>
    <x v="1"/>
    <s v="Travel_Frequently"/>
    <n v="1278"/>
    <x v="0"/>
    <n v="1"/>
    <x v="2"/>
    <s v="Medical"/>
    <n v="1"/>
    <n v="1700"/>
    <n v="3"/>
    <s v="Male"/>
    <n v="31"/>
    <n v="1"/>
    <n v="2"/>
    <x v="0"/>
    <x v="0"/>
    <s v="Divorced"/>
    <n v="9525"/>
    <n v="7677"/>
    <n v="1"/>
    <s v="Y"/>
    <x v="1"/>
    <n v="14"/>
    <n v="3"/>
    <n v="3"/>
    <n v="80"/>
    <n v="2"/>
    <n v="6"/>
    <n v="2"/>
    <n v="2"/>
    <n v="6"/>
    <n v="3"/>
    <n v="1"/>
    <n v="3"/>
    <x v="2"/>
    <x v="1"/>
    <s v="Low"/>
    <x v="0"/>
    <s v="Excellent"/>
    <s v="Good"/>
    <n v="0"/>
    <s v="6,001–10,000"/>
    <s v="0–5 miles"/>
    <s v="6–10 years"/>
  </r>
  <r>
    <n v="34"/>
    <x v="1"/>
    <s v="Travel_Rarely"/>
    <n v="678"/>
    <x v="1"/>
    <n v="19"/>
    <x v="3"/>
    <s v="Life Sciences"/>
    <n v="1"/>
    <n v="1701"/>
    <n v="2"/>
    <s v="Female"/>
    <n v="35"/>
    <n v="2"/>
    <n v="1"/>
    <x v="1"/>
    <x v="0"/>
    <s v="Married"/>
    <n v="2929"/>
    <n v="20338"/>
    <n v="1"/>
    <s v="Y"/>
    <x v="1"/>
    <n v="12"/>
    <n v="3"/>
    <n v="2"/>
    <n v="80"/>
    <n v="0"/>
    <n v="10"/>
    <n v="3"/>
    <n v="3"/>
    <n v="10"/>
    <n v="9"/>
    <n v="8"/>
    <n v="7"/>
    <x v="3"/>
    <x v="0"/>
    <s v="Medium"/>
    <x v="0"/>
    <s v="Excellent"/>
    <s v="Better"/>
    <n v="0"/>
    <s v="0–3,000"/>
    <s v="16+ miles"/>
    <s v="6–10 years"/>
  </r>
  <r>
    <n v="23"/>
    <x v="0"/>
    <s v="Travel_Rarely"/>
    <n v="427"/>
    <x v="0"/>
    <n v="7"/>
    <x v="3"/>
    <s v="Life Sciences"/>
    <n v="1"/>
    <n v="1702"/>
    <n v="3"/>
    <s v="Male"/>
    <n v="99"/>
    <n v="3"/>
    <n v="1"/>
    <x v="6"/>
    <x v="0"/>
    <s v="Divorced"/>
    <n v="2275"/>
    <n v="25103"/>
    <n v="1"/>
    <s v="Y"/>
    <x v="0"/>
    <n v="21"/>
    <n v="4"/>
    <n v="2"/>
    <n v="80"/>
    <n v="1"/>
    <n v="3"/>
    <n v="2"/>
    <n v="3"/>
    <n v="3"/>
    <n v="2"/>
    <n v="0"/>
    <n v="2"/>
    <x v="3"/>
    <x v="1"/>
    <s v="High"/>
    <x v="0"/>
    <s v="Outstanding"/>
    <s v="Better"/>
    <n v="1"/>
    <s v="0–3,000"/>
    <s v="6–10 miles"/>
    <s v="2–5 years"/>
  </r>
  <r>
    <n v="44"/>
    <x v="1"/>
    <s v="Travel_Rarely"/>
    <n v="921"/>
    <x v="1"/>
    <n v="2"/>
    <x v="3"/>
    <s v="Life Sciences"/>
    <n v="1"/>
    <n v="1703"/>
    <n v="3"/>
    <s v="Female"/>
    <n v="96"/>
    <n v="4"/>
    <n v="3"/>
    <x v="4"/>
    <x v="0"/>
    <s v="Married"/>
    <n v="7879"/>
    <n v="14810"/>
    <n v="1"/>
    <s v="Y"/>
    <x v="0"/>
    <n v="19"/>
    <n v="3"/>
    <n v="2"/>
    <n v="80"/>
    <n v="1"/>
    <n v="9"/>
    <n v="2"/>
    <n v="3"/>
    <n v="8"/>
    <n v="7"/>
    <n v="6"/>
    <n v="7"/>
    <x v="3"/>
    <x v="1"/>
    <s v="Very High"/>
    <x v="0"/>
    <s v="Excellent"/>
    <s v="Better"/>
    <n v="0"/>
    <s v="6,001–10,000"/>
    <s v="0–5 miles"/>
    <s v="6–10 years"/>
  </r>
  <r>
    <n v="35"/>
    <x v="1"/>
    <s v="Travel_Frequently"/>
    <n v="146"/>
    <x v="1"/>
    <n v="2"/>
    <x v="2"/>
    <s v="Medical"/>
    <n v="1"/>
    <n v="1704"/>
    <n v="1"/>
    <s v="Male"/>
    <n v="79"/>
    <n v="2"/>
    <n v="1"/>
    <x v="1"/>
    <x v="0"/>
    <s v="Single"/>
    <n v="4930"/>
    <n v="13970"/>
    <n v="0"/>
    <s v="Y"/>
    <x v="0"/>
    <n v="14"/>
    <n v="3"/>
    <n v="3"/>
    <n v="80"/>
    <n v="0"/>
    <n v="6"/>
    <n v="2"/>
    <n v="4"/>
    <n v="5"/>
    <n v="4"/>
    <n v="1"/>
    <n v="4"/>
    <x v="2"/>
    <x v="3"/>
    <s v="Medium"/>
    <x v="0"/>
    <s v="Excellent"/>
    <s v="Best"/>
    <n v="0"/>
    <s v="3,001–6,000"/>
    <s v="0–5 miles"/>
    <s v="2–5 years"/>
  </r>
  <r>
    <n v="43"/>
    <x v="1"/>
    <s v="Travel_Rarely"/>
    <n v="1179"/>
    <x v="0"/>
    <n v="2"/>
    <x v="3"/>
    <s v="Medical"/>
    <n v="1"/>
    <n v="1706"/>
    <n v="4"/>
    <s v="Male"/>
    <n v="73"/>
    <n v="3"/>
    <n v="2"/>
    <x v="0"/>
    <x v="0"/>
    <s v="Married"/>
    <n v="7847"/>
    <n v="6069"/>
    <n v="1"/>
    <s v="Y"/>
    <x v="0"/>
    <n v="17"/>
    <n v="3"/>
    <n v="1"/>
    <n v="80"/>
    <n v="1"/>
    <n v="10"/>
    <n v="3"/>
    <n v="3"/>
    <n v="10"/>
    <n v="9"/>
    <n v="8"/>
    <n v="8"/>
    <x v="3"/>
    <x v="2"/>
    <s v="High"/>
    <x v="0"/>
    <s v="Excellent"/>
    <s v="Better"/>
    <n v="0"/>
    <s v="6,001–10,000"/>
    <s v="0–5 miles"/>
    <s v="6–10 years"/>
  </r>
  <r>
    <n v="24"/>
    <x v="1"/>
    <s v="Travel_Rarely"/>
    <n v="581"/>
    <x v="1"/>
    <n v="9"/>
    <x v="3"/>
    <s v="Medical"/>
    <n v="1"/>
    <n v="1707"/>
    <n v="3"/>
    <s v="Male"/>
    <n v="62"/>
    <n v="4"/>
    <n v="1"/>
    <x v="1"/>
    <x v="2"/>
    <s v="Married"/>
    <n v="4401"/>
    <n v="17616"/>
    <n v="1"/>
    <s v="Y"/>
    <x v="1"/>
    <n v="16"/>
    <n v="3"/>
    <n v="4"/>
    <n v="80"/>
    <n v="1"/>
    <n v="5"/>
    <n v="1"/>
    <n v="3"/>
    <n v="5"/>
    <n v="3"/>
    <n v="0"/>
    <n v="4"/>
    <x v="3"/>
    <x v="1"/>
    <s v="Very High"/>
    <x v="2"/>
    <s v="Excellent"/>
    <s v="Better"/>
    <n v="0"/>
    <s v="3,001–6,000"/>
    <s v="6–10 miles"/>
    <s v="2–5 years"/>
  </r>
  <r>
    <n v="41"/>
    <x v="1"/>
    <s v="Travel_Rarely"/>
    <n v="918"/>
    <x v="0"/>
    <n v="6"/>
    <x v="3"/>
    <s v="Marketing"/>
    <n v="1"/>
    <n v="1708"/>
    <n v="4"/>
    <s v="Male"/>
    <n v="35"/>
    <n v="3"/>
    <n v="3"/>
    <x v="0"/>
    <x v="2"/>
    <s v="Single"/>
    <n v="9241"/>
    <n v="15869"/>
    <n v="1"/>
    <s v="Y"/>
    <x v="1"/>
    <n v="12"/>
    <n v="3"/>
    <n v="2"/>
    <n v="80"/>
    <n v="0"/>
    <n v="10"/>
    <n v="3"/>
    <n v="3"/>
    <n v="10"/>
    <n v="8"/>
    <n v="8"/>
    <n v="7"/>
    <x v="3"/>
    <x v="2"/>
    <s v="High"/>
    <x v="2"/>
    <s v="Excellent"/>
    <s v="Better"/>
    <n v="0"/>
    <s v="6,001–10,000"/>
    <s v="6–10 miles"/>
    <s v="6–10 years"/>
  </r>
  <r>
    <n v="29"/>
    <x v="1"/>
    <s v="Travel_Rarely"/>
    <n v="1082"/>
    <x v="1"/>
    <n v="9"/>
    <x v="2"/>
    <s v="Medical"/>
    <n v="1"/>
    <n v="1709"/>
    <n v="4"/>
    <s v="Female"/>
    <n v="43"/>
    <n v="3"/>
    <n v="1"/>
    <x v="2"/>
    <x v="2"/>
    <s v="Married"/>
    <n v="2974"/>
    <n v="25412"/>
    <n v="9"/>
    <s v="Y"/>
    <x v="1"/>
    <n v="17"/>
    <n v="3"/>
    <n v="3"/>
    <n v="80"/>
    <n v="1"/>
    <n v="9"/>
    <n v="2"/>
    <n v="3"/>
    <n v="5"/>
    <n v="3"/>
    <n v="1"/>
    <n v="2"/>
    <x v="2"/>
    <x v="2"/>
    <s v="High"/>
    <x v="2"/>
    <s v="Excellent"/>
    <s v="Better"/>
    <n v="0"/>
    <s v="0–3,000"/>
    <s v="6–10 miles"/>
    <s v="2–5 years"/>
  </r>
  <r>
    <n v="36"/>
    <x v="1"/>
    <s v="Travel_Rarely"/>
    <n v="530"/>
    <x v="0"/>
    <n v="2"/>
    <x v="2"/>
    <s v="Life Sciences"/>
    <n v="1"/>
    <n v="1710"/>
    <n v="3"/>
    <s v="Female"/>
    <n v="51"/>
    <n v="3"/>
    <n v="2"/>
    <x v="6"/>
    <x v="0"/>
    <s v="Single"/>
    <n v="4502"/>
    <n v="7439"/>
    <n v="3"/>
    <s v="Y"/>
    <x v="1"/>
    <n v="15"/>
    <n v="3"/>
    <n v="3"/>
    <n v="80"/>
    <n v="0"/>
    <n v="17"/>
    <n v="2"/>
    <n v="2"/>
    <n v="13"/>
    <n v="7"/>
    <n v="6"/>
    <n v="7"/>
    <x v="2"/>
    <x v="1"/>
    <s v="High"/>
    <x v="0"/>
    <s v="Excellent"/>
    <s v="Good"/>
    <n v="0"/>
    <s v="3,001–6,000"/>
    <s v="0–5 miles"/>
    <s v="11+ years"/>
  </r>
  <r>
    <n v="45"/>
    <x v="1"/>
    <s v="Non-Travel"/>
    <n v="1238"/>
    <x v="1"/>
    <n v="1"/>
    <x v="1"/>
    <s v="Life Sciences"/>
    <n v="1"/>
    <n v="1712"/>
    <n v="3"/>
    <s v="Male"/>
    <n v="74"/>
    <n v="2"/>
    <n v="3"/>
    <x v="4"/>
    <x v="2"/>
    <s v="Married"/>
    <n v="10748"/>
    <n v="3395"/>
    <n v="3"/>
    <s v="Y"/>
    <x v="1"/>
    <n v="23"/>
    <n v="4"/>
    <n v="4"/>
    <n v="80"/>
    <n v="1"/>
    <n v="25"/>
    <n v="3"/>
    <n v="2"/>
    <n v="23"/>
    <n v="15"/>
    <n v="14"/>
    <n v="4"/>
    <x v="1"/>
    <x v="1"/>
    <s v="Medium"/>
    <x v="2"/>
    <s v="Outstanding"/>
    <s v="Good"/>
    <n v="0"/>
    <s v="10,001+"/>
    <s v="0–5 miles"/>
    <s v="11+ years"/>
  </r>
  <r>
    <n v="24"/>
    <x v="0"/>
    <s v="Travel_Rarely"/>
    <n v="240"/>
    <x v="2"/>
    <n v="22"/>
    <x v="1"/>
    <s v="Human Resources"/>
    <n v="1"/>
    <n v="1714"/>
    <n v="4"/>
    <s v="Male"/>
    <n v="58"/>
    <n v="1"/>
    <n v="1"/>
    <x v="8"/>
    <x v="2"/>
    <s v="Married"/>
    <n v="1555"/>
    <n v="11585"/>
    <n v="1"/>
    <s v="Y"/>
    <x v="1"/>
    <n v="11"/>
    <n v="3"/>
    <n v="3"/>
    <n v="80"/>
    <n v="1"/>
    <n v="1"/>
    <n v="2"/>
    <n v="3"/>
    <n v="1"/>
    <n v="0"/>
    <n v="0"/>
    <n v="0"/>
    <x v="1"/>
    <x v="2"/>
    <s v="Low"/>
    <x v="2"/>
    <s v="Excellent"/>
    <s v="Better"/>
    <n v="1"/>
    <s v="0–3,000"/>
    <s v="16+ miles"/>
    <s v="0–1 years"/>
  </r>
  <r>
    <n v="47"/>
    <x v="0"/>
    <s v="Travel_Frequently"/>
    <n v="1093"/>
    <x v="0"/>
    <n v="9"/>
    <x v="3"/>
    <s v="Life Sciences"/>
    <n v="1"/>
    <n v="1716"/>
    <n v="3"/>
    <s v="Male"/>
    <n v="82"/>
    <n v="1"/>
    <n v="4"/>
    <x v="0"/>
    <x v="2"/>
    <s v="Married"/>
    <n v="12936"/>
    <n v="24164"/>
    <n v="7"/>
    <s v="Y"/>
    <x v="1"/>
    <n v="11"/>
    <n v="3"/>
    <n v="3"/>
    <n v="80"/>
    <n v="0"/>
    <n v="25"/>
    <n v="3"/>
    <n v="1"/>
    <n v="23"/>
    <n v="5"/>
    <n v="14"/>
    <n v="10"/>
    <x v="3"/>
    <x v="1"/>
    <s v="Low"/>
    <x v="2"/>
    <s v="Excellent"/>
    <s v="Bad"/>
    <n v="1"/>
    <s v="10,001+"/>
    <s v="6–10 miles"/>
    <s v="11+ years"/>
  </r>
  <r>
    <n v="26"/>
    <x v="1"/>
    <s v="Travel_Rarely"/>
    <n v="390"/>
    <x v="1"/>
    <n v="17"/>
    <x v="2"/>
    <s v="Medical"/>
    <n v="1"/>
    <n v="1718"/>
    <n v="4"/>
    <s v="Male"/>
    <n v="62"/>
    <n v="1"/>
    <n v="1"/>
    <x v="2"/>
    <x v="2"/>
    <s v="Married"/>
    <n v="2305"/>
    <n v="6217"/>
    <n v="1"/>
    <s v="Y"/>
    <x v="1"/>
    <n v="15"/>
    <n v="3"/>
    <n v="3"/>
    <n v="80"/>
    <n v="3"/>
    <n v="3"/>
    <n v="3"/>
    <n v="4"/>
    <n v="3"/>
    <n v="2"/>
    <n v="0"/>
    <n v="2"/>
    <x v="2"/>
    <x v="2"/>
    <s v="Low"/>
    <x v="2"/>
    <s v="Excellent"/>
    <s v="Best"/>
    <n v="0"/>
    <s v="0–3,000"/>
    <s v="16+ miles"/>
    <s v="2–5 years"/>
  </r>
  <r>
    <n v="45"/>
    <x v="1"/>
    <s v="Travel_Rarely"/>
    <n v="1005"/>
    <x v="1"/>
    <n v="28"/>
    <x v="0"/>
    <s v="Technical Degree"/>
    <n v="1"/>
    <n v="1719"/>
    <n v="4"/>
    <s v="Female"/>
    <n v="48"/>
    <n v="2"/>
    <n v="4"/>
    <x v="7"/>
    <x v="1"/>
    <s v="Single"/>
    <n v="16704"/>
    <n v="17119"/>
    <n v="1"/>
    <s v="Y"/>
    <x v="1"/>
    <n v="11"/>
    <n v="3"/>
    <n v="3"/>
    <n v="80"/>
    <n v="0"/>
    <n v="21"/>
    <n v="2"/>
    <n v="3"/>
    <n v="21"/>
    <n v="6"/>
    <n v="8"/>
    <n v="6"/>
    <x v="0"/>
    <x v="2"/>
    <s v="Medium"/>
    <x v="1"/>
    <s v="Excellent"/>
    <s v="Better"/>
    <n v="0"/>
    <s v="10,001+"/>
    <s v="16+ miles"/>
    <s v="11+ years"/>
  </r>
  <r>
    <n v="32"/>
    <x v="1"/>
    <s v="Travel_Frequently"/>
    <n v="585"/>
    <x v="1"/>
    <n v="10"/>
    <x v="3"/>
    <s v="Life Sciences"/>
    <n v="1"/>
    <n v="1720"/>
    <n v="1"/>
    <s v="Male"/>
    <n v="56"/>
    <n v="3"/>
    <n v="1"/>
    <x v="1"/>
    <x v="2"/>
    <s v="Married"/>
    <n v="3433"/>
    <n v="17360"/>
    <n v="6"/>
    <s v="Y"/>
    <x v="1"/>
    <n v="13"/>
    <n v="3"/>
    <n v="1"/>
    <n v="80"/>
    <n v="1"/>
    <n v="10"/>
    <n v="3"/>
    <n v="2"/>
    <n v="5"/>
    <n v="2"/>
    <n v="1"/>
    <n v="3"/>
    <x v="3"/>
    <x v="3"/>
    <s v="High"/>
    <x v="2"/>
    <s v="Excellent"/>
    <s v="Good"/>
    <n v="0"/>
    <s v="3,001–6,000"/>
    <s v="6–10 miles"/>
    <s v="2–5 years"/>
  </r>
  <r>
    <n v="31"/>
    <x v="1"/>
    <s v="Travel_Rarely"/>
    <n v="741"/>
    <x v="1"/>
    <n v="2"/>
    <x v="2"/>
    <s v="Life Sciences"/>
    <n v="1"/>
    <n v="1721"/>
    <n v="2"/>
    <s v="Male"/>
    <n v="69"/>
    <n v="3"/>
    <n v="1"/>
    <x v="2"/>
    <x v="2"/>
    <s v="Married"/>
    <n v="3477"/>
    <n v="18103"/>
    <n v="1"/>
    <s v="Y"/>
    <x v="1"/>
    <n v="14"/>
    <n v="3"/>
    <n v="4"/>
    <n v="80"/>
    <n v="1"/>
    <n v="6"/>
    <n v="2"/>
    <n v="4"/>
    <n v="5"/>
    <n v="2"/>
    <n v="0"/>
    <n v="3"/>
    <x v="2"/>
    <x v="0"/>
    <s v="High"/>
    <x v="2"/>
    <s v="Excellent"/>
    <s v="Best"/>
    <n v="0"/>
    <s v="3,001–6,000"/>
    <s v="0–5 miles"/>
    <s v="2–5 years"/>
  </r>
  <r>
    <n v="41"/>
    <x v="1"/>
    <s v="Non-Travel"/>
    <n v="552"/>
    <x v="2"/>
    <n v="4"/>
    <x v="3"/>
    <s v="Human Resources"/>
    <n v="1"/>
    <n v="1722"/>
    <n v="3"/>
    <s v="Male"/>
    <n v="60"/>
    <n v="1"/>
    <n v="2"/>
    <x v="8"/>
    <x v="1"/>
    <s v="Married"/>
    <n v="6430"/>
    <n v="20794"/>
    <n v="6"/>
    <s v="Y"/>
    <x v="1"/>
    <n v="19"/>
    <n v="3"/>
    <n v="2"/>
    <n v="80"/>
    <n v="1"/>
    <n v="10"/>
    <n v="4"/>
    <n v="3"/>
    <n v="3"/>
    <n v="2"/>
    <n v="1"/>
    <n v="2"/>
    <x v="3"/>
    <x v="1"/>
    <s v="Low"/>
    <x v="1"/>
    <s v="Excellent"/>
    <s v="Better"/>
    <n v="0"/>
    <s v="6,001–10,000"/>
    <s v="0–5 miles"/>
    <s v="2–5 years"/>
  </r>
  <r>
    <n v="40"/>
    <x v="1"/>
    <s v="Travel_Rarely"/>
    <n v="369"/>
    <x v="1"/>
    <n v="8"/>
    <x v="0"/>
    <s v="Life Sciences"/>
    <n v="1"/>
    <n v="1724"/>
    <n v="2"/>
    <s v="Female"/>
    <n v="92"/>
    <n v="3"/>
    <n v="2"/>
    <x v="3"/>
    <x v="3"/>
    <s v="Married"/>
    <n v="6516"/>
    <n v="5041"/>
    <n v="2"/>
    <s v="Y"/>
    <x v="0"/>
    <n v="16"/>
    <n v="3"/>
    <n v="2"/>
    <n v="80"/>
    <n v="1"/>
    <n v="18"/>
    <n v="3"/>
    <n v="3"/>
    <n v="1"/>
    <n v="0"/>
    <n v="0"/>
    <n v="0"/>
    <x v="0"/>
    <x v="0"/>
    <s v="High"/>
    <x v="3"/>
    <s v="Excellent"/>
    <s v="Better"/>
    <n v="0"/>
    <s v="6,001–10,000"/>
    <s v="6–10 miles"/>
    <s v="0–1 years"/>
  </r>
  <r>
    <n v="24"/>
    <x v="1"/>
    <s v="Travel_Rarely"/>
    <n v="506"/>
    <x v="1"/>
    <n v="29"/>
    <x v="1"/>
    <s v="Medical"/>
    <n v="1"/>
    <n v="1725"/>
    <n v="2"/>
    <s v="Male"/>
    <n v="91"/>
    <n v="3"/>
    <n v="1"/>
    <x v="2"/>
    <x v="3"/>
    <s v="Divorced"/>
    <n v="3907"/>
    <n v="3622"/>
    <n v="1"/>
    <s v="Y"/>
    <x v="1"/>
    <n v="13"/>
    <n v="3"/>
    <n v="2"/>
    <n v="80"/>
    <n v="3"/>
    <n v="6"/>
    <n v="2"/>
    <n v="4"/>
    <n v="6"/>
    <n v="2"/>
    <n v="1"/>
    <n v="2"/>
    <x v="1"/>
    <x v="0"/>
    <s v="High"/>
    <x v="3"/>
    <s v="Excellent"/>
    <s v="Best"/>
    <n v="0"/>
    <s v="3,001–6,000"/>
    <s v="16+ miles"/>
    <s v="6–10 years"/>
  </r>
  <r>
    <n v="46"/>
    <x v="1"/>
    <s v="Travel_Rarely"/>
    <n v="717"/>
    <x v="1"/>
    <n v="13"/>
    <x v="2"/>
    <s v="Life Sciences"/>
    <n v="1"/>
    <n v="1727"/>
    <n v="3"/>
    <s v="Male"/>
    <n v="34"/>
    <n v="3"/>
    <n v="2"/>
    <x v="4"/>
    <x v="1"/>
    <s v="Single"/>
    <n v="5562"/>
    <n v="9697"/>
    <n v="6"/>
    <s v="Y"/>
    <x v="1"/>
    <n v="14"/>
    <n v="3"/>
    <n v="4"/>
    <n v="80"/>
    <n v="0"/>
    <n v="19"/>
    <n v="3"/>
    <n v="3"/>
    <n v="10"/>
    <n v="7"/>
    <n v="0"/>
    <n v="9"/>
    <x v="2"/>
    <x v="1"/>
    <s v="High"/>
    <x v="1"/>
    <s v="Excellent"/>
    <s v="Better"/>
    <n v="0"/>
    <s v="3,001–6,000"/>
    <s v="11–15 miles"/>
    <s v="6–10 years"/>
  </r>
  <r>
    <n v="35"/>
    <x v="1"/>
    <s v="Travel_Rarely"/>
    <n v="1370"/>
    <x v="1"/>
    <n v="27"/>
    <x v="2"/>
    <s v="Life Sciences"/>
    <n v="1"/>
    <n v="1728"/>
    <n v="4"/>
    <s v="Male"/>
    <n v="49"/>
    <n v="3"/>
    <n v="2"/>
    <x v="3"/>
    <x v="2"/>
    <s v="Married"/>
    <n v="6883"/>
    <n v="5151"/>
    <n v="2"/>
    <s v="Y"/>
    <x v="1"/>
    <n v="16"/>
    <n v="3"/>
    <n v="2"/>
    <n v="80"/>
    <n v="1"/>
    <n v="17"/>
    <n v="3"/>
    <n v="3"/>
    <n v="7"/>
    <n v="7"/>
    <n v="0"/>
    <n v="7"/>
    <x v="2"/>
    <x v="2"/>
    <s v="High"/>
    <x v="2"/>
    <s v="Excellent"/>
    <s v="Better"/>
    <n v="0"/>
    <s v="6,001–10,000"/>
    <s v="16+ miles"/>
    <s v="6–10 years"/>
  </r>
  <r>
    <n v="30"/>
    <x v="1"/>
    <s v="Travel_Rarely"/>
    <n v="793"/>
    <x v="1"/>
    <n v="16"/>
    <x v="1"/>
    <s v="Life Sciences"/>
    <n v="1"/>
    <n v="1729"/>
    <n v="2"/>
    <s v="Male"/>
    <n v="33"/>
    <n v="3"/>
    <n v="1"/>
    <x v="1"/>
    <x v="0"/>
    <s v="Married"/>
    <n v="2862"/>
    <n v="3811"/>
    <n v="1"/>
    <s v="Y"/>
    <x v="1"/>
    <n v="12"/>
    <n v="3"/>
    <n v="2"/>
    <n v="80"/>
    <n v="1"/>
    <n v="10"/>
    <n v="2"/>
    <n v="2"/>
    <n v="10"/>
    <n v="0"/>
    <n v="0"/>
    <n v="8"/>
    <x v="1"/>
    <x v="0"/>
    <s v="High"/>
    <x v="0"/>
    <s v="Excellent"/>
    <s v="Good"/>
    <n v="0"/>
    <s v="0–3,000"/>
    <s v="16+ miles"/>
    <s v="6–10 years"/>
  </r>
  <r>
    <n v="47"/>
    <x v="1"/>
    <s v="Non-Travel"/>
    <n v="543"/>
    <x v="0"/>
    <n v="2"/>
    <x v="2"/>
    <s v="Marketing"/>
    <n v="1"/>
    <n v="1731"/>
    <n v="3"/>
    <s v="Male"/>
    <n v="87"/>
    <n v="3"/>
    <n v="2"/>
    <x v="0"/>
    <x v="1"/>
    <s v="Married"/>
    <n v="4978"/>
    <n v="3536"/>
    <n v="7"/>
    <s v="Y"/>
    <x v="1"/>
    <n v="11"/>
    <n v="3"/>
    <n v="4"/>
    <n v="80"/>
    <n v="1"/>
    <n v="4"/>
    <n v="3"/>
    <n v="1"/>
    <n v="1"/>
    <n v="0"/>
    <n v="0"/>
    <n v="0"/>
    <x v="2"/>
    <x v="1"/>
    <s v="High"/>
    <x v="1"/>
    <s v="Excellent"/>
    <s v="Bad"/>
    <n v="0"/>
    <s v="3,001–6,000"/>
    <s v="0–5 miles"/>
    <s v="0–1 years"/>
  </r>
  <r>
    <n v="46"/>
    <x v="1"/>
    <s v="Travel_Rarely"/>
    <n v="1277"/>
    <x v="0"/>
    <n v="2"/>
    <x v="3"/>
    <s v="Life Sciences"/>
    <n v="1"/>
    <n v="1732"/>
    <n v="3"/>
    <s v="Male"/>
    <n v="74"/>
    <n v="3"/>
    <n v="3"/>
    <x v="0"/>
    <x v="0"/>
    <s v="Divorced"/>
    <n v="10368"/>
    <n v="5596"/>
    <n v="4"/>
    <s v="Y"/>
    <x v="0"/>
    <n v="12"/>
    <n v="3"/>
    <n v="2"/>
    <n v="80"/>
    <n v="1"/>
    <n v="13"/>
    <n v="5"/>
    <n v="2"/>
    <n v="10"/>
    <n v="6"/>
    <n v="0"/>
    <n v="3"/>
    <x v="3"/>
    <x v="1"/>
    <s v="High"/>
    <x v="0"/>
    <s v="Excellent"/>
    <s v="Good"/>
    <n v="0"/>
    <s v="10,001+"/>
    <s v="0–5 miles"/>
    <s v="6–10 years"/>
  </r>
  <r>
    <n v="36"/>
    <x v="0"/>
    <s v="Travel_Rarely"/>
    <n v="1456"/>
    <x v="0"/>
    <n v="13"/>
    <x v="4"/>
    <s v="Marketing"/>
    <n v="1"/>
    <n v="1733"/>
    <n v="2"/>
    <s v="Male"/>
    <n v="96"/>
    <n v="2"/>
    <n v="2"/>
    <x v="0"/>
    <x v="3"/>
    <s v="Divorced"/>
    <n v="6134"/>
    <n v="8658"/>
    <n v="5"/>
    <s v="Y"/>
    <x v="0"/>
    <n v="13"/>
    <n v="3"/>
    <n v="2"/>
    <n v="80"/>
    <n v="3"/>
    <n v="16"/>
    <n v="3"/>
    <n v="3"/>
    <n v="2"/>
    <n v="2"/>
    <n v="2"/>
    <n v="2"/>
    <x v="4"/>
    <x v="0"/>
    <s v="Medium"/>
    <x v="3"/>
    <s v="Excellent"/>
    <s v="Better"/>
    <n v="1"/>
    <s v="6,001–10,000"/>
    <s v="11–15 miles"/>
    <s v="2–5 years"/>
  </r>
  <r>
    <n v="32"/>
    <x v="0"/>
    <s v="Travel_Rarely"/>
    <n v="964"/>
    <x v="0"/>
    <n v="1"/>
    <x v="0"/>
    <s v="Life Sciences"/>
    <n v="1"/>
    <n v="1734"/>
    <n v="1"/>
    <s v="Male"/>
    <n v="34"/>
    <n v="1"/>
    <n v="2"/>
    <x v="0"/>
    <x v="1"/>
    <s v="Single"/>
    <n v="6735"/>
    <n v="12147"/>
    <n v="6"/>
    <s v="Y"/>
    <x v="1"/>
    <n v="15"/>
    <n v="3"/>
    <n v="2"/>
    <n v="80"/>
    <n v="0"/>
    <n v="10"/>
    <n v="2"/>
    <n v="3"/>
    <n v="0"/>
    <n v="0"/>
    <n v="0"/>
    <n v="0"/>
    <x v="0"/>
    <x v="3"/>
    <s v="Low"/>
    <x v="1"/>
    <s v="Excellent"/>
    <s v="Better"/>
    <n v="1"/>
    <s v="6,001–10,000"/>
    <s v="0–5 miles"/>
    <s v="0–1 years"/>
  </r>
  <r>
    <n v="23"/>
    <x v="1"/>
    <s v="Travel_Rarely"/>
    <n v="160"/>
    <x v="1"/>
    <n v="4"/>
    <x v="1"/>
    <s v="Medical"/>
    <n v="1"/>
    <n v="1735"/>
    <n v="3"/>
    <s v="Female"/>
    <n v="51"/>
    <n v="3"/>
    <n v="1"/>
    <x v="2"/>
    <x v="1"/>
    <s v="Single"/>
    <n v="3295"/>
    <n v="12862"/>
    <n v="1"/>
    <s v="Y"/>
    <x v="1"/>
    <n v="13"/>
    <n v="3"/>
    <n v="3"/>
    <n v="80"/>
    <n v="0"/>
    <n v="3"/>
    <n v="3"/>
    <n v="1"/>
    <n v="3"/>
    <n v="2"/>
    <n v="1"/>
    <n v="2"/>
    <x v="1"/>
    <x v="1"/>
    <s v="High"/>
    <x v="1"/>
    <s v="Excellent"/>
    <s v="Bad"/>
    <n v="0"/>
    <s v="3,001–6,000"/>
    <s v="0–5 miles"/>
    <s v="2–5 years"/>
  </r>
  <r>
    <n v="31"/>
    <x v="1"/>
    <s v="Travel_Frequently"/>
    <n v="163"/>
    <x v="1"/>
    <n v="24"/>
    <x v="1"/>
    <s v="Technical Degree"/>
    <n v="1"/>
    <n v="1736"/>
    <n v="4"/>
    <s v="Female"/>
    <n v="30"/>
    <n v="3"/>
    <n v="2"/>
    <x v="3"/>
    <x v="0"/>
    <s v="Single"/>
    <n v="5238"/>
    <n v="6670"/>
    <n v="2"/>
    <s v="Y"/>
    <x v="1"/>
    <n v="20"/>
    <n v="4"/>
    <n v="4"/>
    <n v="80"/>
    <n v="0"/>
    <n v="9"/>
    <n v="3"/>
    <n v="2"/>
    <n v="5"/>
    <n v="4"/>
    <n v="1"/>
    <n v="4"/>
    <x v="1"/>
    <x v="2"/>
    <s v="High"/>
    <x v="0"/>
    <s v="Outstanding"/>
    <s v="Good"/>
    <n v="0"/>
    <s v="3,001–6,000"/>
    <s v="16+ miles"/>
    <s v="2–5 years"/>
  </r>
  <r>
    <n v="39"/>
    <x v="1"/>
    <s v="Non-Travel"/>
    <n v="792"/>
    <x v="1"/>
    <n v="1"/>
    <x v="3"/>
    <s v="Life Sciences"/>
    <n v="1"/>
    <n v="1737"/>
    <n v="4"/>
    <s v="Male"/>
    <n v="77"/>
    <n v="3"/>
    <n v="2"/>
    <x v="2"/>
    <x v="0"/>
    <s v="Married"/>
    <n v="6472"/>
    <n v="8989"/>
    <n v="1"/>
    <s v="Y"/>
    <x v="0"/>
    <n v="15"/>
    <n v="3"/>
    <n v="4"/>
    <n v="80"/>
    <n v="1"/>
    <n v="9"/>
    <n v="2"/>
    <n v="3"/>
    <n v="9"/>
    <n v="8"/>
    <n v="5"/>
    <n v="8"/>
    <x v="3"/>
    <x v="2"/>
    <s v="High"/>
    <x v="0"/>
    <s v="Excellent"/>
    <s v="Better"/>
    <n v="0"/>
    <s v="6,001–10,000"/>
    <s v="0–5 miles"/>
    <s v="6–10 years"/>
  </r>
  <r>
    <n v="32"/>
    <x v="1"/>
    <s v="Travel_Rarely"/>
    <n v="371"/>
    <x v="0"/>
    <n v="19"/>
    <x v="3"/>
    <s v="Life Sciences"/>
    <n v="1"/>
    <n v="1739"/>
    <n v="4"/>
    <s v="Male"/>
    <n v="80"/>
    <n v="1"/>
    <n v="3"/>
    <x v="0"/>
    <x v="2"/>
    <s v="Married"/>
    <n v="9610"/>
    <n v="3840"/>
    <n v="3"/>
    <s v="Y"/>
    <x v="1"/>
    <n v="13"/>
    <n v="3"/>
    <n v="3"/>
    <n v="80"/>
    <n v="1"/>
    <n v="10"/>
    <n v="2"/>
    <n v="1"/>
    <n v="4"/>
    <n v="3"/>
    <n v="0"/>
    <n v="2"/>
    <x v="3"/>
    <x v="2"/>
    <s v="Low"/>
    <x v="2"/>
    <s v="Excellent"/>
    <s v="Bad"/>
    <n v="0"/>
    <s v="6,001–10,000"/>
    <s v="16+ miles"/>
    <s v="2–5 years"/>
  </r>
  <r>
    <n v="40"/>
    <x v="1"/>
    <s v="Travel_Rarely"/>
    <n v="611"/>
    <x v="0"/>
    <n v="7"/>
    <x v="2"/>
    <s v="Medical"/>
    <n v="1"/>
    <n v="1740"/>
    <n v="2"/>
    <s v="Male"/>
    <n v="88"/>
    <n v="3"/>
    <n v="5"/>
    <x v="5"/>
    <x v="1"/>
    <s v="Single"/>
    <n v="19833"/>
    <n v="4349"/>
    <n v="1"/>
    <s v="Y"/>
    <x v="1"/>
    <n v="14"/>
    <n v="3"/>
    <n v="2"/>
    <n v="80"/>
    <n v="0"/>
    <n v="21"/>
    <n v="3"/>
    <n v="2"/>
    <n v="21"/>
    <n v="8"/>
    <n v="12"/>
    <n v="8"/>
    <x v="2"/>
    <x v="0"/>
    <s v="High"/>
    <x v="1"/>
    <s v="Excellent"/>
    <s v="Good"/>
    <n v="0"/>
    <s v="10,001+"/>
    <s v="6–10 miles"/>
    <s v="11+ years"/>
  </r>
  <r>
    <n v="45"/>
    <x v="1"/>
    <s v="Travel_Rarely"/>
    <n v="176"/>
    <x v="2"/>
    <n v="4"/>
    <x v="3"/>
    <s v="Life Sciences"/>
    <n v="1"/>
    <n v="1744"/>
    <n v="3"/>
    <s v="Female"/>
    <n v="56"/>
    <n v="1"/>
    <n v="3"/>
    <x v="8"/>
    <x v="2"/>
    <s v="Married"/>
    <n v="9756"/>
    <n v="6595"/>
    <n v="4"/>
    <s v="Y"/>
    <x v="1"/>
    <n v="21"/>
    <n v="4"/>
    <n v="3"/>
    <n v="80"/>
    <n v="2"/>
    <n v="9"/>
    <n v="2"/>
    <n v="4"/>
    <n v="5"/>
    <n v="0"/>
    <n v="0"/>
    <n v="3"/>
    <x v="3"/>
    <x v="1"/>
    <s v="Low"/>
    <x v="2"/>
    <s v="Outstanding"/>
    <s v="Best"/>
    <n v="0"/>
    <s v="6,001–10,000"/>
    <s v="0–5 miles"/>
    <s v="2–5 years"/>
  </r>
  <r>
    <n v="30"/>
    <x v="1"/>
    <s v="Travel_Frequently"/>
    <n v="1312"/>
    <x v="1"/>
    <n v="2"/>
    <x v="2"/>
    <s v="Technical Degree"/>
    <n v="1"/>
    <n v="1745"/>
    <n v="4"/>
    <s v="Female"/>
    <n v="78"/>
    <n v="2"/>
    <n v="1"/>
    <x v="1"/>
    <x v="3"/>
    <s v="Single"/>
    <n v="4968"/>
    <n v="26427"/>
    <n v="0"/>
    <s v="Y"/>
    <x v="1"/>
    <n v="16"/>
    <n v="3"/>
    <n v="4"/>
    <n v="80"/>
    <n v="0"/>
    <n v="10"/>
    <n v="2"/>
    <n v="3"/>
    <n v="9"/>
    <n v="7"/>
    <n v="0"/>
    <n v="7"/>
    <x v="2"/>
    <x v="2"/>
    <s v="Medium"/>
    <x v="3"/>
    <s v="Excellent"/>
    <s v="Better"/>
    <n v="0"/>
    <s v="3,001–6,000"/>
    <s v="0–5 miles"/>
    <s v="6–10 years"/>
  </r>
  <r>
    <n v="24"/>
    <x v="1"/>
    <s v="Travel_Frequently"/>
    <n v="897"/>
    <x v="2"/>
    <n v="10"/>
    <x v="3"/>
    <s v="Medical"/>
    <n v="1"/>
    <n v="1746"/>
    <n v="1"/>
    <s v="Male"/>
    <n v="59"/>
    <n v="3"/>
    <n v="1"/>
    <x v="8"/>
    <x v="0"/>
    <s v="Married"/>
    <n v="2145"/>
    <n v="2097"/>
    <n v="0"/>
    <s v="Y"/>
    <x v="1"/>
    <n v="14"/>
    <n v="3"/>
    <n v="4"/>
    <n v="80"/>
    <n v="1"/>
    <n v="3"/>
    <n v="2"/>
    <n v="3"/>
    <n v="2"/>
    <n v="2"/>
    <n v="2"/>
    <n v="1"/>
    <x v="3"/>
    <x v="3"/>
    <s v="High"/>
    <x v="0"/>
    <s v="Excellent"/>
    <s v="Better"/>
    <n v="0"/>
    <s v="0–3,000"/>
    <s v="6–10 miles"/>
    <s v="2–5 years"/>
  </r>
  <r>
    <n v="30"/>
    <x v="0"/>
    <s v="Travel_Frequently"/>
    <n v="600"/>
    <x v="2"/>
    <n v="8"/>
    <x v="3"/>
    <s v="Human Resources"/>
    <n v="1"/>
    <n v="1747"/>
    <n v="3"/>
    <s v="Female"/>
    <n v="66"/>
    <n v="2"/>
    <n v="1"/>
    <x v="8"/>
    <x v="0"/>
    <s v="Divorced"/>
    <n v="2180"/>
    <n v="9732"/>
    <n v="6"/>
    <s v="Y"/>
    <x v="1"/>
    <n v="11"/>
    <n v="3"/>
    <n v="3"/>
    <n v="80"/>
    <n v="1"/>
    <n v="6"/>
    <n v="0"/>
    <n v="2"/>
    <n v="4"/>
    <n v="2"/>
    <n v="1"/>
    <n v="2"/>
    <x v="3"/>
    <x v="1"/>
    <s v="Medium"/>
    <x v="0"/>
    <s v="Excellent"/>
    <s v="Good"/>
    <n v="1"/>
    <s v="0–3,000"/>
    <s v="6–10 miles"/>
    <s v="2–5 years"/>
  </r>
  <r>
    <n v="31"/>
    <x v="1"/>
    <s v="Travel_Rarely"/>
    <n v="1003"/>
    <x v="0"/>
    <n v="5"/>
    <x v="3"/>
    <s v="Technical Degree"/>
    <n v="1"/>
    <n v="1749"/>
    <n v="1"/>
    <s v="Male"/>
    <n v="51"/>
    <n v="3"/>
    <n v="2"/>
    <x v="0"/>
    <x v="2"/>
    <s v="Married"/>
    <n v="8346"/>
    <n v="20943"/>
    <n v="1"/>
    <s v="Y"/>
    <x v="1"/>
    <n v="19"/>
    <n v="3"/>
    <n v="3"/>
    <n v="80"/>
    <n v="1"/>
    <n v="6"/>
    <n v="3"/>
    <n v="3"/>
    <n v="5"/>
    <n v="2"/>
    <n v="0"/>
    <n v="2"/>
    <x v="3"/>
    <x v="3"/>
    <s v="High"/>
    <x v="2"/>
    <s v="Excellent"/>
    <s v="Better"/>
    <n v="0"/>
    <s v="6,001–10,000"/>
    <s v="0–5 miles"/>
    <s v="2–5 years"/>
  </r>
  <r>
    <n v="27"/>
    <x v="1"/>
    <s v="Travel_Rarely"/>
    <n v="1054"/>
    <x v="1"/>
    <n v="8"/>
    <x v="3"/>
    <s v="Medical"/>
    <n v="1"/>
    <n v="1751"/>
    <n v="3"/>
    <s v="Female"/>
    <n v="67"/>
    <n v="3"/>
    <n v="1"/>
    <x v="1"/>
    <x v="0"/>
    <s v="Single"/>
    <n v="3445"/>
    <n v="6152"/>
    <n v="1"/>
    <s v="Y"/>
    <x v="1"/>
    <n v="11"/>
    <n v="3"/>
    <n v="3"/>
    <n v="80"/>
    <n v="0"/>
    <n v="6"/>
    <n v="5"/>
    <n v="2"/>
    <n v="6"/>
    <n v="2"/>
    <n v="1"/>
    <n v="4"/>
    <x v="3"/>
    <x v="1"/>
    <s v="High"/>
    <x v="0"/>
    <s v="Excellent"/>
    <s v="Good"/>
    <n v="0"/>
    <s v="3,001–6,000"/>
    <s v="6–10 miles"/>
    <s v="6–10 years"/>
  </r>
  <r>
    <n v="29"/>
    <x v="0"/>
    <s v="Travel_Rarely"/>
    <n v="428"/>
    <x v="0"/>
    <n v="9"/>
    <x v="3"/>
    <s v="Marketing"/>
    <n v="1"/>
    <n v="1752"/>
    <n v="2"/>
    <s v="Female"/>
    <n v="52"/>
    <n v="1"/>
    <n v="1"/>
    <x v="6"/>
    <x v="1"/>
    <s v="Single"/>
    <n v="2760"/>
    <n v="14630"/>
    <n v="1"/>
    <s v="Y"/>
    <x v="1"/>
    <n v="13"/>
    <n v="3"/>
    <n v="3"/>
    <n v="80"/>
    <n v="0"/>
    <n v="2"/>
    <n v="3"/>
    <n v="3"/>
    <n v="2"/>
    <n v="2"/>
    <n v="2"/>
    <n v="2"/>
    <x v="3"/>
    <x v="0"/>
    <s v="Low"/>
    <x v="1"/>
    <s v="Excellent"/>
    <s v="Better"/>
    <n v="1"/>
    <s v="0–3,000"/>
    <s v="6–10 miles"/>
    <s v="2–5 years"/>
  </r>
  <r>
    <n v="29"/>
    <x v="1"/>
    <s v="Travel_Frequently"/>
    <n v="461"/>
    <x v="1"/>
    <n v="1"/>
    <x v="3"/>
    <s v="Life Sciences"/>
    <n v="1"/>
    <n v="1753"/>
    <n v="4"/>
    <s v="Male"/>
    <n v="70"/>
    <n v="4"/>
    <n v="2"/>
    <x v="4"/>
    <x v="2"/>
    <s v="Single"/>
    <n v="6294"/>
    <n v="23060"/>
    <n v="8"/>
    <s v="Y"/>
    <x v="0"/>
    <n v="12"/>
    <n v="3"/>
    <n v="4"/>
    <n v="80"/>
    <n v="0"/>
    <n v="10"/>
    <n v="5"/>
    <n v="4"/>
    <n v="3"/>
    <n v="2"/>
    <n v="0"/>
    <n v="2"/>
    <x v="3"/>
    <x v="2"/>
    <s v="Very High"/>
    <x v="2"/>
    <s v="Excellent"/>
    <s v="Best"/>
    <n v="0"/>
    <s v="6,001–10,000"/>
    <s v="0–5 miles"/>
    <s v="2–5 years"/>
  </r>
  <r>
    <n v="30"/>
    <x v="1"/>
    <s v="Travel_Rarely"/>
    <n v="979"/>
    <x v="0"/>
    <n v="15"/>
    <x v="0"/>
    <s v="Marketing"/>
    <n v="1"/>
    <n v="1754"/>
    <n v="3"/>
    <s v="Male"/>
    <n v="94"/>
    <n v="2"/>
    <n v="3"/>
    <x v="0"/>
    <x v="3"/>
    <s v="Divorced"/>
    <n v="7140"/>
    <n v="3088"/>
    <n v="2"/>
    <s v="Y"/>
    <x v="1"/>
    <n v="11"/>
    <n v="3"/>
    <n v="1"/>
    <n v="80"/>
    <n v="1"/>
    <n v="12"/>
    <n v="2"/>
    <n v="3"/>
    <n v="7"/>
    <n v="7"/>
    <n v="1"/>
    <n v="7"/>
    <x v="0"/>
    <x v="1"/>
    <s v="Medium"/>
    <x v="3"/>
    <s v="Excellent"/>
    <s v="Better"/>
    <n v="0"/>
    <s v="6,001–10,000"/>
    <s v="11–15 miles"/>
    <s v="6–10 years"/>
  </r>
  <r>
    <n v="34"/>
    <x v="1"/>
    <s v="Travel_Rarely"/>
    <n v="181"/>
    <x v="1"/>
    <n v="2"/>
    <x v="2"/>
    <s v="Medical"/>
    <n v="1"/>
    <n v="1755"/>
    <n v="4"/>
    <s v="Male"/>
    <n v="97"/>
    <n v="4"/>
    <n v="1"/>
    <x v="1"/>
    <x v="0"/>
    <s v="Married"/>
    <n v="2932"/>
    <n v="5586"/>
    <n v="0"/>
    <s v="Y"/>
    <x v="0"/>
    <n v="14"/>
    <n v="3"/>
    <n v="1"/>
    <n v="80"/>
    <n v="3"/>
    <n v="6"/>
    <n v="3"/>
    <n v="3"/>
    <n v="5"/>
    <n v="0"/>
    <n v="1"/>
    <n v="2"/>
    <x v="2"/>
    <x v="2"/>
    <s v="Very High"/>
    <x v="0"/>
    <s v="Excellent"/>
    <s v="Better"/>
    <n v="0"/>
    <s v="0–3,000"/>
    <s v="0–5 miles"/>
    <s v="2–5 years"/>
  </r>
  <r>
    <n v="33"/>
    <x v="1"/>
    <s v="Non-Travel"/>
    <n v="1283"/>
    <x v="0"/>
    <n v="2"/>
    <x v="3"/>
    <s v="Marketing"/>
    <n v="1"/>
    <n v="1756"/>
    <n v="4"/>
    <s v="Female"/>
    <n v="62"/>
    <n v="3"/>
    <n v="2"/>
    <x v="0"/>
    <x v="1"/>
    <s v="Single"/>
    <n v="5147"/>
    <n v="10697"/>
    <n v="8"/>
    <s v="Y"/>
    <x v="1"/>
    <n v="15"/>
    <n v="3"/>
    <n v="4"/>
    <n v="80"/>
    <n v="0"/>
    <n v="13"/>
    <n v="2"/>
    <n v="2"/>
    <n v="11"/>
    <n v="7"/>
    <n v="1"/>
    <n v="7"/>
    <x v="3"/>
    <x v="2"/>
    <s v="High"/>
    <x v="1"/>
    <s v="Excellent"/>
    <s v="Good"/>
    <n v="0"/>
    <s v="3,001–6,000"/>
    <s v="0–5 miles"/>
    <s v="11+ years"/>
  </r>
  <r>
    <n v="49"/>
    <x v="1"/>
    <s v="Travel_Rarely"/>
    <n v="1313"/>
    <x v="0"/>
    <n v="11"/>
    <x v="2"/>
    <s v="Marketing"/>
    <n v="1"/>
    <n v="1757"/>
    <n v="4"/>
    <s v="Female"/>
    <n v="80"/>
    <n v="3"/>
    <n v="2"/>
    <x v="0"/>
    <x v="0"/>
    <s v="Single"/>
    <n v="4507"/>
    <n v="8191"/>
    <n v="3"/>
    <s v="Y"/>
    <x v="1"/>
    <n v="12"/>
    <n v="3"/>
    <n v="3"/>
    <n v="80"/>
    <n v="0"/>
    <n v="8"/>
    <n v="1"/>
    <n v="4"/>
    <n v="5"/>
    <n v="1"/>
    <n v="0"/>
    <n v="4"/>
    <x v="2"/>
    <x v="2"/>
    <s v="High"/>
    <x v="0"/>
    <s v="Excellent"/>
    <s v="Best"/>
    <n v="0"/>
    <s v="3,001–6,000"/>
    <s v="11–15 miles"/>
    <s v="2–5 years"/>
  </r>
  <r>
    <n v="33"/>
    <x v="0"/>
    <s v="Travel_Rarely"/>
    <n v="211"/>
    <x v="0"/>
    <n v="16"/>
    <x v="3"/>
    <s v="Life Sciences"/>
    <n v="1"/>
    <n v="1758"/>
    <n v="1"/>
    <s v="Female"/>
    <n v="74"/>
    <n v="3"/>
    <n v="3"/>
    <x v="0"/>
    <x v="3"/>
    <s v="Single"/>
    <n v="8564"/>
    <n v="10092"/>
    <n v="2"/>
    <s v="Y"/>
    <x v="0"/>
    <n v="20"/>
    <n v="4"/>
    <n v="3"/>
    <n v="80"/>
    <n v="0"/>
    <n v="11"/>
    <n v="2"/>
    <n v="2"/>
    <n v="0"/>
    <n v="0"/>
    <n v="0"/>
    <n v="0"/>
    <x v="3"/>
    <x v="3"/>
    <s v="High"/>
    <x v="3"/>
    <s v="Outstanding"/>
    <s v="Good"/>
    <n v="1"/>
    <s v="6,001–10,000"/>
    <s v="16+ miles"/>
    <s v="0–1 years"/>
  </r>
  <r>
    <n v="38"/>
    <x v="1"/>
    <s v="Travel_Frequently"/>
    <n v="594"/>
    <x v="1"/>
    <n v="2"/>
    <x v="0"/>
    <s v="Medical"/>
    <n v="1"/>
    <n v="1760"/>
    <n v="3"/>
    <s v="Female"/>
    <n v="75"/>
    <n v="2"/>
    <n v="1"/>
    <x v="2"/>
    <x v="1"/>
    <s v="Married"/>
    <n v="2468"/>
    <n v="15963"/>
    <n v="4"/>
    <s v="Y"/>
    <x v="1"/>
    <n v="14"/>
    <n v="3"/>
    <n v="2"/>
    <n v="80"/>
    <n v="1"/>
    <n v="9"/>
    <n v="4"/>
    <n v="2"/>
    <n v="6"/>
    <n v="1"/>
    <n v="0"/>
    <n v="5"/>
    <x v="0"/>
    <x v="1"/>
    <s v="Medium"/>
    <x v="1"/>
    <s v="Excellent"/>
    <s v="Good"/>
    <n v="0"/>
    <s v="0–3,000"/>
    <s v="0–5 miles"/>
    <s v="6–10 years"/>
  </r>
  <r>
    <n v="31"/>
    <x v="0"/>
    <s v="Travel_Rarely"/>
    <n v="1079"/>
    <x v="0"/>
    <n v="16"/>
    <x v="2"/>
    <s v="Marketing"/>
    <n v="1"/>
    <n v="1761"/>
    <n v="1"/>
    <s v="Male"/>
    <n v="70"/>
    <n v="3"/>
    <n v="3"/>
    <x v="0"/>
    <x v="2"/>
    <s v="Married"/>
    <n v="8161"/>
    <n v="19002"/>
    <n v="2"/>
    <s v="Y"/>
    <x v="1"/>
    <n v="13"/>
    <n v="3"/>
    <n v="1"/>
    <n v="80"/>
    <n v="3"/>
    <n v="10"/>
    <n v="2"/>
    <n v="3"/>
    <n v="1"/>
    <n v="0"/>
    <n v="0"/>
    <n v="0"/>
    <x v="2"/>
    <x v="3"/>
    <s v="High"/>
    <x v="2"/>
    <s v="Excellent"/>
    <s v="Better"/>
    <n v="1"/>
    <s v="6,001–10,000"/>
    <s v="16+ miles"/>
    <s v="0–1 years"/>
  </r>
  <r>
    <n v="29"/>
    <x v="1"/>
    <s v="Travel_Rarely"/>
    <n v="590"/>
    <x v="1"/>
    <n v="4"/>
    <x v="3"/>
    <s v="Technical Degree"/>
    <n v="1"/>
    <n v="1762"/>
    <n v="4"/>
    <s v="Female"/>
    <n v="91"/>
    <n v="2"/>
    <n v="1"/>
    <x v="1"/>
    <x v="3"/>
    <s v="Divorced"/>
    <n v="2109"/>
    <n v="10007"/>
    <n v="1"/>
    <s v="Y"/>
    <x v="1"/>
    <n v="13"/>
    <n v="3"/>
    <n v="3"/>
    <n v="80"/>
    <n v="1"/>
    <n v="1"/>
    <n v="2"/>
    <n v="3"/>
    <n v="1"/>
    <n v="0"/>
    <n v="0"/>
    <n v="0"/>
    <x v="3"/>
    <x v="2"/>
    <s v="Medium"/>
    <x v="3"/>
    <s v="Excellent"/>
    <s v="Better"/>
    <n v="0"/>
    <s v="0–3,000"/>
    <s v="0–5 miles"/>
    <s v="0–1 years"/>
  </r>
  <r>
    <n v="30"/>
    <x v="1"/>
    <s v="Travel_Rarely"/>
    <n v="305"/>
    <x v="1"/>
    <n v="16"/>
    <x v="3"/>
    <s v="Life Sciences"/>
    <n v="1"/>
    <n v="1763"/>
    <n v="3"/>
    <s v="Male"/>
    <n v="58"/>
    <n v="4"/>
    <n v="2"/>
    <x v="4"/>
    <x v="2"/>
    <s v="Married"/>
    <n v="5294"/>
    <n v="9128"/>
    <n v="3"/>
    <s v="Y"/>
    <x v="1"/>
    <n v="16"/>
    <n v="3"/>
    <n v="3"/>
    <n v="80"/>
    <n v="1"/>
    <n v="10"/>
    <n v="3"/>
    <n v="3"/>
    <n v="7"/>
    <n v="0"/>
    <n v="1"/>
    <n v="7"/>
    <x v="3"/>
    <x v="1"/>
    <s v="Very High"/>
    <x v="2"/>
    <s v="Excellent"/>
    <s v="Better"/>
    <n v="0"/>
    <s v="3,001–6,000"/>
    <s v="16+ miles"/>
    <s v="6–10 years"/>
  </r>
  <r>
    <n v="32"/>
    <x v="1"/>
    <s v="Non-Travel"/>
    <n v="953"/>
    <x v="1"/>
    <n v="5"/>
    <x v="2"/>
    <s v="Technical Degree"/>
    <n v="1"/>
    <n v="1764"/>
    <n v="2"/>
    <s v="Male"/>
    <n v="65"/>
    <n v="3"/>
    <n v="1"/>
    <x v="1"/>
    <x v="1"/>
    <s v="Single"/>
    <n v="2718"/>
    <n v="17674"/>
    <n v="2"/>
    <s v="Y"/>
    <x v="1"/>
    <n v="14"/>
    <n v="3"/>
    <n v="2"/>
    <n v="80"/>
    <n v="0"/>
    <n v="12"/>
    <n v="3"/>
    <n v="3"/>
    <n v="7"/>
    <n v="7"/>
    <n v="0"/>
    <n v="7"/>
    <x v="2"/>
    <x v="0"/>
    <s v="High"/>
    <x v="1"/>
    <s v="Excellent"/>
    <s v="Better"/>
    <n v="0"/>
    <s v="0–3,000"/>
    <s v="0–5 miles"/>
    <s v="6–10 years"/>
  </r>
  <r>
    <n v="38"/>
    <x v="1"/>
    <s v="Travel_Rarely"/>
    <n v="833"/>
    <x v="1"/>
    <n v="18"/>
    <x v="3"/>
    <s v="Medical"/>
    <n v="1"/>
    <n v="1766"/>
    <n v="2"/>
    <s v="Male"/>
    <n v="60"/>
    <n v="1"/>
    <n v="2"/>
    <x v="4"/>
    <x v="0"/>
    <s v="Married"/>
    <n v="5811"/>
    <n v="24539"/>
    <n v="3"/>
    <s v="Y"/>
    <x v="0"/>
    <n v="16"/>
    <n v="3"/>
    <n v="3"/>
    <n v="80"/>
    <n v="1"/>
    <n v="15"/>
    <n v="2"/>
    <n v="3"/>
    <n v="1"/>
    <n v="0"/>
    <n v="1"/>
    <n v="0"/>
    <x v="3"/>
    <x v="0"/>
    <s v="Low"/>
    <x v="0"/>
    <s v="Excellent"/>
    <s v="Better"/>
    <n v="0"/>
    <s v="3,001–6,000"/>
    <s v="16+ miles"/>
    <s v="0–1 years"/>
  </r>
  <r>
    <n v="43"/>
    <x v="0"/>
    <s v="Travel_Frequently"/>
    <n v="807"/>
    <x v="1"/>
    <n v="17"/>
    <x v="3"/>
    <s v="Technical Degree"/>
    <n v="1"/>
    <n v="1767"/>
    <n v="3"/>
    <s v="Male"/>
    <n v="38"/>
    <n v="2"/>
    <n v="1"/>
    <x v="1"/>
    <x v="2"/>
    <s v="Married"/>
    <n v="2437"/>
    <n v="15587"/>
    <n v="9"/>
    <s v="Y"/>
    <x v="0"/>
    <n v="16"/>
    <n v="3"/>
    <n v="4"/>
    <n v="80"/>
    <n v="1"/>
    <n v="6"/>
    <n v="4"/>
    <n v="3"/>
    <n v="1"/>
    <n v="0"/>
    <n v="0"/>
    <n v="0"/>
    <x v="3"/>
    <x v="1"/>
    <s v="Medium"/>
    <x v="2"/>
    <s v="Excellent"/>
    <s v="Better"/>
    <n v="1"/>
    <s v="0–3,000"/>
    <s v="16+ miles"/>
    <s v="0–1 years"/>
  </r>
  <r>
    <n v="42"/>
    <x v="1"/>
    <s v="Travel_Rarely"/>
    <n v="855"/>
    <x v="1"/>
    <n v="12"/>
    <x v="3"/>
    <s v="Medical"/>
    <n v="1"/>
    <n v="1768"/>
    <n v="2"/>
    <s v="Male"/>
    <n v="57"/>
    <n v="3"/>
    <n v="1"/>
    <x v="2"/>
    <x v="1"/>
    <s v="Divorced"/>
    <n v="2766"/>
    <n v="8952"/>
    <n v="8"/>
    <s v="Y"/>
    <x v="1"/>
    <n v="22"/>
    <n v="4"/>
    <n v="2"/>
    <n v="80"/>
    <n v="3"/>
    <n v="7"/>
    <n v="6"/>
    <n v="2"/>
    <n v="5"/>
    <n v="3"/>
    <n v="0"/>
    <n v="4"/>
    <x v="3"/>
    <x v="0"/>
    <s v="High"/>
    <x v="1"/>
    <s v="Outstanding"/>
    <s v="Good"/>
    <n v="0"/>
    <s v="0–3,000"/>
    <s v="11–15 miles"/>
    <s v="2–5 years"/>
  </r>
  <r>
    <n v="55"/>
    <x v="1"/>
    <s v="Travel_Rarely"/>
    <n v="478"/>
    <x v="1"/>
    <n v="2"/>
    <x v="3"/>
    <s v="Medical"/>
    <n v="1"/>
    <n v="1770"/>
    <n v="3"/>
    <s v="Male"/>
    <n v="60"/>
    <n v="2"/>
    <n v="5"/>
    <x v="7"/>
    <x v="3"/>
    <s v="Married"/>
    <n v="19038"/>
    <n v="19805"/>
    <n v="8"/>
    <s v="Y"/>
    <x v="1"/>
    <n v="12"/>
    <n v="3"/>
    <n v="2"/>
    <n v="80"/>
    <n v="3"/>
    <n v="34"/>
    <n v="2"/>
    <n v="3"/>
    <n v="1"/>
    <n v="0"/>
    <n v="0"/>
    <n v="0"/>
    <x v="3"/>
    <x v="1"/>
    <s v="Medium"/>
    <x v="3"/>
    <s v="Excellent"/>
    <s v="Better"/>
    <n v="0"/>
    <s v="10,001+"/>
    <s v="0–5 miles"/>
    <s v="0–1 years"/>
  </r>
  <r>
    <n v="33"/>
    <x v="1"/>
    <s v="Non-Travel"/>
    <n v="775"/>
    <x v="1"/>
    <n v="4"/>
    <x v="3"/>
    <s v="Technical Degree"/>
    <n v="1"/>
    <n v="1771"/>
    <n v="4"/>
    <s v="Male"/>
    <n v="90"/>
    <n v="3"/>
    <n v="2"/>
    <x v="1"/>
    <x v="1"/>
    <s v="Divorced"/>
    <n v="3055"/>
    <n v="6194"/>
    <n v="5"/>
    <s v="Y"/>
    <x v="1"/>
    <n v="15"/>
    <n v="3"/>
    <n v="4"/>
    <n v="80"/>
    <n v="2"/>
    <n v="11"/>
    <n v="2"/>
    <n v="2"/>
    <n v="9"/>
    <n v="8"/>
    <n v="1"/>
    <n v="7"/>
    <x v="3"/>
    <x v="2"/>
    <s v="High"/>
    <x v="1"/>
    <s v="Excellent"/>
    <s v="Good"/>
    <n v="0"/>
    <s v="3,001–6,000"/>
    <s v="0–5 miles"/>
    <s v="6–10 years"/>
  </r>
  <r>
    <n v="41"/>
    <x v="1"/>
    <s v="Travel_Rarely"/>
    <n v="548"/>
    <x v="1"/>
    <n v="9"/>
    <x v="2"/>
    <s v="Life Sciences"/>
    <n v="1"/>
    <n v="1772"/>
    <n v="3"/>
    <s v="Male"/>
    <n v="94"/>
    <n v="3"/>
    <n v="1"/>
    <x v="2"/>
    <x v="3"/>
    <s v="Divorced"/>
    <n v="2289"/>
    <n v="20520"/>
    <n v="1"/>
    <s v="Y"/>
    <x v="1"/>
    <n v="20"/>
    <n v="4"/>
    <n v="2"/>
    <n v="80"/>
    <n v="2"/>
    <n v="5"/>
    <n v="2"/>
    <n v="3"/>
    <n v="5"/>
    <n v="3"/>
    <n v="0"/>
    <n v="4"/>
    <x v="2"/>
    <x v="1"/>
    <s v="High"/>
    <x v="3"/>
    <s v="Outstanding"/>
    <s v="Better"/>
    <n v="0"/>
    <s v="0–3,000"/>
    <s v="6–10 miles"/>
    <s v="2–5 years"/>
  </r>
  <r>
    <n v="34"/>
    <x v="1"/>
    <s v="Non-Travel"/>
    <n v="1375"/>
    <x v="0"/>
    <n v="10"/>
    <x v="3"/>
    <s v="Life Sciences"/>
    <n v="1"/>
    <n v="1774"/>
    <n v="4"/>
    <s v="Male"/>
    <n v="87"/>
    <n v="3"/>
    <n v="2"/>
    <x v="0"/>
    <x v="2"/>
    <s v="Divorced"/>
    <n v="4001"/>
    <n v="12313"/>
    <n v="1"/>
    <s v="Y"/>
    <x v="0"/>
    <n v="14"/>
    <n v="3"/>
    <n v="3"/>
    <n v="80"/>
    <n v="1"/>
    <n v="15"/>
    <n v="3"/>
    <n v="3"/>
    <n v="15"/>
    <n v="14"/>
    <n v="0"/>
    <n v="7"/>
    <x v="3"/>
    <x v="2"/>
    <s v="High"/>
    <x v="2"/>
    <s v="Excellent"/>
    <s v="Better"/>
    <n v="0"/>
    <s v="3,001–6,000"/>
    <s v="6–10 miles"/>
    <s v="11+ years"/>
  </r>
  <r>
    <n v="53"/>
    <x v="1"/>
    <s v="Non-Travel"/>
    <n v="661"/>
    <x v="1"/>
    <n v="1"/>
    <x v="2"/>
    <s v="Medical"/>
    <n v="1"/>
    <n v="1775"/>
    <n v="1"/>
    <s v="Female"/>
    <n v="60"/>
    <n v="2"/>
    <n v="4"/>
    <x v="3"/>
    <x v="2"/>
    <s v="Married"/>
    <n v="12965"/>
    <n v="22308"/>
    <n v="4"/>
    <s v="Y"/>
    <x v="0"/>
    <n v="20"/>
    <n v="4"/>
    <n v="4"/>
    <n v="80"/>
    <n v="3"/>
    <n v="27"/>
    <n v="2"/>
    <n v="2"/>
    <n v="3"/>
    <n v="2"/>
    <n v="0"/>
    <n v="2"/>
    <x v="2"/>
    <x v="3"/>
    <s v="Medium"/>
    <x v="2"/>
    <s v="Outstanding"/>
    <s v="Good"/>
    <n v="0"/>
    <s v="10,001+"/>
    <s v="0–5 miles"/>
    <s v="2–5 years"/>
  </r>
  <r>
    <n v="43"/>
    <x v="1"/>
    <s v="Travel_Rarely"/>
    <n v="244"/>
    <x v="2"/>
    <n v="2"/>
    <x v="3"/>
    <s v="Life Sciences"/>
    <n v="1"/>
    <n v="1778"/>
    <n v="2"/>
    <s v="Male"/>
    <n v="97"/>
    <n v="3"/>
    <n v="1"/>
    <x v="8"/>
    <x v="0"/>
    <s v="Single"/>
    <n v="3539"/>
    <n v="5033"/>
    <n v="0"/>
    <s v="Y"/>
    <x v="1"/>
    <n v="13"/>
    <n v="3"/>
    <n v="2"/>
    <n v="80"/>
    <n v="0"/>
    <n v="10"/>
    <n v="5"/>
    <n v="3"/>
    <n v="9"/>
    <n v="7"/>
    <n v="1"/>
    <n v="8"/>
    <x v="3"/>
    <x v="0"/>
    <s v="High"/>
    <x v="0"/>
    <s v="Excellent"/>
    <s v="Better"/>
    <n v="0"/>
    <s v="3,001–6,000"/>
    <s v="0–5 miles"/>
    <s v="6–10 years"/>
  </r>
  <r>
    <n v="34"/>
    <x v="1"/>
    <s v="Travel_Rarely"/>
    <n v="511"/>
    <x v="0"/>
    <n v="3"/>
    <x v="0"/>
    <s v="Life Sciences"/>
    <n v="1"/>
    <n v="1779"/>
    <n v="4"/>
    <s v="Female"/>
    <n v="32"/>
    <n v="1"/>
    <n v="2"/>
    <x v="0"/>
    <x v="0"/>
    <s v="Single"/>
    <n v="6029"/>
    <n v="25353"/>
    <n v="5"/>
    <s v="Y"/>
    <x v="1"/>
    <n v="12"/>
    <n v="3"/>
    <n v="1"/>
    <n v="80"/>
    <n v="0"/>
    <n v="6"/>
    <n v="3"/>
    <n v="3"/>
    <n v="2"/>
    <n v="2"/>
    <n v="2"/>
    <n v="2"/>
    <x v="0"/>
    <x v="2"/>
    <s v="Low"/>
    <x v="0"/>
    <s v="Excellent"/>
    <s v="Better"/>
    <n v="0"/>
    <s v="6,001–10,000"/>
    <s v="0–5 miles"/>
    <s v="2–5 years"/>
  </r>
  <r>
    <n v="21"/>
    <x v="0"/>
    <s v="Travel_Rarely"/>
    <n v="337"/>
    <x v="0"/>
    <n v="7"/>
    <x v="1"/>
    <s v="Marketing"/>
    <n v="1"/>
    <n v="1780"/>
    <n v="2"/>
    <s v="Male"/>
    <n v="31"/>
    <n v="3"/>
    <n v="1"/>
    <x v="6"/>
    <x v="1"/>
    <s v="Single"/>
    <n v="2679"/>
    <n v="4567"/>
    <n v="1"/>
    <s v="Y"/>
    <x v="1"/>
    <n v="13"/>
    <n v="3"/>
    <n v="2"/>
    <n v="80"/>
    <n v="0"/>
    <n v="1"/>
    <n v="3"/>
    <n v="3"/>
    <n v="1"/>
    <n v="0"/>
    <n v="1"/>
    <n v="0"/>
    <x v="1"/>
    <x v="0"/>
    <s v="High"/>
    <x v="1"/>
    <s v="Excellent"/>
    <s v="Better"/>
    <n v="1"/>
    <s v="0–3,000"/>
    <s v="6–10 miles"/>
    <s v="0–1 years"/>
  </r>
  <r>
    <n v="38"/>
    <x v="1"/>
    <s v="Travel_Rarely"/>
    <n v="1153"/>
    <x v="1"/>
    <n v="6"/>
    <x v="0"/>
    <s v="Other"/>
    <n v="1"/>
    <n v="1782"/>
    <n v="4"/>
    <s v="Female"/>
    <n v="40"/>
    <n v="2"/>
    <n v="1"/>
    <x v="2"/>
    <x v="2"/>
    <s v="Married"/>
    <n v="3702"/>
    <n v="16376"/>
    <n v="1"/>
    <s v="Y"/>
    <x v="1"/>
    <n v="11"/>
    <n v="3"/>
    <n v="2"/>
    <n v="80"/>
    <n v="1"/>
    <n v="5"/>
    <n v="3"/>
    <n v="3"/>
    <n v="5"/>
    <n v="4"/>
    <n v="0"/>
    <n v="4"/>
    <x v="0"/>
    <x v="2"/>
    <s v="Medium"/>
    <x v="2"/>
    <s v="Excellent"/>
    <s v="Better"/>
    <n v="0"/>
    <s v="3,001–6,000"/>
    <s v="6–10 miles"/>
    <s v="2–5 years"/>
  </r>
  <r>
    <n v="22"/>
    <x v="0"/>
    <s v="Travel_Rarely"/>
    <n v="1294"/>
    <x v="1"/>
    <n v="8"/>
    <x v="1"/>
    <s v="Medical"/>
    <n v="1"/>
    <n v="1783"/>
    <n v="3"/>
    <s v="Female"/>
    <n v="79"/>
    <n v="3"/>
    <n v="1"/>
    <x v="2"/>
    <x v="3"/>
    <s v="Married"/>
    <n v="2398"/>
    <n v="15999"/>
    <n v="1"/>
    <s v="Y"/>
    <x v="0"/>
    <n v="17"/>
    <n v="3"/>
    <n v="3"/>
    <n v="80"/>
    <n v="0"/>
    <n v="1"/>
    <n v="6"/>
    <n v="3"/>
    <n v="1"/>
    <n v="0"/>
    <n v="0"/>
    <n v="0"/>
    <x v="1"/>
    <x v="1"/>
    <s v="High"/>
    <x v="3"/>
    <s v="Excellent"/>
    <s v="Better"/>
    <n v="1"/>
    <s v="0–3,000"/>
    <s v="6–10 miles"/>
    <s v="0–1 years"/>
  </r>
  <r>
    <n v="31"/>
    <x v="1"/>
    <s v="Travel_Rarely"/>
    <n v="196"/>
    <x v="0"/>
    <n v="29"/>
    <x v="2"/>
    <s v="Marketing"/>
    <n v="1"/>
    <n v="1784"/>
    <n v="1"/>
    <s v="Female"/>
    <n v="91"/>
    <n v="2"/>
    <n v="2"/>
    <x v="0"/>
    <x v="0"/>
    <s v="Married"/>
    <n v="5468"/>
    <n v="13402"/>
    <n v="1"/>
    <s v="Y"/>
    <x v="1"/>
    <n v="14"/>
    <n v="3"/>
    <n v="1"/>
    <n v="80"/>
    <n v="2"/>
    <n v="13"/>
    <n v="3"/>
    <n v="3"/>
    <n v="12"/>
    <n v="7"/>
    <n v="5"/>
    <n v="7"/>
    <x v="2"/>
    <x v="3"/>
    <s v="Medium"/>
    <x v="0"/>
    <s v="Excellent"/>
    <s v="Better"/>
    <n v="0"/>
    <s v="3,001–6,000"/>
    <s v="16+ miles"/>
    <s v="11+ years"/>
  </r>
  <r>
    <n v="51"/>
    <x v="1"/>
    <s v="Travel_Rarely"/>
    <n v="942"/>
    <x v="1"/>
    <n v="3"/>
    <x v="3"/>
    <s v="Technical Degree"/>
    <n v="1"/>
    <n v="1786"/>
    <n v="1"/>
    <s v="Female"/>
    <n v="53"/>
    <n v="3"/>
    <n v="3"/>
    <x v="5"/>
    <x v="2"/>
    <s v="Married"/>
    <n v="13116"/>
    <n v="22984"/>
    <n v="2"/>
    <s v="Y"/>
    <x v="1"/>
    <n v="11"/>
    <n v="3"/>
    <n v="4"/>
    <n v="80"/>
    <n v="0"/>
    <n v="15"/>
    <n v="2"/>
    <n v="3"/>
    <n v="2"/>
    <n v="2"/>
    <n v="2"/>
    <n v="2"/>
    <x v="3"/>
    <x v="3"/>
    <s v="High"/>
    <x v="2"/>
    <s v="Excellent"/>
    <s v="Better"/>
    <n v="0"/>
    <s v="10,001+"/>
    <s v="0–5 miles"/>
    <s v="2–5 years"/>
  </r>
  <r>
    <n v="37"/>
    <x v="1"/>
    <s v="Travel_Rarely"/>
    <n v="589"/>
    <x v="0"/>
    <n v="9"/>
    <x v="0"/>
    <s v="Marketing"/>
    <n v="1"/>
    <n v="1787"/>
    <n v="2"/>
    <s v="Male"/>
    <n v="46"/>
    <n v="2"/>
    <n v="2"/>
    <x v="0"/>
    <x v="1"/>
    <s v="Married"/>
    <n v="4189"/>
    <n v="8800"/>
    <n v="1"/>
    <s v="Y"/>
    <x v="1"/>
    <n v="14"/>
    <n v="3"/>
    <n v="1"/>
    <n v="80"/>
    <n v="2"/>
    <n v="5"/>
    <n v="2"/>
    <n v="3"/>
    <n v="5"/>
    <n v="2"/>
    <n v="0"/>
    <n v="3"/>
    <x v="0"/>
    <x v="0"/>
    <s v="Medium"/>
    <x v="1"/>
    <s v="Excellent"/>
    <s v="Better"/>
    <n v="0"/>
    <s v="3,001–6,000"/>
    <s v="6–10 miles"/>
    <s v="2–5 years"/>
  </r>
  <r>
    <n v="46"/>
    <x v="1"/>
    <s v="Travel_Rarely"/>
    <n v="734"/>
    <x v="1"/>
    <n v="2"/>
    <x v="2"/>
    <s v="Medical"/>
    <n v="1"/>
    <n v="1789"/>
    <n v="3"/>
    <s v="Male"/>
    <n v="46"/>
    <n v="3"/>
    <n v="5"/>
    <x v="7"/>
    <x v="0"/>
    <s v="Divorced"/>
    <n v="19328"/>
    <n v="14218"/>
    <n v="7"/>
    <s v="Y"/>
    <x v="0"/>
    <n v="17"/>
    <n v="3"/>
    <n v="3"/>
    <n v="80"/>
    <n v="1"/>
    <n v="24"/>
    <n v="3"/>
    <n v="3"/>
    <n v="2"/>
    <n v="1"/>
    <n v="2"/>
    <n v="2"/>
    <x v="2"/>
    <x v="1"/>
    <s v="High"/>
    <x v="0"/>
    <s v="Excellent"/>
    <s v="Better"/>
    <n v="0"/>
    <s v="10,001+"/>
    <s v="0–5 miles"/>
    <s v="2–5 years"/>
  </r>
  <r>
    <n v="36"/>
    <x v="1"/>
    <s v="Travel_Rarely"/>
    <n v="1383"/>
    <x v="1"/>
    <n v="10"/>
    <x v="3"/>
    <s v="Life Sciences"/>
    <n v="1"/>
    <n v="1790"/>
    <n v="4"/>
    <s v="Male"/>
    <n v="90"/>
    <n v="3"/>
    <n v="3"/>
    <x v="4"/>
    <x v="3"/>
    <s v="Married"/>
    <n v="8321"/>
    <n v="25949"/>
    <n v="7"/>
    <s v="Y"/>
    <x v="0"/>
    <n v="13"/>
    <n v="3"/>
    <n v="4"/>
    <n v="80"/>
    <n v="1"/>
    <n v="15"/>
    <n v="1"/>
    <n v="3"/>
    <n v="12"/>
    <n v="8"/>
    <n v="5"/>
    <n v="7"/>
    <x v="3"/>
    <x v="2"/>
    <s v="High"/>
    <x v="3"/>
    <s v="Excellent"/>
    <s v="Better"/>
    <n v="0"/>
    <s v="6,001–10,000"/>
    <s v="6–10 miles"/>
    <s v="11+ years"/>
  </r>
  <r>
    <n v="44"/>
    <x v="0"/>
    <s v="Travel_Frequently"/>
    <n v="429"/>
    <x v="1"/>
    <n v="1"/>
    <x v="0"/>
    <s v="Medical"/>
    <n v="1"/>
    <n v="1792"/>
    <n v="3"/>
    <s v="Male"/>
    <n v="99"/>
    <n v="3"/>
    <n v="1"/>
    <x v="1"/>
    <x v="1"/>
    <s v="Divorced"/>
    <n v="2342"/>
    <n v="11092"/>
    <n v="1"/>
    <s v="Y"/>
    <x v="0"/>
    <n v="12"/>
    <n v="3"/>
    <n v="3"/>
    <n v="80"/>
    <n v="3"/>
    <n v="6"/>
    <n v="2"/>
    <n v="2"/>
    <n v="5"/>
    <n v="3"/>
    <n v="2"/>
    <n v="3"/>
    <x v="0"/>
    <x v="1"/>
    <s v="High"/>
    <x v="1"/>
    <s v="Excellent"/>
    <s v="Good"/>
    <n v="1"/>
    <s v="0–3,000"/>
    <s v="0–5 miles"/>
    <s v="2–5 years"/>
  </r>
  <r>
    <n v="37"/>
    <x v="1"/>
    <s v="Travel_Rarely"/>
    <n v="1239"/>
    <x v="2"/>
    <n v="8"/>
    <x v="0"/>
    <s v="Other"/>
    <n v="1"/>
    <n v="1794"/>
    <n v="3"/>
    <s v="Male"/>
    <n v="89"/>
    <n v="3"/>
    <n v="2"/>
    <x v="8"/>
    <x v="1"/>
    <s v="Divorced"/>
    <n v="4071"/>
    <n v="12832"/>
    <n v="2"/>
    <s v="Y"/>
    <x v="1"/>
    <n v="13"/>
    <n v="3"/>
    <n v="3"/>
    <n v="80"/>
    <n v="0"/>
    <n v="19"/>
    <n v="4"/>
    <n v="2"/>
    <n v="10"/>
    <n v="0"/>
    <n v="4"/>
    <n v="7"/>
    <x v="0"/>
    <x v="1"/>
    <s v="High"/>
    <x v="1"/>
    <s v="Excellent"/>
    <s v="Good"/>
    <n v="0"/>
    <s v="3,001–6,000"/>
    <s v="6–10 miles"/>
    <s v="6–10 years"/>
  </r>
  <r>
    <n v="35"/>
    <x v="0"/>
    <s v="Travel_Rarely"/>
    <n v="303"/>
    <x v="0"/>
    <n v="27"/>
    <x v="3"/>
    <s v="Life Sciences"/>
    <n v="1"/>
    <n v="1797"/>
    <n v="3"/>
    <s v="Male"/>
    <n v="84"/>
    <n v="3"/>
    <n v="2"/>
    <x v="0"/>
    <x v="0"/>
    <s v="Single"/>
    <n v="5813"/>
    <n v="13492"/>
    <n v="1"/>
    <s v="Y"/>
    <x v="0"/>
    <n v="18"/>
    <n v="3"/>
    <n v="4"/>
    <n v="80"/>
    <n v="0"/>
    <n v="10"/>
    <n v="2"/>
    <n v="3"/>
    <n v="10"/>
    <n v="7"/>
    <n v="7"/>
    <n v="7"/>
    <x v="3"/>
    <x v="1"/>
    <s v="High"/>
    <x v="0"/>
    <s v="Excellent"/>
    <s v="Better"/>
    <n v="1"/>
    <s v="3,001–6,000"/>
    <s v="16+ miles"/>
    <s v="6–10 years"/>
  </r>
  <r>
    <n v="33"/>
    <x v="1"/>
    <s v="Travel_Rarely"/>
    <n v="867"/>
    <x v="1"/>
    <n v="8"/>
    <x v="2"/>
    <s v="Life Sciences"/>
    <n v="1"/>
    <n v="1798"/>
    <n v="4"/>
    <s v="Male"/>
    <n v="90"/>
    <n v="4"/>
    <n v="1"/>
    <x v="1"/>
    <x v="3"/>
    <s v="Married"/>
    <n v="3143"/>
    <n v="6076"/>
    <n v="6"/>
    <s v="Y"/>
    <x v="1"/>
    <n v="19"/>
    <n v="3"/>
    <n v="2"/>
    <n v="80"/>
    <n v="1"/>
    <n v="14"/>
    <n v="1"/>
    <n v="3"/>
    <n v="10"/>
    <n v="8"/>
    <n v="7"/>
    <n v="6"/>
    <x v="2"/>
    <x v="2"/>
    <s v="Very High"/>
    <x v="3"/>
    <s v="Excellent"/>
    <s v="Better"/>
    <n v="0"/>
    <s v="3,001–6,000"/>
    <s v="6–10 miles"/>
    <s v="6–10 years"/>
  </r>
  <r>
    <n v="28"/>
    <x v="1"/>
    <s v="Travel_Rarely"/>
    <n v="1181"/>
    <x v="1"/>
    <n v="1"/>
    <x v="3"/>
    <s v="Life Sciences"/>
    <n v="1"/>
    <n v="1799"/>
    <n v="3"/>
    <s v="Male"/>
    <n v="82"/>
    <n v="3"/>
    <n v="1"/>
    <x v="1"/>
    <x v="0"/>
    <s v="Married"/>
    <n v="2044"/>
    <n v="5531"/>
    <n v="1"/>
    <s v="Y"/>
    <x v="1"/>
    <n v="11"/>
    <n v="3"/>
    <n v="3"/>
    <n v="80"/>
    <n v="1"/>
    <n v="5"/>
    <n v="6"/>
    <n v="4"/>
    <n v="5"/>
    <n v="3"/>
    <n v="0"/>
    <n v="3"/>
    <x v="3"/>
    <x v="1"/>
    <s v="High"/>
    <x v="0"/>
    <s v="Excellent"/>
    <s v="Best"/>
    <n v="0"/>
    <s v="0–3,000"/>
    <s v="0–5 miles"/>
    <s v="2–5 years"/>
  </r>
  <r>
    <n v="39"/>
    <x v="1"/>
    <s v="Travel_Rarely"/>
    <n v="1253"/>
    <x v="1"/>
    <n v="10"/>
    <x v="1"/>
    <s v="Medical"/>
    <n v="1"/>
    <n v="1800"/>
    <n v="3"/>
    <s v="Male"/>
    <n v="65"/>
    <n v="3"/>
    <n v="3"/>
    <x v="7"/>
    <x v="2"/>
    <s v="Single"/>
    <n v="13464"/>
    <n v="7914"/>
    <n v="7"/>
    <s v="Y"/>
    <x v="1"/>
    <n v="21"/>
    <n v="4"/>
    <n v="3"/>
    <n v="80"/>
    <n v="0"/>
    <n v="9"/>
    <n v="3"/>
    <n v="3"/>
    <n v="4"/>
    <n v="3"/>
    <n v="2"/>
    <n v="2"/>
    <x v="1"/>
    <x v="1"/>
    <s v="High"/>
    <x v="2"/>
    <s v="Outstanding"/>
    <s v="Better"/>
    <n v="0"/>
    <s v="10,001+"/>
    <s v="6–10 miles"/>
    <s v="2–5 years"/>
  </r>
  <r>
    <n v="46"/>
    <x v="1"/>
    <s v="Non-Travel"/>
    <n v="849"/>
    <x v="0"/>
    <n v="26"/>
    <x v="0"/>
    <s v="Life Sciences"/>
    <n v="1"/>
    <n v="1801"/>
    <n v="2"/>
    <s v="Male"/>
    <n v="98"/>
    <n v="2"/>
    <n v="2"/>
    <x v="0"/>
    <x v="1"/>
    <s v="Single"/>
    <n v="7991"/>
    <n v="25166"/>
    <n v="8"/>
    <s v="Y"/>
    <x v="1"/>
    <n v="15"/>
    <n v="3"/>
    <n v="3"/>
    <n v="80"/>
    <n v="0"/>
    <n v="6"/>
    <n v="3"/>
    <n v="3"/>
    <n v="2"/>
    <n v="2"/>
    <n v="2"/>
    <n v="2"/>
    <x v="0"/>
    <x v="0"/>
    <s v="Medium"/>
    <x v="1"/>
    <s v="Excellent"/>
    <s v="Better"/>
    <n v="0"/>
    <s v="6,001–10,000"/>
    <s v="16+ miles"/>
    <s v="2–5 years"/>
  </r>
  <r>
    <n v="40"/>
    <x v="1"/>
    <s v="Travel_Rarely"/>
    <n v="616"/>
    <x v="1"/>
    <n v="2"/>
    <x v="0"/>
    <s v="Life Sciences"/>
    <n v="1"/>
    <n v="1802"/>
    <n v="3"/>
    <s v="Female"/>
    <n v="99"/>
    <n v="3"/>
    <n v="1"/>
    <x v="2"/>
    <x v="3"/>
    <s v="Married"/>
    <n v="3377"/>
    <n v="25605"/>
    <n v="4"/>
    <s v="Y"/>
    <x v="1"/>
    <n v="17"/>
    <n v="3"/>
    <n v="4"/>
    <n v="80"/>
    <n v="1"/>
    <n v="7"/>
    <n v="5"/>
    <n v="2"/>
    <n v="4"/>
    <n v="3"/>
    <n v="0"/>
    <n v="2"/>
    <x v="0"/>
    <x v="1"/>
    <s v="High"/>
    <x v="3"/>
    <s v="Excellent"/>
    <s v="Good"/>
    <n v="0"/>
    <s v="3,001–6,000"/>
    <s v="0–5 miles"/>
    <s v="2–5 years"/>
  </r>
  <r>
    <n v="42"/>
    <x v="1"/>
    <s v="Travel_Rarely"/>
    <n v="1128"/>
    <x v="1"/>
    <n v="13"/>
    <x v="3"/>
    <s v="Medical"/>
    <n v="1"/>
    <n v="1803"/>
    <n v="2"/>
    <s v="Male"/>
    <n v="95"/>
    <n v="4"/>
    <n v="2"/>
    <x v="4"/>
    <x v="3"/>
    <s v="Married"/>
    <n v="5538"/>
    <n v="5696"/>
    <n v="5"/>
    <s v="Y"/>
    <x v="1"/>
    <n v="18"/>
    <n v="3"/>
    <n v="3"/>
    <n v="80"/>
    <n v="2"/>
    <n v="10"/>
    <n v="2"/>
    <n v="2"/>
    <n v="0"/>
    <n v="0"/>
    <n v="0"/>
    <n v="0"/>
    <x v="3"/>
    <x v="0"/>
    <s v="Very High"/>
    <x v="3"/>
    <s v="Excellent"/>
    <s v="Good"/>
    <n v="0"/>
    <s v="3,001–6,000"/>
    <s v="11–15 miles"/>
    <s v="0–1 years"/>
  </r>
  <r>
    <n v="35"/>
    <x v="1"/>
    <s v="Non-Travel"/>
    <n v="1180"/>
    <x v="1"/>
    <n v="2"/>
    <x v="0"/>
    <s v="Medical"/>
    <n v="1"/>
    <n v="1804"/>
    <n v="2"/>
    <s v="Male"/>
    <n v="90"/>
    <n v="3"/>
    <n v="2"/>
    <x v="3"/>
    <x v="0"/>
    <s v="Divorced"/>
    <n v="5762"/>
    <n v="24442"/>
    <n v="2"/>
    <s v="Y"/>
    <x v="1"/>
    <n v="14"/>
    <n v="3"/>
    <n v="3"/>
    <n v="80"/>
    <n v="1"/>
    <n v="15"/>
    <n v="6"/>
    <n v="3"/>
    <n v="7"/>
    <n v="7"/>
    <n v="1"/>
    <n v="7"/>
    <x v="0"/>
    <x v="0"/>
    <s v="High"/>
    <x v="0"/>
    <s v="Excellent"/>
    <s v="Better"/>
    <n v="0"/>
    <s v="3,001–6,000"/>
    <s v="0–5 miles"/>
    <s v="6–10 years"/>
  </r>
  <r>
    <n v="38"/>
    <x v="1"/>
    <s v="Non-Travel"/>
    <n v="1336"/>
    <x v="2"/>
    <n v="2"/>
    <x v="3"/>
    <s v="Human Resources"/>
    <n v="1"/>
    <n v="1805"/>
    <n v="1"/>
    <s v="Male"/>
    <n v="100"/>
    <n v="3"/>
    <n v="1"/>
    <x v="8"/>
    <x v="1"/>
    <s v="Divorced"/>
    <n v="2592"/>
    <n v="7129"/>
    <n v="5"/>
    <s v="Y"/>
    <x v="1"/>
    <n v="13"/>
    <n v="3"/>
    <n v="4"/>
    <n v="80"/>
    <n v="3"/>
    <n v="13"/>
    <n v="3"/>
    <n v="3"/>
    <n v="11"/>
    <n v="10"/>
    <n v="3"/>
    <n v="8"/>
    <x v="3"/>
    <x v="3"/>
    <s v="High"/>
    <x v="1"/>
    <s v="Excellent"/>
    <s v="Better"/>
    <n v="0"/>
    <s v="0–3,000"/>
    <s v="0–5 miles"/>
    <s v="11+ years"/>
  </r>
  <r>
    <n v="34"/>
    <x v="0"/>
    <s v="Travel_Frequently"/>
    <n v="234"/>
    <x v="1"/>
    <n v="9"/>
    <x v="2"/>
    <s v="Life Sciences"/>
    <n v="1"/>
    <n v="1807"/>
    <n v="4"/>
    <s v="Male"/>
    <n v="93"/>
    <n v="3"/>
    <n v="2"/>
    <x v="2"/>
    <x v="3"/>
    <s v="Married"/>
    <n v="5346"/>
    <n v="6208"/>
    <n v="4"/>
    <s v="Y"/>
    <x v="1"/>
    <n v="17"/>
    <n v="3"/>
    <n v="3"/>
    <n v="80"/>
    <n v="1"/>
    <n v="11"/>
    <n v="3"/>
    <n v="2"/>
    <n v="7"/>
    <n v="1"/>
    <n v="0"/>
    <n v="7"/>
    <x v="2"/>
    <x v="2"/>
    <s v="High"/>
    <x v="3"/>
    <s v="Excellent"/>
    <s v="Good"/>
    <n v="1"/>
    <s v="3,001–6,000"/>
    <s v="6–10 miles"/>
    <s v="6–10 years"/>
  </r>
  <r>
    <n v="37"/>
    <x v="0"/>
    <s v="Travel_Rarely"/>
    <n v="370"/>
    <x v="1"/>
    <n v="10"/>
    <x v="2"/>
    <s v="Medical"/>
    <n v="1"/>
    <n v="1809"/>
    <n v="4"/>
    <s v="Male"/>
    <n v="58"/>
    <n v="3"/>
    <n v="2"/>
    <x v="3"/>
    <x v="3"/>
    <s v="Single"/>
    <n v="4213"/>
    <n v="4992"/>
    <n v="1"/>
    <s v="Y"/>
    <x v="1"/>
    <n v="15"/>
    <n v="3"/>
    <n v="2"/>
    <n v="80"/>
    <n v="0"/>
    <n v="10"/>
    <n v="4"/>
    <n v="1"/>
    <n v="10"/>
    <n v="3"/>
    <n v="0"/>
    <n v="8"/>
    <x v="2"/>
    <x v="2"/>
    <s v="High"/>
    <x v="3"/>
    <s v="Excellent"/>
    <s v="Bad"/>
    <n v="1"/>
    <s v="3,001–6,000"/>
    <s v="6–10 miles"/>
    <s v="6–10 years"/>
  </r>
  <r>
    <n v="39"/>
    <x v="1"/>
    <s v="Travel_Frequently"/>
    <n v="766"/>
    <x v="0"/>
    <n v="20"/>
    <x v="3"/>
    <s v="Life Sciences"/>
    <n v="1"/>
    <n v="1812"/>
    <n v="3"/>
    <s v="Male"/>
    <n v="83"/>
    <n v="3"/>
    <n v="2"/>
    <x v="0"/>
    <x v="0"/>
    <s v="Divorced"/>
    <n v="4127"/>
    <n v="19188"/>
    <n v="2"/>
    <s v="Y"/>
    <x v="1"/>
    <n v="18"/>
    <n v="3"/>
    <n v="4"/>
    <n v="80"/>
    <n v="1"/>
    <n v="7"/>
    <n v="6"/>
    <n v="3"/>
    <n v="2"/>
    <n v="1"/>
    <n v="2"/>
    <n v="2"/>
    <x v="3"/>
    <x v="1"/>
    <s v="High"/>
    <x v="0"/>
    <s v="Excellent"/>
    <s v="Better"/>
    <n v="0"/>
    <s v="3,001–6,000"/>
    <s v="16+ miles"/>
    <s v="2–5 years"/>
  </r>
  <r>
    <n v="43"/>
    <x v="1"/>
    <s v="Non-Travel"/>
    <n v="343"/>
    <x v="1"/>
    <n v="9"/>
    <x v="3"/>
    <s v="Life Sciences"/>
    <n v="1"/>
    <n v="1813"/>
    <n v="1"/>
    <s v="Male"/>
    <n v="52"/>
    <n v="3"/>
    <n v="1"/>
    <x v="1"/>
    <x v="2"/>
    <s v="Single"/>
    <n v="2438"/>
    <n v="24978"/>
    <n v="4"/>
    <s v="Y"/>
    <x v="1"/>
    <n v="13"/>
    <n v="3"/>
    <n v="3"/>
    <n v="80"/>
    <n v="0"/>
    <n v="7"/>
    <n v="2"/>
    <n v="2"/>
    <n v="3"/>
    <n v="2"/>
    <n v="1"/>
    <n v="2"/>
    <x v="3"/>
    <x v="3"/>
    <s v="High"/>
    <x v="2"/>
    <s v="Excellent"/>
    <s v="Good"/>
    <n v="0"/>
    <s v="0–3,000"/>
    <s v="6–10 miles"/>
    <s v="2–5 years"/>
  </r>
  <r>
    <n v="41"/>
    <x v="1"/>
    <s v="Travel_Rarely"/>
    <n v="447"/>
    <x v="1"/>
    <n v="5"/>
    <x v="3"/>
    <s v="Life Sciences"/>
    <n v="1"/>
    <n v="1814"/>
    <n v="2"/>
    <s v="Male"/>
    <n v="85"/>
    <n v="4"/>
    <n v="2"/>
    <x v="4"/>
    <x v="1"/>
    <s v="Single"/>
    <n v="6870"/>
    <n v="15530"/>
    <n v="3"/>
    <s v="Y"/>
    <x v="1"/>
    <n v="12"/>
    <n v="3"/>
    <n v="1"/>
    <n v="80"/>
    <n v="0"/>
    <n v="11"/>
    <n v="3"/>
    <n v="1"/>
    <n v="3"/>
    <n v="2"/>
    <n v="1"/>
    <n v="2"/>
    <x v="3"/>
    <x v="0"/>
    <s v="Very High"/>
    <x v="1"/>
    <s v="Excellent"/>
    <s v="Bad"/>
    <n v="0"/>
    <s v="6,001–10,000"/>
    <s v="0–5 miles"/>
    <s v="2–5 years"/>
  </r>
  <r>
    <n v="41"/>
    <x v="1"/>
    <s v="Travel_Rarely"/>
    <n v="796"/>
    <x v="0"/>
    <n v="4"/>
    <x v="1"/>
    <s v="Marketing"/>
    <n v="1"/>
    <n v="1815"/>
    <n v="3"/>
    <s v="Female"/>
    <n v="81"/>
    <n v="3"/>
    <n v="3"/>
    <x v="0"/>
    <x v="2"/>
    <s v="Divorced"/>
    <n v="10447"/>
    <n v="26458"/>
    <n v="0"/>
    <s v="Y"/>
    <x v="0"/>
    <n v="13"/>
    <n v="3"/>
    <n v="4"/>
    <n v="80"/>
    <n v="1"/>
    <n v="23"/>
    <n v="3"/>
    <n v="4"/>
    <n v="22"/>
    <n v="14"/>
    <n v="13"/>
    <n v="5"/>
    <x v="1"/>
    <x v="1"/>
    <s v="High"/>
    <x v="2"/>
    <s v="Excellent"/>
    <s v="Best"/>
    <n v="0"/>
    <s v="10,001+"/>
    <s v="0–5 miles"/>
    <s v="11+ years"/>
  </r>
  <r>
    <n v="30"/>
    <x v="1"/>
    <s v="Travel_Rarely"/>
    <n v="1092"/>
    <x v="1"/>
    <n v="10"/>
    <x v="3"/>
    <s v="Medical"/>
    <n v="1"/>
    <n v="1816"/>
    <n v="1"/>
    <s v="Female"/>
    <n v="64"/>
    <n v="3"/>
    <n v="3"/>
    <x v="3"/>
    <x v="2"/>
    <s v="Single"/>
    <n v="9667"/>
    <n v="2739"/>
    <n v="9"/>
    <s v="Y"/>
    <x v="1"/>
    <n v="14"/>
    <n v="3"/>
    <n v="2"/>
    <n v="80"/>
    <n v="0"/>
    <n v="9"/>
    <n v="3"/>
    <n v="3"/>
    <n v="7"/>
    <n v="7"/>
    <n v="0"/>
    <n v="2"/>
    <x v="3"/>
    <x v="3"/>
    <s v="High"/>
    <x v="2"/>
    <s v="Excellent"/>
    <s v="Better"/>
    <n v="0"/>
    <s v="6,001–10,000"/>
    <s v="6–10 miles"/>
    <s v="6–10 years"/>
  </r>
  <r>
    <n v="26"/>
    <x v="0"/>
    <s v="Travel_Rarely"/>
    <n v="920"/>
    <x v="2"/>
    <n v="20"/>
    <x v="0"/>
    <s v="Medical"/>
    <n v="1"/>
    <n v="1818"/>
    <n v="4"/>
    <s v="Female"/>
    <n v="69"/>
    <n v="3"/>
    <n v="1"/>
    <x v="8"/>
    <x v="1"/>
    <s v="Married"/>
    <n v="2148"/>
    <n v="6889"/>
    <n v="0"/>
    <s v="Y"/>
    <x v="0"/>
    <n v="11"/>
    <n v="3"/>
    <n v="3"/>
    <n v="80"/>
    <n v="0"/>
    <n v="6"/>
    <n v="3"/>
    <n v="3"/>
    <n v="5"/>
    <n v="1"/>
    <n v="1"/>
    <n v="4"/>
    <x v="0"/>
    <x v="2"/>
    <s v="High"/>
    <x v="1"/>
    <s v="Excellent"/>
    <s v="Better"/>
    <n v="1"/>
    <s v="0–3,000"/>
    <s v="16+ miles"/>
    <s v="2–5 years"/>
  </r>
  <r>
    <n v="46"/>
    <x v="0"/>
    <s v="Travel_Rarely"/>
    <n v="261"/>
    <x v="1"/>
    <n v="21"/>
    <x v="0"/>
    <s v="Medical"/>
    <n v="1"/>
    <n v="1821"/>
    <n v="4"/>
    <s v="Female"/>
    <n v="66"/>
    <n v="3"/>
    <n v="2"/>
    <x v="4"/>
    <x v="1"/>
    <s v="Married"/>
    <n v="8926"/>
    <n v="10842"/>
    <n v="4"/>
    <s v="Y"/>
    <x v="1"/>
    <n v="22"/>
    <n v="4"/>
    <n v="4"/>
    <n v="80"/>
    <n v="1"/>
    <n v="13"/>
    <n v="2"/>
    <n v="4"/>
    <n v="9"/>
    <n v="7"/>
    <n v="3"/>
    <n v="7"/>
    <x v="0"/>
    <x v="2"/>
    <s v="High"/>
    <x v="1"/>
    <s v="Outstanding"/>
    <s v="Best"/>
    <n v="1"/>
    <s v="6,001–10,000"/>
    <s v="16+ miles"/>
    <s v="6–10 years"/>
  </r>
  <r>
    <n v="40"/>
    <x v="1"/>
    <s v="Travel_Rarely"/>
    <n v="1194"/>
    <x v="1"/>
    <n v="1"/>
    <x v="3"/>
    <s v="Life Sciences"/>
    <n v="1"/>
    <n v="1822"/>
    <n v="3"/>
    <s v="Female"/>
    <n v="52"/>
    <n v="3"/>
    <n v="2"/>
    <x v="4"/>
    <x v="0"/>
    <s v="Divorced"/>
    <n v="6513"/>
    <n v="9060"/>
    <n v="4"/>
    <s v="Y"/>
    <x v="1"/>
    <n v="17"/>
    <n v="3"/>
    <n v="4"/>
    <n v="80"/>
    <n v="1"/>
    <n v="12"/>
    <n v="3"/>
    <n v="3"/>
    <n v="5"/>
    <n v="3"/>
    <n v="0"/>
    <n v="3"/>
    <x v="3"/>
    <x v="1"/>
    <s v="High"/>
    <x v="0"/>
    <s v="Excellent"/>
    <s v="Better"/>
    <n v="0"/>
    <s v="6,001–10,000"/>
    <s v="0–5 miles"/>
    <s v="2–5 years"/>
  </r>
  <r>
    <n v="34"/>
    <x v="1"/>
    <s v="Travel_Rarely"/>
    <n v="810"/>
    <x v="0"/>
    <n v="8"/>
    <x v="0"/>
    <s v="Technical Degree"/>
    <n v="1"/>
    <n v="1823"/>
    <n v="2"/>
    <s v="Male"/>
    <n v="92"/>
    <n v="4"/>
    <n v="2"/>
    <x v="0"/>
    <x v="2"/>
    <s v="Married"/>
    <n v="6799"/>
    <n v="22128"/>
    <n v="1"/>
    <s v="Y"/>
    <x v="1"/>
    <n v="21"/>
    <n v="4"/>
    <n v="3"/>
    <n v="80"/>
    <n v="2"/>
    <n v="10"/>
    <n v="5"/>
    <n v="3"/>
    <n v="10"/>
    <n v="8"/>
    <n v="4"/>
    <n v="8"/>
    <x v="0"/>
    <x v="0"/>
    <s v="Very High"/>
    <x v="2"/>
    <s v="Outstanding"/>
    <s v="Better"/>
    <n v="0"/>
    <s v="6,001–10,000"/>
    <s v="6–10 miles"/>
    <s v="6–10 years"/>
  </r>
  <r>
    <n v="58"/>
    <x v="1"/>
    <s v="Non-Travel"/>
    <n v="350"/>
    <x v="0"/>
    <n v="2"/>
    <x v="3"/>
    <s v="Medical"/>
    <n v="1"/>
    <n v="1824"/>
    <n v="2"/>
    <s v="Male"/>
    <n v="52"/>
    <n v="3"/>
    <n v="4"/>
    <x v="5"/>
    <x v="1"/>
    <s v="Divorced"/>
    <n v="16291"/>
    <n v="22577"/>
    <n v="4"/>
    <s v="Y"/>
    <x v="1"/>
    <n v="22"/>
    <n v="4"/>
    <n v="4"/>
    <n v="80"/>
    <n v="1"/>
    <n v="37"/>
    <n v="0"/>
    <n v="2"/>
    <n v="16"/>
    <n v="9"/>
    <n v="14"/>
    <n v="14"/>
    <x v="3"/>
    <x v="0"/>
    <s v="High"/>
    <x v="1"/>
    <s v="Outstanding"/>
    <s v="Good"/>
    <n v="0"/>
    <s v="10,001+"/>
    <s v="0–5 miles"/>
    <s v="11+ years"/>
  </r>
  <r>
    <n v="35"/>
    <x v="1"/>
    <s v="Travel_Rarely"/>
    <n v="185"/>
    <x v="1"/>
    <n v="23"/>
    <x v="2"/>
    <s v="Medical"/>
    <n v="1"/>
    <n v="1826"/>
    <n v="2"/>
    <s v="Male"/>
    <n v="91"/>
    <n v="1"/>
    <n v="1"/>
    <x v="2"/>
    <x v="2"/>
    <s v="Married"/>
    <n v="2705"/>
    <n v="9696"/>
    <n v="0"/>
    <s v="Y"/>
    <x v="1"/>
    <n v="16"/>
    <n v="3"/>
    <n v="2"/>
    <n v="80"/>
    <n v="1"/>
    <n v="6"/>
    <n v="2"/>
    <n v="4"/>
    <n v="5"/>
    <n v="4"/>
    <n v="0"/>
    <n v="3"/>
    <x v="2"/>
    <x v="0"/>
    <s v="Low"/>
    <x v="2"/>
    <s v="Excellent"/>
    <s v="Best"/>
    <n v="0"/>
    <s v="0–3,000"/>
    <s v="16+ miles"/>
    <s v="2–5 years"/>
  </r>
  <r>
    <n v="47"/>
    <x v="1"/>
    <s v="Travel_Rarely"/>
    <n v="1001"/>
    <x v="1"/>
    <n v="4"/>
    <x v="3"/>
    <s v="Life Sciences"/>
    <n v="1"/>
    <n v="1827"/>
    <n v="3"/>
    <s v="Female"/>
    <n v="92"/>
    <n v="2"/>
    <n v="3"/>
    <x v="3"/>
    <x v="1"/>
    <s v="Divorced"/>
    <n v="10333"/>
    <n v="19271"/>
    <n v="8"/>
    <s v="Y"/>
    <x v="0"/>
    <n v="12"/>
    <n v="3"/>
    <n v="3"/>
    <n v="80"/>
    <n v="1"/>
    <n v="28"/>
    <n v="4"/>
    <n v="3"/>
    <n v="22"/>
    <n v="11"/>
    <n v="14"/>
    <n v="10"/>
    <x v="3"/>
    <x v="1"/>
    <s v="Medium"/>
    <x v="1"/>
    <s v="Excellent"/>
    <s v="Better"/>
    <n v="0"/>
    <s v="10,001+"/>
    <s v="0–5 miles"/>
    <s v="11+ years"/>
  </r>
  <r>
    <n v="40"/>
    <x v="1"/>
    <s v="Travel_Rarely"/>
    <n v="750"/>
    <x v="1"/>
    <n v="12"/>
    <x v="3"/>
    <s v="Life Sciences"/>
    <n v="1"/>
    <n v="1829"/>
    <n v="2"/>
    <s v="Female"/>
    <n v="47"/>
    <n v="3"/>
    <n v="2"/>
    <x v="4"/>
    <x v="3"/>
    <s v="Divorced"/>
    <n v="4448"/>
    <n v="10748"/>
    <n v="2"/>
    <s v="Y"/>
    <x v="1"/>
    <n v="12"/>
    <n v="3"/>
    <n v="2"/>
    <n v="80"/>
    <n v="1"/>
    <n v="15"/>
    <n v="3"/>
    <n v="3"/>
    <n v="7"/>
    <n v="4"/>
    <n v="7"/>
    <n v="7"/>
    <x v="3"/>
    <x v="0"/>
    <s v="High"/>
    <x v="3"/>
    <s v="Excellent"/>
    <s v="Better"/>
    <n v="0"/>
    <s v="3,001–6,000"/>
    <s v="11–15 miles"/>
    <s v="6–10 years"/>
  </r>
  <r>
    <n v="54"/>
    <x v="1"/>
    <s v="Travel_Rarely"/>
    <n v="431"/>
    <x v="1"/>
    <n v="7"/>
    <x v="2"/>
    <s v="Medical"/>
    <n v="1"/>
    <n v="1830"/>
    <n v="4"/>
    <s v="Female"/>
    <n v="68"/>
    <n v="3"/>
    <n v="2"/>
    <x v="1"/>
    <x v="0"/>
    <s v="Married"/>
    <n v="6854"/>
    <n v="15696"/>
    <n v="4"/>
    <s v="Y"/>
    <x v="1"/>
    <n v="15"/>
    <n v="3"/>
    <n v="2"/>
    <n v="80"/>
    <n v="1"/>
    <n v="14"/>
    <n v="2"/>
    <n v="2"/>
    <n v="7"/>
    <n v="1"/>
    <n v="1"/>
    <n v="7"/>
    <x v="2"/>
    <x v="2"/>
    <s v="High"/>
    <x v="0"/>
    <s v="Excellent"/>
    <s v="Good"/>
    <n v="0"/>
    <s v="6,001–10,000"/>
    <s v="6–10 miles"/>
    <s v="6–10 years"/>
  </r>
  <r>
    <n v="31"/>
    <x v="1"/>
    <s v="Travel_Frequently"/>
    <n v="1125"/>
    <x v="0"/>
    <n v="7"/>
    <x v="2"/>
    <s v="Marketing"/>
    <n v="1"/>
    <n v="1833"/>
    <n v="1"/>
    <s v="Female"/>
    <n v="68"/>
    <n v="3"/>
    <n v="3"/>
    <x v="0"/>
    <x v="3"/>
    <s v="Married"/>
    <n v="9637"/>
    <n v="8277"/>
    <n v="2"/>
    <s v="Y"/>
    <x v="1"/>
    <n v="14"/>
    <n v="3"/>
    <n v="4"/>
    <n v="80"/>
    <n v="2"/>
    <n v="9"/>
    <n v="3"/>
    <n v="3"/>
    <n v="3"/>
    <n v="2"/>
    <n v="2"/>
    <n v="2"/>
    <x v="2"/>
    <x v="3"/>
    <s v="High"/>
    <x v="3"/>
    <s v="Excellent"/>
    <s v="Better"/>
    <n v="0"/>
    <s v="6,001–10,000"/>
    <s v="6–10 miles"/>
    <s v="2–5 years"/>
  </r>
  <r>
    <n v="28"/>
    <x v="1"/>
    <s v="Travel_Rarely"/>
    <n v="1217"/>
    <x v="1"/>
    <n v="1"/>
    <x v="3"/>
    <s v="Medical"/>
    <n v="1"/>
    <n v="1834"/>
    <n v="3"/>
    <s v="Female"/>
    <n v="67"/>
    <n v="3"/>
    <n v="1"/>
    <x v="1"/>
    <x v="3"/>
    <s v="Married"/>
    <n v="3591"/>
    <n v="12719"/>
    <n v="1"/>
    <s v="Y"/>
    <x v="1"/>
    <n v="25"/>
    <n v="4"/>
    <n v="3"/>
    <n v="80"/>
    <n v="1"/>
    <n v="3"/>
    <n v="3"/>
    <n v="3"/>
    <n v="3"/>
    <n v="2"/>
    <n v="1"/>
    <n v="2"/>
    <x v="3"/>
    <x v="1"/>
    <s v="High"/>
    <x v="3"/>
    <s v="Outstanding"/>
    <s v="Better"/>
    <n v="0"/>
    <s v="3,001–6,000"/>
    <s v="0–5 miles"/>
    <s v="2–5 years"/>
  </r>
  <r>
    <n v="38"/>
    <x v="1"/>
    <s v="Travel_Rarely"/>
    <n v="723"/>
    <x v="0"/>
    <n v="2"/>
    <x v="2"/>
    <s v="Marketing"/>
    <n v="1"/>
    <n v="1835"/>
    <n v="2"/>
    <s v="Female"/>
    <n v="77"/>
    <n v="1"/>
    <n v="2"/>
    <x v="6"/>
    <x v="0"/>
    <s v="Married"/>
    <n v="5405"/>
    <n v="4244"/>
    <n v="2"/>
    <s v="Y"/>
    <x v="0"/>
    <n v="20"/>
    <n v="4"/>
    <n v="1"/>
    <n v="80"/>
    <n v="2"/>
    <n v="20"/>
    <n v="4"/>
    <n v="2"/>
    <n v="4"/>
    <n v="2"/>
    <n v="0"/>
    <n v="3"/>
    <x v="2"/>
    <x v="0"/>
    <s v="Low"/>
    <x v="0"/>
    <s v="Outstanding"/>
    <s v="Good"/>
    <n v="0"/>
    <s v="3,001–6,000"/>
    <s v="0–5 miles"/>
    <s v="2–5 years"/>
  </r>
  <r>
    <n v="26"/>
    <x v="1"/>
    <s v="Travel_Rarely"/>
    <n v="572"/>
    <x v="0"/>
    <n v="10"/>
    <x v="3"/>
    <s v="Medical"/>
    <n v="1"/>
    <n v="1836"/>
    <n v="3"/>
    <s v="Male"/>
    <n v="46"/>
    <n v="3"/>
    <n v="2"/>
    <x v="0"/>
    <x v="0"/>
    <s v="Single"/>
    <n v="4684"/>
    <n v="9125"/>
    <n v="1"/>
    <s v="Y"/>
    <x v="1"/>
    <n v="13"/>
    <n v="3"/>
    <n v="1"/>
    <n v="80"/>
    <n v="0"/>
    <n v="5"/>
    <n v="4"/>
    <n v="3"/>
    <n v="5"/>
    <n v="3"/>
    <n v="1"/>
    <n v="2"/>
    <x v="3"/>
    <x v="1"/>
    <s v="High"/>
    <x v="0"/>
    <s v="Excellent"/>
    <s v="Better"/>
    <n v="0"/>
    <s v="3,001–6,000"/>
    <s v="6–10 miles"/>
    <s v="2–5 years"/>
  </r>
  <r>
    <n v="58"/>
    <x v="1"/>
    <s v="Travel_Frequently"/>
    <n v="1216"/>
    <x v="1"/>
    <n v="15"/>
    <x v="2"/>
    <s v="Life Sciences"/>
    <n v="1"/>
    <n v="1837"/>
    <n v="1"/>
    <s v="Male"/>
    <n v="87"/>
    <n v="3"/>
    <n v="4"/>
    <x v="7"/>
    <x v="2"/>
    <s v="Married"/>
    <n v="15787"/>
    <n v="21624"/>
    <n v="2"/>
    <s v="Y"/>
    <x v="0"/>
    <n v="14"/>
    <n v="3"/>
    <n v="2"/>
    <n v="80"/>
    <n v="0"/>
    <n v="23"/>
    <n v="3"/>
    <n v="3"/>
    <n v="2"/>
    <n v="2"/>
    <n v="2"/>
    <n v="2"/>
    <x v="2"/>
    <x v="3"/>
    <s v="High"/>
    <x v="2"/>
    <s v="Excellent"/>
    <s v="Better"/>
    <n v="0"/>
    <s v="10,001+"/>
    <s v="11–15 miles"/>
    <s v="2–5 years"/>
  </r>
  <r>
    <n v="18"/>
    <x v="1"/>
    <s v="Non-Travel"/>
    <n v="1431"/>
    <x v="1"/>
    <n v="14"/>
    <x v="3"/>
    <s v="Medical"/>
    <n v="1"/>
    <n v="1839"/>
    <n v="2"/>
    <s v="Female"/>
    <n v="33"/>
    <n v="3"/>
    <n v="1"/>
    <x v="1"/>
    <x v="2"/>
    <s v="Single"/>
    <n v="1514"/>
    <n v="8018"/>
    <n v="1"/>
    <s v="Y"/>
    <x v="1"/>
    <n v="16"/>
    <n v="3"/>
    <n v="3"/>
    <n v="80"/>
    <n v="0"/>
    <n v="0"/>
    <n v="4"/>
    <n v="1"/>
    <n v="0"/>
    <n v="0"/>
    <n v="0"/>
    <n v="0"/>
    <x v="3"/>
    <x v="0"/>
    <s v="High"/>
    <x v="2"/>
    <s v="Excellent"/>
    <s v="Bad"/>
    <n v="0"/>
    <s v="0–3,000"/>
    <s v="11–15 miles"/>
    <s v="0–1 years"/>
  </r>
  <r>
    <n v="31"/>
    <x v="0"/>
    <s v="Travel_Rarely"/>
    <n v="359"/>
    <x v="2"/>
    <n v="18"/>
    <x v="4"/>
    <s v="Human Resources"/>
    <n v="1"/>
    <n v="1842"/>
    <n v="4"/>
    <s v="Male"/>
    <n v="89"/>
    <n v="4"/>
    <n v="1"/>
    <x v="8"/>
    <x v="3"/>
    <s v="Married"/>
    <n v="2956"/>
    <n v="21495"/>
    <n v="0"/>
    <s v="Y"/>
    <x v="1"/>
    <n v="17"/>
    <n v="3"/>
    <n v="3"/>
    <n v="80"/>
    <n v="0"/>
    <n v="2"/>
    <n v="4"/>
    <n v="3"/>
    <n v="1"/>
    <n v="0"/>
    <n v="0"/>
    <n v="0"/>
    <x v="4"/>
    <x v="2"/>
    <s v="Very High"/>
    <x v="3"/>
    <s v="Excellent"/>
    <s v="Better"/>
    <n v="1"/>
    <s v="0–3,000"/>
    <s v="16+ miles"/>
    <s v="0–1 years"/>
  </r>
  <r>
    <n v="29"/>
    <x v="0"/>
    <s v="Travel_Rarely"/>
    <n v="350"/>
    <x v="2"/>
    <n v="13"/>
    <x v="3"/>
    <s v="Human Resources"/>
    <n v="1"/>
    <n v="1844"/>
    <n v="1"/>
    <s v="Male"/>
    <n v="56"/>
    <n v="2"/>
    <n v="1"/>
    <x v="8"/>
    <x v="3"/>
    <s v="Divorced"/>
    <n v="2335"/>
    <n v="3157"/>
    <n v="4"/>
    <s v="Y"/>
    <x v="0"/>
    <n v="15"/>
    <n v="3"/>
    <n v="4"/>
    <n v="80"/>
    <n v="3"/>
    <n v="4"/>
    <n v="3"/>
    <n v="3"/>
    <n v="2"/>
    <n v="2"/>
    <n v="2"/>
    <n v="0"/>
    <x v="3"/>
    <x v="3"/>
    <s v="Medium"/>
    <x v="3"/>
    <s v="Excellent"/>
    <s v="Better"/>
    <n v="1"/>
    <s v="0–3,000"/>
    <s v="11–15 miles"/>
    <s v="2–5 years"/>
  </r>
  <r>
    <n v="45"/>
    <x v="1"/>
    <s v="Non-Travel"/>
    <n v="589"/>
    <x v="0"/>
    <n v="2"/>
    <x v="2"/>
    <s v="Life Sciences"/>
    <n v="1"/>
    <n v="1845"/>
    <n v="3"/>
    <s v="Female"/>
    <n v="67"/>
    <n v="3"/>
    <n v="2"/>
    <x v="0"/>
    <x v="2"/>
    <s v="Married"/>
    <n v="5154"/>
    <n v="19665"/>
    <n v="4"/>
    <s v="Y"/>
    <x v="1"/>
    <n v="22"/>
    <n v="4"/>
    <n v="2"/>
    <n v="80"/>
    <n v="2"/>
    <n v="10"/>
    <n v="3"/>
    <n v="4"/>
    <n v="8"/>
    <n v="7"/>
    <n v="5"/>
    <n v="7"/>
    <x v="2"/>
    <x v="1"/>
    <s v="High"/>
    <x v="2"/>
    <s v="Outstanding"/>
    <s v="Best"/>
    <n v="0"/>
    <s v="3,001–6,000"/>
    <s v="0–5 miles"/>
    <s v="6–10 years"/>
  </r>
  <r>
    <n v="36"/>
    <x v="1"/>
    <s v="Travel_Rarely"/>
    <n v="430"/>
    <x v="1"/>
    <n v="2"/>
    <x v="2"/>
    <s v="Other"/>
    <n v="1"/>
    <n v="1847"/>
    <n v="4"/>
    <s v="Female"/>
    <n v="73"/>
    <n v="3"/>
    <n v="2"/>
    <x v="1"/>
    <x v="1"/>
    <s v="Married"/>
    <n v="6962"/>
    <n v="19573"/>
    <n v="4"/>
    <s v="Y"/>
    <x v="0"/>
    <n v="22"/>
    <n v="4"/>
    <n v="4"/>
    <n v="80"/>
    <n v="1"/>
    <n v="15"/>
    <n v="2"/>
    <n v="3"/>
    <n v="1"/>
    <n v="0"/>
    <n v="0"/>
    <n v="0"/>
    <x v="2"/>
    <x v="2"/>
    <s v="High"/>
    <x v="1"/>
    <s v="Outstanding"/>
    <s v="Better"/>
    <n v="0"/>
    <s v="6,001–10,000"/>
    <s v="0–5 miles"/>
    <s v="0–1 years"/>
  </r>
  <r>
    <n v="43"/>
    <x v="1"/>
    <s v="Travel_Frequently"/>
    <n v="1422"/>
    <x v="0"/>
    <n v="2"/>
    <x v="2"/>
    <s v="Life Sciences"/>
    <n v="1"/>
    <n v="1849"/>
    <n v="1"/>
    <s v="Male"/>
    <n v="92"/>
    <n v="3"/>
    <n v="2"/>
    <x v="0"/>
    <x v="0"/>
    <s v="Married"/>
    <n v="5675"/>
    <n v="19246"/>
    <n v="1"/>
    <s v="Y"/>
    <x v="1"/>
    <n v="20"/>
    <n v="4"/>
    <n v="3"/>
    <n v="80"/>
    <n v="1"/>
    <n v="7"/>
    <n v="5"/>
    <n v="3"/>
    <n v="7"/>
    <n v="7"/>
    <n v="7"/>
    <n v="7"/>
    <x v="2"/>
    <x v="3"/>
    <s v="High"/>
    <x v="0"/>
    <s v="Outstanding"/>
    <s v="Better"/>
    <n v="0"/>
    <s v="3,001–6,000"/>
    <s v="0–5 miles"/>
    <s v="6–10 years"/>
  </r>
  <r>
    <n v="27"/>
    <x v="1"/>
    <s v="Travel_Frequently"/>
    <n v="1297"/>
    <x v="1"/>
    <n v="5"/>
    <x v="0"/>
    <s v="Life Sciences"/>
    <n v="1"/>
    <n v="1850"/>
    <n v="4"/>
    <s v="Female"/>
    <n v="53"/>
    <n v="3"/>
    <n v="1"/>
    <x v="2"/>
    <x v="0"/>
    <s v="Single"/>
    <n v="2379"/>
    <n v="19826"/>
    <n v="0"/>
    <s v="Y"/>
    <x v="0"/>
    <n v="14"/>
    <n v="3"/>
    <n v="3"/>
    <n v="80"/>
    <n v="0"/>
    <n v="6"/>
    <n v="3"/>
    <n v="2"/>
    <n v="5"/>
    <n v="4"/>
    <n v="0"/>
    <n v="2"/>
    <x v="0"/>
    <x v="2"/>
    <s v="High"/>
    <x v="0"/>
    <s v="Excellent"/>
    <s v="Good"/>
    <n v="0"/>
    <s v="0–3,000"/>
    <s v="0–5 miles"/>
    <s v="2–5 years"/>
  </r>
  <r>
    <n v="29"/>
    <x v="1"/>
    <s v="Travel_Frequently"/>
    <n v="574"/>
    <x v="1"/>
    <n v="20"/>
    <x v="1"/>
    <s v="Medical"/>
    <n v="1"/>
    <n v="1852"/>
    <n v="4"/>
    <s v="Male"/>
    <n v="40"/>
    <n v="3"/>
    <n v="1"/>
    <x v="2"/>
    <x v="0"/>
    <s v="Married"/>
    <n v="3812"/>
    <n v="7003"/>
    <n v="1"/>
    <s v="Y"/>
    <x v="1"/>
    <n v="13"/>
    <n v="3"/>
    <n v="2"/>
    <n v="80"/>
    <n v="0"/>
    <n v="11"/>
    <n v="3"/>
    <n v="4"/>
    <n v="11"/>
    <n v="8"/>
    <n v="3"/>
    <n v="10"/>
    <x v="1"/>
    <x v="2"/>
    <s v="High"/>
    <x v="0"/>
    <s v="Excellent"/>
    <s v="Best"/>
    <n v="0"/>
    <s v="3,001–6,000"/>
    <s v="16+ miles"/>
    <s v="11+ years"/>
  </r>
  <r>
    <n v="32"/>
    <x v="1"/>
    <s v="Travel_Frequently"/>
    <n v="1318"/>
    <x v="0"/>
    <n v="10"/>
    <x v="2"/>
    <s v="Marketing"/>
    <n v="1"/>
    <n v="1853"/>
    <n v="4"/>
    <s v="Male"/>
    <n v="79"/>
    <n v="3"/>
    <n v="2"/>
    <x v="0"/>
    <x v="0"/>
    <s v="Single"/>
    <n v="4648"/>
    <n v="26075"/>
    <n v="8"/>
    <s v="Y"/>
    <x v="1"/>
    <n v="13"/>
    <n v="3"/>
    <n v="3"/>
    <n v="80"/>
    <n v="0"/>
    <n v="4"/>
    <n v="2"/>
    <n v="4"/>
    <n v="0"/>
    <n v="0"/>
    <n v="0"/>
    <n v="0"/>
    <x v="2"/>
    <x v="2"/>
    <s v="High"/>
    <x v="0"/>
    <s v="Excellent"/>
    <s v="Best"/>
    <n v="0"/>
    <s v="3,001–6,000"/>
    <s v="6–10 miles"/>
    <s v="0–1 years"/>
  </r>
  <r>
    <n v="42"/>
    <x v="1"/>
    <s v="Non-Travel"/>
    <n v="355"/>
    <x v="1"/>
    <n v="10"/>
    <x v="2"/>
    <s v="Technical Degree"/>
    <n v="1"/>
    <n v="1854"/>
    <n v="3"/>
    <s v="Male"/>
    <n v="38"/>
    <n v="3"/>
    <n v="1"/>
    <x v="1"/>
    <x v="2"/>
    <s v="Married"/>
    <n v="2936"/>
    <n v="6161"/>
    <n v="3"/>
    <s v="Y"/>
    <x v="1"/>
    <n v="22"/>
    <n v="4"/>
    <n v="2"/>
    <n v="80"/>
    <n v="2"/>
    <n v="10"/>
    <n v="1"/>
    <n v="2"/>
    <n v="6"/>
    <n v="3"/>
    <n v="3"/>
    <n v="3"/>
    <x v="2"/>
    <x v="1"/>
    <s v="High"/>
    <x v="2"/>
    <s v="Outstanding"/>
    <s v="Good"/>
    <n v="0"/>
    <s v="0–3,000"/>
    <s v="6–10 miles"/>
    <s v="6–10 years"/>
  </r>
  <r>
    <n v="47"/>
    <x v="1"/>
    <s v="Travel_Rarely"/>
    <n v="207"/>
    <x v="1"/>
    <n v="9"/>
    <x v="2"/>
    <s v="Life Sciences"/>
    <n v="1"/>
    <n v="1856"/>
    <n v="2"/>
    <s v="Female"/>
    <n v="64"/>
    <n v="3"/>
    <n v="1"/>
    <x v="2"/>
    <x v="2"/>
    <s v="Single"/>
    <n v="2105"/>
    <n v="5411"/>
    <n v="4"/>
    <s v="Y"/>
    <x v="1"/>
    <n v="12"/>
    <n v="3"/>
    <n v="3"/>
    <n v="80"/>
    <n v="0"/>
    <n v="7"/>
    <n v="2"/>
    <n v="3"/>
    <n v="2"/>
    <n v="2"/>
    <n v="2"/>
    <n v="0"/>
    <x v="2"/>
    <x v="0"/>
    <s v="High"/>
    <x v="2"/>
    <s v="Excellent"/>
    <s v="Better"/>
    <n v="0"/>
    <s v="0–3,000"/>
    <s v="6–10 miles"/>
    <s v="2–5 years"/>
  </r>
  <r>
    <n v="46"/>
    <x v="1"/>
    <s v="Travel_Rarely"/>
    <n v="706"/>
    <x v="1"/>
    <n v="2"/>
    <x v="0"/>
    <s v="Life Sciences"/>
    <n v="1"/>
    <n v="1857"/>
    <n v="4"/>
    <s v="Male"/>
    <n v="82"/>
    <n v="3"/>
    <n v="3"/>
    <x v="3"/>
    <x v="0"/>
    <s v="Divorced"/>
    <n v="8578"/>
    <n v="19989"/>
    <n v="3"/>
    <s v="Y"/>
    <x v="1"/>
    <n v="14"/>
    <n v="3"/>
    <n v="3"/>
    <n v="80"/>
    <n v="1"/>
    <n v="12"/>
    <n v="4"/>
    <n v="2"/>
    <n v="9"/>
    <n v="8"/>
    <n v="4"/>
    <n v="7"/>
    <x v="0"/>
    <x v="2"/>
    <s v="High"/>
    <x v="0"/>
    <s v="Excellent"/>
    <s v="Good"/>
    <n v="0"/>
    <s v="6,001–10,000"/>
    <s v="0–5 miles"/>
    <s v="6–10 years"/>
  </r>
  <r>
    <n v="28"/>
    <x v="1"/>
    <s v="Non-Travel"/>
    <n v="280"/>
    <x v="2"/>
    <n v="1"/>
    <x v="0"/>
    <s v="Life Sciences"/>
    <n v="1"/>
    <n v="1858"/>
    <n v="3"/>
    <s v="Male"/>
    <n v="43"/>
    <n v="3"/>
    <n v="1"/>
    <x v="8"/>
    <x v="0"/>
    <s v="Divorced"/>
    <n v="2706"/>
    <n v="10494"/>
    <n v="1"/>
    <s v="Y"/>
    <x v="1"/>
    <n v="15"/>
    <n v="3"/>
    <n v="2"/>
    <n v="80"/>
    <n v="1"/>
    <n v="3"/>
    <n v="2"/>
    <n v="3"/>
    <n v="3"/>
    <n v="2"/>
    <n v="2"/>
    <n v="2"/>
    <x v="0"/>
    <x v="1"/>
    <s v="High"/>
    <x v="0"/>
    <s v="Excellent"/>
    <s v="Better"/>
    <n v="0"/>
    <s v="0–3,000"/>
    <s v="0–5 miles"/>
    <s v="2–5 years"/>
  </r>
  <r>
    <n v="29"/>
    <x v="1"/>
    <s v="Travel_Rarely"/>
    <n v="726"/>
    <x v="1"/>
    <n v="29"/>
    <x v="1"/>
    <s v="Life Sciences"/>
    <n v="1"/>
    <n v="1859"/>
    <n v="4"/>
    <s v="Male"/>
    <n v="93"/>
    <n v="1"/>
    <n v="2"/>
    <x v="4"/>
    <x v="2"/>
    <s v="Divorced"/>
    <n v="6384"/>
    <n v="21143"/>
    <n v="8"/>
    <s v="Y"/>
    <x v="1"/>
    <n v="17"/>
    <n v="3"/>
    <n v="4"/>
    <n v="80"/>
    <n v="2"/>
    <n v="11"/>
    <n v="3"/>
    <n v="3"/>
    <n v="7"/>
    <n v="0"/>
    <n v="1"/>
    <n v="6"/>
    <x v="1"/>
    <x v="2"/>
    <s v="Low"/>
    <x v="2"/>
    <s v="Excellent"/>
    <s v="Better"/>
    <n v="0"/>
    <s v="6,001–10,000"/>
    <s v="16+ miles"/>
    <s v="6–10 years"/>
  </r>
  <r>
    <n v="42"/>
    <x v="1"/>
    <s v="Travel_Rarely"/>
    <n v="1142"/>
    <x v="1"/>
    <n v="8"/>
    <x v="3"/>
    <s v="Life Sciences"/>
    <n v="1"/>
    <n v="1860"/>
    <n v="4"/>
    <s v="Male"/>
    <n v="81"/>
    <n v="3"/>
    <n v="1"/>
    <x v="2"/>
    <x v="2"/>
    <s v="Single"/>
    <n v="3968"/>
    <n v="13624"/>
    <n v="4"/>
    <s v="Y"/>
    <x v="1"/>
    <n v="13"/>
    <n v="3"/>
    <n v="4"/>
    <n v="80"/>
    <n v="0"/>
    <n v="8"/>
    <n v="3"/>
    <n v="3"/>
    <n v="0"/>
    <n v="0"/>
    <n v="0"/>
    <n v="0"/>
    <x v="3"/>
    <x v="2"/>
    <s v="High"/>
    <x v="2"/>
    <s v="Excellent"/>
    <s v="Better"/>
    <n v="0"/>
    <s v="3,001–6,000"/>
    <s v="6–10 miles"/>
    <s v="0–1 years"/>
  </r>
  <r>
    <n v="32"/>
    <x v="0"/>
    <s v="Travel_Rarely"/>
    <n v="414"/>
    <x v="0"/>
    <n v="2"/>
    <x v="2"/>
    <s v="Marketing"/>
    <n v="1"/>
    <n v="1862"/>
    <n v="3"/>
    <s v="Male"/>
    <n v="82"/>
    <n v="2"/>
    <n v="2"/>
    <x v="0"/>
    <x v="1"/>
    <s v="Single"/>
    <n v="9907"/>
    <n v="26186"/>
    <n v="7"/>
    <s v="Y"/>
    <x v="0"/>
    <n v="12"/>
    <n v="3"/>
    <n v="3"/>
    <n v="80"/>
    <n v="0"/>
    <n v="7"/>
    <n v="3"/>
    <n v="2"/>
    <n v="2"/>
    <n v="2"/>
    <n v="2"/>
    <n v="2"/>
    <x v="2"/>
    <x v="1"/>
    <s v="Medium"/>
    <x v="1"/>
    <s v="Excellent"/>
    <s v="Good"/>
    <n v="1"/>
    <s v="6,001–10,000"/>
    <s v="0–5 miles"/>
    <s v="2–5 years"/>
  </r>
  <r>
    <n v="46"/>
    <x v="1"/>
    <s v="Travel_Rarely"/>
    <n v="1319"/>
    <x v="0"/>
    <n v="3"/>
    <x v="3"/>
    <s v="Technical Degree"/>
    <n v="1"/>
    <n v="1863"/>
    <n v="1"/>
    <s v="Female"/>
    <n v="45"/>
    <n v="4"/>
    <n v="4"/>
    <x v="0"/>
    <x v="3"/>
    <s v="Divorced"/>
    <n v="13225"/>
    <n v="7739"/>
    <n v="2"/>
    <s v="Y"/>
    <x v="1"/>
    <n v="12"/>
    <n v="3"/>
    <n v="4"/>
    <n v="80"/>
    <n v="1"/>
    <n v="25"/>
    <n v="5"/>
    <n v="3"/>
    <n v="19"/>
    <n v="17"/>
    <n v="2"/>
    <n v="8"/>
    <x v="3"/>
    <x v="3"/>
    <s v="Very High"/>
    <x v="3"/>
    <s v="Excellent"/>
    <s v="Better"/>
    <n v="0"/>
    <s v="10,001+"/>
    <s v="0–5 miles"/>
    <s v="11+ years"/>
  </r>
  <r>
    <n v="27"/>
    <x v="1"/>
    <s v="Travel_Rarely"/>
    <n v="728"/>
    <x v="0"/>
    <n v="23"/>
    <x v="1"/>
    <s v="Medical"/>
    <n v="1"/>
    <n v="1864"/>
    <n v="2"/>
    <s v="Female"/>
    <n v="36"/>
    <n v="2"/>
    <n v="2"/>
    <x v="6"/>
    <x v="2"/>
    <s v="Married"/>
    <n v="3540"/>
    <n v="7018"/>
    <n v="1"/>
    <s v="Y"/>
    <x v="1"/>
    <n v="21"/>
    <n v="4"/>
    <n v="4"/>
    <n v="80"/>
    <n v="1"/>
    <n v="9"/>
    <n v="5"/>
    <n v="3"/>
    <n v="9"/>
    <n v="8"/>
    <n v="5"/>
    <n v="8"/>
    <x v="1"/>
    <x v="0"/>
    <s v="Medium"/>
    <x v="2"/>
    <s v="Outstanding"/>
    <s v="Better"/>
    <n v="0"/>
    <s v="3,001–6,000"/>
    <s v="16+ miles"/>
    <s v="6–10 years"/>
  </r>
  <r>
    <n v="29"/>
    <x v="1"/>
    <s v="Travel_Rarely"/>
    <n v="352"/>
    <x v="2"/>
    <n v="6"/>
    <x v="1"/>
    <s v="Medical"/>
    <n v="1"/>
    <n v="1865"/>
    <n v="4"/>
    <s v="Male"/>
    <n v="87"/>
    <n v="2"/>
    <n v="1"/>
    <x v="8"/>
    <x v="1"/>
    <s v="Married"/>
    <n v="2804"/>
    <n v="15434"/>
    <n v="1"/>
    <s v="Y"/>
    <x v="1"/>
    <n v="11"/>
    <n v="3"/>
    <n v="4"/>
    <n v="80"/>
    <n v="0"/>
    <n v="1"/>
    <n v="3"/>
    <n v="3"/>
    <n v="1"/>
    <n v="0"/>
    <n v="0"/>
    <n v="0"/>
    <x v="1"/>
    <x v="2"/>
    <s v="Medium"/>
    <x v="1"/>
    <s v="Excellent"/>
    <s v="Better"/>
    <n v="0"/>
    <s v="0–3,000"/>
    <s v="6–10 miles"/>
    <s v="0–1 years"/>
  </r>
  <r>
    <n v="43"/>
    <x v="1"/>
    <s v="Travel_Rarely"/>
    <n v="823"/>
    <x v="1"/>
    <n v="6"/>
    <x v="3"/>
    <s v="Medical"/>
    <n v="1"/>
    <n v="1866"/>
    <n v="1"/>
    <s v="Female"/>
    <n v="81"/>
    <n v="2"/>
    <n v="5"/>
    <x v="5"/>
    <x v="2"/>
    <s v="Married"/>
    <n v="19392"/>
    <n v="22539"/>
    <n v="7"/>
    <s v="Y"/>
    <x v="1"/>
    <n v="13"/>
    <n v="3"/>
    <n v="4"/>
    <n v="80"/>
    <n v="0"/>
    <n v="21"/>
    <n v="2"/>
    <n v="3"/>
    <n v="16"/>
    <n v="12"/>
    <n v="6"/>
    <n v="14"/>
    <x v="3"/>
    <x v="3"/>
    <s v="Medium"/>
    <x v="2"/>
    <s v="Excellent"/>
    <s v="Better"/>
    <n v="0"/>
    <s v="10,001+"/>
    <s v="6–10 miles"/>
    <s v="11+ years"/>
  </r>
  <r>
    <n v="48"/>
    <x v="1"/>
    <s v="Travel_Rarely"/>
    <n v="1224"/>
    <x v="1"/>
    <n v="10"/>
    <x v="3"/>
    <s v="Life Sciences"/>
    <n v="1"/>
    <n v="1867"/>
    <n v="4"/>
    <s v="Male"/>
    <n v="91"/>
    <n v="2"/>
    <n v="5"/>
    <x v="7"/>
    <x v="1"/>
    <s v="Married"/>
    <n v="19665"/>
    <n v="13583"/>
    <n v="4"/>
    <s v="Y"/>
    <x v="1"/>
    <n v="12"/>
    <n v="3"/>
    <n v="4"/>
    <n v="80"/>
    <n v="0"/>
    <n v="29"/>
    <n v="3"/>
    <n v="3"/>
    <n v="22"/>
    <n v="10"/>
    <n v="12"/>
    <n v="9"/>
    <x v="3"/>
    <x v="2"/>
    <s v="Medium"/>
    <x v="1"/>
    <s v="Excellent"/>
    <s v="Better"/>
    <n v="0"/>
    <s v="10,001+"/>
    <s v="6–10 miles"/>
    <s v="11+ years"/>
  </r>
  <r>
    <n v="29"/>
    <x v="0"/>
    <s v="Travel_Frequently"/>
    <n v="459"/>
    <x v="1"/>
    <n v="24"/>
    <x v="0"/>
    <s v="Life Sciences"/>
    <n v="1"/>
    <n v="1868"/>
    <n v="4"/>
    <s v="Male"/>
    <n v="73"/>
    <n v="2"/>
    <n v="1"/>
    <x v="1"/>
    <x v="0"/>
    <s v="Single"/>
    <n v="2439"/>
    <n v="14753"/>
    <n v="1"/>
    <s v="Y"/>
    <x v="0"/>
    <n v="24"/>
    <n v="4"/>
    <n v="2"/>
    <n v="80"/>
    <n v="0"/>
    <n v="1"/>
    <n v="3"/>
    <n v="2"/>
    <n v="1"/>
    <n v="0"/>
    <n v="1"/>
    <n v="0"/>
    <x v="0"/>
    <x v="2"/>
    <s v="Medium"/>
    <x v="0"/>
    <s v="Outstanding"/>
    <s v="Good"/>
    <n v="1"/>
    <s v="0–3,000"/>
    <s v="16+ miles"/>
    <s v="0–1 years"/>
  </r>
  <r>
    <n v="46"/>
    <x v="0"/>
    <s v="Travel_Rarely"/>
    <n v="1254"/>
    <x v="0"/>
    <n v="10"/>
    <x v="3"/>
    <s v="Life Sciences"/>
    <n v="1"/>
    <n v="1869"/>
    <n v="3"/>
    <s v="Female"/>
    <n v="64"/>
    <n v="3"/>
    <n v="3"/>
    <x v="0"/>
    <x v="1"/>
    <s v="Married"/>
    <n v="7314"/>
    <n v="14011"/>
    <n v="5"/>
    <s v="Y"/>
    <x v="1"/>
    <n v="21"/>
    <n v="4"/>
    <n v="3"/>
    <n v="80"/>
    <n v="3"/>
    <n v="14"/>
    <n v="2"/>
    <n v="3"/>
    <n v="8"/>
    <n v="7"/>
    <n v="0"/>
    <n v="7"/>
    <x v="3"/>
    <x v="1"/>
    <s v="High"/>
    <x v="1"/>
    <s v="Outstanding"/>
    <s v="Better"/>
    <n v="1"/>
    <s v="6,001–10,000"/>
    <s v="6–10 miles"/>
    <s v="6–10 years"/>
  </r>
  <r>
    <n v="27"/>
    <x v="1"/>
    <s v="Travel_Frequently"/>
    <n v="1131"/>
    <x v="1"/>
    <n v="15"/>
    <x v="3"/>
    <s v="Life Sciences"/>
    <n v="1"/>
    <n v="1870"/>
    <n v="4"/>
    <s v="Female"/>
    <n v="77"/>
    <n v="2"/>
    <n v="1"/>
    <x v="1"/>
    <x v="3"/>
    <s v="Married"/>
    <n v="4774"/>
    <n v="23844"/>
    <n v="0"/>
    <s v="Y"/>
    <x v="1"/>
    <n v="19"/>
    <n v="3"/>
    <n v="4"/>
    <n v="80"/>
    <n v="1"/>
    <n v="8"/>
    <n v="2"/>
    <n v="2"/>
    <n v="7"/>
    <n v="6"/>
    <n v="7"/>
    <n v="3"/>
    <x v="3"/>
    <x v="2"/>
    <s v="Medium"/>
    <x v="3"/>
    <s v="Excellent"/>
    <s v="Good"/>
    <n v="0"/>
    <s v="3,001–6,000"/>
    <s v="11–15 miles"/>
    <s v="6–10 years"/>
  </r>
  <r>
    <n v="39"/>
    <x v="1"/>
    <s v="Travel_Rarely"/>
    <n v="835"/>
    <x v="1"/>
    <n v="19"/>
    <x v="2"/>
    <s v="Other"/>
    <n v="1"/>
    <n v="1871"/>
    <n v="4"/>
    <s v="Male"/>
    <n v="41"/>
    <n v="3"/>
    <n v="2"/>
    <x v="1"/>
    <x v="0"/>
    <s v="Divorced"/>
    <n v="3902"/>
    <n v="5141"/>
    <n v="8"/>
    <s v="Y"/>
    <x v="1"/>
    <n v="14"/>
    <n v="3"/>
    <n v="2"/>
    <n v="80"/>
    <n v="3"/>
    <n v="7"/>
    <n v="2"/>
    <n v="3"/>
    <n v="2"/>
    <n v="2"/>
    <n v="2"/>
    <n v="2"/>
    <x v="2"/>
    <x v="2"/>
    <s v="High"/>
    <x v="0"/>
    <s v="Excellent"/>
    <s v="Better"/>
    <n v="0"/>
    <s v="3,001–6,000"/>
    <s v="16+ miles"/>
    <s v="2–5 years"/>
  </r>
  <r>
    <n v="55"/>
    <x v="1"/>
    <s v="Travel_Rarely"/>
    <n v="836"/>
    <x v="1"/>
    <n v="2"/>
    <x v="2"/>
    <s v="Technical Degree"/>
    <n v="1"/>
    <n v="1873"/>
    <n v="2"/>
    <s v="Male"/>
    <n v="98"/>
    <n v="2"/>
    <n v="1"/>
    <x v="1"/>
    <x v="0"/>
    <s v="Married"/>
    <n v="2662"/>
    <n v="7975"/>
    <n v="8"/>
    <s v="Y"/>
    <x v="1"/>
    <n v="20"/>
    <n v="4"/>
    <n v="2"/>
    <n v="80"/>
    <n v="1"/>
    <n v="19"/>
    <n v="2"/>
    <n v="4"/>
    <n v="5"/>
    <n v="2"/>
    <n v="0"/>
    <n v="4"/>
    <x v="2"/>
    <x v="0"/>
    <s v="Medium"/>
    <x v="0"/>
    <s v="Outstanding"/>
    <s v="Best"/>
    <n v="0"/>
    <s v="0–3,000"/>
    <s v="0–5 miles"/>
    <s v="2–5 years"/>
  </r>
  <r>
    <n v="28"/>
    <x v="1"/>
    <s v="Travel_Rarely"/>
    <n v="1172"/>
    <x v="0"/>
    <n v="3"/>
    <x v="3"/>
    <s v="Medical"/>
    <n v="1"/>
    <n v="1875"/>
    <n v="2"/>
    <s v="Female"/>
    <n v="78"/>
    <n v="3"/>
    <n v="1"/>
    <x v="6"/>
    <x v="1"/>
    <s v="Married"/>
    <n v="2856"/>
    <n v="3692"/>
    <n v="1"/>
    <s v="Y"/>
    <x v="1"/>
    <n v="19"/>
    <n v="3"/>
    <n v="4"/>
    <n v="80"/>
    <n v="1"/>
    <n v="1"/>
    <n v="3"/>
    <n v="3"/>
    <n v="1"/>
    <n v="0"/>
    <n v="0"/>
    <n v="0"/>
    <x v="3"/>
    <x v="0"/>
    <s v="High"/>
    <x v="1"/>
    <s v="Excellent"/>
    <s v="Better"/>
    <n v="0"/>
    <s v="0–3,000"/>
    <s v="0–5 miles"/>
    <s v="0–1 years"/>
  </r>
  <r>
    <n v="30"/>
    <x v="0"/>
    <s v="Travel_Rarely"/>
    <n v="945"/>
    <x v="0"/>
    <n v="9"/>
    <x v="3"/>
    <s v="Medical"/>
    <n v="1"/>
    <n v="1876"/>
    <n v="2"/>
    <s v="Male"/>
    <n v="89"/>
    <n v="3"/>
    <n v="1"/>
    <x v="6"/>
    <x v="0"/>
    <s v="Single"/>
    <n v="1081"/>
    <n v="16019"/>
    <n v="1"/>
    <s v="Y"/>
    <x v="1"/>
    <n v="13"/>
    <n v="3"/>
    <n v="3"/>
    <n v="80"/>
    <n v="0"/>
    <n v="1"/>
    <n v="3"/>
    <n v="2"/>
    <n v="1"/>
    <n v="0"/>
    <n v="0"/>
    <n v="0"/>
    <x v="3"/>
    <x v="0"/>
    <s v="High"/>
    <x v="0"/>
    <s v="Excellent"/>
    <s v="Good"/>
    <n v="1"/>
    <s v="0–3,000"/>
    <s v="6–10 miles"/>
    <s v="0–1 years"/>
  </r>
  <r>
    <n v="22"/>
    <x v="0"/>
    <s v="Travel_Rarely"/>
    <n v="391"/>
    <x v="1"/>
    <n v="7"/>
    <x v="1"/>
    <s v="Life Sciences"/>
    <n v="1"/>
    <n v="1878"/>
    <n v="4"/>
    <s v="Male"/>
    <n v="75"/>
    <n v="3"/>
    <n v="1"/>
    <x v="1"/>
    <x v="1"/>
    <s v="Single"/>
    <n v="2472"/>
    <n v="26092"/>
    <n v="1"/>
    <s v="Y"/>
    <x v="0"/>
    <n v="23"/>
    <n v="4"/>
    <n v="1"/>
    <n v="80"/>
    <n v="0"/>
    <n v="1"/>
    <n v="2"/>
    <n v="3"/>
    <n v="1"/>
    <n v="0"/>
    <n v="0"/>
    <n v="0"/>
    <x v="1"/>
    <x v="2"/>
    <s v="High"/>
    <x v="1"/>
    <s v="Outstanding"/>
    <s v="Better"/>
    <n v="1"/>
    <s v="0–3,000"/>
    <s v="6–10 miles"/>
    <s v="0–1 years"/>
  </r>
  <r>
    <n v="36"/>
    <x v="1"/>
    <s v="Travel_Rarely"/>
    <n v="1266"/>
    <x v="0"/>
    <n v="10"/>
    <x v="2"/>
    <s v="Technical Degree"/>
    <n v="1"/>
    <n v="1880"/>
    <n v="2"/>
    <s v="Female"/>
    <n v="63"/>
    <n v="2"/>
    <n v="2"/>
    <x v="0"/>
    <x v="2"/>
    <s v="Married"/>
    <n v="5673"/>
    <n v="6060"/>
    <n v="1"/>
    <s v="Y"/>
    <x v="0"/>
    <n v="13"/>
    <n v="3"/>
    <n v="1"/>
    <n v="80"/>
    <n v="1"/>
    <n v="10"/>
    <n v="4"/>
    <n v="3"/>
    <n v="10"/>
    <n v="9"/>
    <n v="1"/>
    <n v="7"/>
    <x v="2"/>
    <x v="0"/>
    <s v="Medium"/>
    <x v="2"/>
    <s v="Excellent"/>
    <s v="Better"/>
    <n v="0"/>
    <s v="3,001–6,000"/>
    <s v="6–10 miles"/>
    <s v="6–10 years"/>
  </r>
  <r>
    <n v="31"/>
    <x v="1"/>
    <s v="Travel_Rarely"/>
    <n v="311"/>
    <x v="1"/>
    <n v="20"/>
    <x v="3"/>
    <s v="Life Sciences"/>
    <n v="1"/>
    <n v="1881"/>
    <n v="2"/>
    <s v="Male"/>
    <n v="89"/>
    <n v="3"/>
    <n v="2"/>
    <x v="2"/>
    <x v="2"/>
    <s v="Divorced"/>
    <n v="4197"/>
    <n v="18624"/>
    <n v="1"/>
    <s v="Y"/>
    <x v="1"/>
    <n v="11"/>
    <n v="3"/>
    <n v="1"/>
    <n v="80"/>
    <n v="1"/>
    <n v="10"/>
    <n v="2"/>
    <n v="3"/>
    <n v="10"/>
    <n v="8"/>
    <n v="0"/>
    <n v="2"/>
    <x v="3"/>
    <x v="0"/>
    <s v="High"/>
    <x v="2"/>
    <s v="Excellent"/>
    <s v="Better"/>
    <n v="0"/>
    <s v="3,001–6,000"/>
    <s v="16+ miles"/>
    <s v="6–10 years"/>
  </r>
  <r>
    <n v="34"/>
    <x v="1"/>
    <s v="Travel_Rarely"/>
    <n v="1480"/>
    <x v="0"/>
    <n v="4"/>
    <x v="3"/>
    <s v="Life Sciences"/>
    <n v="1"/>
    <n v="1882"/>
    <n v="3"/>
    <s v="Male"/>
    <n v="64"/>
    <n v="3"/>
    <n v="3"/>
    <x v="0"/>
    <x v="0"/>
    <s v="Married"/>
    <n v="9713"/>
    <n v="24444"/>
    <n v="2"/>
    <s v="Y"/>
    <x v="0"/>
    <n v="13"/>
    <n v="3"/>
    <n v="4"/>
    <n v="80"/>
    <n v="3"/>
    <n v="9"/>
    <n v="3"/>
    <n v="3"/>
    <n v="5"/>
    <n v="3"/>
    <n v="1"/>
    <n v="0"/>
    <x v="3"/>
    <x v="1"/>
    <s v="High"/>
    <x v="0"/>
    <s v="Excellent"/>
    <s v="Better"/>
    <n v="0"/>
    <s v="6,001–10,000"/>
    <s v="0–5 miles"/>
    <s v="2–5 years"/>
  </r>
  <r>
    <n v="29"/>
    <x v="1"/>
    <s v="Travel_Rarely"/>
    <n v="592"/>
    <x v="1"/>
    <n v="7"/>
    <x v="3"/>
    <s v="Life Sciences"/>
    <n v="1"/>
    <n v="1883"/>
    <n v="4"/>
    <s v="Male"/>
    <n v="59"/>
    <n v="3"/>
    <n v="1"/>
    <x v="2"/>
    <x v="3"/>
    <s v="Single"/>
    <n v="2062"/>
    <n v="19384"/>
    <n v="3"/>
    <s v="Y"/>
    <x v="1"/>
    <n v="14"/>
    <n v="3"/>
    <n v="2"/>
    <n v="80"/>
    <n v="0"/>
    <n v="11"/>
    <n v="2"/>
    <n v="3"/>
    <n v="3"/>
    <n v="2"/>
    <n v="1"/>
    <n v="2"/>
    <x v="3"/>
    <x v="2"/>
    <s v="High"/>
    <x v="3"/>
    <s v="Excellent"/>
    <s v="Better"/>
    <n v="0"/>
    <s v="0–3,000"/>
    <s v="6–10 miles"/>
    <s v="2–5 years"/>
  </r>
  <r>
    <n v="37"/>
    <x v="1"/>
    <s v="Travel_Rarely"/>
    <n v="783"/>
    <x v="1"/>
    <n v="7"/>
    <x v="2"/>
    <s v="Medical"/>
    <n v="1"/>
    <n v="1885"/>
    <n v="4"/>
    <s v="Male"/>
    <n v="78"/>
    <n v="3"/>
    <n v="2"/>
    <x v="1"/>
    <x v="3"/>
    <s v="Married"/>
    <n v="4284"/>
    <n v="13588"/>
    <n v="5"/>
    <s v="Y"/>
    <x v="0"/>
    <n v="22"/>
    <n v="4"/>
    <n v="3"/>
    <n v="80"/>
    <n v="1"/>
    <n v="16"/>
    <n v="2"/>
    <n v="3"/>
    <n v="5"/>
    <n v="3"/>
    <n v="0"/>
    <n v="4"/>
    <x v="2"/>
    <x v="2"/>
    <s v="High"/>
    <x v="3"/>
    <s v="Outstanding"/>
    <s v="Better"/>
    <n v="0"/>
    <s v="3,001–6,000"/>
    <s v="6–10 miles"/>
    <s v="2–5 years"/>
  </r>
  <r>
    <n v="35"/>
    <x v="1"/>
    <s v="Travel_Rarely"/>
    <n v="219"/>
    <x v="1"/>
    <n v="16"/>
    <x v="0"/>
    <s v="Other"/>
    <n v="1"/>
    <n v="1886"/>
    <n v="4"/>
    <s v="Female"/>
    <n v="44"/>
    <n v="2"/>
    <n v="2"/>
    <x v="3"/>
    <x v="1"/>
    <s v="Married"/>
    <n v="4788"/>
    <n v="25388"/>
    <n v="0"/>
    <s v="Y"/>
    <x v="0"/>
    <n v="11"/>
    <n v="3"/>
    <n v="4"/>
    <n v="80"/>
    <n v="0"/>
    <n v="4"/>
    <n v="2"/>
    <n v="3"/>
    <n v="3"/>
    <n v="2"/>
    <n v="0"/>
    <n v="2"/>
    <x v="0"/>
    <x v="2"/>
    <s v="Medium"/>
    <x v="1"/>
    <s v="Excellent"/>
    <s v="Better"/>
    <n v="0"/>
    <s v="3,001–6,000"/>
    <s v="16+ miles"/>
    <s v="2–5 years"/>
  </r>
  <r>
    <n v="45"/>
    <x v="1"/>
    <s v="Travel_Rarely"/>
    <n v="556"/>
    <x v="1"/>
    <n v="25"/>
    <x v="0"/>
    <s v="Life Sciences"/>
    <n v="1"/>
    <n v="1888"/>
    <n v="2"/>
    <s v="Female"/>
    <n v="93"/>
    <n v="2"/>
    <n v="2"/>
    <x v="3"/>
    <x v="0"/>
    <s v="Married"/>
    <n v="5906"/>
    <n v="23888"/>
    <n v="0"/>
    <s v="Y"/>
    <x v="1"/>
    <n v="13"/>
    <n v="3"/>
    <n v="4"/>
    <n v="80"/>
    <n v="2"/>
    <n v="10"/>
    <n v="2"/>
    <n v="2"/>
    <n v="9"/>
    <n v="8"/>
    <n v="3"/>
    <n v="8"/>
    <x v="0"/>
    <x v="0"/>
    <s v="Medium"/>
    <x v="0"/>
    <s v="Excellent"/>
    <s v="Good"/>
    <n v="0"/>
    <s v="3,001–6,000"/>
    <s v="16+ miles"/>
    <s v="6–10 years"/>
  </r>
  <r>
    <n v="36"/>
    <x v="1"/>
    <s v="Travel_Frequently"/>
    <n v="1213"/>
    <x v="2"/>
    <n v="2"/>
    <x v="1"/>
    <s v="Human Resources"/>
    <n v="1"/>
    <n v="1890"/>
    <n v="2"/>
    <s v="Male"/>
    <n v="94"/>
    <n v="2"/>
    <n v="2"/>
    <x v="8"/>
    <x v="0"/>
    <s v="Single"/>
    <n v="3886"/>
    <n v="4223"/>
    <n v="1"/>
    <s v="Y"/>
    <x v="1"/>
    <n v="21"/>
    <n v="4"/>
    <n v="4"/>
    <n v="80"/>
    <n v="0"/>
    <n v="10"/>
    <n v="2"/>
    <n v="2"/>
    <n v="10"/>
    <n v="1"/>
    <n v="0"/>
    <n v="8"/>
    <x v="1"/>
    <x v="0"/>
    <s v="Medium"/>
    <x v="0"/>
    <s v="Outstanding"/>
    <s v="Good"/>
    <n v="0"/>
    <s v="3,001–6,000"/>
    <s v="0–5 miles"/>
    <s v="6–10 years"/>
  </r>
  <r>
    <n v="40"/>
    <x v="1"/>
    <s v="Travel_Rarely"/>
    <n v="1137"/>
    <x v="1"/>
    <n v="1"/>
    <x v="2"/>
    <s v="Life Sciences"/>
    <n v="1"/>
    <n v="1892"/>
    <n v="1"/>
    <s v="Male"/>
    <n v="98"/>
    <n v="3"/>
    <n v="4"/>
    <x v="5"/>
    <x v="3"/>
    <s v="Divorced"/>
    <n v="16823"/>
    <n v="18991"/>
    <n v="2"/>
    <s v="Y"/>
    <x v="1"/>
    <n v="11"/>
    <n v="3"/>
    <n v="1"/>
    <n v="80"/>
    <n v="1"/>
    <n v="22"/>
    <n v="3"/>
    <n v="3"/>
    <n v="19"/>
    <n v="7"/>
    <n v="11"/>
    <n v="16"/>
    <x v="2"/>
    <x v="3"/>
    <s v="High"/>
    <x v="3"/>
    <s v="Excellent"/>
    <s v="Better"/>
    <n v="0"/>
    <s v="10,001+"/>
    <s v="0–5 miles"/>
    <s v="11+ years"/>
  </r>
  <r>
    <n v="26"/>
    <x v="1"/>
    <s v="Travel_Rarely"/>
    <n v="482"/>
    <x v="1"/>
    <n v="1"/>
    <x v="0"/>
    <s v="Life Sciences"/>
    <n v="1"/>
    <n v="1893"/>
    <n v="2"/>
    <s v="Female"/>
    <n v="90"/>
    <n v="2"/>
    <n v="1"/>
    <x v="1"/>
    <x v="2"/>
    <s v="Married"/>
    <n v="2933"/>
    <n v="14908"/>
    <n v="1"/>
    <s v="Y"/>
    <x v="0"/>
    <n v="13"/>
    <n v="3"/>
    <n v="3"/>
    <n v="80"/>
    <n v="1"/>
    <n v="1"/>
    <n v="3"/>
    <n v="2"/>
    <n v="1"/>
    <n v="0"/>
    <n v="1"/>
    <n v="0"/>
    <x v="0"/>
    <x v="0"/>
    <s v="Medium"/>
    <x v="2"/>
    <s v="Excellent"/>
    <s v="Good"/>
    <n v="0"/>
    <s v="0–3,000"/>
    <s v="0–5 miles"/>
    <s v="0–1 years"/>
  </r>
  <r>
    <n v="27"/>
    <x v="1"/>
    <s v="Travel_Rarely"/>
    <n v="511"/>
    <x v="0"/>
    <n v="2"/>
    <x v="0"/>
    <s v="Medical"/>
    <n v="1"/>
    <n v="1898"/>
    <n v="1"/>
    <s v="Female"/>
    <n v="89"/>
    <n v="4"/>
    <n v="2"/>
    <x v="0"/>
    <x v="2"/>
    <s v="Single"/>
    <n v="6500"/>
    <n v="26997"/>
    <n v="0"/>
    <s v="Y"/>
    <x v="1"/>
    <n v="14"/>
    <n v="3"/>
    <n v="2"/>
    <n v="80"/>
    <n v="0"/>
    <n v="9"/>
    <n v="5"/>
    <n v="2"/>
    <n v="8"/>
    <n v="7"/>
    <n v="0"/>
    <n v="7"/>
    <x v="0"/>
    <x v="3"/>
    <s v="Very High"/>
    <x v="2"/>
    <s v="Excellent"/>
    <s v="Good"/>
    <n v="0"/>
    <s v="6,001–10,000"/>
    <s v="0–5 miles"/>
    <s v="6–10 years"/>
  </r>
  <r>
    <n v="48"/>
    <x v="1"/>
    <s v="Travel_Frequently"/>
    <n v="117"/>
    <x v="1"/>
    <n v="22"/>
    <x v="3"/>
    <s v="Medical"/>
    <n v="1"/>
    <n v="1900"/>
    <n v="4"/>
    <s v="Female"/>
    <n v="58"/>
    <n v="3"/>
    <n v="4"/>
    <x v="5"/>
    <x v="0"/>
    <s v="Divorced"/>
    <n v="17174"/>
    <n v="2437"/>
    <n v="3"/>
    <s v="Y"/>
    <x v="1"/>
    <n v="11"/>
    <n v="3"/>
    <n v="2"/>
    <n v="80"/>
    <n v="1"/>
    <n v="24"/>
    <n v="3"/>
    <n v="3"/>
    <n v="22"/>
    <n v="17"/>
    <n v="4"/>
    <n v="7"/>
    <x v="3"/>
    <x v="2"/>
    <s v="High"/>
    <x v="0"/>
    <s v="Excellent"/>
    <s v="Better"/>
    <n v="0"/>
    <s v="10,001+"/>
    <s v="16+ miles"/>
    <s v="11+ years"/>
  </r>
  <r>
    <n v="44"/>
    <x v="1"/>
    <s v="Travel_Rarely"/>
    <n v="170"/>
    <x v="1"/>
    <n v="1"/>
    <x v="2"/>
    <s v="Life Sciences"/>
    <n v="1"/>
    <n v="1903"/>
    <n v="2"/>
    <s v="Male"/>
    <n v="78"/>
    <n v="4"/>
    <n v="2"/>
    <x v="4"/>
    <x v="3"/>
    <s v="Married"/>
    <n v="5033"/>
    <n v="9364"/>
    <n v="2"/>
    <s v="Y"/>
    <x v="1"/>
    <n v="15"/>
    <n v="3"/>
    <n v="4"/>
    <n v="80"/>
    <n v="1"/>
    <n v="10"/>
    <n v="5"/>
    <n v="3"/>
    <n v="2"/>
    <n v="0"/>
    <n v="2"/>
    <n v="2"/>
    <x v="2"/>
    <x v="0"/>
    <s v="Very High"/>
    <x v="3"/>
    <s v="Excellent"/>
    <s v="Better"/>
    <n v="0"/>
    <s v="3,001–6,000"/>
    <s v="0–5 miles"/>
    <s v="2–5 years"/>
  </r>
  <r>
    <n v="34"/>
    <x v="0"/>
    <s v="Non-Travel"/>
    <n v="967"/>
    <x v="1"/>
    <n v="16"/>
    <x v="2"/>
    <s v="Technical Degree"/>
    <n v="1"/>
    <n v="1905"/>
    <n v="4"/>
    <s v="Male"/>
    <n v="85"/>
    <n v="1"/>
    <n v="1"/>
    <x v="1"/>
    <x v="3"/>
    <s v="Married"/>
    <n v="2307"/>
    <n v="14460"/>
    <n v="1"/>
    <s v="Y"/>
    <x v="0"/>
    <n v="23"/>
    <n v="4"/>
    <n v="2"/>
    <n v="80"/>
    <n v="1"/>
    <n v="5"/>
    <n v="2"/>
    <n v="3"/>
    <n v="5"/>
    <n v="2"/>
    <n v="3"/>
    <n v="0"/>
    <x v="2"/>
    <x v="2"/>
    <s v="Low"/>
    <x v="3"/>
    <s v="Outstanding"/>
    <s v="Better"/>
    <n v="1"/>
    <s v="0–3,000"/>
    <s v="16+ miles"/>
    <s v="2–5 years"/>
  </r>
  <r>
    <n v="56"/>
    <x v="0"/>
    <s v="Travel_Rarely"/>
    <n v="1162"/>
    <x v="1"/>
    <n v="24"/>
    <x v="0"/>
    <s v="Life Sciences"/>
    <n v="1"/>
    <n v="1907"/>
    <n v="1"/>
    <s v="Male"/>
    <n v="97"/>
    <n v="3"/>
    <n v="1"/>
    <x v="2"/>
    <x v="0"/>
    <s v="Single"/>
    <n v="2587"/>
    <n v="10261"/>
    <n v="1"/>
    <s v="Y"/>
    <x v="1"/>
    <n v="16"/>
    <n v="3"/>
    <n v="4"/>
    <n v="80"/>
    <n v="0"/>
    <n v="5"/>
    <n v="3"/>
    <n v="3"/>
    <n v="4"/>
    <n v="2"/>
    <n v="1"/>
    <n v="0"/>
    <x v="0"/>
    <x v="3"/>
    <s v="High"/>
    <x v="0"/>
    <s v="Excellent"/>
    <s v="Better"/>
    <n v="1"/>
    <s v="0–3,000"/>
    <s v="16+ miles"/>
    <s v="2–5 years"/>
  </r>
  <r>
    <n v="36"/>
    <x v="1"/>
    <s v="Travel_Rarely"/>
    <n v="335"/>
    <x v="0"/>
    <n v="17"/>
    <x v="0"/>
    <s v="Marketing"/>
    <n v="1"/>
    <n v="1908"/>
    <n v="3"/>
    <s v="Male"/>
    <n v="33"/>
    <n v="2"/>
    <n v="2"/>
    <x v="0"/>
    <x v="1"/>
    <s v="Married"/>
    <n v="5507"/>
    <n v="16822"/>
    <n v="2"/>
    <s v="Y"/>
    <x v="1"/>
    <n v="16"/>
    <n v="3"/>
    <n v="3"/>
    <n v="80"/>
    <n v="2"/>
    <n v="12"/>
    <n v="1"/>
    <n v="1"/>
    <n v="4"/>
    <n v="2"/>
    <n v="1"/>
    <n v="3"/>
    <x v="0"/>
    <x v="1"/>
    <s v="Medium"/>
    <x v="1"/>
    <s v="Excellent"/>
    <s v="Bad"/>
    <n v="0"/>
    <s v="3,001–6,000"/>
    <s v="16+ miles"/>
    <s v="2–5 years"/>
  </r>
  <r>
    <n v="41"/>
    <x v="1"/>
    <s v="Travel_Rarely"/>
    <n v="337"/>
    <x v="0"/>
    <n v="8"/>
    <x v="3"/>
    <s v="Marketing"/>
    <n v="1"/>
    <n v="1909"/>
    <n v="3"/>
    <s v="Female"/>
    <n v="54"/>
    <n v="3"/>
    <n v="2"/>
    <x v="0"/>
    <x v="1"/>
    <s v="Married"/>
    <n v="4393"/>
    <n v="26841"/>
    <n v="5"/>
    <s v="Y"/>
    <x v="1"/>
    <n v="21"/>
    <n v="4"/>
    <n v="3"/>
    <n v="80"/>
    <n v="1"/>
    <n v="14"/>
    <n v="3"/>
    <n v="3"/>
    <n v="5"/>
    <n v="4"/>
    <n v="1"/>
    <n v="4"/>
    <x v="3"/>
    <x v="1"/>
    <s v="High"/>
    <x v="1"/>
    <s v="Outstanding"/>
    <s v="Better"/>
    <n v="0"/>
    <s v="3,001–6,000"/>
    <s v="6–10 miles"/>
    <s v="2–5 years"/>
  </r>
  <r>
    <n v="42"/>
    <x v="1"/>
    <s v="Travel_Rarely"/>
    <n v="1396"/>
    <x v="1"/>
    <n v="6"/>
    <x v="3"/>
    <s v="Medical"/>
    <n v="1"/>
    <n v="1911"/>
    <n v="3"/>
    <s v="Male"/>
    <n v="83"/>
    <n v="3"/>
    <n v="3"/>
    <x v="7"/>
    <x v="3"/>
    <s v="Married"/>
    <n v="13348"/>
    <n v="14842"/>
    <n v="9"/>
    <s v="Y"/>
    <x v="1"/>
    <n v="13"/>
    <n v="3"/>
    <n v="2"/>
    <n v="80"/>
    <n v="1"/>
    <n v="18"/>
    <n v="3"/>
    <n v="4"/>
    <n v="13"/>
    <n v="7"/>
    <n v="5"/>
    <n v="7"/>
    <x v="3"/>
    <x v="1"/>
    <s v="High"/>
    <x v="3"/>
    <s v="Excellent"/>
    <s v="Best"/>
    <n v="0"/>
    <s v="10,001+"/>
    <s v="6–10 miles"/>
    <s v="11+ years"/>
  </r>
  <r>
    <n v="31"/>
    <x v="1"/>
    <s v="Travel_Rarely"/>
    <n v="1079"/>
    <x v="0"/>
    <n v="10"/>
    <x v="0"/>
    <s v="Medical"/>
    <n v="1"/>
    <n v="1912"/>
    <n v="3"/>
    <s v="Female"/>
    <n v="86"/>
    <n v="3"/>
    <n v="2"/>
    <x v="0"/>
    <x v="0"/>
    <s v="Divorced"/>
    <n v="6583"/>
    <n v="20115"/>
    <n v="2"/>
    <s v="Y"/>
    <x v="0"/>
    <n v="11"/>
    <n v="3"/>
    <n v="4"/>
    <n v="80"/>
    <n v="1"/>
    <n v="8"/>
    <n v="2"/>
    <n v="3"/>
    <n v="5"/>
    <n v="2"/>
    <n v="1"/>
    <n v="4"/>
    <x v="0"/>
    <x v="1"/>
    <s v="High"/>
    <x v="0"/>
    <s v="Excellent"/>
    <s v="Better"/>
    <n v="0"/>
    <s v="6,001–10,000"/>
    <s v="6–10 miles"/>
    <s v="2–5 years"/>
  </r>
  <r>
    <n v="34"/>
    <x v="1"/>
    <s v="Travel_Rarely"/>
    <n v="735"/>
    <x v="0"/>
    <n v="3"/>
    <x v="1"/>
    <s v="Medical"/>
    <n v="1"/>
    <n v="1915"/>
    <n v="4"/>
    <s v="Female"/>
    <n v="75"/>
    <n v="2"/>
    <n v="2"/>
    <x v="0"/>
    <x v="0"/>
    <s v="Married"/>
    <n v="8103"/>
    <n v="16495"/>
    <n v="3"/>
    <s v="Y"/>
    <x v="0"/>
    <n v="12"/>
    <n v="3"/>
    <n v="3"/>
    <n v="80"/>
    <n v="0"/>
    <n v="9"/>
    <n v="3"/>
    <n v="2"/>
    <n v="4"/>
    <n v="2"/>
    <n v="0"/>
    <n v="1"/>
    <x v="1"/>
    <x v="2"/>
    <s v="Medium"/>
    <x v="0"/>
    <s v="Excellent"/>
    <s v="Good"/>
    <n v="0"/>
    <s v="6,001–10,000"/>
    <s v="0–5 miles"/>
    <s v="2–5 years"/>
  </r>
  <r>
    <n v="31"/>
    <x v="1"/>
    <s v="Travel_Rarely"/>
    <n v="471"/>
    <x v="1"/>
    <n v="4"/>
    <x v="3"/>
    <s v="Medical"/>
    <n v="1"/>
    <n v="1916"/>
    <n v="1"/>
    <s v="Female"/>
    <n v="62"/>
    <n v="4"/>
    <n v="1"/>
    <x v="2"/>
    <x v="2"/>
    <s v="Divorced"/>
    <n v="3978"/>
    <n v="16031"/>
    <n v="8"/>
    <s v="Y"/>
    <x v="1"/>
    <n v="12"/>
    <n v="3"/>
    <n v="2"/>
    <n v="80"/>
    <n v="1"/>
    <n v="4"/>
    <n v="0"/>
    <n v="2"/>
    <n v="2"/>
    <n v="2"/>
    <n v="2"/>
    <n v="2"/>
    <x v="3"/>
    <x v="3"/>
    <s v="Very High"/>
    <x v="2"/>
    <s v="Excellent"/>
    <s v="Good"/>
    <n v="0"/>
    <s v="3,001–6,000"/>
    <s v="0–5 miles"/>
    <s v="2–5 years"/>
  </r>
  <r>
    <n v="26"/>
    <x v="1"/>
    <s v="Travel_Frequently"/>
    <n v="1096"/>
    <x v="1"/>
    <n v="6"/>
    <x v="3"/>
    <s v="Other"/>
    <n v="1"/>
    <n v="1918"/>
    <n v="3"/>
    <s v="Male"/>
    <n v="61"/>
    <n v="4"/>
    <n v="1"/>
    <x v="2"/>
    <x v="0"/>
    <s v="Married"/>
    <n v="2544"/>
    <n v="7102"/>
    <n v="0"/>
    <s v="Y"/>
    <x v="1"/>
    <n v="18"/>
    <n v="3"/>
    <n v="1"/>
    <n v="80"/>
    <n v="1"/>
    <n v="8"/>
    <n v="3"/>
    <n v="3"/>
    <n v="7"/>
    <n v="7"/>
    <n v="7"/>
    <n v="7"/>
    <x v="3"/>
    <x v="1"/>
    <s v="Very High"/>
    <x v="0"/>
    <s v="Excellent"/>
    <s v="Better"/>
    <n v="0"/>
    <s v="0–3,000"/>
    <s v="6–10 miles"/>
    <s v="6–10 years"/>
  </r>
  <r>
    <n v="45"/>
    <x v="1"/>
    <s v="Travel_Frequently"/>
    <n v="1297"/>
    <x v="1"/>
    <n v="1"/>
    <x v="2"/>
    <s v="Medical"/>
    <n v="1"/>
    <n v="1922"/>
    <n v="2"/>
    <s v="Male"/>
    <n v="44"/>
    <n v="3"/>
    <n v="2"/>
    <x v="4"/>
    <x v="2"/>
    <s v="Single"/>
    <n v="5399"/>
    <n v="14511"/>
    <n v="4"/>
    <s v="Y"/>
    <x v="1"/>
    <n v="12"/>
    <n v="3"/>
    <n v="3"/>
    <n v="80"/>
    <n v="0"/>
    <n v="12"/>
    <n v="3"/>
    <n v="3"/>
    <n v="4"/>
    <n v="2"/>
    <n v="0"/>
    <n v="3"/>
    <x v="2"/>
    <x v="0"/>
    <s v="High"/>
    <x v="2"/>
    <s v="Excellent"/>
    <s v="Better"/>
    <n v="0"/>
    <s v="3,001–6,000"/>
    <s v="0–5 miles"/>
    <s v="2–5 years"/>
  </r>
  <r>
    <n v="33"/>
    <x v="1"/>
    <s v="Travel_Rarely"/>
    <n v="217"/>
    <x v="0"/>
    <n v="10"/>
    <x v="2"/>
    <s v="Marketing"/>
    <n v="1"/>
    <n v="1924"/>
    <n v="2"/>
    <s v="Male"/>
    <n v="43"/>
    <n v="3"/>
    <n v="2"/>
    <x v="0"/>
    <x v="2"/>
    <s v="Single"/>
    <n v="5487"/>
    <n v="10410"/>
    <n v="1"/>
    <s v="Y"/>
    <x v="1"/>
    <n v="14"/>
    <n v="3"/>
    <n v="2"/>
    <n v="80"/>
    <n v="0"/>
    <n v="10"/>
    <n v="2"/>
    <n v="2"/>
    <n v="10"/>
    <n v="4"/>
    <n v="0"/>
    <n v="9"/>
    <x v="2"/>
    <x v="0"/>
    <s v="High"/>
    <x v="2"/>
    <s v="Excellent"/>
    <s v="Good"/>
    <n v="0"/>
    <s v="3,001–6,000"/>
    <s v="6–10 miles"/>
    <s v="6–10 years"/>
  </r>
  <r>
    <n v="28"/>
    <x v="1"/>
    <s v="Travel_Frequently"/>
    <n v="783"/>
    <x v="0"/>
    <n v="1"/>
    <x v="0"/>
    <s v="Life Sciences"/>
    <n v="1"/>
    <n v="1927"/>
    <n v="3"/>
    <s v="Male"/>
    <n v="42"/>
    <n v="2"/>
    <n v="2"/>
    <x v="0"/>
    <x v="0"/>
    <s v="Married"/>
    <n v="6834"/>
    <n v="19255"/>
    <n v="1"/>
    <s v="Y"/>
    <x v="0"/>
    <n v="12"/>
    <n v="3"/>
    <n v="3"/>
    <n v="80"/>
    <n v="1"/>
    <n v="7"/>
    <n v="2"/>
    <n v="3"/>
    <n v="7"/>
    <n v="7"/>
    <n v="0"/>
    <n v="7"/>
    <x v="0"/>
    <x v="1"/>
    <s v="Medium"/>
    <x v="0"/>
    <s v="Excellent"/>
    <s v="Better"/>
    <n v="0"/>
    <s v="6,001–10,000"/>
    <s v="0–5 miles"/>
    <s v="6–10 years"/>
  </r>
  <r>
    <n v="29"/>
    <x v="0"/>
    <s v="Travel_Frequently"/>
    <n v="746"/>
    <x v="0"/>
    <n v="24"/>
    <x v="3"/>
    <s v="Technical Degree"/>
    <n v="1"/>
    <n v="1928"/>
    <n v="3"/>
    <s v="Male"/>
    <n v="45"/>
    <n v="4"/>
    <n v="1"/>
    <x v="6"/>
    <x v="3"/>
    <s v="Single"/>
    <n v="1091"/>
    <n v="10642"/>
    <n v="1"/>
    <s v="Y"/>
    <x v="1"/>
    <n v="17"/>
    <n v="3"/>
    <n v="4"/>
    <n v="80"/>
    <n v="0"/>
    <n v="1"/>
    <n v="3"/>
    <n v="3"/>
    <n v="1"/>
    <n v="0"/>
    <n v="0"/>
    <n v="0"/>
    <x v="3"/>
    <x v="1"/>
    <s v="Very High"/>
    <x v="3"/>
    <s v="Excellent"/>
    <s v="Better"/>
    <n v="1"/>
    <s v="0–3,000"/>
    <s v="16+ miles"/>
    <s v="0–1 years"/>
  </r>
  <r>
    <n v="39"/>
    <x v="1"/>
    <s v="Non-Travel"/>
    <n v="1251"/>
    <x v="0"/>
    <n v="21"/>
    <x v="2"/>
    <s v="Life Sciences"/>
    <n v="1"/>
    <n v="1929"/>
    <n v="1"/>
    <s v="Female"/>
    <n v="32"/>
    <n v="1"/>
    <n v="2"/>
    <x v="0"/>
    <x v="2"/>
    <s v="Married"/>
    <n v="5736"/>
    <n v="3987"/>
    <n v="6"/>
    <s v="Y"/>
    <x v="1"/>
    <n v="19"/>
    <n v="3"/>
    <n v="3"/>
    <n v="80"/>
    <n v="1"/>
    <n v="10"/>
    <n v="1"/>
    <n v="3"/>
    <n v="3"/>
    <n v="2"/>
    <n v="1"/>
    <n v="2"/>
    <x v="2"/>
    <x v="3"/>
    <s v="Low"/>
    <x v="2"/>
    <s v="Excellent"/>
    <s v="Better"/>
    <n v="0"/>
    <s v="3,001–6,000"/>
    <s v="16+ miles"/>
    <s v="2–5 years"/>
  </r>
  <r>
    <n v="27"/>
    <x v="1"/>
    <s v="Travel_Rarely"/>
    <n v="1354"/>
    <x v="1"/>
    <n v="2"/>
    <x v="2"/>
    <s v="Technical Degree"/>
    <n v="1"/>
    <n v="1931"/>
    <n v="2"/>
    <s v="Male"/>
    <n v="41"/>
    <n v="3"/>
    <n v="1"/>
    <x v="1"/>
    <x v="1"/>
    <s v="Married"/>
    <n v="2226"/>
    <n v="6073"/>
    <n v="1"/>
    <s v="Y"/>
    <x v="1"/>
    <n v="11"/>
    <n v="3"/>
    <n v="3"/>
    <n v="80"/>
    <n v="1"/>
    <n v="6"/>
    <n v="3"/>
    <n v="2"/>
    <n v="5"/>
    <n v="3"/>
    <n v="1"/>
    <n v="2"/>
    <x v="2"/>
    <x v="0"/>
    <s v="High"/>
    <x v="1"/>
    <s v="Excellent"/>
    <s v="Good"/>
    <n v="0"/>
    <s v="0–3,000"/>
    <s v="0–5 miles"/>
    <s v="2–5 years"/>
  </r>
  <r>
    <n v="34"/>
    <x v="1"/>
    <s v="Travel_Frequently"/>
    <n v="735"/>
    <x v="1"/>
    <n v="22"/>
    <x v="2"/>
    <s v="Other"/>
    <n v="1"/>
    <n v="1932"/>
    <n v="3"/>
    <s v="Male"/>
    <n v="86"/>
    <n v="2"/>
    <n v="2"/>
    <x v="1"/>
    <x v="0"/>
    <s v="Married"/>
    <n v="5747"/>
    <n v="26496"/>
    <n v="1"/>
    <s v="Y"/>
    <x v="0"/>
    <n v="15"/>
    <n v="3"/>
    <n v="2"/>
    <n v="80"/>
    <n v="0"/>
    <n v="16"/>
    <n v="3"/>
    <n v="3"/>
    <n v="15"/>
    <n v="10"/>
    <n v="6"/>
    <n v="11"/>
    <x v="2"/>
    <x v="1"/>
    <s v="Medium"/>
    <x v="0"/>
    <s v="Excellent"/>
    <s v="Better"/>
    <n v="0"/>
    <s v="3,001–6,000"/>
    <s v="16+ miles"/>
    <s v="11+ years"/>
  </r>
  <r>
    <n v="28"/>
    <x v="0"/>
    <s v="Travel_Rarely"/>
    <n v="1475"/>
    <x v="0"/>
    <n v="13"/>
    <x v="0"/>
    <s v="Marketing"/>
    <n v="1"/>
    <n v="1933"/>
    <n v="4"/>
    <s v="Female"/>
    <n v="84"/>
    <n v="3"/>
    <n v="2"/>
    <x v="0"/>
    <x v="2"/>
    <s v="Single"/>
    <n v="9854"/>
    <n v="23352"/>
    <n v="3"/>
    <s v="Y"/>
    <x v="0"/>
    <n v="11"/>
    <n v="3"/>
    <n v="4"/>
    <n v="80"/>
    <n v="0"/>
    <n v="6"/>
    <n v="0"/>
    <n v="3"/>
    <n v="2"/>
    <n v="0"/>
    <n v="2"/>
    <n v="2"/>
    <x v="0"/>
    <x v="2"/>
    <s v="High"/>
    <x v="2"/>
    <s v="Excellent"/>
    <s v="Better"/>
    <n v="1"/>
    <s v="6,001–10,000"/>
    <s v="11–15 miles"/>
    <s v="2–5 years"/>
  </r>
  <r>
    <n v="47"/>
    <x v="1"/>
    <s v="Non-Travel"/>
    <n v="1169"/>
    <x v="1"/>
    <n v="14"/>
    <x v="2"/>
    <s v="Technical Degree"/>
    <n v="1"/>
    <n v="1934"/>
    <n v="3"/>
    <s v="Male"/>
    <n v="64"/>
    <n v="3"/>
    <n v="2"/>
    <x v="1"/>
    <x v="1"/>
    <s v="Married"/>
    <n v="5467"/>
    <n v="2125"/>
    <n v="8"/>
    <s v="Y"/>
    <x v="1"/>
    <n v="18"/>
    <n v="3"/>
    <n v="3"/>
    <n v="80"/>
    <n v="1"/>
    <n v="16"/>
    <n v="4"/>
    <n v="4"/>
    <n v="8"/>
    <n v="7"/>
    <n v="1"/>
    <n v="7"/>
    <x v="2"/>
    <x v="1"/>
    <s v="High"/>
    <x v="1"/>
    <s v="Excellent"/>
    <s v="Best"/>
    <n v="0"/>
    <s v="3,001–6,000"/>
    <s v="11–15 miles"/>
    <s v="6–10 years"/>
  </r>
  <r>
    <n v="56"/>
    <x v="1"/>
    <s v="Travel_Rarely"/>
    <n v="1443"/>
    <x v="0"/>
    <n v="11"/>
    <x v="4"/>
    <s v="Marketing"/>
    <n v="1"/>
    <n v="1935"/>
    <n v="4"/>
    <s v="Female"/>
    <n v="89"/>
    <n v="2"/>
    <n v="2"/>
    <x v="0"/>
    <x v="3"/>
    <s v="Married"/>
    <n v="5380"/>
    <n v="20328"/>
    <n v="4"/>
    <s v="Y"/>
    <x v="1"/>
    <n v="16"/>
    <n v="3"/>
    <n v="3"/>
    <n v="80"/>
    <n v="1"/>
    <n v="6"/>
    <n v="3"/>
    <n v="3"/>
    <n v="0"/>
    <n v="0"/>
    <n v="0"/>
    <n v="0"/>
    <x v="4"/>
    <x v="2"/>
    <s v="Medium"/>
    <x v="3"/>
    <s v="Excellent"/>
    <s v="Better"/>
    <n v="0"/>
    <s v="3,001–6,000"/>
    <s v="11–15 miles"/>
    <s v="0–1 years"/>
  </r>
  <r>
    <n v="39"/>
    <x v="1"/>
    <s v="Travel_Rarely"/>
    <n v="867"/>
    <x v="1"/>
    <n v="9"/>
    <x v="0"/>
    <s v="Medical"/>
    <n v="1"/>
    <n v="1936"/>
    <n v="1"/>
    <s v="Male"/>
    <n v="87"/>
    <n v="3"/>
    <n v="2"/>
    <x v="3"/>
    <x v="3"/>
    <s v="Married"/>
    <n v="5151"/>
    <n v="12315"/>
    <n v="1"/>
    <s v="Y"/>
    <x v="1"/>
    <n v="25"/>
    <n v="4"/>
    <n v="4"/>
    <n v="80"/>
    <n v="1"/>
    <n v="10"/>
    <n v="3"/>
    <n v="3"/>
    <n v="10"/>
    <n v="0"/>
    <n v="7"/>
    <n v="9"/>
    <x v="0"/>
    <x v="3"/>
    <s v="High"/>
    <x v="3"/>
    <s v="Outstanding"/>
    <s v="Better"/>
    <n v="0"/>
    <s v="3,001–6,000"/>
    <s v="6–10 miles"/>
    <s v="6–10 years"/>
  </r>
  <r>
    <n v="38"/>
    <x v="1"/>
    <s v="Travel_Frequently"/>
    <n v="1394"/>
    <x v="1"/>
    <n v="8"/>
    <x v="3"/>
    <s v="Medical"/>
    <n v="1"/>
    <n v="1937"/>
    <n v="4"/>
    <s v="Female"/>
    <n v="58"/>
    <n v="2"/>
    <n v="2"/>
    <x v="1"/>
    <x v="1"/>
    <s v="Divorced"/>
    <n v="2133"/>
    <n v="18115"/>
    <n v="1"/>
    <s v="Y"/>
    <x v="0"/>
    <n v="16"/>
    <n v="3"/>
    <n v="3"/>
    <n v="80"/>
    <n v="1"/>
    <n v="20"/>
    <n v="3"/>
    <n v="3"/>
    <n v="20"/>
    <n v="11"/>
    <n v="0"/>
    <n v="7"/>
    <x v="3"/>
    <x v="2"/>
    <s v="Medium"/>
    <x v="1"/>
    <s v="Excellent"/>
    <s v="Better"/>
    <n v="0"/>
    <s v="0–3,000"/>
    <s v="6–10 miles"/>
    <s v="11+ years"/>
  </r>
  <r>
    <n v="58"/>
    <x v="1"/>
    <s v="Travel_Rarely"/>
    <n v="605"/>
    <x v="0"/>
    <n v="21"/>
    <x v="3"/>
    <s v="Life Sciences"/>
    <n v="1"/>
    <n v="1938"/>
    <n v="4"/>
    <s v="Female"/>
    <n v="72"/>
    <n v="3"/>
    <n v="4"/>
    <x v="5"/>
    <x v="0"/>
    <s v="Married"/>
    <n v="17875"/>
    <n v="11761"/>
    <n v="4"/>
    <s v="Y"/>
    <x v="0"/>
    <n v="13"/>
    <n v="3"/>
    <n v="3"/>
    <n v="80"/>
    <n v="1"/>
    <n v="29"/>
    <n v="2"/>
    <n v="2"/>
    <n v="1"/>
    <n v="0"/>
    <n v="0"/>
    <n v="0"/>
    <x v="3"/>
    <x v="2"/>
    <s v="High"/>
    <x v="0"/>
    <s v="Excellent"/>
    <s v="Good"/>
    <n v="0"/>
    <s v="10,001+"/>
    <s v="16+ miles"/>
    <s v="0–1 years"/>
  </r>
  <r>
    <n v="32"/>
    <x v="0"/>
    <s v="Travel_Frequently"/>
    <n v="238"/>
    <x v="1"/>
    <n v="5"/>
    <x v="0"/>
    <s v="Life Sciences"/>
    <n v="1"/>
    <n v="1939"/>
    <n v="1"/>
    <s v="Female"/>
    <n v="47"/>
    <n v="4"/>
    <n v="1"/>
    <x v="1"/>
    <x v="2"/>
    <s v="Single"/>
    <n v="2432"/>
    <n v="15318"/>
    <n v="3"/>
    <s v="Y"/>
    <x v="0"/>
    <n v="14"/>
    <n v="3"/>
    <n v="1"/>
    <n v="80"/>
    <n v="0"/>
    <n v="8"/>
    <n v="2"/>
    <n v="3"/>
    <n v="4"/>
    <n v="1"/>
    <n v="0"/>
    <n v="3"/>
    <x v="0"/>
    <x v="3"/>
    <s v="Very High"/>
    <x v="2"/>
    <s v="Excellent"/>
    <s v="Better"/>
    <n v="1"/>
    <s v="0–3,000"/>
    <s v="0–5 miles"/>
    <s v="2–5 years"/>
  </r>
  <r>
    <n v="38"/>
    <x v="1"/>
    <s v="Travel_Rarely"/>
    <n v="1206"/>
    <x v="1"/>
    <n v="9"/>
    <x v="0"/>
    <s v="Life Sciences"/>
    <n v="1"/>
    <n v="1940"/>
    <n v="2"/>
    <s v="Male"/>
    <n v="71"/>
    <n v="3"/>
    <n v="1"/>
    <x v="1"/>
    <x v="0"/>
    <s v="Divorced"/>
    <n v="4771"/>
    <n v="14293"/>
    <n v="2"/>
    <s v="Y"/>
    <x v="1"/>
    <n v="19"/>
    <n v="3"/>
    <n v="4"/>
    <n v="80"/>
    <n v="2"/>
    <n v="10"/>
    <n v="0"/>
    <n v="4"/>
    <n v="5"/>
    <n v="2"/>
    <n v="0"/>
    <n v="3"/>
    <x v="0"/>
    <x v="0"/>
    <s v="High"/>
    <x v="0"/>
    <s v="Excellent"/>
    <s v="Best"/>
    <n v="0"/>
    <s v="3,001–6,000"/>
    <s v="6–10 miles"/>
    <s v="2–5 years"/>
  </r>
  <r>
    <n v="49"/>
    <x v="1"/>
    <s v="Travel_Frequently"/>
    <n v="1064"/>
    <x v="1"/>
    <n v="2"/>
    <x v="1"/>
    <s v="Life Sciences"/>
    <n v="1"/>
    <n v="1941"/>
    <n v="2"/>
    <s v="Male"/>
    <n v="42"/>
    <n v="3"/>
    <n v="5"/>
    <x v="7"/>
    <x v="0"/>
    <s v="Married"/>
    <n v="19161"/>
    <n v="13738"/>
    <n v="3"/>
    <s v="Y"/>
    <x v="1"/>
    <n v="15"/>
    <n v="3"/>
    <n v="4"/>
    <n v="80"/>
    <n v="0"/>
    <n v="28"/>
    <n v="3"/>
    <n v="3"/>
    <n v="5"/>
    <n v="4"/>
    <n v="4"/>
    <n v="3"/>
    <x v="1"/>
    <x v="0"/>
    <s v="High"/>
    <x v="0"/>
    <s v="Excellent"/>
    <s v="Better"/>
    <n v="0"/>
    <s v="10,001+"/>
    <s v="0–5 miles"/>
    <s v="2–5 years"/>
  </r>
  <r>
    <n v="42"/>
    <x v="1"/>
    <s v="Travel_Rarely"/>
    <n v="419"/>
    <x v="0"/>
    <n v="12"/>
    <x v="2"/>
    <s v="Marketing"/>
    <n v="1"/>
    <n v="1943"/>
    <n v="2"/>
    <s v="Male"/>
    <n v="77"/>
    <n v="3"/>
    <n v="2"/>
    <x v="0"/>
    <x v="0"/>
    <s v="Divorced"/>
    <n v="5087"/>
    <n v="2900"/>
    <n v="3"/>
    <s v="Y"/>
    <x v="0"/>
    <n v="12"/>
    <n v="3"/>
    <n v="3"/>
    <n v="80"/>
    <n v="2"/>
    <n v="14"/>
    <n v="4"/>
    <n v="3"/>
    <n v="0"/>
    <n v="0"/>
    <n v="0"/>
    <n v="0"/>
    <x v="2"/>
    <x v="0"/>
    <s v="High"/>
    <x v="0"/>
    <s v="Excellent"/>
    <s v="Better"/>
    <n v="0"/>
    <s v="3,001–6,000"/>
    <s v="11–15 miles"/>
    <s v="0–1 years"/>
  </r>
  <r>
    <n v="27"/>
    <x v="0"/>
    <s v="Travel_Frequently"/>
    <n v="1337"/>
    <x v="2"/>
    <n v="22"/>
    <x v="3"/>
    <s v="Human Resources"/>
    <n v="1"/>
    <n v="1944"/>
    <n v="1"/>
    <s v="Female"/>
    <n v="58"/>
    <n v="2"/>
    <n v="1"/>
    <x v="8"/>
    <x v="1"/>
    <s v="Married"/>
    <n v="2863"/>
    <n v="19555"/>
    <n v="1"/>
    <s v="Y"/>
    <x v="1"/>
    <n v="12"/>
    <n v="3"/>
    <n v="1"/>
    <n v="80"/>
    <n v="0"/>
    <n v="1"/>
    <n v="2"/>
    <n v="3"/>
    <n v="1"/>
    <n v="0"/>
    <n v="0"/>
    <n v="0"/>
    <x v="3"/>
    <x v="3"/>
    <s v="Medium"/>
    <x v="1"/>
    <s v="Excellent"/>
    <s v="Better"/>
    <n v="1"/>
    <s v="0–3,000"/>
    <s v="16+ miles"/>
    <s v="0–1 years"/>
  </r>
  <r>
    <n v="35"/>
    <x v="1"/>
    <s v="Travel_Rarely"/>
    <n v="682"/>
    <x v="0"/>
    <n v="18"/>
    <x v="2"/>
    <s v="Medical"/>
    <n v="1"/>
    <n v="1945"/>
    <n v="2"/>
    <s v="Male"/>
    <n v="71"/>
    <n v="3"/>
    <n v="2"/>
    <x v="0"/>
    <x v="3"/>
    <s v="Married"/>
    <n v="5561"/>
    <n v="15975"/>
    <n v="0"/>
    <s v="Y"/>
    <x v="1"/>
    <n v="16"/>
    <n v="3"/>
    <n v="4"/>
    <n v="80"/>
    <n v="1"/>
    <n v="6"/>
    <n v="2"/>
    <n v="1"/>
    <n v="5"/>
    <n v="3"/>
    <n v="0"/>
    <n v="4"/>
    <x v="2"/>
    <x v="0"/>
    <s v="High"/>
    <x v="3"/>
    <s v="Excellent"/>
    <s v="Bad"/>
    <n v="0"/>
    <s v="3,001–6,000"/>
    <s v="16+ miles"/>
    <s v="2–5 years"/>
  </r>
  <r>
    <n v="28"/>
    <x v="1"/>
    <s v="Non-Travel"/>
    <n v="1103"/>
    <x v="1"/>
    <n v="16"/>
    <x v="3"/>
    <s v="Medical"/>
    <n v="1"/>
    <n v="1947"/>
    <n v="3"/>
    <s v="Male"/>
    <n v="49"/>
    <n v="3"/>
    <n v="1"/>
    <x v="1"/>
    <x v="2"/>
    <s v="Single"/>
    <n v="2144"/>
    <n v="2122"/>
    <n v="1"/>
    <s v="Y"/>
    <x v="1"/>
    <n v="14"/>
    <n v="3"/>
    <n v="3"/>
    <n v="80"/>
    <n v="0"/>
    <n v="5"/>
    <n v="3"/>
    <n v="2"/>
    <n v="5"/>
    <n v="3"/>
    <n v="1"/>
    <n v="4"/>
    <x v="3"/>
    <x v="1"/>
    <s v="High"/>
    <x v="2"/>
    <s v="Excellent"/>
    <s v="Good"/>
    <n v="0"/>
    <s v="0–3,000"/>
    <s v="16+ miles"/>
    <s v="2–5 years"/>
  </r>
  <r>
    <n v="31"/>
    <x v="1"/>
    <s v="Non-Travel"/>
    <n v="976"/>
    <x v="1"/>
    <n v="3"/>
    <x v="0"/>
    <s v="Medical"/>
    <n v="1"/>
    <n v="1948"/>
    <n v="3"/>
    <s v="Male"/>
    <n v="48"/>
    <n v="3"/>
    <n v="1"/>
    <x v="1"/>
    <x v="3"/>
    <s v="Divorced"/>
    <n v="3065"/>
    <n v="3995"/>
    <n v="1"/>
    <s v="Y"/>
    <x v="0"/>
    <n v="13"/>
    <n v="3"/>
    <n v="4"/>
    <n v="80"/>
    <n v="1"/>
    <n v="4"/>
    <n v="3"/>
    <n v="4"/>
    <n v="4"/>
    <n v="2"/>
    <n v="2"/>
    <n v="3"/>
    <x v="0"/>
    <x v="1"/>
    <s v="High"/>
    <x v="3"/>
    <s v="Excellent"/>
    <s v="Best"/>
    <n v="0"/>
    <s v="3,001–6,000"/>
    <s v="0–5 miles"/>
    <s v="2–5 years"/>
  </r>
  <r>
    <n v="36"/>
    <x v="1"/>
    <s v="Non-Travel"/>
    <n v="1351"/>
    <x v="1"/>
    <n v="9"/>
    <x v="2"/>
    <s v="Life Sciences"/>
    <n v="1"/>
    <n v="1949"/>
    <n v="1"/>
    <s v="Male"/>
    <n v="66"/>
    <n v="4"/>
    <n v="1"/>
    <x v="2"/>
    <x v="1"/>
    <s v="Married"/>
    <n v="2810"/>
    <n v="9238"/>
    <n v="1"/>
    <s v="Y"/>
    <x v="1"/>
    <n v="22"/>
    <n v="4"/>
    <n v="2"/>
    <n v="80"/>
    <n v="0"/>
    <n v="5"/>
    <n v="3"/>
    <n v="3"/>
    <n v="5"/>
    <n v="4"/>
    <n v="0"/>
    <n v="2"/>
    <x v="2"/>
    <x v="3"/>
    <s v="Very High"/>
    <x v="1"/>
    <s v="Outstanding"/>
    <s v="Better"/>
    <n v="0"/>
    <s v="0–3,000"/>
    <s v="6–10 miles"/>
    <s v="2–5 years"/>
  </r>
  <r>
    <n v="34"/>
    <x v="1"/>
    <s v="Travel_Rarely"/>
    <n v="937"/>
    <x v="0"/>
    <n v="1"/>
    <x v="3"/>
    <s v="Marketing"/>
    <n v="1"/>
    <n v="1950"/>
    <n v="1"/>
    <s v="Male"/>
    <n v="32"/>
    <n v="3"/>
    <n v="3"/>
    <x v="0"/>
    <x v="0"/>
    <s v="Single"/>
    <n v="9888"/>
    <n v="6770"/>
    <n v="1"/>
    <s v="Y"/>
    <x v="1"/>
    <n v="21"/>
    <n v="4"/>
    <n v="1"/>
    <n v="80"/>
    <n v="0"/>
    <n v="14"/>
    <n v="3"/>
    <n v="2"/>
    <n v="14"/>
    <n v="8"/>
    <n v="2"/>
    <n v="1"/>
    <x v="3"/>
    <x v="3"/>
    <s v="High"/>
    <x v="0"/>
    <s v="Outstanding"/>
    <s v="Good"/>
    <n v="0"/>
    <s v="6,001–10,000"/>
    <s v="0–5 miles"/>
    <s v="11+ years"/>
  </r>
  <r>
    <n v="34"/>
    <x v="1"/>
    <s v="Travel_Rarely"/>
    <n v="1239"/>
    <x v="0"/>
    <n v="13"/>
    <x v="2"/>
    <s v="Medical"/>
    <n v="1"/>
    <n v="1951"/>
    <n v="4"/>
    <s v="Male"/>
    <n v="39"/>
    <n v="3"/>
    <n v="3"/>
    <x v="0"/>
    <x v="2"/>
    <s v="Divorced"/>
    <n v="8628"/>
    <n v="22914"/>
    <n v="1"/>
    <s v="Y"/>
    <x v="1"/>
    <n v="18"/>
    <n v="3"/>
    <n v="3"/>
    <n v="80"/>
    <n v="1"/>
    <n v="9"/>
    <n v="2"/>
    <n v="2"/>
    <n v="8"/>
    <n v="7"/>
    <n v="1"/>
    <n v="1"/>
    <x v="2"/>
    <x v="2"/>
    <s v="High"/>
    <x v="2"/>
    <s v="Excellent"/>
    <s v="Good"/>
    <n v="0"/>
    <s v="6,001–10,000"/>
    <s v="11–15 miles"/>
    <s v="6–10 years"/>
  </r>
  <r>
    <n v="26"/>
    <x v="1"/>
    <s v="Travel_Rarely"/>
    <n v="157"/>
    <x v="1"/>
    <n v="1"/>
    <x v="3"/>
    <s v="Medical"/>
    <n v="1"/>
    <n v="1952"/>
    <n v="3"/>
    <s v="Male"/>
    <n v="95"/>
    <n v="3"/>
    <n v="1"/>
    <x v="2"/>
    <x v="3"/>
    <s v="Single"/>
    <n v="2867"/>
    <n v="20006"/>
    <n v="0"/>
    <s v="Y"/>
    <x v="1"/>
    <n v="13"/>
    <n v="3"/>
    <n v="4"/>
    <n v="80"/>
    <n v="0"/>
    <n v="8"/>
    <n v="6"/>
    <n v="2"/>
    <n v="7"/>
    <n v="7"/>
    <n v="7"/>
    <n v="6"/>
    <x v="3"/>
    <x v="1"/>
    <s v="High"/>
    <x v="3"/>
    <s v="Excellent"/>
    <s v="Good"/>
    <n v="0"/>
    <s v="0–3,000"/>
    <s v="0–5 miles"/>
    <s v="6–10 years"/>
  </r>
  <r>
    <n v="29"/>
    <x v="1"/>
    <s v="Travel_Rarely"/>
    <n v="136"/>
    <x v="1"/>
    <n v="1"/>
    <x v="3"/>
    <s v="Life Sciences"/>
    <n v="1"/>
    <n v="1954"/>
    <n v="1"/>
    <s v="Male"/>
    <n v="89"/>
    <n v="3"/>
    <n v="2"/>
    <x v="4"/>
    <x v="3"/>
    <s v="Married"/>
    <n v="5373"/>
    <n v="6225"/>
    <n v="0"/>
    <s v="Y"/>
    <x v="1"/>
    <n v="12"/>
    <n v="3"/>
    <n v="1"/>
    <n v="80"/>
    <n v="1"/>
    <n v="6"/>
    <n v="5"/>
    <n v="2"/>
    <n v="5"/>
    <n v="3"/>
    <n v="0"/>
    <n v="2"/>
    <x v="3"/>
    <x v="3"/>
    <s v="High"/>
    <x v="3"/>
    <s v="Excellent"/>
    <s v="Good"/>
    <n v="0"/>
    <s v="3,001–6,000"/>
    <s v="0–5 miles"/>
    <s v="2–5 years"/>
  </r>
  <r>
    <n v="32"/>
    <x v="1"/>
    <s v="Non-Travel"/>
    <n v="1146"/>
    <x v="1"/>
    <n v="15"/>
    <x v="2"/>
    <s v="Medical"/>
    <n v="1"/>
    <n v="1955"/>
    <n v="3"/>
    <s v="Female"/>
    <n v="34"/>
    <n v="3"/>
    <n v="2"/>
    <x v="4"/>
    <x v="0"/>
    <s v="Divorced"/>
    <n v="6667"/>
    <n v="16542"/>
    <n v="5"/>
    <s v="Y"/>
    <x v="1"/>
    <n v="18"/>
    <n v="3"/>
    <n v="2"/>
    <n v="80"/>
    <n v="1"/>
    <n v="9"/>
    <n v="6"/>
    <n v="3"/>
    <n v="5"/>
    <n v="1"/>
    <n v="1"/>
    <n v="2"/>
    <x v="2"/>
    <x v="1"/>
    <s v="High"/>
    <x v="0"/>
    <s v="Excellent"/>
    <s v="Better"/>
    <n v="0"/>
    <s v="6,001–10,000"/>
    <s v="11–15 miles"/>
    <s v="2–5 years"/>
  </r>
  <r>
    <n v="31"/>
    <x v="1"/>
    <s v="Travel_Frequently"/>
    <n v="1125"/>
    <x v="1"/>
    <n v="1"/>
    <x v="3"/>
    <s v="Life Sciences"/>
    <n v="1"/>
    <n v="1956"/>
    <n v="4"/>
    <s v="Male"/>
    <n v="48"/>
    <n v="1"/>
    <n v="2"/>
    <x v="1"/>
    <x v="3"/>
    <s v="Married"/>
    <n v="5003"/>
    <n v="5771"/>
    <n v="1"/>
    <s v="Y"/>
    <x v="1"/>
    <n v="21"/>
    <n v="4"/>
    <n v="2"/>
    <n v="80"/>
    <n v="0"/>
    <n v="10"/>
    <n v="6"/>
    <n v="3"/>
    <n v="10"/>
    <n v="8"/>
    <n v="8"/>
    <n v="7"/>
    <x v="3"/>
    <x v="2"/>
    <s v="Low"/>
    <x v="3"/>
    <s v="Outstanding"/>
    <s v="Better"/>
    <n v="0"/>
    <s v="3,001–6,000"/>
    <s v="0–5 miles"/>
    <s v="6–10 years"/>
  </r>
  <r>
    <n v="28"/>
    <x v="0"/>
    <s v="Travel_Rarely"/>
    <n v="1404"/>
    <x v="1"/>
    <n v="17"/>
    <x v="3"/>
    <s v="Technical Degree"/>
    <n v="1"/>
    <n v="1960"/>
    <n v="3"/>
    <s v="Male"/>
    <n v="32"/>
    <n v="2"/>
    <n v="1"/>
    <x v="2"/>
    <x v="0"/>
    <s v="Divorced"/>
    <n v="2367"/>
    <n v="18779"/>
    <n v="5"/>
    <s v="Y"/>
    <x v="1"/>
    <n v="12"/>
    <n v="3"/>
    <n v="1"/>
    <n v="80"/>
    <n v="1"/>
    <n v="6"/>
    <n v="2"/>
    <n v="2"/>
    <n v="4"/>
    <n v="1"/>
    <n v="0"/>
    <n v="3"/>
    <x v="3"/>
    <x v="1"/>
    <s v="Medium"/>
    <x v="0"/>
    <s v="Excellent"/>
    <s v="Good"/>
    <n v="1"/>
    <s v="0–3,000"/>
    <s v="16+ miles"/>
    <s v="2–5 years"/>
  </r>
  <r>
    <n v="38"/>
    <x v="1"/>
    <s v="Travel_Rarely"/>
    <n v="1404"/>
    <x v="0"/>
    <n v="1"/>
    <x v="3"/>
    <s v="Life Sciences"/>
    <n v="1"/>
    <n v="1961"/>
    <n v="1"/>
    <s v="Male"/>
    <n v="59"/>
    <n v="2"/>
    <n v="1"/>
    <x v="6"/>
    <x v="3"/>
    <s v="Single"/>
    <n v="2858"/>
    <n v="11473"/>
    <n v="4"/>
    <s v="Y"/>
    <x v="1"/>
    <n v="14"/>
    <n v="3"/>
    <n v="1"/>
    <n v="80"/>
    <n v="0"/>
    <n v="20"/>
    <n v="3"/>
    <n v="2"/>
    <n v="1"/>
    <n v="0"/>
    <n v="0"/>
    <n v="0"/>
    <x v="3"/>
    <x v="3"/>
    <s v="Medium"/>
    <x v="3"/>
    <s v="Excellent"/>
    <s v="Good"/>
    <n v="0"/>
    <s v="0–3,000"/>
    <s v="0–5 miles"/>
    <s v="0–1 years"/>
  </r>
  <r>
    <n v="35"/>
    <x v="1"/>
    <s v="Travel_Rarely"/>
    <n v="1224"/>
    <x v="0"/>
    <n v="7"/>
    <x v="2"/>
    <s v="Life Sciences"/>
    <n v="1"/>
    <n v="1962"/>
    <n v="3"/>
    <s v="Female"/>
    <n v="55"/>
    <n v="3"/>
    <n v="2"/>
    <x v="0"/>
    <x v="0"/>
    <s v="Married"/>
    <n v="5204"/>
    <n v="13586"/>
    <n v="1"/>
    <s v="Y"/>
    <x v="0"/>
    <n v="11"/>
    <n v="3"/>
    <n v="4"/>
    <n v="80"/>
    <n v="0"/>
    <n v="10"/>
    <n v="2"/>
    <n v="3"/>
    <n v="10"/>
    <n v="8"/>
    <n v="0"/>
    <n v="9"/>
    <x v="2"/>
    <x v="1"/>
    <s v="High"/>
    <x v="0"/>
    <s v="Excellent"/>
    <s v="Better"/>
    <n v="0"/>
    <s v="3,001–6,000"/>
    <s v="6–10 miles"/>
    <s v="6–10 years"/>
  </r>
  <r>
    <n v="27"/>
    <x v="1"/>
    <s v="Travel_Rarely"/>
    <n v="954"/>
    <x v="0"/>
    <n v="9"/>
    <x v="3"/>
    <s v="Marketing"/>
    <n v="1"/>
    <n v="1965"/>
    <n v="4"/>
    <s v="Male"/>
    <n v="44"/>
    <n v="3"/>
    <n v="2"/>
    <x v="0"/>
    <x v="0"/>
    <s v="Single"/>
    <n v="4105"/>
    <n v="5099"/>
    <n v="1"/>
    <s v="Y"/>
    <x v="1"/>
    <n v="14"/>
    <n v="3"/>
    <n v="1"/>
    <n v="80"/>
    <n v="0"/>
    <n v="7"/>
    <n v="5"/>
    <n v="3"/>
    <n v="7"/>
    <n v="7"/>
    <n v="0"/>
    <n v="7"/>
    <x v="3"/>
    <x v="2"/>
    <s v="High"/>
    <x v="0"/>
    <s v="Excellent"/>
    <s v="Better"/>
    <n v="0"/>
    <s v="3,001–6,000"/>
    <s v="6–10 miles"/>
    <s v="6–10 years"/>
  </r>
  <r>
    <n v="32"/>
    <x v="1"/>
    <s v="Travel_Rarely"/>
    <n v="1373"/>
    <x v="1"/>
    <n v="5"/>
    <x v="2"/>
    <s v="Life Sciences"/>
    <n v="1"/>
    <n v="1966"/>
    <n v="4"/>
    <s v="Male"/>
    <n v="56"/>
    <n v="2"/>
    <n v="2"/>
    <x v="3"/>
    <x v="0"/>
    <s v="Single"/>
    <n v="9679"/>
    <n v="10138"/>
    <n v="8"/>
    <s v="Y"/>
    <x v="1"/>
    <n v="24"/>
    <n v="4"/>
    <n v="2"/>
    <n v="80"/>
    <n v="0"/>
    <n v="8"/>
    <n v="1"/>
    <n v="3"/>
    <n v="1"/>
    <n v="0"/>
    <n v="0"/>
    <n v="0"/>
    <x v="2"/>
    <x v="2"/>
    <s v="Medium"/>
    <x v="0"/>
    <s v="Outstanding"/>
    <s v="Better"/>
    <n v="0"/>
    <s v="6,001–10,000"/>
    <s v="0–5 miles"/>
    <s v="0–1 years"/>
  </r>
  <r>
    <n v="31"/>
    <x v="0"/>
    <s v="Travel_Frequently"/>
    <n v="754"/>
    <x v="0"/>
    <n v="26"/>
    <x v="2"/>
    <s v="Marketing"/>
    <n v="1"/>
    <n v="1967"/>
    <n v="1"/>
    <s v="Male"/>
    <n v="63"/>
    <n v="3"/>
    <n v="2"/>
    <x v="0"/>
    <x v="0"/>
    <s v="Married"/>
    <n v="5617"/>
    <n v="21075"/>
    <n v="1"/>
    <s v="Y"/>
    <x v="0"/>
    <n v="11"/>
    <n v="3"/>
    <n v="3"/>
    <n v="80"/>
    <n v="0"/>
    <n v="10"/>
    <n v="4"/>
    <n v="3"/>
    <n v="10"/>
    <n v="7"/>
    <n v="0"/>
    <n v="8"/>
    <x v="2"/>
    <x v="3"/>
    <s v="High"/>
    <x v="0"/>
    <s v="Excellent"/>
    <s v="Better"/>
    <n v="1"/>
    <s v="3,001–6,000"/>
    <s v="16+ miles"/>
    <s v="6–10 years"/>
  </r>
  <r>
    <n v="53"/>
    <x v="0"/>
    <s v="Travel_Rarely"/>
    <n v="1168"/>
    <x v="0"/>
    <n v="24"/>
    <x v="2"/>
    <s v="Life Sciences"/>
    <n v="1"/>
    <n v="1968"/>
    <n v="1"/>
    <s v="Male"/>
    <n v="66"/>
    <n v="3"/>
    <n v="3"/>
    <x v="0"/>
    <x v="3"/>
    <s v="Single"/>
    <n v="10448"/>
    <n v="5843"/>
    <n v="6"/>
    <s v="Y"/>
    <x v="0"/>
    <n v="13"/>
    <n v="3"/>
    <n v="2"/>
    <n v="80"/>
    <n v="0"/>
    <n v="15"/>
    <n v="2"/>
    <n v="2"/>
    <n v="2"/>
    <n v="2"/>
    <n v="2"/>
    <n v="2"/>
    <x v="2"/>
    <x v="3"/>
    <s v="High"/>
    <x v="3"/>
    <s v="Excellent"/>
    <s v="Good"/>
    <n v="1"/>
    <s v="10,001+"/>
    <s v="16+ miles"/>
    <s v="2–5 years"/>
  </r>
  <r>
    <n v="54"/>
    <x v="1"/>
    <s v="Travel_Rarely"/>
    <n v="155"/>
    <x v="1"/>
    <n v="9"/>
    <x v="0"/>
    <s v="Life Sciences"/>
    <n v="1"/>
    <n v="1969"/>
    <n v="1"/>
    <s v="Female"/>
    <n v="67"/>
    <n v="3"/>
    <n v="2"/>
    <x v="1"/>
    <x v="2"/>
    <s v="Married"/>
    <n v="2897"/>
    <n v="22474"/>
    <n v="3"/>
    <s v="Y"/>
    <x v="1"/>
    <n v="11"/>
    <n v="3"/>
    <n v="3"/>
    <n v="80"/>
    <n v="2"/>
    <n v="9"/>
    <n v="6"/>
    <n v="2"/>
    <n v="4"/>
    <n v="3"/>
    <n v="2"/>
    <n v="3"/>
    <x v="0"/>
    <x v="3"/>
    <s v="High"/>
    <x v="2"/>
    <s v="Excellent"/>
    <s v="Good"/>
    <n v="0"/>
    <s v="0–3,000"/>
    <s v="6–10 miles"/>
    <s v="2–5 years"/>
  </r>
  <r>
    <n v="33"/>
    <x v="1"/>
    <s v="Travel_Frequently"/>
    <n v="1303"/>
    <x v="1"/>
    <n v="7"/>
    <x v="0"/>
    <s v="Life Sciences"/>
    <n v="1"/>
    <n v="1970"/>
    <n v="4"/>
    <s v="Male"/>
    <n v="36"/>
    <n v="3"/>
    <n v="2"/>
    <x v="4"/>
    <x v="2"/>
    <s v="Divorced"/>
    <n v="5968"/>
    <n v="18079"/>
    <n v="1"/>
    <s v="Y"/>
    <x v="1"/>
    <n v="20"/>
    <n v="4"/>
    <n v="3"/>
    <n v="80"/>
    <n v="3"/>
    <n v="9"/>
    <n v="2"/>
    <n v="3"/>
    <n v="9"/>
    <n v="7"/>
    <n v="2"/>
    <n v="8"/>
    <x v="0"/>
    <x v="2"/>
    <s v="High"/>
    <x v="2"/>
    <s v="Outstanding"/>
    <s v="Better"/>
    <n v="0"/>
    <s v="3,001–6,000"/>
    <s v="6–10 miles"/>
    <s v="6–10 years"/>
  </r>
  <r>
    <n v="43"/>
    <x v="1"/>
    <s v="Travel_Rarely"/>
    <n v="574"/>
    <x v="1"/>
    <n v="11"/>
    <x v="3"/>
    <s v="Life Sciences"/>
    <n v="1"/>
    <n v="1971"/>
    <n v="1"/>
    <s v="Male"/>
    <n v="30"/>
    <n v="3"/>
    <n v="3"/>
    <x v="4"/>
    <x v="2"/>
    <s v="Married"/>
    <n v="7510"/>
    <n v="16873"/>
    <n v="1"/>
    <s v="Y"/>
    <x v="1"/>
    <n v="17"/>
    <n v="3"/>
    <n v="2"/>
    <n v="80"/>
    <n v="1"/>
    <n v="10"/>
    <n v="1"/>
    <n v="3"/>
    <n v="10"/>
    <n v="9"/>
    <n v="0"/>
    <n v="9"/>
    <x v="3"/>
    <x v="3"/>
    <s v="High"/>
    <x v="2"/>
    <s v="Excellent"/>
    <s v="Better"/>
    <n v="0"/>
    <s v="6,001–10,000"/>
    <s v="11–15 miles"/>
    <s v="6–10 years"/>
  </r>
  <r>
    <n v="38"/>
    <x v="1"/>
    <s v="Travel_Frequently"/>
    <n v="1444"/>
    <x v="2"/>
    <n v="1"/>
    <x v="2"/>
    <s v="Other"/>
    <n v="1"/>
    <n v="1972"/>
    <n v="4"/>
    <s v="Male"/>
    <n v="88"/>
    <n v="3"/>
    <n v="1"/>
    <x v="8"/>
    <x v="1"/>
    <s v="Married"/>
    <n v="2991"/>
    <n v="5224"/>
    <n v="0"/>
    <s v="Y"/>
    <x v="0"/>
    <n v="11"/>
    <n v="3"/>
    <n v="2"/>
    <n v="80"/>
    <n v="1"/>
    <n v="7"/>
    <n v="2"/>
    <n v="3"/>
    <n v="6"/>
    <n v="2"/>
    <n v="1"/>
    <n v="2"/>
    <x v="2"/>
    <x v="2"/>
    <s v="High"/>
    <x v="1"/>
    <s v="Excellent"/>
    <s v="Better"/>
    <n v="0"/>
    <s v="0–3,000"/>
    <s v="0–5 miles"/>
    <s v="6–10 years"/>
  </r>
  <r>
    <n v="55"/>
    <x v="1"/>
    <s v="Travel_Rarely"/>
    <n v="189"/>
    <x v="2"/>
    <n v="26"/>
    <x v="2"/>
    <s v="Human Resources"/>
    <n v="1"/>
    <n v="1973"/>
    <n v="3"/>
    <s v="Male"/>
    <n v="71"/>
    <n v="4"/>
    <n v="5"/>
    <x v="5"/>
    <x v="1"/>
    <s v="Married"/>
    <n v="19636"/>
    <n v="25811"/>
    <n v="4"/>
    <s v="Y"/>
    <x v="0"/>
    <n v="18"/>
    <n v="3"/>
    <n v="1"/>
    <n v="80"/>
    <n v="1"/>
    <n v="35"/>
    <n v="0"/>
    <n v="3"/>
    <n v="10"/>
    <n v="9"/>
    <n v="1"/>
    <n v="4"/>
    <x v="2"/>
    <x v="1"/>
    <s v="Very High"/>
    <x v="1"/>
    <s v="Excellent"/>
    <s v="Better"/>
    <n v="0"/>
    <s v="10,001+"/>
    <s v="16+ miles"/>
    <s v="6–10 years"/>
  </r>
  <r>
    <n v="31"/>
    <x v="1"/>
    <s v="Travel_Rarely"/>
    <n v="1276"/>
    <x v="1"/>
    <n v="2"/>
    <x v="1"/>
    <s v="Medical"/>
    <n v="1"/>
    <n v="1974"/>
    <n v="4"/>
    <s v="Female"/>
    <n v="59"/>
    <n v="1"/>
    <n v="1"/>
    <x v="2"/>
    <x v="0"/>
    <s v="Divorced"/>
    <n v="1129"/>
    <n v="17536"/>
    <n v="1"/>
    <s v="Y"/>
    <x v="0"/>
    <n v="11"/>
    <n v="3"/>
    <n v="3"/>
    <n v="80"/>
    <n v="3"/>
    <n v="1"/>
    <n v="4"/>
    <n v="3"/>
    <n v="1"/>
    <n v="0"/>
    <n v="0"/>
    <n v="0"/>
    <x v="1"/>
    <x v="2"/>
    <s v="Low"/>
    <x v="0"/>
    <s v="Excellent"/>
    <s v="Better"/>
    <n v="0"/>
    <s v="0–3,000"/>
    <s v="0–5 miles"/>
    <s v="0–1 years"/>
  </r>
  <r>
    <n v="39"/>
    <x v="1"/>
    <s v="Travel_Rarely"/>
    <n v="119"/>
    <x v="0"/>
    <n v="15"/>
    <x v="2"/>
    <s v="Marketing"/>
    <n v="1"/>
    <n v="1975"/>
    <n v="2"/>
    <s v="Male"/>
    <n v="77"/>
    <n v="3"/>
    <n v="4"/>
    <x v="0"/>
    <x v="3"/>
    <s v="Single"/>
    <n v="13341"/>
    <n v="25098"/>
    <n v="0"/>
    <s v="Y"/>
    <x v="1"/>
    <n v="12"/>
    <n v="3"/>
    <n v="1"/>
    <n v="80"/>
    <n v="0"/>
    <n v="21"/>
    <n v="3"/>
    <n v="3"/>
    <n v="20"/>
    <n v="8"/>
    <n v="11"/>
    <n v="10"/>
    <x v="2"/>
    <x v="0"/>
    <s v="High"/>
    <x v="3"/>
    <s v="Excellent"/>
    <s v="Better"/>
    <n v="0"/>
    <s v="10,001+"/>
    <s v="11–15 miles"/>
    <s v="11+ years"/>
  </r>
  <r>
    <n v="42"/>
    <x v="1"/>
    <s v="Non-Travel"/>
    <n v="335"/>
    <x v="1"/>
    <n v="23"/>
    <x v="0"/>
    <s v="Life Sciences"/>
    <n v="1"/>
    <n v="1976"/>
    <n v="4"/>
    <s v="Male"/>
    <n v="37"/>
    <n v="2"/>
    <n v="2"/>
    <x v="1"/>
    <x v="2"/>
    <s v="Single"/>
    <n v="4332"/>
    <n v="14811"/>
    <n v="1"/>
    <s v="Y"/>
    <x v="1"/>
    <n v="12"/>
    <n v="3"/>
    <n v="4"/>
    <n v="80"/>
    <n v="0"/>
    <n v="20"/>
    <n v="2"/>
    <n v="3"/>
    <n v="20"/>
    <n v="9"/>
    <n v="3"/>
    <n v="7"/>
    <x v="0"/>
    <x v="2"/>
    <s v="Medium"/>
    <x v="2"/>
    <s v="Excellent"/>
    <s v="Better"/>
    <n v="0"/>
    <s v="3,001–6,000"/>
    <s v="16+ miles"/>
    <s v="11+ years"/>
  </r>
  <r>
    <n v="31"/>
    <x v="1"/>
    <s v="Non-Travel"/>
    <n v="697"/>
    <x v="1"/>
    <n v="10"/>
    <x v="3"/>
    <s v="Medical"/>
    <n v="1"/>
    <n v="1979"/>
    <n v="3"/>
    <s v="Female"/>
    <n v="40"/>
    <n v="3"/>
    <n v="3"/>
    <x v="7"/>
    <x v="2"/>
    <s v="Married"/>
    <n v="11031"/>
    <n v="26862"/>
    <n v="4"/>
    <s v="Y"/>
    <x v="1"/>
    <n v="20"/>
    <n v="4"/>
    <n v="3"/>
    <n v="80"/>
    <n v="1"/>
    <n v="13"/>
    <n v="2"/>
    <n v="4"/>
    <n v="11"/>
    <n v="7"/>
    <n v="4"/>
    <n v="8"/>
    <x v="3"/>
    <x v="1"/>
    <s v="High"/>
    <x v="2"/>
    <s v="Outstanding"/>
    <s v="Best"/>
    <n v="0"/>
    <s v="10,001+"/>
    <s v="6–10 miles"/>
    <s v="11+ years"/>
  </r>
  <r>
    <n v="54"/>
    <x v="1"/>
    <s v="Travel_Rarely"/>
    <n v="157"/>
    <x v="1"/>
    <n v="10"/>
    <x v="3"/>
    <s v="Medical"/>
    <n v="1"/>
    <n v="1980"/>
    <n v="3"/>
    <s v="Female"/>
    <n v="77"/>
    <n v="3"/>
    <n v="2"/>
    <x v="3"/>
    <x v="3"/>
    <s v="Single"/>
    <n v="4440"/>
    <n v="25198"/>
    <n v="6"/>
    <s v="Y"/>
    <x v="0"/>
    <n v="19"/>
    <n v="3"/>
    <n v="4"/>
    <n v="80"/>
    <n v="0"/>
    <n v="9"/>
    <n v="3"/>
    <n v="3"/>
    <n v="5"/>
    <n v="2"/>
    <n v="1"/>
    <n v="4"/>
    <x v="3"/>
    <x v="1"/>
    <s v="High"/>
    <x v="3"/>
    <s v="Excellent"/>
    <s v="Better"/>
    <n v="0"/>
    <s v="3,001–6,000"/>
    <s v="6–10 miles"/>
    <s v="2–5 years"/>
  </r>
  <r>
    <n v="24"/>
    <x v="1"/>
    <s v="Travel_Rarely"/>
    <n v="771"/>
    <x v="1"/>
    <n v="1"/>
    <x v="0"/>
    <s v="Life Sciences"/>
    <n v="1"/>
    <n v="1981"/>
    <n v="2"/>
    <s v="Male"/>
    <n v="45"/>
    <n v="2"/>
    <n v="2"/>
    <x v="4"/>
    <x v="2"/>
    <s v="Single"/>
    <n v="4617"/>
    <n v="14120"/>
    <n v="1"/>
    <s v="Y"/>
    <x v="1"/>
    <n v="12"/>
    <n v="3"/>
    <n v="2"/>
    <n v="80"/>
    <n v="0"/>
    <n v="4"/>
    <n v="2"/>
    <n v="2"/>
    <n v="4"/>
    <n v="3"/>
    <n v="1"/>
    <n v="2"/>
    <x v="0"/>
    <x v="0"/>
    <s v="Medium"/>
    <x v="2"/>
    <s v="Excellent"/>
    <s v="Good"/>
    <n v="0"/>
    <s v="3,001–6,000"/>
    <s v="0–5 miles"/>
    <s v="2–5 years"/>
  </r>
  <r>
    <n v="23"/>
    <x v="1"/>
    <s v="Travel_Rarely"/>
    <n v="571"/>
    <x v="1"/>
    <n v="12"/>
    <x v="0"/>
    <s v="Other"/>
    <n v="1"/>
    <n v="1982"/>
    <n v="4"/>
    <s v="Male"/>
    <n v="78"/>
    <n v="3"/>
    <n v="1"/>
    <x v="2"/>
    <x v="0"/>
    <s v="Single"/>
    <n v="2647"/>
    <n v="13672"/>
    <n v="1"/>
    <s v="Y"/>
    <x v="1"/>
    <n v="13"/>
    <n v="3"/>
    <n v="3"/>
    <n v="80"/>
    <n v="0"/>
    <n v="5"/>
    <n v="6"/>
    <n v="4"/>
    <n v="5"/>
    <n v="2"/>
    <n v="1"/>
    <n v="4"/>
    <x v="0"/>
    <x v="2"/>
    <s v="High"/>
    <x v="0"/>
    <s v="Excellent"/>
    <s v="Best"/>
    <n v="0"/>
    <s v="0–3,000"/>
    <s v="11–15 miles"/>
    <s v="2–5 years"/>
  </r>
  <r>
    <n v="40"/>
    <x v="1"/>
    <s v="Travel_Frequently"/>
    <n v="692"/>
    <x v="1"/>
    <n v="11"/>
    <x v="3"/>
    <s v="Technical Degree"/>
    <n v="1"/>
    <n v="1985"/>
    <n v="4"/>
    <s v="Female"/>
    <n v="73"/>
    <n v="3"/>
    <n v="2"/>
    <x v="2"/>
    <x v="2"/>
    <s v="Married"/>
    <n v="6323"/>
    <n v="26849"/>
    <n v="1"/>
    <s v="Y"/>
    <x v="1"/>
    <n v="11"/>
    <n v="3"/>
    <n v="1"/>
    <n v="80"/>
    <n v="1"/>
    <n v="10"/>
    <n v="2"/>
    <n v="4"/>
    <n v="10"/>
    <n v="9"/>
    <n v="9"/>
    <n v="4"/>
    <x v="3"/>
    <x v="2"/>
    <s v="High"/>
    <x v="2"/>
    <s v="Excellent"/>
    <s v="Best"/>
    <n v="0"/>
    <s v="6,001–10,000"/>
    <s v="11–15 miles"/>
    <s v="6–10 years"/>
  </r>
  <r>
    <n v="40"/>
    <x v="1"/>
    <s v="Travel_Rarely"/>
    <n v="444"/>
    <x v="0"/>
    <n v="2"/>
    <x v="0"/>
    <s v="Marketing"/>
    <n v="1"/>
    <n v="1986"/>
    <n v="2"/>
    <s v="Female"/>
    <n v="92"/>
    <n v="3"/>
    <n v="2"/>
    <x v="0"/>
    <x v="1"/>
    <s v="Married"/>
    <n v="5677"/>
    <n v="4258"/>
    <n v="3"/>
    <s v="Y"/>
    <x v="1"/>
    <n v="14"/>
    <n v="3"/>
    <n v="3"/>
    <n v="80"/>
    <n v="1"/>
    <n v="15"/>
    <n v="4"/>
    <n v="3"/>
    <n v="11"/>
    <n v="8"/>
    <n v="5"/>
    <n v="10"/>
    <x v="0"/>
    <x v="0"/>
    <s v="High"/>
    <x v="1"/>
    <s v="Excellent"/>
    <s v="Better"/>
    <n v="0"/>
    <s v="3,001–6,000"/>
    <s v="0–5 miles"/>
    <s v="11+ years"/>
  </r>
  <r>
    <n v="25"/>
    <x v="1"/>
    <s v="Travel_Rarely"/>
    <n v="309"/>
    <x v="2"/>
    <n v="2"/>
    <x v="3"/>
    <s v="Human Resources"/>
    <n v="1"/>
    <n v="1987"/>
    <n v="3"/>
    <s v="Female"/>
    <n v="82"/>
    <n v="3"/>
    <n v="1"/>
    <x v="8"/>
    <x v="1"/>
    <s v="Married"/>
    <n v="2187"/>
    <n v="19655"/>
    <n v="4"/>
    <s v="Y"/>
    <x v="1"/>
    <n v="14"/>
    <n v="3"/>
    <n v="3"/>
    <n v="80"/>
    <n v="0"/>
    <n v="6"/>
    <n v="3"/>
    <n v="3"/>
    <n v="2"/>
    <n v="0"/>
    <n v="1"/>
    <n v="2"/>
    <x v="3"/>
    <x v="1"/>
    <s v="High"/>
    <x v="1"/>
    <s v="Excellent"/>
    <s v="Better"/>
    <n v="0"/>
    <s v="0–3,000"/>
    <s v="0–5 miles"/>
    <s v="2–5 years"/>
  </r>
  <r>
    <n v="30"/>
    <x v="1"/>
    <s v="Travel_Rarely"/>
    <n v="911"/>
    <x v="1"/>
    <n v="1"/>
    <x v="0"/>
    <s v="Medical"/>
    <n v="1"/>
    <n v="1989"/>
    <n v="4"/>
    <s v="Male"/>
    <n v="76"/>
    <n v="3"/>
    <n v="1"/>
    <x v="2"/>
    <x v="1"/>
    <s v="Married"/>
    <n v="3748"/>
    <n v="4077"/>
    <n v="1"/>
    <s v="Y"/>
    <x v="1"/>
    <n v="13"/>
    <n v="3"/>
    <n v="3"/>
    <n v="80"/>
    <n v="0"/>
    <n v="12"/>
    <n v="6"/>
    <n v="2"/>
    <n v="12"/>
    <n v="8"/>
    <n v="1"/>
    <n v="7"/>
    <x v="0"/>
    <x v="2"/>
    <s v="High"/>
    <x v="1"/>
    <s v="Excellent"/>
    <s v="Good"/>
    <n v="0"/>
    <s v="3,001–6,000"/>
    <s v="0–5 miles"/>
    <s v="11+ years"/>
  </r>
  <r>
    <n v="25"/>
    <x v="1"/>
    <s v="Travel_Rarely"/>
    <n v="977"/>
    <x v="1"/>
    <n v="2"/>
    <x v="1"/>
    <s v="Other"/>
    <n v="1"/>
    <n v="1992"/>
    <n v="4"/>
    <s v="Male"/>
    <n v="57"/>
    <n v="3"/>
    <n v="1"/>
    <x v="2"/>
    <x v="2"/>
    <s v="Divorced"/>
    <n v="3977"/>
    <n v="7298"/>
    <n v="6"/>
    <s v="Y"/>
    <x v="0"/>
    <n v="19"/>
    <n v="3"/>
    <n v="3"/>
    <n v="80"/>
    <n v="1"/>
    <n v="7"/>
    <n v="2"/>
    <n v="2"/>
    <n v="2"/>
    <n v="2"/>
    <n v="0"/>
    <n v="2"/>
    <x v="1"/>
    <x v="2"/>
    <s v="High"/>
    <x v="2"/>
    <s v="Excellent"/>
    <s v="Good"/>
    <n v="0"/>
    <s v="3,001–6,000"/>
    <s v="0–5 miles"/>
    <s v="2–5 years"/>
  </r>
  <r>
    <n v="47"/>
    <x v="1"/>
    <s v="Travel_Rarely"/>
    <n v="1180"/>
    <x v="1"/>
    <n v="25"/>
    <x v="3"/>
    <s v="Medical"/>
    <n v="1"/>
    <n v="1993"/>
    <n v="1"/>
    <s v="Male"/>
    <n v="84"/>
    <n v="3"/>
    <n v="3"/>
    <x v="4"/>
    <x v="2"/>
    <s v="Single"/>
    <n v="8633"/>
    <n v="13084"/>
    <n v="2"/>
    <s v="Y"/>
    <x v="1"/>
    <n v="23"/>
    <n v="4"/>
    <n v="2"/>
    <n v="80"/>
    <n v="0"/>
    <n v="25"/>
    <n v="3"/>
    <n v="3"/>
    <n v="17"/>
    <n v="14"/>
    <n v="12"/>
    <n v="11"/>
    <x v="3"/>
    <x v="3"/>
    <s v="High"/>
    <x v="2"/>
    <s v="Outstanding"/>
    <s v="Better"/>
    <n v="0"/>
    <s v="6,001–10,000"/>
    <s v="16+ miles"/>
    <s v="11+ years"/>
  </r>
  <r>
    <n v="33"/>
    <x v="1"/>
    <s v="Non-Travel"/>
    <n v="1313"/>
    <x v="1"/>
    <n v="1"/>
    <x v="0"/>
    <s v="Medical"/>
    <n v="1"/>
    <n v="1994"/>
    <n v="2"/>
    <s v="Male"/>
    <n v="59"/>
    <n v="2"/>
    <n v="1"/>
    <x v="2"/>
    <x v="2"/>
    <s v="Divorced"/>
    <n v="2008"/>
    <n v="20439"/>
    <n v="1"/>
    <s v="Y"/>
    <x v="1"/>
    <n v="12"/>
    <n v="3"/>
    <n v="3"/>
    <n v="80"/>
    <n v="3"/>
    <n v="1"/>
    <n v="2"/>
    <n v="2"/>
    <n v="1"/>
    <n v="1"/>
    <n v="0"/>
    <n v="0"/>
    <x v="0"/>
    <x v="0"/>
    <s v="Medium"/>
    <x v="2"/>
    <s v="Excellent"/>
    <s v="Good"/>
    <n v="0"/>
    <s v="0–3,000"/>
    <s v="0–5 miles"/>
    <s v="0–1 years"/>
  </r>
  <r>
    <n v="38"/>
    <x v="1"/>
    <s v="Travel_Rarely"/>
    <n v="1321"/>
    <x v="0"/>
    <n v="1"/>
    <x v="2"/>
    <s v="Life Sciences"/>
    <n v="1"/>
    <n v="1995"/>
    <n v="4"/>
    <s v="Male"/>
    <n v="86"/>
    <n v="3"/>
    <n v="2"/>
    <x v="0"/>
    <x v="1"/>
    <s v="Married"/>
    <n v="4440"/>
    <n v="7636"/>
    <n v="0"/>
    <s v="Y"/>
    <x v="1"/>
    <n v="15"/>
    <n v="3"/>
    <n v="1"/>
    <n v="80"/>
    <n v="2"/>
    <n v="16"/>
    <n v="3"/>
    <n v="3"/>
    <n v="15"/>
    <n v="13"/>
    <n v="5"/>
    <n v="8"/>
    <x v="2"/>
    <x v="2"/>
    <s v="High"/>
    <x v="1"/>
    <s v="Excellent"/>
    <s v="Better"/>
    <n v="0"/>
    <s v="3,001–6,000"/>
    <s v="0–5 miles"/>
    <s v="11+ years"/>
  </r>
  <r>
    <n v="31"/>
    <x v="1"/>
    <s v="Travel_Rarely"/>
    <n v="1154"/>
    <x v="0"/>
    <n v="2"/>
    <x v="0"/>
    <s v="Life Sciences"/>
    <n v="1"/>
    <n v="1996"/>
    <n v="1"/>
    <s v="Male"/>
    <n v="54"/>
    <n v="3"/>
    <n v="1"/>
    <x v="6"/>
    <x v="2"/>
    <s v="Married"/>
    <n v="3067"/>
    <n v="6393"/>
    <n v="0"/>
    <s v="Y"/>
    <x v="1"/>
    <n v="19"/>
    <n v="3"/>
    <n v="3"/>
    <n v="80"/>
    <n v="1"/>
    <n v="3"/>
    <n v="1"/>
    <n v="3"/>
    <n v="2"/>
    <n v="2"/>
    <n v="1"/>
    <n v="2"/>
    <x v="0"/>
    <x v="3"/>
    <s v="High"/>
    <x v="2"/>
    <s v="Excellent"/>
    <s v="Better"/>
    <n v="0"/>
    <s v="3,001–6,000"/>
    <s v="0–5 miles"/>
    <s v="2–5 years"/>
  </r>
  <r>
    <n v="38"/>
    <x v="1"/>
    <s v="Travel_Frequently"/>
    <n v="508"/>
    <x v="1"/>
    <n v="6"/>
    <x v="2"/>
    <s v="Life Sciences"/>
    <n v="1"/>
    <n v="1997"/>
    <n v="1"/>
    <s v="Male"/>
    <n v="72"/>
    <n v="2"/>
    <n v="2"/>
    <x v="3"/>
    <x v="2"/>
    <s v="Married"/>
    <n v="5321"/>
    <n v="14284"/>
    <n v="2"/>
    <s v="Y"/>
    <x v="1"/>
    <n v="11"/>
    <n v="3"/>
    <n v="4"/>
    <n v="80"/>
    <n v="1"/>
    <n v="10"/>
    <n v="1"/>
    <n v="3"/>
    <n v="8"/>
    <n v="3"/>
    <n v="7"/>
    <n v="7"/>
    <x v="2"/>
    <x v="3"/>
    <s v="Medium"/>
    <x v="2"/>
    <s v="Excellent"/>
    <s v="Better"/>
    <n v="0"/>
    <s v="3,001–6,000"/>
    <s v="6–10 miles"/>
    <s v="6–10 years"/>
  </r>
  <r>
    <n v="42"/>
    <x v="1"/>
    <s v="Travel_Rarely"/>
    <n v="557"/>
    <x v="1"/>
    <n v="18"/>
    <x v="2"/>
    <s v="Life Sciences"/>
    <n v="1"/>
    <n v="1998"/>
    <n v="4"/>
    <s v="Male"/>
    <n v="35"/>
    <n v="3"/>
    <n v="2"/>
    <x v="1"/>
    <x v="3"/>
    <s v="Divorced"/>
    <n v="5410"/>
    <n v="11189"/>
    <n v="6"/>
    <s v="Y"/>
    <x v="0"/>
    <n v="17"/>
    <n v="3"/>
    <n v="3"/>
    <n v="80"/>
    <n v="1"/>
    <n v="9"/>
    <n v="3"/>
    <n v="2"/>
    <n v="4"/>
    <n v="3"/>
    <n v="1"/>
    <n v="2"/>
    <x v="2"/>
    <x v="2"/>
    <s v="High"/>
    <x v="3"/>
    <s v="Excellent"/>
    <s v="Good"/>
    <n v="0"/>
    <s v="3,001–6,000"/>
    <s v="16+ miles"/>
    <s v="2–5 years"/>
  </r>
  <r>
    <n v="41"/>
    <x v="1"/>
    <s v="Travel_Rarely"/>
    <n v="642"/>
    <x v="1"/>
    <n v="1"/>
    <x v="3"/>
    <s v="Life Sciences"/>
    <n v="1"/>
    <n v="1999"/>
    <n v="4"/>
    <s v="Male"/>
    <n v="76"/>
    <n v="3"/>
    <n v="1"/>
    <x v="1"/>
    <x v="0"/>
    <s v="Married"/>
    <n v="2782"/>
    <n v="21412"/>
    <n v="3"/>
    <s v="Y"/>
    <x v="1"/>
    <n v="22"/>
    <n v="4"/>
    <n v="1"/>
    <n v="80"/>
    <n v="1"/>
    <n v="12"/>
    <n v="3"/>
    <n v="3"/>
    <n v="5"/>
    <n v="3"/>
    <n v="1"/>
    <n v="0"/>
    <x v="3"/>
    <x v="2"/>
    <s v="High"/>
    <x v="0"/>
    <s v="Outstanding"/>
    <s v="Better"/>
    <n v="0"/>
    <s v="0–3,000"/>
    <s v="0–5 miles"/>
    <s v="2–5 years"/>
  </r>
  <r>
    <n v="47"/>
    <x v="1"/>
    <s v="Non-Travel"/>
    <n v="1162"/>
    <x v="1"/>
    <n v="1"/>
    <x v="1"/>
    <s v="Medical"/>
    <n v="1"/>
    <n v="2000"/>
    <n v="3"/>
    <s v="Female"/>
    <n v="98"/>
    <n v="3"/>
    <n v="3"/>
    <x v="7"/>
    <x v="1"/>
    <s v="Married"/>
    <n v="11957"/>
    <n v="17231"/>
    <n v="0"/>
    <s v="Y"/>
    <x v="1"/>
    <n v="18"/>
    <n v="3"/>
    <n v="1"/>
    <n v="80"/>
    <n v="2"/>
    <n v="14"/>
    <n v="3"/>
    <n v="1"/>
    <n v="13"/>
    <n v="8"/>
    <n v="5"/>
    <n v="12"/>
    <x v="1"/>
    <x v="1"/>
    <s v="High"/>
    <x v="1"/>
    <s v="Excellent"/>
    <s v="Bad"/>
    <n v="0"/>
    <s v="10,001+"/>
    <s v="0–5 miles"/>
    <s v="11+ years"/>
  </r>
  <r>
    <n v="35"/>
    <x v="1"/>
    <s v="Travel_Rarely"/>
    <n v="1490"/>
    <x v="1"/>
    <n v="11"/>
    <x v="2"/>
    <s v="Medical"/>
    <n v="1"/>
    <n v="2003"/>
    <n v="4"/>
    <s v="Male"/>
    <n v="43"/>
    <n v="3"/>
    <n v="1"/>
    <x v="2"/>
    <x v="2"/>
    <s v="Married"/>
    <n v="2660"/>
    <n v="20232"/>
    <n v="7"/>
    <s v="Y"/>
    <x v="0"/>
    <n v="11"/>
    <n v="3"/>
    <n v="3"/>
    <n v="80"/>
    <n v="1"/>
    <n v="5"/>
    <n v="3"/>
    <n v="3"/>
    <n v="2"/>
    <n v="2"/>
    <n v="2"/>
    <n v="2"/>
    <x v="2"/>
    <x v="2"/>
    <s v="High"/>
    <x v="2"/>
    <s v="Excellent"/>
    <s v="Better"/>
    <n v="0"/>
    <s v="0–3,000"/>
    <s v="11–15 miles"/>
    <s v="2–5 years"/>
  </r>
  <r>
    <n v="22"/>
    <x v="1"/>
    <s v="Travel_Rarely"/>
    <n v="581"/>
    <x v="1"/>
    <n v="1"/>
    <x v="0"/>
    <s v="Life Sciences"/>
    <n v="1"/>
    <n v="2007"/>
    <n v="4"/>
    <s v="Male"/>
    <n v="63"/>
    <n v="3"/>
    <n v="1"/>
    <x v="1"/>
    <x v="2"/>
    <s v="Single"/>
    <n v="3375"/>
    <n v="17624"/>
    <n v="0"/>
    <s v="Y"/>
    <x v="1"/>
    <n v="12"/>
    <n v="3"/>
    <n v="4"/>
    <n v="80"/>
    <n v="0"/>
    <n v="4"/>
    <n v="2"/>
    <n v="4"/>
    <n v="3"/>
    <n v="2"/>
    <n v="1"/>
    <n v="2"/>
    <x v="0"/>
    <x v="2"/>
    <s v="High"/>
    <x v="2"/>
    <s v="Excellent"/>
    <s v="Best"/>
    <n v="0"/>
    <s v="3,001–6,000"/>
    <s v="0–5 miles"/>
    <s v="2–5 years"/>
  </r>
  <r>
    <n v="35"/>
    <x v="1"/>
    <s v="Travel_Rarely"/>
    <n v="1395"/>
    <x v="1"/>
    <n v="9"/>
    <x v="2"/>
    <s v="Medical"/>
    <n v="1"/>
    <n v="2008"/>
    <n v="2"/>
    <s v="Male"/>
    <n v="48"/>
    <n v="3"/>
    <n v="2"/>
    <x v="1"/>
    <x v="2"/>
    <s v="Single"/>
    <n v="5098"/>
    <n v="18698"/>
    <n v="1"/>
    <s v="Y"/>
    <x v="1"/>
    <n v="19"/>
    <n v="3"/>
    <n v="2"/>
    <n v="80"/>
    <n v="0"/>
    <n v="10"/>
    <n v="5"/>
    <n v="3"/>
    <n v="10"/>
    <n v="7"/>
    <n v="0"/>
    <n v="8"/>
    <x v="2"/>
    <x v="0"/>
    <s v="High"/>
    <x v="2"/>
    <s v="Excellent"/>
    <s v="Better"/>
    <n v="0"/>
    <s v="3,001–6,000"/>
    <s v="6–10 miles"/>
    <s v="6–10 years"/>
  </r>
  <r>
    <n v="33"/>
    <x v="1"/>
    <s v="Travel_Rarely"/>
    <n v="501"/>
    <x v="1"/>
    <n v="15"/>
    <x v="0"/>
    <s v="Medical"/>
    <n v="1"/>
    <n v="2009"/>
    <n v="2"/>
    <s v="Female"/>
    <n v="95"/>
    <n v="3"/>
    <n v="2"/>
    <x v="4"/>
    <x v="0"/>
    <s v="Married"/>
    <n v="4878"/>
    <n v="21653"/>
    <n v="0"/>
    <s v="Y"/>
    <x v="0"/>
    <n v="13"/>
    <n v="3"/>
    <n v="1"/>
    <n v="80"/>
    <n v="1"/>
    <n v="10"/>
    <n v="6"/>
    <n v="3"/>
    <n v="9"/>
    <n v="7"/>
    <n v="8"/>
    <n v="1"/>
    <x v="0"/>
    <x v="0"/>
    <s v="High"/>
    <x v="0"/>
    <s v="Excellent"/>
    <s v="Better"/>
    <n v="0"/>
    <s v="3,001–6,000"/>
    <s v="11–15 miles"/>
    <s v="6–10 years"/>
  </r>
  <r>
    <n v="32"/>
    <x v="1"/>
    <s v="Travel_Rarely"/>
    <n v="267"/>
    <x v="1"/>
    <n v="29"/>
    <x v="2"/>
    <s v="Life Sciences"/>
    <n v="1"/>
    <n v="2010"/>
    <n v="3"/>
    <s v="Female"/>
    <n v="49"/>
    <n v="2"/>
    <n v="1"/>
    <x v="2"/>
    <x v="1"/>
    <s v="Single"/>
    <n v="2837"/>
    <n v="15919"/>
    <n v="1"/>
    <s v="Y"/>
    <x v="1"/>
    <n v="13"/>
    <n v="3"/>
    <n v="3"/>
    <n v="80"/>
    <n v="0"/>
    <n v="6"/>
    <n v="3"/>
    <n v="3"/>
    <n v="6"/>
    <n v="2"/>
    <n v="4"/>
    <n v="1"/>
    <x v="2"/>
    <x v="1"/>
    <s v="Medium"/>
    <x v="1"/>
    <s v="Excellent"/>
    <s v="Better"/>
    <n v="0"/>
    <s v="0–3,000"/>
    <s v="16+ miles"/>
    <s v="6–10 years"/>
  </r>
  <r>
    <n v="40"/>
    <x v="1"/>
    <s v="Travel_Rarely"/>
    <n v="543"/>
    <x v="1"/>
    <n v="1"/>
    <x v="2"/>
    <s v="Life Sciences"/>
    <n v="1"/>
    <n v="2012"/>
    <n v="1"/>
    <s v="Male"/>
    <n v="83"/>
    <n v="3"/>
    <n v="1"/>
    <x v="2"/>
    <x v="0"/>
    <s v="Married"/>
    <n v="2406"/>
    <n v="4060"/>
    <n v="8"/>
    <s v="Y"/>
    <x v="1"/>
    <n v="19"/>
    <n v="3"/>
    <n v="3"/>
    <n v="80"/>
    <n v="2"/>
    <n v="8"/>
    <n v="3"/>
    <n v="2"/>
    <n v="1"/>
    <n v="0"/>
    <n v="0"/>
    <n v="0"/>
    <x v="2"/>
    <x v="3"/>
    <s v="High"/>
    <x v="0"/>
    <s v="Excellent"/>
    <s v="Good"/>
    <n v="0"/>
    <s v="0–3,000"/>
    <s v="0–5 miles"/>
    <s v="0–1 years"/>
  </r>
  <r>
    <n v="32"/>
    <x v="1"/>
    <s v="Travel_Rarely"/>
    <n v="234"/>
    <x v="0"/>
    <n v="1"/>
    <x v="2"/>
    <s v="Medical"/>
    <n v="1"/>
    <n v="2013"/>
    <n v="2"/>
    <s v="Male"/>
    <n v="68"/>
    <n v="2"/>
    <n v="1"/>
    <x v="6"/>
    <x v="1"/>
    <s v="Married"/>
    <n v="2269"/>
    <n v="18024"/>
    <n v="0"/>
    <s v="Y"/>
    <x v="1"/>
    <n v="14"/>
    <n v="3"/>
    <n v="2"/>
    <n v="80"/>
    <n v="1"/>
    <n v="3"/>
    <n v="2"/>
    <n v="3"/>
    <n v="2"/>
    <n v="2"/>
    <n v="2"/>
    <n v="2"/>
    <x v="2"/>
    <x v="0"/>
    <s v="Medium"/>
    <x v="1"/>
    <s v="Excellent"/>
    <s v="Better"/>
    <n v="0"/>
    <s v="0–3,000"/>
    <s v="0–5 miles"/>
    <s v="2–5 years"/>
  </r>
  <r>
    <n v="39"/>
    <x v="1"/>
    <s v="Travel_Rarely"/>
    <n v="116"/>
    <x v="1"/>
    <n v="24"/>
    <x v="1"/>
    <s v="Life Sciences"/>
    <n v="1"/>
    <n v="2014"/>
    <n v="1"/>
    <s v="Male"/>
    <n v="52"/>
    <n v="3"/>
    <n v="2"/>
    <x v="1"/>
    <x v="0"/>
    <s v="Single"/>
    <n v="4108"/>
    <n v="5340"/>
    <n v="7"/>
    <s v="Y"/>
    <x v="1"/>
    <n v="13"/>
    <n v="3"/>
    <n v="1"/>
    <n v="80"/>
    <n v="0"/>
    <n v="18"/>
    <n v="2"/>
    <n v="3"/>
    <n v="7"/>
    <n v="7"/>
    <n v="1"/>
    <n v="7"/>
    <x v="1"/>
    <x v="3"/>
    <s v="High"/>
    <x v="0"/>
    <s v="Excellent"/>
    <s v="Better"/>
    <n v="0"/>
    <s v="3,001–6,000"/>
    <s v="16+ miles"/>
    <s v="6–10 years"/>
  </r>
  <r>
    <n v="38"/>
    <x v="1"/>
    <s v="Travel_Rarely"/>
    <n v="201"/>
    <x v="1"/>
    <n v="10"/>
    <x v="3"/>
    <s v="Medical"/>
    <n v="1"/>
    <n v="2015"/>
    <n v="2"/>
    <s v="Female"/>
    <n v="99"/>
    <n v="1"/>
    <n v="3"/>
    <x v="7"/>
    <x v="2"/>
    <s v="Married"/>
    <n v="13206"/>
    <n v="3376"/>
    <n v="3"/>
    <s v="Y"/>
    <x v="1"/>
    <n v="12"/>
    <n v="3"/>
    <n v="1"/>
    <n v="80"/>
    <n v="1"/>
    <n v="20"/>
    <n v="3"/>
    <n v="3"/>
    <n v="18"/>
    <n v="16"/>
    <n v="1"/>
    <n v="11"/>
    <x v="3"/>
    <x v="0"/>
    <s v="Low"/>
    <x v="2"/>
    <s v="Excellent"/>
    <s v="Better"/>
    <n v="0"/>
    <s v="10,001+"/>
    <s v="6–10 miles"/>
    <s v="11+ years"/>
  </r>
  <r>
    <n v="32"/>
    <x v="1"/>
    <s v="Travel_Rarely"/>
    <n v="801"/>
    <x v="0"/>
    <n v="1"/>
    <x v="2"/>
    <s v="Marketing"/>
    <n v="1"/>
    <n v="2016"/>
    <n v="3"/>
    <s v="Female"/>
    <n v="48"/>
    <n v="3"/>
    <n v="3"/>
    <x v="0"/>
    <x v="0"/>
    <s v="Married"/>
    <n v="10422"/>
    <n v="24032"/>
    <n v="1"/>
    <s v="Y"/>
    <x v="1"/>
    <n v="19"/>
    <n v="3"/>
    <n v="3"/>
    <n v="80"/>
    <n v="2"/>
    <n v="14"/>
    <n v="3"/>
    <n v="3"/>
    <n v="14"/>
    <n v="10"/>
    <n v="5"/>
    <n v="7"/>
    <x v="2"/>
    <x v="1"/>
    <s v="High"/>
    <x v="0"/>
    <s v="Excellent"/>
    <s v="Better"/>
    <n v="0"/>
    <s v="10,001+"/>
    <s v="0–5 miles"/>
    <s v="11+ years"/>
  </r>
  <r>
    <n v="37"/>
    <x v="1"/>
    <s v="Travel_Rarely"/>
    <n v="161"/>
    <x v="1"/>
    <n v="10"/>
    <x v="3"/>
    <s v="Life Sciences"/>
    <n v="1"/>
    <n v="2017"/>
    <n v="3"/>
    <s v="Female"/>
    <n v="42"/>
    <n v="4"/>
    <n v="3"/>
    <x v="7"/>
    <x v="0"/>
    <s v="Married"/>
    <n v="13744"/>
    <n v="15471"/>
    <n v="1"/>
    <s v="Y"/>
    <x v="0"/>
    <n v="25"/>
    <n v="4"/>
    <n v="1"/>
    <n v="80"/>
    <n v="1"/>
    <n v="16"/>
    <n v="2"/>
    <n v="3"/>
    <n v="16"/>
    <n v="11"/>
    <n v="6"/>
    <n v="8"/>
    <x v="3"/>
    <x v="1"/>
    <s v="Very High"/>
    <x v="0"/>
    <s v="Outstanding"/>
    <s v="Better"/>
    <n v="0"/>
    <s v="10,001+"/>
    <s v="6–10 miles"/>
    <s v="11+ years"/>
  </r>
  <r>
    <n v="25"/>
    <x v="1"/>
    <s v="Travel_Rarely"/>
    <n v="1382"/>
    <x v="0"/>
    <n v="8"/>
    <x v="0"/>
    <s v="Other"/>
    <n v="1"/>
    <n v="2018"/>
    <n v="1"/>
    <s v="Female"/>
    <n v="85"/>
    <n v="3"/>
    <n v="2"/>
    <x v="0"/>
    <x v="2"/>
    <s v="Divorced"/>
    <n v="4907"/>
    <n v="13684"/>
    <n v="0"/>
    <s v="Y"/>
    <x v="0"/>
    <n v="22"/>
    <n v="4"/>
    <n v="2"/>
    <n v="80"/>
    <n v="1"/>
    <n v="6"/>
    <n v="3"/>
    <n v="2"/>
    <n v="5"/>
    <n v="3"/>
    <n v="0"/>
    <n v="4"/>
    <x v="0"/>
    <x v="3"/>
    <s v="High"/>
    <x v="2"/>
    <s v="Outstanding"/>
    <s v="Good"/>
    <n v="0"/>
    <s v="3,001–6,000"/>
    <s v="6–10 miles"/>
    <s v="2–5 years"/>
  </r>
  <r>
    <n v="52"/>
    <x v="1"/>
    <s v="Non-Travel"/>
    <n v="585"/>
    <x v="0"/>
    <n v="29"/>
    <x v="2"/>
    <s v="Life Sciences"/>
    <n v="1"/>
    <n v="2019"/>
    <n v="1"/>
    <s v="Male"/>
    <n v="40"/>
    <n v="3"/>
    <n v="1"/>
    <x v="6"/>
    <x v="0"/>
    <s v="Divorced"/>
    <n v="3482"/>
    <n v="19788"/>
    <n v="2"/>
    <s v="Y"/>
    <x v="1"/>
    <n v="15"/>
    <n v="3"/>
    <n v="2"/>
    <n v="80"/>
    <n v="2"/>
    <n v="16"/>
    <n v="3"/>
    <n v="2"/>
    <n v="9"/>
    <n v="8"/>
    <n v="0"/>
    <n v="0"/>
    <x v="2"/>
    <x v="3"/>
    <s v="High"/>
    <x v="0"/>
    <s v="Excellent"/>
    <s v="Good"/>
    <n v="0"/>
    <s v="3,001–6,000"/>
    <s v="16+ miles"/>
    <s v="6–10 years"/>
  </r>
  <r>
    <n v="44"/>
    <x v="1"/>
    <s v="Travel_Rarely"/>
    <n v="1037"/>
    <x v="1"/>
    <n v="1"/>
    <x v="3"/>
    <s v="Medical"/>
    <n v="1"/>
    <n v="2020"/>
    <n v="2"/>
    <s v="Male"/>
    <n v="42"/>
    <n v="3"/>
    <n v="1"/>
    <x v="1"/>
    <x v="0"/>
    <s v="Single"/>
    <n v="2436"/>
    <n v="13422"/>
    <n v="6"/>
    <s v="Y"/>
    <x v="0"/>
    <n v="12"/>
    <n v="3"/>
    <n v="3"/>
    <n v="80"/>
    <n v="0"/>
    <n v="6"/>
    <n v="2"/>
    <n v="3"/>
    <n v="4"/>
    <n v="3"/>
    <n v="1"/>
    <n v="2"/>
    <x v="3"/>
    <x v="0"/>
    <s v="High"/>
    <x v="0"/>
    <s v="Excellent"/>
    <s v="Better"/>
    <n v="0"/>
    <s v="0–3,000"/>
    <s v="0–5 miles"/>
    <s v="2–5 years"/>
  </r>
  <r>
    <n v="21"/>
    <x v="1"/>
    <s v="Travel_Rarely"/>
    <n v="501"/>
    <x v="0"/>
    <n v="5"/>
    <x v="1"/>
    <s v="Medical"/>
    <n v="1"/>
    <n v="2021"/>
    <n v="3"/>
    <s v="Male"/>
    <n v="58"/>
    <n v="3"/>
    <n v="1"/>
    <x v="6"/>
    <x v="3"/>
    <s v="Single"/>
    <n v="2380"/>
    <n v="25479"/>
    <n v="1"/>
    <s v="Y"/>
    <x v="0"/>
    <n v="11"/>
    <n v="3"/>
    <n v="4"/>
    <n v="80"/>
    <n v="0"/>
    <n v="2"/>
    <n v="6"/>
    <n v="3"/>
    <n v="2"/>
    <n v="2"/>
    <n v="1"/>
    <n v="2"/>
    <x v="1"/>
    <x v="1"/>
    <s v="High"/>
    <x v="3"/>
    <s v="Excellent"/>
    <s v="Better"/>
    <n v="0"/>
    <s v="0–3,000"/>
    <s v="0–5 miles"/>
    <s v="2–5 years"/>
  </r>
  <r>
    <n v="39"/>
    <x v="1"/>
    <s v="Non-Travel"/>
    <n v="105"/>
    <x v="1"/>
    <n v="9"/>
    <x v="3"/>
    <s v="Life Sciences"/>
    <n v="1"/>
    <n v="2022"/>
    <n v="4"/>
    <s v="Male"/>
    <n v="87"/>
    <n v="3"/>
    <n v="5"/>
    <x v="5"/>
    <x v="0"/>
    <s v="Single"/>
    <n v="19431"/>
    <n v="15302"/>
    <n v="2"/>
    <s v="Y"/>
    <x v="1"/>
    <n v="13"/>
    <n v="3"/>
    <n v="3"/>
    <n v="80"/>
    <n v="0"/>
    <n v="21"/>
    <n v="3"/>
    <n v="2"/>
    <n v="6"/>
    <n v="0"/>
    <n v="1"/>
    <n v="3"/>
    <x v="3"/>
    <x v="2"/>
    <s v="High"/>
    <x v="0"/>
    <s v="Excellent"/>
    <s v="Good"/>
    <n v="0"/>
    <s v="10,001+"/>
    <s v="6–10 miles"/>
    <s v="6–10 years"/>
  </r>
  <r>
    <n v="23"/>
    <x v="0"/>
    <s v="Travel_Frequently"/>
    <n v="638"/>
    <x v="0"/>
    <n v="9"/>
    <x v="3"/>
    <s v="Marketing"/>
    <n v="1"/>
    <n v="2023"/>
    <n v="4"/>
    <s v="Male"/>
    <n v="33"/>
    <n v="3"/>
    <n v="1"/>
    <x v="6"/>
    <x v="3"/>
    <s v="Married"/>
    <n v="1790"/>
    <n v="26956"/>
    <n v="1"/>
    <s v="Y"/>
    <x v="1"/>
    <n v="19"/>
    <n v="3"/>
    <n v="1"/>
    <n v="80"/>
    <n v="1"/>
    <n v="1"/>
    <n v="3"/>
    <n v="2"/>
    <n v="1"/>
    <n v="0"/>
    <n v="1"/>
    <n v="0"/>
    <x v="3"/>
    <x v="2"/>
    <s v="High"/>
    <x v="3"/>
    <s v="Excellent"/>
    <s v="Good"/>
    <n v="1"/>
    <s v="0–3,000"/>
    <s v="6–10 miles"/>
    <s v="0–1 years"/>
  </r>
  <r>
    <n v="36"/>
    <x v="1"/>
    <s v="Travel_Rarely"/>
    <n v="557"/>
    <x v="0"/>
    <n v="3"/>
    <x v="3"/>
    <s v="Medical"/>
    <n v="1"/>
    <n v="2024"/>
    <n v="1"/>
    <s v="Female"/>
    <n v="94"/>
    <n v="2"/>
    <n v="3"/>
    <x v="0"/>
    <x v="0"/>
    <s v="Married"/>
    <n v="7644"/>
    <n v="12695"/>
    <n v="0"/>
    <s v="Y"/>
    <x v="1"/>
    <n v="19"/>
    <n v="3"/>
    <n v="3"/>
    <n v="80"/>
    <n v="2"/>
    <n v="10"/>
    <n v="2"/>
    <n v="3"/>
    <n v="9"/>
    <n v="7"/>
    <n v="3"/>
    <n v="4"/>
    <x v="3"/>
    <x v="3"/>
    <s v="Medium"/>
    <x v="0"/>
    <s v="Excellent"/>
    <s v="Better"/>
    <n v="0"/>
    <s v="6,001–10,000"/>
    <s v="0–5 miles"/>
    <s v="6–10 years"/>
  </r>
  <r>
    <n v="36"/>
    <x v="1"/>
    <s v="Travel_Frequently"/>
    <n v="688"/>
    <x v="1"/>
    <n v="4"/>
    <x v="0"/>
    <s v="Life Sciences"/>
    <n v="1"/>
    <n v="2025"/>
    <n v="4"/>
    <s v="Female"/>
    <n v="97"/>
    <n v="3"/>
    <n v="2"/>
    <x v="3"/>
    <x v="1"/>
    <s v="Divorced"/>
    <n v="5131"/>
    <n v="9192"/>
    <n v="7"/>
    <s v="Y"/>
    <x v="1"/>
    <n v="13"/>
    <n v="3"/>
    <n v="2"/>
    <n v="80"/>
    <n v="3"/>
    <n v="18"/>
    <n v="3"/>
    <n v="3"/>
    <n v="4"/>
    <n v="2"/>
    <n v="0"/>
    <n v="2"/>
    <x v="0"/>
    <x v="2"/>
    <s v="High"/>
    <x v="1"/>
    <s v="Excellent"/>
    <s v="Better"/>
    <n v="0"/>
    <s v="3,001–6,000"/>
    <s v="0–5 miles"/>
    <s v="2–5 years"/>
  </r>
  <r>
    <n v="56"/>
    <x v="1"/>
    <s v="Non-Travel"/>
    <n v="667"/>
    <x v="1"/>
    <n v="1"/>
    <x v="2"/>
    <s v="Life Sciences"/>
    <n v="1"/>
    <n v="2026"/>
    <n v="3"/>
    <s v="Male"/>
    <n v="57"/>
    <n v="3"/>
    <n v="2"/>
    <x v="4"/>
    <x v="2"/>
    <s v="Divorced"/>
    <n v="6306"/>
    <n v="26236"/>
    <n v="1"/>
    <s v="Y"/>
    <x v="1"/>
    <n v="21"/>
    <n v="4"/>
    <n v="1"/>
    <n v="80"/>
    <n v="1"/>
    <n v="13"/>
    <n v="2"/>
    <n v="2"/>
    <n v="13"/>
    <n v="12"/>
    <n v="1"/>
    <n v="9"/>
    <x v="2"/>
    <x v="1"/>
    <s v="High"/>
    <x v="2"/>
    <s v="Outstanding"/>
    <s v="Good"/>
    <n v="0"/>
    <s v="6,001–10,000"/>
    <s v="0–5 miles"/>
    <s v="11+ years"/>
  </r>
  <r>
    <n v="29"/>
    <x v="0"/>
    <s v="Travel_Rarely"/>
    <n v="1092"/>
    <x v="1"/>
    <n v="1"/>
    <x v="2"/>
    <s v="Medical"/>
    <n v="1"/>
    <n v="2027"/>
    <n v="1"/>
    <s v="Male"/>
    <n v="36"/>
    <n v="3"/>
    <n v="1"/>
    <x v="1"/>
    <x v="0"/>
    <s v="Married"/>
    <n v="4787"/>
    <n v="26124"/>
    <n v="9"/>
    <s v="Y"/>
    <x v="0"/>
    <n v="14"/>
    <n v="3"/>
    <n v="2"/>
    <n v="80"/>
    <n v="3"/>
    <n v="4"/>
    <n v="3"/>
    <n v="4"/>
    <n v="2"/>
    <n v="2"/>
    <n v="2"/>
    <n v="2"/>
    <x v="2"/>
    <x v="3"/>
    <s v="High"/>
    <x v="0"/>
    <s v="Excellent"/>
    <s v="Best"/>
    <n v="1"/>
    <s v="3,001–6,000"/>
    <s v="0–5 miles"/>
    <s v="2–5 years"/>
  </r>
  <r>
    <n v="42"/>
    <x v="1"/>
    <s v="Travel_Rarely"/>
    <n v="300"/>
    <x v="1"/>
    <n v="2"/>
    <x v="3"/>
    <s v="Life Sciences"/>
    <n v="1"/>
    <n v="2031"/>
    <n v="1"/>
    <s v="Male"/>
    <n v="56"/>
    <n v="3"/>
    <n v="5"/>
    <x v="5"/>
    <x v="2"/>
    <s v="Married"/>
    <n v="18880"/>
    <n v="17312"/>
    <n v="5"/>
    <s v="Y"/>
    <x v="1"/>
    <n v="11"/>
    <n v="3"/>
    <n v="1"/>
    <n v="80"/>
    <n v="0"/>
    <n v="24"/>
    <n v="2"/>
    <n v="2"/>
    <n v="22"/>
    <n v="6"/>
    <n v="4"/>
    <n v="14"/>
    <x v="3"/>
    <x v="3"/>
    <s v="High"/>
    <x v="2"/>
    <s v="Excellent"/>
    <s v="Good"/>
    <n v="0"/>
    <s v="10,001+"/>
    <s v="0–5 miles"/>
    <s v="11+ years"/>
  </r>
  <r>
    <n v="56"/>
    <x v="0"/>
    <s v="Travel_Rarely"/>
    <n v="310"/>
    <x v="1"/>
    <n v="7"/>
    <x v="0"/>
    <s v="Technical Degree"/>
    <n v="1"/>
    <n v="2032"/>
    <n v="4"/>
    <s v="Male"/>
    <n v="72"/>
    <n v="3"/>
    <n v="1"/>
    <x v="2"/>
    <x v="2"/>
    <s v="Married"/>
    <n v="2339"/>
    <n v="3666"/>
    <n v="8"/>
    <s v="Y"/>
    <x v="1"/>
    <n v="11"/>
    <n v="3"/>
    <n v="4"/>
    <n v="80"/>
    <n v="1"/>
    <n v="14"/>
    <n v="4"/>
    <n v="1"/>
    <n v="10"/>
    <n v="9"/>
    <n v="9"/>
    <n v="8"/>
    <x v="0"/>
    <x v="2"/>
    <s v="High"/>
    <x v="2"/>
    <s v="Excellent"/>
    <s v="Bad"/>
    <n v="1"/>
    <s v="0–3,000"/>
    <s v="6–10 miles"/>
    <s v="6–10 years"/>
  </r>
  <r>
    <n v="41"/>
    <x v="1"/>
    <s v="Travel_Rarely"/>
    <n v="582"/>
    <x v="1"/>
    <n v="28"/>
    <x v="2"/>
    <s v="Life Sciences"/>
    <n v="1"/>
    <n v="2034"/>
    <n v="1"/>
    <s v="Female"/>
    <n v="60"/>
    <n v="2"/>
    <n v="4"/>
    <x v="3"/>
    <x v="1"/>
    <s v="Married"/>
    <n v="13570"/>
    <n v="5640"/>
    <n v="0"/>
    <s v="Y"/>
    <x v="1"/>
    <n v="23"/>
    <n v="4"/>
    <n v="3"/>
    <n v="80"/>
    <n v="1"/>
    <n v="21"/>
    <n v="3"/>
    <n v="3"/>
    <n v="20"/>
    <n v="7"/>
    <n v="0"/>
    <n v="10"/>
    <x v="2"/>
    <x v="3"/>
    <s v="Medium"/>
    <x v="1"/>
    <s v="Outstanding"/>
    <s v="Better"/>
    <n v="0"/>
    <s v="10,001+"/>
    <s v="16+ miles"/>
    <s v="11+ years"/>
  </r>
  <r>
    <n v="34"/>
    <x v="1"/>
    <s v="Travel_Rarely"/>
    <n v="704"/>
    <x v="0"/>
    <n v="28"/>
    <x v="3"/>
    <s v="Marketing"/>
    <n v="1"/>
    <n v="2035"/>
    <n v="4"/>
    <s v="Female"/>
    <n v="95"/>
    <n v="2"/>
    <n v="2"/>
    <x v="0"/>
    <x v="2"/>
    <s v="Married"/>
    <n v="6712"/>
    <n v="8978"/>
    <n v="1"/>
    <s v="Y"/>
    <x v="1"/>
    <n v="21"/>
    <n v="4"/>
    <n v="4"/>
    <n v="80"/>
    <n v="2"/>
    <n v="8"/>
    <n v="2"/>
    <n v="3"/>
    <n v="8"/>
    <n v="7"/>
    <n v="1"/>
    <n v="7"/>
    <x v="3"/>
    <x v="2"/>
    <s v="Medium"/>
    <x v="2"/>
    <s v="Outstanding"/>
    <s v="Better"/>
    <n v="0"/>
    <s v="6,001–10,000"/>
    <s v="16+ miles"/>
    <s v="6–10 years"/>
  </r>
  <r>
    <n v="36"/>
    <x v="1"/>
    <s v="Non-Travel"/>
    <n v="301"/>
    <x v="0"/>
    <n v="15"/>
    <x v="2"/>
    <s v="Marketing"/>
    <n v="1"/>
    <n v="2036"/>
    <n v="4"/>
    <s v="Male"/>
    <n v="88"/>
    <n v="1"/>
    <n v="2"/>
    <x v="0"/>
    <x v="0"/>
    <s v="Divorced"/>
    <n v="5406"/>
    <n v="10436"/>
    <n v="1"/>
    <s v="Y"/>
    <x v="1"/>
    <n v="24"/>
    <n v="4"/>
    <n v="1"/>
    <n v="80"/>
    <n v="1"/>
    <n v="15"/>
    <n v="4"/>
    <n v="2"/>
    <n v="15"/>
    <n v="12"/>
    <n v="11"/>
    <n v="11"/>
    <x v="2"/>
    <x v="2"/>
    <s v="Low"/>
    <x v="0"/>
    <s v="Outstanding"/>
    <s v="Good"/>
    <n v="0"/>
    <s v="3,001–6,000"/>
    <s v="11–15 miles"/>
    <s v="11+ years"/>
  </r>
  <r>
    <n v="41"/>
    <x v="1"/>
    <s v="Travel_Rarely"/>
    <n v="930"/>
    <x v="0"/>
    <n v="3"/>
    <x v="3"/>
    <s v="Life Sciences"/>
    <n v="1"/>
    <n v="2037"/>
    <n v="3"/>
    <s v="Male"/>
    <n v="57"/>
    <n v="2"/>
    <n v="2"/>
    <x v="0"/>
    <x v="1"/>
    <s v="Divorced"/>
    <n v="8938"/>
    <n v="12227"/>
    <n v="2"/>
    <s v="Y"/>
    <x v="1"/>
    <n v="11"/>
    <n v="3"/>
    <n v="3"/>
    <n v="80"/>
    <n v="1"/>
    <n v="14"/>
    <n v="5"/>
    <n v="3"/>
    <n v="5"/>
    <n v="4"/>
    <n v="0"/>
    <n v="4"/>
    <x v="3"/>
    <x v="1"/>
    <s v="Medium"/>
    <x v="1"/>
    <s v="Excellent"/>
    <s v="Better"/>
    <n v="0"/>
    <s v="6,001–10,000"/>
    <s v="0–5 miles"/>
    <s v="2–5 years"/>
  </r>
  <r>
    <n v="32"/>
    <x v="1"/>
    <s v="Travel_Rarely"/>
    <n v="529"/>
    <x v="1"/>
    <n v="2"/>
    <x v="3"/>
    <s v="Technical Degree"/>
    <n v="1"/>
    <n v="2038"/>
    <n v="4"/>
    <s v="Male"/>
    <n v="78"/>
    <n v="3"/>
    <n v="1"/>
    <x v="1"/>
    <x v="3"/>
    <s v="Single"/>
    <n v="2439"/>
    <n v="11288"/>
    <n v="1"/>
    <s v="Y"/>
    <x v="1"/>
    <n v="14"/>
    <n v="3"/>
    <n v="4"/>
    <n v="80"/>
    <n v="0"/>
    <n v="4"/>
    <n v="4"/>
    <n v="3"/>
    <n v="4"/>
    <n v="2"/>
    <n v="1"/>
    <n v="2"/>
    <x v="3"/>
    <x v="2"/>
    <s v="High"/>
    <x v="3"/>
    <s v="Excellent"/>
    <s v="Better"/>
    <n v="0"/>
    <s v="0–3,000"/>
    <s v="0–5 miles"/>
    <s v="2–5 years"/>
  </r>
  <r>
    <n v="35"/>
    <x v="1"/>
    <s v="Travel_Rarely"/>
    <n v="1146"/>
    <x v="2"/>
    <n v="26"/>
    <x v="2"/>
    <s v="Life Sciences"/>
    <n v="1"/>
    <n v="2040"/>
    <n v="3"/>
    <s v="Female"/>
    <n v="31"/>
    <n v="3"/>
    <n v="3"/>
    <x v="8"/>
    <x v="0"/>
    <s v="Single"/>
    <n v="8837"/>
    <n v="16642"/>
    <n v="1"/>
    <s v="Y"/>
    <x v="0"/>
    <n v="16"/>
    <n v="3"/>
    <n v="3"/>
    <n v="80"/>
    <n v="0"/>
    <n v="9"/>
    <n v="2"/>
    <n v="3"/>
    <n v="9"/>
    <n v="0"/>
    <n v="1"/>
    <n v="7"/>
    <x v="2"/>
    <x v="1"/>
    <s v="High"/>
    <x v="0"/>
    <s v="Excellent"/>
    <s v="Better"/>
    <n v="0"/>
    <s v="6,001–10,000"/>
    <s v="16+ miles"/>
    <s v="6–10 years"/>
  </r>
  <r>
    <n v="38"/>
    <x v="1"/>
    <s v="Travel_Rarely"/>
    <n v="345"/>
    <x v="0"/>
    <n v="10"/>
    <x v="0"/>
    <s v="Life Sciences"/>
    <n v="1"/>
    <n v="2041"/>
    <n v="1"/>
    <s v="Female"/>
    <n v="100"/>
    <n v="3"/>
    <n v="2"/>
    <x v="0"/>
    <x v="0"/>
    <s v="Married"/>
    <n v="5343"/>
    <n v="5982"/>
    <n v="1"/>
    <s v="Y"/>
    <x v="1"/>
    <n v="11"/>
    <n v="3"/>
    <n v="3"/>
    <n v="80"/>
    <n v="1"/>
    <n v="10"/>
    <n v="1"/>
    <n v="3"/>
    <n v="10"/>
    <n v="7"/>
    <n v="1"/>
    <n v="9"/>
    <x v="0"/>
    <x v="3"/>
    <s v="High"/>
    <x v="0"/>
    <s v="Excellent"/>
    <s v="Better"/>
    <n v="0"/>
    <s v="3,001–6,000"/>
    <s v="6–10 miles"/>
    <s v="6–10 years"/>
  </r>
  <r>
    <n v="50"/>
    <x v="0"/>
    <s v="Travel_Frequently"/>
    <n v="878"/>
    <x v="0"/>
    <n v="1"/>
    <x v="2"/>
    <s v="Life Sciences"/>
    <n v="1"/>
    <n v="2044"/>
    <n v="2"/>
    <s v="Male"/>
    <n v="94"/>
    <n v="3"/>
    <n v="2"/>
    <x v="0"/>
    <x v="2"/>
    <s v="Divorced"/>
    <n v="6728"/>
    <n v="14255"/>
    <n v="7"/>
    <s v="Y"/>
    <x v="1"/>
    <n v="12"/>
    <n v="3"/>
    <n v="4"/>
    <n v="80"/>
    <n v="2"/>
    <n v="12"/>
    <n v="3"/>
    <n v="3"/>
    <n v="6"/>
    <n v="3"/>
    <n v="0"/>
    <n v="1"/>
    <x v="2"/>
    <x v="0"/>
    <s v="High"/>
    <x v="2"/>
    <s v="Excellent"/>
    <s v="Better"/>
    <n v="1"/>
    <s v="6,001–10,000"/>
    <s v="0–5 miles"/>
    <s v="6–10 years"/>
  </r>
  <r>
    <n v="36"/>
    <x v="1"/>
    <s v="Travel_Rarely"/>
    <n v="1120"/>
    <x v="0"/>
    <n v="11"/>
    <x v="2"/>
    <s v="Marketing"/>
    <n v="1"/>
    <n v="2045"/>
    <n v="2"/>
    <s v="Female"/>
    <n v="100"/>
    <n v="2"/>
    <n v="2"/>
    <x v="0"/>
    <x v="0"/>
    <s v="Married"/>
    <n v="6652"/>
    <n v="14369"/>
    <n v="4"/>
    <s v="Y"/>
    <x v="1"/>
    <n v="13"/>
    <n v="3"/>
    <n v="1"/>
    <n v="80"/>
    <n v="1"/>
    <n v="8"/>
    <n v="2"/>
    <n v="2"/>
    <n v="6"/>
    <n v="3"/>
    <n v="0"/>
    <n v="0"/>
    <x v="2"/>
    <x v="0"/>
    <s v="Medium"/>
    <x v="0"/>
    <s v="Excellent"/>
    <s v="Good"/>
    <n v="0"/>
    <s v="6,001–10,000"/>
    <s v="11–15 miles"/>
    <s v="6–10 years"/>
  </r>
  <r>
    <n v="45"/>
    <x v="1"/>
    <s v="Travel_Rarely"/>
    <n v="374"/>
    <x v="0"/>
    <n v="20"/>
    <x v="3"/>
    <s v="Life Sciences"/>
    <n v="1"/>
    <n v="2046"/>
    <n v="4"/>
    <s v="Female"/>
    <n v="50"/>
    <n v="3"/>
    <n v="2"/>
    <x v="0"/>
    <x v="2"/>
    <s v="Single"/>
    <n v="4850"/>
    <n v="23333"/>
    <n v="8"/>
    <s v="Y"/>
    <x v="1"/>
    <n v="15"/>
    <n v="3"/>
    <n v="3"/>
    <n v="80"/>
    <n v="0"/>
    <n v="8"/>
    <n v="3"/>
    <n v="3"/>
    <n v="5"/>
    <n v="3"/>
    <n v="0"/>
    <n v="1"/>
    <x v="3"/>
    <x v="2"/>
    <s v="High"/>
    <x v="2"/>
    <s v="Excellent"/>
    <s v="Better"/>
    <n v="0"/>
    <s v="3,001–6,000"/>
    <s v="16+ miles"/>
    <s v="2–5 years"/>
  </r>
  <r>
    <n v="40"/>
    <x v="1"/>
    <s v="Travel_Rarely"/>
    <n v="1322"/>
    <x v="1"/>
    <n v="2"/>
    <x v="2"/>
    <s v="Life Sciences"/>
    <n v="1"/>
    <n v="2048"/>
    <n v="3"/>
    <s v="Male"/>
    <n v="52"/>
    <n v="2"/>
    <n v="1"/>
    <x v="1"/>
    <x v="2"/>
    <s v="Single"/>
    <n v="2809"/>
    <n v="2725"/>
    <n v="2"/>
    <s v="Y"/>
    <x v="1"/>
    <n v="14"/>
    <n v="3"/>
    <n v="4"/>
    <n v="80"/>
    <n v="0"/>
    <n v="8"/>
    <n v="2"/>
    <n v="3"/>
    <n v="2"/>
    <n v="2"/>
    <n v="2"/>
    <n v="2"/>
    <x v="2"/>
    <x v="1"/>
    <s v="Medium"/>
    <x v="2"/>
    <s v="Excellent"/>
    <s v="Better"/>
    <n v="0"/>
    <s v="0–3,000"/>
    <s v="0–5 miles"/>
    <s v="2–5 years"/>
  </r>
  <r>
    <n v="35"/>
    <x v="1"/>
    <s v="Travel_Frequently"/>
    <n v="1199"/>
    <x v="1"/>
    <n v="18"/>
    <x v="2"/>
    <s v="Life Sciences"/>
    <n v="1"/>
    <n v="2049"/>
    <n v="3"/>
    <s v="Male"/>
    <n v="80"/>
    <n v="3"/>
    <n v="2"/>
    <x v="4"/>
    <x v="2"/>
    <s v="Married"/>
    <n v="5689"/>
    <n v="24594"/>
    <n v="1"/>
    <s v="Y"/>
    <x v="0"/>
    <n v="14"/>
    <n v="3"/>
    <n v="4"/>
    <n v="80"/>
    <n v="2"/>
    <n v="10"/>
    <n v="2"/>
    <n v="4"/>
    <n v="10"/>
    <n v="2"/>
    <n v="0"/>
    <n v="2"/>
    <x v="2"/>
    <x v="1"/>
    <s v="High"/>
    <x v="2"/>
    <s v="Excellent"/>
    <s v="Best"/>
    <n v="0"/>
    <s v="3,001–6,000"/>
    <s v="16+ miles"/>
    <s v="6–10 years"/>
  </r>
  <r>
    <n v="40"/>
    <x v="1"/>
    <s v="Travel_Rarely"/>
    <n v="1194"/>
    <x v="1"/>
    <n v="2"/>
    <x v="2"/>
    <s v="Medical"/>
    <n v="1"/>
    <n v="2051"/>
    <n v="3"/>
    <s v="Female"/>
    <n v="98"/>
    <n v="3"/>
    <n v="1"/>
    <x v="1"/>
    <x v="2"/>
    <s v="Married"/>
    <n v="2001"/>
    <n v="12549"/>
    <n v="2"/>
    <s v="Y"/>
    <x v="1"/>
    <n v="14"/>
    <n v="3"/>
    <n v="2"/>
    <n v="80"/>
    <n v="3"/>
    <n v="20"/>
    <n v="2"/>
    <n v="3"/>
    <n v="5"/>
    <n v="3"/>
    <n v="0"/>
    <n v="2"/>
    <x v="2"/>
    <x v="1"/>
    <s v="High"/>
    <x v="2"/>
    <s v="Excellent"/>
    <s v="Better"/>
    <n v="0"/>
    <s v="0–3,000"/>
    <s v="0–5 miles"/>
    <s v="2–5 years"/>
  </r>
  <r>
    <n v="35"/>
    <x v="1"/>
    <s v="Travel_Rarely"/>
    <n v="287"/>
    <x v="1"/>
    <n v="1"/>
    <x v="2"/>
    <s v="Life Sciences"/>
    <n v="1"/>
    <n v="2052"/>
    <n v="3"/>
    <s v="Female"/>
    <n v="62"/>
    <n v="1"/>
    <n v="1"/>
    <x v="1"/>
    <x v="0"/>
    <s v="Married"/>
    <n v="2977"/>
    <n v="8952"/>
    <n v="1"/>
    <s v="Y"/>
    <x v="1"/>
    <n v="12"/>
    <n v="3"/>
    <n v="4"/>
    <n v="80"/>
    <n v="1"/>
    <n v="4"/>
    <n v="5"/>
    <n v="3"/>
    <n v="4"/>
    <n v="3"/>
    <n v="1"/>
    <n v="1"/>
    <x v="2"/>
    <x v="1"/>
    <s v="Low"/>
    <x v="0"/>
    <s v="Excellent"/>
    <s v="Better"/>
    <n v="0"/>
    <s v="0–3,000"/>
    <s v="0–5 miles"/>
    <s v="2–5 years"/>
  </r>
  <r>
    <n v="29"/>
    <x v="1"/>
    <s v="Travel_Rarely"/>
    <n v="1378"/>
    <x v="1"/>
    <n v="13"/>
    <x v="0"/>
    <s v="Other"/>
    <n v="1"/>
    <n v="2053"/>
    <n v="4"/>
    <s v="Male"/>
    <n v="46"/>
    <n v="2"/>
    <n v="2"/>
    <x v="2"/>
    <x v="1"/>
    <s v="Married"/>
    <n v="4025"/>
    <n v="23679"/>
    <n v="4"/>
    <s v="Y"/>
    <x v="0"/>
    <n v="13"/>
    <n v="3"/>
    <n v="1"/>
    <n v="80"/>
    <n v="1"/>
    <n v="10"/>
    <n v="2"/>
    <n v="3"/>
    <n v="4"/>
    <n v="3"/>
    <n v="0"/>
    <n v="3"/>
    <x v="0"/>
    <x v="2"/>
    <s v="Medium"/>
    <x v="1"/>
    <s v="Excellent"/>
    <s v="Better"/>
    <n v="0"/>
    <s v="3,001–6,000"/>
    <s v="11–15 miles"/>
    <s v="2–5 years"/>
  </r>
  <r>
    <n v="29"/>
    <x v="1"/>
    <s v="Travel_Rarely"/>
    <n v="468"/>
    <x v="1"/>
    <n v="28"/>
    <x v="2"/>
    <s v="Medical"/>
    <n v="1"/>
    <n v="2054"/>
    <n v="4"/>
    <s v="Female"/>
    <n v="73"/>
    <n v="2"/>
    <n v="1"/>
    <x v="1"/>
    <x v="3"/>
    <s v="Single"/>
    <n v="3785"/>
    <n v="8489"/>
    <n v="1"/>
    <s v="Y"/>
    <x v="1"/>
    <n v="14"/>
    <n v="3"/>
    <n v="2"/>
    <n v="80"/>
    <n v="0"/>
    <n v="5"/>
    <n v="3"/>
    <n v="1"/>
    <n v="5"/>
    <n v="4"/>
    <n v="0"/>
    <n v="4"/>
    <x v="2"/>
    <x v="2"/>
    <s v="Medium"/>
    <x v="3"/>
    <s v="Excellent"/>
    <s v="Bad"/>
    <n v="0"/>
    <s v="3,001–6,000"/>
    <s v="16+ miles"/>
    <s v="2–5 years"/>
  </r>
  <r>
    <n v="50"/>
    <x v="0"/>
    <s v="Travel_Rarely"/>
    <n v="410"/>
    <x v="0"/>
    <n v="28"/>
    <x v="3"/>
    <s v="Marketing"/>
    <n v="1"/>
    <n v="2055"/>
    <n v="4"/>
    <s v="Male"/>
    <n v="39"/>
    <n v="2"/>
    <n v="3"/>
    <x v="0"/>
    <x v="3"/>
    <s v="Divorced"/>
    <n v="10854"/>
    <n v="16586"/>
    <n v="4"/>
    <s v="Y"/>
    <x v="0"/>
    <n v="13"/>
    <n v="3"/>
    <n v="2"/>
    <n v="80"/>
    <n v="1"/>
    <n v="20"/>
    <n v="3"/>
    <n v="3"/>
    <n v="3"/>
    <n v="2"/>
    <n v="2"/>
    <n v="0"/>
    <x v="3"/>
    <x v="2"/>
    <s v="Medium"/>
    <x v="3"/>
    <s v="Excellent"/>
    <s v="Better"/>
    <n v="1"/>
    <s v="10,001+"/>
    <s v="16+ miles"/>
    <s v="2–5 years"/>
  </r>
  <r>
    <n v="39"/>
    <x v="1"/>
    <s v="Travel_Rarely"/>
    <n v="722"/>
    <x v="0"/>
    <n v="24"/>
    <x v="1"/>
    <s v="Marketing"/>
    <n v="1"/>
    <n v="2056"/>
    <n v="2"/>
    <s v="Female"/>
    <n v="60"/>
    <n v="2"/>
    <n v="4"/>
    <x v="0"/>
    <x v="0"/>
    <s v="Married"/>
    <n v="12031"/>
    <n v="8828"/>
    <n v="0"/>
    <s v="Y"/>
    <x v="1"/>
    <n v="11"/>
    <n v="3"/>
    <n v="1"/>
    <n v="80"/>
    <n v="1"/>
    <n v="21"/>
    <n v="2"/>
    <n v="2"/>
    <n v="20"/>
    <n v="9"/>
    <n v="9"/>
    <n v="6"/>
    <x v="1"/>
    <x v="0"/>
    <s v="Medium"/>
    <x v="0"/>
    <s v="Excellent"/>
    <s v="Good"/>
    <n v="0"/>
    <s v="10,001+"/>
    <s v="16+ miles"/>
    <s v="11+ years"/>
  </r>
  <r>
    <n v="31"/>
    <x v="1"/>
    <s v="Non-Travel"/>
    <n v="325"/>
    <x v="1"/>
    <n v="5"/>
    <x v="3"/>
    <s v="Medical"/>
    <n v="1"/>
    <n v="2057"/>
    <n v="2"/>
    <s v="Male"/>
    <n v="74"/>
    <n v="3"/>
    <n v="2"/>
    <x v="3"/>
    <x v="3"/>
    <s v="Single"/>
    <n v="9936"/>
    <n v="3787"/>
    <n v="0"/>
    <s v="Y"/>
    <x v="1"/>
    <n v="19"/>
    <n v="3"/>
    <n v="2"/>
    <n v="80"/>
    <n v="0"/>
    <n v="10"/>
    <n v="2"/>
    <n v="3"/>
    <n v="9"/>
    <n v="4"/>
    <n v="1"/>
    <n v="7"/>
    <x v="3"/>
    <x v="0"/>
    <s v="High"/>
    <x v="3"/>
    <s v="Excellent"/>
    <s v="Better"/>
    <n v="0"/>
    <s v="6,001–10,000"/>
    <s v="0–5 miles"/>
    <s v="6–10 years"/>
  </r>
  <r>
    <n v="26"/>
    <x v="1"/>
    <s v="Travel_Rarely"/>
    <n v="1167"/>
    <x v="0"/>
    <n v="5"/>
    <x v="3"/>
    <s v="Other"/>
    <n v="1"/>
    <n v="2060"/>
    <n v="4"/>
    <s v="Female"/>
    <n v="30"/>
    <n v="2"/>
    <n v="1"/>
    <x v="6"/>
    <x v="2"/>
    <s v="Single"/>
    <n v="2966"/>
    <n v="21378"/>
    <n v="0"/>
    <s v="Y"/>
    <x v="1"/>
    <n v="18"/>
    <n v="3"/>
    <n v="4"/>
    <n v="80"/>
    <n v="0"/>
    <n v="5"/>
    <n v="2"/>
    <n v="3"/>
    <n v="4"/>
    <n v="2"/>
    <n v="0"/>
    <n v="0"/>
    <x v="3"/>
    <x v="2"/>
    <s v="Medium"/>
    <x v="2"/>
    <s v="Excellent"/>
    <s v="Better"/>
    <n v="0"/>
    <s v="0–3,000"/>
    <s v="0–5 miles"/>
    <s v="2–5 years"/>
  </r>
  <r>
    <n v="36"/>
    <x v="1"/>
    <s v="Travel_Frequently"/>
    <n v="884"/>
    <x v="1"/>
    <n v="23"/>
    <x v="0"/>
    <s v="Medical"/>
    <n v="1"/>
    <n v="2061"/>
    <n v="3"/>
    <s v="Male"/>
    <n v="41"/>
    <n v="4"/>
    <n v="2"/>
    <x v="2"/>
    <x v="0"/>
    <s v="Married"/>
    <n v="2571"/>
    <n v="12290"/>
    <n v="4"/>
    <s v="Y"/>
    <x v="1"/>
    <n v="17"/>
    <n v="3"/>
    <n v="3"/>
    <n v="80"/>
    <n v="1"/>
    <n v="17"/>
    <n v="3"/>
    <n v="3"/>
    <n v="5"/>
    <n v="2"/>
    <n v="0"/>
    <n v="3"/>
    <x v="0"/>
    <x v="1"/>
    <s v="Very High"/>
    <x v="0"/>
    <s v="Excellent"/>
    <s v="Better"/>
    <n v="0"/>
    <s v="0–3,000"/>
    <s v="16+ miles"/>
    <s v="2–5 years"/>
  </r>
  <r>
    <n v="39"/>
    <x v="1"/>
    <s v="Travel_Rarely"/>
    <n v="613"/>
    <x v="1"/>
    <n v="6"/>
    <x v="1"/>
    <s v="Medical"/>
    <n v="1"/>
    <n v="2062"/>
    <n v="4"/>
    <s v="Male"/>
    <n v="42"/>
    <n v="2"/>
    <n v="3"/>
    <x v="4"/>
    <x v="3"/>
    <s v="Married"/>
    <n v="9991"/>
    <n v="21457"/>
    <n v="4"/>
    <s v="Y"/>
    <x v="1"/>
    <n v="15"/>
    <n v="3"/>
    <n v="1"/>
    <n v="80"/>
    <n v="1"/>
    <n v="9"/>
    <n v="5"/>
    <n v="3"/>
    <n v="7"/>
    <n v="7"/>
    <n v="1"/>
    <n v="7"/>
    <x v="1"/>
    <x v="2"/>
    <s v="Medium"/>
    <x v="3"/>
    <s v="Excellent"/>
    <s v="Better"/>
    <n v="0"/>
    <s v="6,001–10,000"/>
    <s v="6–10 miles"/>
    <s v="6–10 years"/>
  </r>
  <r>
    <n v="27"/>
    <x v="1"/>
    <s v="Travel_Rarely"/>
    <n v="155"/>
    <x v="1"/>
    <n v="4"/>
    <x v="3"/>
    <s v="Life Sciences"/>
    <n v="1"/>
    <n v="2064"/>
    <n v="2"/>
    <s v="Male"/>
    <n v="87"/>
    <n v="4"/>
    <n v="2"/>
    <x v="3"/>
    <x v="1"/>
    <s v="Married"/>
    <n v="6142"/>
    <n v="5174"/>
    <n v="1"/>
    <s v="Y"/>
    <x v="0"/>
    <n v="20"/>
    <n v="4"/>
    <n v="2"/>
    <n v="80"/>
    <n v="1"/>
    <n v="6"/>
    <n v="0"/>
    <n v="3"/>
    <n v="6"/>
    <n v="2"/>
    <n v="0"/>
    <n v="3"/>
    <x v="3"/>
    <x v="0"/>
    <s v="Very High"/>
    <x v="1"/>
    <s v="Outstanding"/>
    <s v="Better"/>
    <n v="0"/>
    <s v="6,001–10,000"/>
    <s v="0–5 miles"/>
    <s v="6–10 years"/>
  </r>
  <r>
    <n v="49"/>
    <x v="1"/>
    <s v="Travel_Frequently"/>
    <n v="1023"/>
    <x v="0"/>
    <n v="2"/>
    <x v="3"/>
    <s v="Medical"/>
    <n v="1"/>
    <n v="2065"/>
    <n v="4"/>
    <s v="Male"/>
    <n v="63"/>
    <n v="2"/>
    <n v="2"/>
    <x v="0"/>
    <x v="1"/>
    <s v="Married"/>
    <n v="5390"/>
    <n v="13243"/>
    <n v="2"/>
    <s v="Y"/>
    <x v="1"/>
    <n v="14"/>
    <n v="3"/>
    <n v="4"/>
    <n v="80"/>
    <n v="0"/>
    <n v="17"/>
    <n v="3"/>
    <n v="2"/>
    <n v="9"/>
    <n v="6"/>
    <n v="0"/>
    <n v="8"/>
    <x v="3"/>
    <x v="2"/>
    <s v="Medium"/>
    <x v="1"/>
    <s v="Excellent"/>
    <s v="Good"/>
    <n v="0"/>
    <s v="3,001–6,000"/>
    <s v="0–5 miles"/>
    <s v="6–10 years"/>
  </r>
  <r>
    <n v="34"/>
    <x v="1"/>
    <s v="Travel_Rarely"/>
    <n v="628"/>
    <x v="1"/>
    <n v="8"/>
    <x v="3"/>
    <s v="Medical"/>
    <n v="1"/>
    <n v="2068"/>
    <n v="2"/>
    <s v="Male"/>
    <n v="82"/>
    <n v="4"/>
    <n v="2"/>
    <x v="2"/>
    <x v="2"/>
    <s v="Married"/>
    <n v="4404"/>
    <n v="10228"/>
    <n v="2"/>
    <s v="Y"/>
    <x v="1"/>
    <n v="12"/>
    <n v="3"/>
    <n v="1"/>
    <n v="80"/>
    <n v="0"/>
    <n v="6"/>
    <n v="3"/>
    <n v="4"/>
    <n v="4"/>
    <n v="3"/>
    <n v="1"/>
    <n v="2"/>
    <x v="3"/>
    <x v="0"/>
    <s v="Very High"/>
    <x v="2"/>
    <s v="Excellent"/>
    <s v="Best"/>
    <n v="0"/>
    <s v="3,001–6,000"/>
    <s v="6–10 miles"/>
    <s v="2–5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9F8E8D-7BB6-4A75-821A-B9A7DD7A71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tatisfaction" colHeaderCaption="Attrition">
  <location ref="A78:D84" firstHeaderRow="1" firstDataRow="2" firstDataCol="1"/>
  <pivotFields count="4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items count="5">
        <item x="2"/>
        <item x="3"/>
        <item x="1"/>
        <item x="0"/>
        <item t="default"/>
      </items>
    </pivotField>
    <pivotField showAll="0"/>
    <pivotField showAll="0"/>
    <pivotField showAll="0"/>
    <pivotField showAll="0"/>
    <pivotField showAll="0"/>
    <pivotField showAll="0"/>
  </pivotFields>
  <rowFields count="1">
    <field x="38"/>
  </rowFields>
  <rowItems count="5">
    <i>
      <x/>
    </i>
    <i>
      <x v="1"/>
    </i>
    <i>
      <x v="2"/>
    </i>
    <i>
      <x v="3"/>
    </i>
    <i t="grand">
      <x/>
    </i>
  </rowItems>
  <colFields count="1">
    <field x="1"/>
  </colFields>
  <colItems count="3">
    <i>
      <x/>
    </i>
    <i>
      <x v="1"/>
    </i>
    <i t="grand">
      <x/>
    </i>
  </colItems>
  <dataFields count="1">
    <dataField name="Count of EmployeeNumber" fld="9" subtotal="count" showDataAs="percentOfRow" baseField="38" baseItem="0" numFmtId="10"/>
  </dataFields>
  <formats count="4">
    <format dxfId="16">
      <pivotArea grandCol="1" outline="0" collapsedLevelsAreSubtotals="1" fieldPosition="0"/>
    </format>
    <format dxfId="15">
      <pivotArea type="all" dataOnly="0" outline="0" fieldPosition="0"/>
    </format>
    <format dxfId="14">
      <pivotArea type="all" dataOnly="0" outline="0" fieldPosition="0"/>
    </format>
    <format dxfId="13">
      <pivotArea type="all" dataOnly="0" outline="0"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FB1135-A3E3-407C-88A9-D8D3ACB3D4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D73" firstHeaderRow="1" firstDataRow="2" firstDataCol="1"/>
  <pivotFields count="4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showDataAs="percentOfRow" baseField="22" baseItem="0" numFmtId="10"/>
  </dataFields>
  <formats count="4">
    <format dxfId="20">
      <pivotArea grandCol="1" outline="0" collapsedLevelsAreSubtotals="1" fieldPosition="0"/>
    </format>
    <format dxfId="19">
      <pivotArea type="all" dataOnly="0" outline="0" fieldPosition="0"/>
    </format>
    <format dxfId="18">
      <pivotArea type="all" dataOnly="0" outline="0" fieldPosition="0"/>
    </format>
    <format dxfId="17">
      <pivotArea type="all" dataOnly="0" outline="0"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9D80EB-9E46-4965-B2BE-91E23F38BF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Label" colHeaderCaption="Attrition">
  <location ref="A57:D64" firstHeaderRow="1" firstDataRow="2" firstDataCol="1"/>
  <pivotFields count="45">
    <pivotField showAll="0"/>
    <pivotField axis="axisCol" showAll="0" sortType="ascending">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4"/>
        <item x="2"/>
        <item t="default"/>
      </items>
    </pivotField>
    <pivotField showAll="0"/>
    <pivotField showAll="0"/>
    <pivotField showAll="0"/>
    <pivotField showAll="0"/>
    <pivotField showAll="0"/>
    <pivotField showAll="0"/>
    <pivotField showAll="0"/>
    <pivotField showAll="0"/>
    <pivotField showAll="0"/>
  </pivotFields>
  <rowFields count="1">
    <field x="35"/>
  </rowFields>
  <rowItems count="6">
    <i>
      <x/>
    </i>
    <i>
      <x v="1"/>
    </i>
    <i>
      <x v="2"/>
    </i>
    <i>
      <x v="3"/>
    </i>
    <i>
      <x v="4"/>
    </i>
    <i t="grand">
      <x/>
    </i>
  </rowItems>
  <colFields count="1">
    <field x="1"/>
  </colFields>
  <colItems count="3">
    <i>
      <x/>
    </i>
    <i>
      <x v="1"/>
    </i>
    <i t="grand">
      <x/>
    </i>
  </colItems>
  <dataFields count="1">
    <dataField name="Average of MonthlyIncome" fld="18" subtotal="average" baseField="35" baseItem="1" numFmtId="165"/>
  </dataFields>
  <formats count="31">
    <format dxfId="51">
      <pivotArea outline="0" collapsedLevelsAreSubtotals="1"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1" type="button" dataOnly="0" labelOnly="1" outline="0" axis="axisCol" fieldPosition="0"/>
    </format>
    <format dxfId="46">
      <pivotArea type="topRight" dataOnly="0" labelOnly="1" outline="0" fieldPosition="0"/>
    </format>
    <format dxfId="45">
      <pivotArea field="35" type="button" dataOnly="0" labelOnly="1" outline="0" axis="axisRow" fieldPosition="0"/>
    </format>
    <format dxfId="44">
      <pivotArea dataOnly="0" labelOnly="1" fieldPosition="0">
        <references count="1">
          <reference field="35" count="0"/>
        </references>
      </pivotArea>
    </format>
    <format dxfId="43">
      <pivotArea dataOnly="0" labelOnly="1" grandRow="1" outline="0" fieldPosition="0"/>
    </format>
    <format dxfId="42">
      <pivotArea dataOnly="0" labelOnly="1" fieldPosition="0">
        <references count="1">
          <reference field="1" count="0"/>
        </references>
      </pivotArea>
    </format>
    <format dxfId="41">
      <pivotArea dataOnly="0" labelOnly="1" grandCol="1" outline="0"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1" type="button" dataOnly="0" labelOnly="1" outline="0" axis="axisCol" fieldPosition="0"/>
    </format>
    <format dxfId="36">
      <pivotArea type="topRight" dataOnly="0" labelOnly="1" outline="0" fieldPosition="0"/>
    </format>
    <format dxfId="35">
      <pivotArea field="35" type="button" dataOnly="0" labelOnly="1" outline="0" axis="axisRow" fieldPosition="0"/>
    </format>
    <format dxfId="34">
      <pivotArea dataOnly="0" labelOnly="1" fieldPosition="0">
        <references count="1">
          <reference field="35" count="0"/>
        </references>
      </pivotArea>
    </format>
    <format dxfId="33">
      <pivotArea dataOnly="0" labelOnly="1" grandRow="1" outline="0" fieldPosition="0"/>
    </format>
    <format dxfId="32">
      <pivotArea dataOnly="0" labelOnly="1" fieldPosition="0">
        <references count="1">
          <reference field="1" count="0"/>
        </references>
      </pivotArea>
    </format>
    <format dxfId="31">
      <pivotArea dataOnly="0" labelOnly="1" grandCol="1" outline="0" fieldPosition="0"/>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1" type="button" dataOnly="0" labelOnly="1" outline="0" axis="axisCol" fieldPosition="0"/>
    </format>
    <format dxfId="26">
      <pivotArea type="topRight" dataOnly="0" labelOnly="1" outline="0" fieldPosition="0"/>
    </format>
    <format dxfId="25">
      <pivotArea field="35" type="button" dataOnly="0" labelOnly="1" outline="0" axis="axisRow" fieldPosition="0"/>
    </format>
    <format dxfId="24">
      <pivotArea dataOnly="0" labelOnly="1" fieldPosition="0">
        <references count="1">
          <reference field="35" count="0"/>
        </references>
      </pivotArea>
    </format>
    <format dxfId="23">
      <pivotArea dataOnly="0" labelOnly="1" grandRow="1" outline="0" fieldPosition="0"/>
    </format>
    <format dxfId="22">
      <pivotArea dataOnly="0" labelOnly="1" fieldPosition="0">
        <references count="1">
          <reference field="1" count="0"/>
        </references>
      </pivotArea>
    </format>
    <format dxfId="21">
      <pivotArea dataOnly="0" labelOnly="1" grandCol="1" outline="0"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F19DF5-10BB-46F9-8779-EFB9D22D9E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amp; Job Roles" colHeaderCaption="Attrition">
  <location ref="A14:G31" firstHeaderRow="1" firstDataRow="3" firstDataCol="1"/>
  <pivotFields count="45">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4"/>
        <item x="2"/>
        <item t="default"/>
      </items>
    </pivotField>
    <pivotField showAll="0"/>
    <pivotField showAll="0"/>
    <pivotField showAll="0"/>
    <pivotField showAll="0"/>
    <pivotField showAll="0"/>
    <pivotField showAll="0"/>
    <pivotField showAll="0"/>
    <pivotField showAll="0"/>
    <pivotField showAll="0"/>
  </pivotFields>
  <rowFields count="2">
    <field x="4"/>
    <field x="15"/>
  </rowFields>
  <rowItems count="15">
    <i>
      <x/>
    </i>
    <i r="1">
      <x v="1"/>
    </i>
    <i r="1">
      <x v="3"/>
    </i>
    <i>
      <x v="1"/>
    </i>
    <i r="1">
      <x/>
    </i>
    <i r="1">
      <x v="2"/>
    </i>
    <i r="1">
      <x v="3"/>
    </i>
    <i r="1">
      <x v="4"/>
    </i>
    <i r="1">
      <x v="5"/>
    </i>
    <i r="1">
      <x v="6"/>
    </i>
    <i>
      <x v="2"/>
    </i>
    <i r="1">
      <x v="3"/>
    </i>
    <i r="1">
      <x v="7"/>
    </i>
    <i r="1">
      <x v="8"/>
    </i>
    <i t="grand">
      <x/>
    </i>
  </rowItems>
  <colFields count="2">
    <field x="1"/>
    <field x="-2"/>
  </colFields>
  <colItems count="6">
    <i>
      <x/>
      <x/>
    </i>
    <i r="1" i="1">
      <x v="1"/>
    </i>
    <i>
      <x v="1"/>
      <x/>
    </i>
    <i r="1" i="1">
      <x v="1"/>
    </i>
    <i t="grand">
      <x/>
    </i>
    <i t="grand" i="1">
      <x/>
    </i>
  </colItems>
  <dataFields count="2">
    <dataField name="Count of EmployeeNumber" fld="9" subtotal="count" baseField="4" baseItem="0"/>
    <dataField name="Percentage of EmployeeNumber" fld="9" showDataAs="percentOfRow" baseField="4" baseItem="0" numFmtId="10"/>
  </dataFields>
  <formats count="51">
    <format dxfId="102">
      <pivotArea type="all" dataOnly="0" outline="0" fieldPosition="0"/>
    </format>
    <format dxfId="101">
      <pivotArea outline="0" collapsedLevelsAreSubtotals="1" fieldPosition="0"/>
    </format>
    <format dxfId="100">
      <pivotArea type="origin" dataOnly="0" labelOnly="1" outline="0" fieldPosition="0"/>
    </format>
    <format dxfId="99">
      <pivotArea field="1" type="button" dataOnly="0" labelOnly="1" outline="0" axis="axisCol" fieldPosition="0"/>
    </format>
    <format dxfId="98">
      <pivotArea field="-2" type="button" dataOnly="0" labelOnly="1" outline="0" axis="axisCol" fieldPosition="1"/>
    </format>
    <format dxfId="97">
      <pivotArea type="topRight" dataOnly="0" labelOnly="1" outline="0" fieldPosition="0"/>
    </format>
    <format dxfId="96">
      <pivotArea field="4" type="button" dataOnly="0" labelOnly="1" outline="0" axis="axisRow" fieldPosition="0"/>
    </format>
    <format dxfId="95">
      <pivotArea dataOnly="0" labelOnly="1" fieldPosition="0">
        <references count="1">
          <reference field="4" count="0"/>
        </references>
      </pivotArea>
    </format>
    <format dxfId="94">
      <pivotArea dataOnly="0" labelOnly="1" grandRow="1" outline="0" fieldPosition="0"/>
    </format>
    <format dxfId="93">
      <pivotArea dataOnly="0" labelOnly="1" fieldPosition="0">
        <references count="2">
          <reference field="4" count="1" selected="0">
            <x v="0"/>
          </reference>
          <reference field="15" count="2">
            <x v="1"/>
            <x v="3"/>
          </reference>
        </references>
      </pivotArea>
    </format>
    <format dxfId="92">
      <pivotArea dataOnly="0" labelOnly="1" fieldPosition="0">
        <references count="2">
          <reference field="4" count="1" selected="0">
            <x v="1"/>
          </reference>
          <reference field="15" count="6">
            <x v="0"/>
            <x v="2"/>
            <x v="3"/>
            <x v="4"/>
            <x v="5"/>
            <x v="6"/>
          </reference>
        </references>
      </pivotArea>
    </format>
    <format dxfId="91">
      <pivotArea dataOnly="0" labelOnly="1" fieldPosition="0">
        <references count="2">
          <reference field="4" count="1" selected="0">
            <x v="2"/>
          </reference>
          <reference field="15" count="3">
            <x v="3"/>
            <x v="7"/>
            <x v="8"/>
          </reference>
        </references>
      </pivotArea>
    </format>
    <format dxfId="90">
      <pivotArea dataOnly="0" labelOnly="1" fieldPosition="0">
        <references count="1">
          <reference field="1" count="0"/>
        </references>
      </pivotArea>
    </format>
    <format dxfId="89">
      <pivotArea field="1" dataOnly="0" labelOnly="1" grandCol="1" outline="0" axis="axisCol" fieldPosition="0">
        <references count="1">
          <reference field="4294967294" count="1" selected="0">
            <x v="0"/>
          </reference>
        </references>
      </pivotArea>
    </format>
    <format dxfId="88">
      <pivotArea field="1" dataOnly="0" labelOnly="1" grandCol="1" outline="0" axis="axisCol" fieldPosition="0">
        <references count="1">
          <reference field="4294967294" count="1" selected="0">
            <x v="1"/>
          </reference>
        </references>
      </pivotArea>
    </format>
    <format dxfId="87">
      <pivotArea dataOnly="0" labelOnly="1" outline="0" fieldPosition="0">
        <references count="2">
          <reference field="4294967294" count="2">
            <x v="0"/>
            <x v="1"/>
          </reference>
          <reference field="1" count="1" selected="0">
            <x v="0"/>
          </reference>
        </references>
      </pivotArea>
    </format>
    <format dxfId="86">
      <pivotArea dataOnly="0" labelOnly="1" outline="0" fieldPosition="0">
        <references count="2">
          <reference field="4294967294" count="2">
            <x v="0"/>
            <x v="1"/>
          </reference>
          <reference field="1" count="1" selected="0">
            <x v="1"/>
          </reference>
        </references>
      </pivotArea>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1" type="button" dataOnly="0" labelOnly="1" outline="0" axis="axisCol" fieldPosition="0"/>
    </format>
    <format dxfId="81">
      <pivotArea field="-2" type="button" dataOnly="0" labelOnly="1" outline="0" axis="axisCol" fieldPosition="1"/>
    </format>
    <format dxfId="80">
      <pivotArea type="topRight" dataOnly="0" labelOnly="1" outline="0" fieldPosition="0"/>
    </format>
    <format dxfId="79">
      <pivotArea field="4" type="button" dataOnly="0" labelOnly="1" outline="0" axis="axisRow" fieldPosition="0"/>
    </format>
    <format dxfId="78">
      <pivotArea dataOnly="0" labelOnly="1" fieldPosition="0">
        <references count="1">
          <reference field="4" count="0"/>
        </references>
      </pivotArea>
    </format>
    <format dxfId="77">
      <pivotArea dataOnly="0" labelOnly="1" grandRow="1" outline="0" fieldPosition="0"/>
    </format>
    <format dxfId="76">
      <pivotArea dataOnly="0" labelOnly="1" fieldPosition="0">
        <references count="2">
          <reference field="4" count="1" selected="0">
            <x v="0"/>
          </reference>
          <reference field="15" count="2">
            <x v="1"/>
            <x v="3"/>
          </reference>
        </references>
      </pivotArea>
    </format>
    <format dxfId="75">
      <pivotArea dataOnly="0" labelOnly="1" fieldPosition="0">
        <references count="2">
          <reference field="4" count="1" selected="0">
            <x v="1"/>
          </reference>
          <reference field="15" count="6">
            <x v="0"/>
            <x v="2"/>
            <x v="3"/>
            <x v="4"/>
            <x v="5"/>
            <x v="6"/>
          </reference>
        </references>
      </pivotArea>
    </format>
    <format dxfId="74">
      <pivotArea dataOnly="0" labelOnly="1" fieldPosition="0">
        <references count="2">
          <reference field="4" count="1" selected="0">
            <x v="2"/>
          </reference>
          <reference field="15" count="3">
            <x v="3"/>
            <x v="7"/>
            <x v="8"/>
          </reference>
        </references>
      </pivotArea>
    </format>
    <format dxfId="73">
      <pivotArea dataOnly="0" labelOnly="1" fieldPosition="0">
        <references count="1">
          <reference field="1" count="0"/>
        </references>
      </pivotArea>
    </format>
    <format dxfId="72">
      <pivotArea field="1" dataOnly="0" labelOnly="1" grandCol="1" outline="0" axis="axisCol" fieldPosition="0">
        <references count="1">
          <reference field="4294967294" count="1" selected="0">
            <x v="0"/>
          </reference>
        </references>
      </pivotArea>
    </format>
    <format dxfId="71">
      <pivotArea field="1" dataOnly="0" labelOnly="1" grandCol="1" outline="0" axis="axisCol" fieldPosition="0">
        <references count="1">
          <reference field="4294967294" count="1" selected="0">
            <x v="1"/>
          </reference>
        </references>
      </pivotArea>
    </format>
    <format dxfId="70">
      <pivotArea dataOnly="0" labelOnly="1" outline="0" fieldPosition="0">
        <references count="2">
          <reference field="4294967294" count="2">
            <x v="0"/>
            <x v="1"/>
          </reference>
          <reference field="1" count="1" selected="0">
            <x v="0"/>
          </reference>
        </references>
      </pivotArea>
    </format>
    <format dxfId="69">
      <pivotArea dataOnly="0" labelOnly="1" outline="0" fieldPosition="0">
        <references count="2">
          <reference field="4294967294" count="2">
            <x v="0"/>
            <x v="1"/>
          </reference>
          <reference field="1" count="1" selected="0">
            <x v="1"/>
          </reference>
        </references>
      </pivotArea>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1" type="button" dataOnly="0" labelOnly="1" outline="0" axis="axisCol" fieldPosition="0"/>
    </format>
    <format dxfId="64">
      <pivotArea field="-2" type="button" dataOnly="0" labelOnly="1" outline="0" axis="axisCol" fieldPosition="1"/>
    </format>
    <format dxfId="63">
      <pivotArea type="topRight" dataOnly="0" labelOnly="1" outline="0" fieldPosition="0"/>
    </format>
    <format dxfId="62">
      <pivotArea field="4" type="button" dataOnly="0" labelOnly="1" outline="0" axis="axisRow" fieldPosition="0"/>
    </format>
    <format dxfId="61">
      <pivotArea dataOnly="0" labelOnly="1" fieldPosition="0">
        <references count="1">
          <reference field="4" count="0"/>
        </references>
      </pivotArea>
    </format>
    <format dxfId="60">
      <pivotArea dataOnly="0" labelOnly="1" grandRow="1" outline="0" fieldPosition="0"/>
    </format>
    <format dxfId="59">
      <pivotArea dataOnly="0" labelOnly="1" fieldPosition="0">
        <references count="2">
          <reference field="4" count="1" selected="0">
            <x v="0"/>
          </reference>
          <reference field="15" count="2">
            <x v="1"/>
            <x v="3"/>
          </reference>
        </references>
      </pivotArea>
    </format>
    <format dxfId="58">
      <pivotArea dataOnly="0" labelOnly="1" fieldPosition="0">
        <references count="2">
          <reference field="4" count="1" selected="0">
            <x v="1"/>
          </reference>
          <reference field="15" count="6">
            <x v="0"/>
            <x v="2"/>
            <x v="3"/>
            <x v="4"/>
            <x v="5"/>
            <x v="6"/>
          </reference>
        </references>
      </pivotArea>
    </format>
    <format dxfId="57">
      <pivotArea dataOnly="0" labelOnly="1" fieldPosition="0">
        <references count="2">
          <reference field="4" count="1" selected="0">
            <x v="2"/>
          </reference>
          <reference field="15" count="3">
            <x v="3"/>
            <x v="7"/>
            <x v="8"/>
          </reference>
        </references>
      </pivotArea>
    </format>
    <format dxfId="56">
      <pivotArea dataOnly="0" labelOnly="1" fieldPosition="0">
        <references count="1">
          <reference field="1" count="0"/>
        </references>
      </pivotArea>
    </format>
    <format dxfId="55">
      <pivotArea field="1" dataOnly="0" labelOnly="1" grandCol="1" outline="0" axis="axisCol" fieldPosition="0">
        <references count="1">
          <reference field="4294967294" count="1" selected="0">
            <x v="0"/>
          </reference>
        </references>
      </pivotArea>
    </format>
    <format dxfId="54">
      <pivotArea field="1" dataOnly="0" labelOnly="1" grandCol="1" outline="0" axis="axisCol" fieldPosition="0">
        <references count="1">
          <reference field="4294967294" count="1" selected="0">
            <x v="1"/>
          </reference>
        </references>
      </pivotArea>
    </format>
    <format dxfId="53">
      <pivotArea dataOnly="0" labelOnly="1" outline="0" fieldPosition="0">
        <references count="2">
          <reference field="4294967294" count="2">
            <x v="0"/>
            <x v="1"/>
          </reference>
          <reference field="1" count="1" selected="0">
            <x v="0"/>
          </reference>
        </references>
      </pivotArea>
    </format>
    <format dxfId="52">
      <pivotArea dataOnly="0" labelOnly="1" outline="0" fieldPosition="0">
        <references count="2">
          <reference field="4294967294" count="2">
            <x v="0"/>
            <x v="1"/>
          </reference>
          <reference field="1" count="1" selected="0">
            <x v="1"/>
          </reference>
        </references>
      </pivotArea>
    </format>
  </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DA176F-7165-48EB-9805-99DD5BA838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colHeaderCaption="Attrition">
  <location ref="A37:G49" firstHeaderRow="1" firstDataRow="3" firstDataCol="1"/>
  <pivotFields count="45">
    <pivotField showAll="0"/>
    <pivotField axis="axisCol" showAll="0">
      <items count="3">
        <item x="1"/>
        <item x="0"/>
        <item t="default"/>
      </items>
    </pivotField>
    <pivotField showAll="0"/>
    <pivotField showAll="0"/>
    <pivotField showAll="0">
      <items count="4">
        <item x="2"/>
        <item x="1"/>
        <item x="0"/>
        <item t="default"/>
      </items>
    </pivotField>
    <pivotField dataField="1" showAll="0"/>
    <pivotField showAll="0"/>
    <pivotField showAll="0"/>
    <pivotField showAll="0"/>
    <pivotField dataField="1"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2">
    <field x="1"/>
    <field x="-2"/>
  </colFields>
  <colItems count="6">
    <i>
      <x/>
      <x/>
    </i>
    <i r="1" i="1">
      <x v="1"/>
    </i>
    <i>
      <x v="1"/>
      <x/>
    </i>
    <i r="1" i="1">
      <x v="1"/>
    </i>
    <i t="grand">
      <x/>
    </i>
    <i t="grand" i="1">
      <x/>
    </i>
  </colItems>
  <dataFields count="2">
    <dataField name="Average of DistanceFromHome" fld="5" subtotal="average" baseField="15" baseItem="0" numFmtId="2"/>
    <dataField name="Count of EmployeeNumber" fld="9" subtotal="count" baseField="15" baseItem="0"/>
  </dataFields>
  <formats count="31">
    <format dxfId="133">
      <pivotArea outline="0" collapsedLevelsAreSubtotals="1" fieldPosition="0"/>
    </format>
    <format dxfId="132">
      <pivotArea field="1" grandCol="1" outline="0" collapsedLevelsAreSubtotals="1" axis="axisCol" fieldPosition="0">
        <references count="1">
          <reference field="4294967294" count="1" selected="0">
            <x v="1"/>
          </reference>
        </references>
      </pivotArea>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1" type="button" dataOnly="0" labelOnly="1" outline="0" axis="axisCol" fieldPosition="0"/>
    </format>
    <format dxfId="127">
      <pivotArea field="-2" type="button" dataOnly="0" labelOnly="1" outline="0" axis="axisCol" fieldPosition="1"/>
    </format>
    <format dxfId="126">
      <pivotArea type="topRight" dataOnly="0" labelOnly="1" outline="0" fieldPosition="0"/>
    </format>
    <format dxfId="125">
      <pivotArea field="15" type="button" dataOnly="0" labelOnly="1" outline="0" axis="axisRow" fieldPosition="0"/>
    </format>
    <format dxfId="124">
      <pivotArea dataOnly="0" labelOnly="1" fieldPosition="0">
        <references count="1">
          <reference field="15" count="0"/>
        </references>
      </pivotArea>
    </format>
    <format dxfId="123">
      <pivotArea dataOnly="0" labelOnly="1" grandRow="1" outline="0" fieldPosition="0"/>
    </format>
    <format dxfId="122">
      <pivotArea dataOnly="0" labelOnly="1" fieldPosition="0">
        <references count="1">
          <reference field="1" count="0"/>
        </references>
      </pivotArea>
    </format>
    <format dxfId="121">
      <pivotArea field="1" dataOnly="0" labelOnly="1" grandCol="1" outline="0" axis="axisCol" fieldPosition="0">
        <references count="1">
          <reference field="4294967294" count="1" selected="0">
            <x v="0"/>
          </reference>
        </references>
      </pivotArea>
    </format>
    <format dxfId="120">
      <pivotArea field="1" dataOnly="0" labelOnly="1" grandCol="1" outline="0" axis="axisCol" fieldPosition="0">
        <references count="1">
          <reference field="4294967294" count="1" selected="0">
            <x v="1"/>
          </reference>
        </references>
      </pivotArea>
    </format>
    <format dxfId="119">
      <pivotArea dataOnly="0" labelOnly="1" outline="0" fieldPosition="0">
        <references count="2">
          <reference field="4294967294" count="2">
            <x v="0"/>
            <x v="1"/>
          </reference>
          <reference field="1" count="1" selected="0">
            <x v="0"/>
          </reference>
        </references>
      </pivotArea>
    </format>
    <format dxfId="118">
      <pivotArea dataOnly="0" labelOnly="1" outline="0" fieldPosition="0">
        <references count="2">
          <reference field="4294967294" count="2">
            <x v="0"/>
            <x v="1"/>
          </reference>
          <reference field="1" count="1" selected="0">
            <x v="1"/>
          </reference>
        </references>
      </pivotArea>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1" type="button" dataOnly="0" labelOnly="1" outline="0" axis="axisCol" fieldPosition="0"/>
    </format>
    <format dxfId="113">
      <pivotArea field="-2" type="button" dataOnly="0" labelOnly="1" outline="0" axis="axisCol" fieldPosition="1"/>
    </format>
    <format dxfId="112">
      <pivotArea type="topRight" dataOnly="0" labelOnly="1" outline="0" fieldPosition="0"/>
    </format>
    <format dxfId="111">
      <pivotArea field="15" type="button" dataOnly="0" labelOnly="1" outline="0" axis="axisRow" fieldPosition="0"/>
    </format>
    <format dxfId="110">
      <pivotArea dataOnly="0" labelOnly="1" fieldPosition="0">
        <references count="1">
          <reference field="15" count="0"/>
        </references>
      </pivotArea>
    </format>
    <format dxfId="109">
      <pivotArea dataOnly="0" labelOnly="1" grandRow="1" outline="0" fieldPosition="0"/>
    </format>
    <format dxfId="108">
      <pivotArea dataOnly="0" labelOnly="1" fieldPosition="0">
        <references count="1">
          <reference field="1" count="0"/>
        </references>
      </pivotArea>
    </format>
    <format dxfId="107">
      <pivotArea field="1" dataOnly="0" labelOnly="1" grandCol="1" outline="0" axis="axisCol" fieldPosition="0">
        <references count="1">
          <reference field="4294967294" count="1" selected="0">
            <x v="0"/>
          </reference>
        </references>
      </pivotArea>
    </format>
    <format dxfId="106">
      <pivotArea field="1" dataOnly="0" labelOnly="1" grandCol="1" outline="0" axis="axisCol" fieldPosition="0">
        <references count="1">
          <reference field="4294967294" count="1" selected="0">
            <x v="1"/>
          </reference>
        </references>
      </pivotArea>
    </format>
    <format dxfId="105">
      <pivotArea dataOnly="0" labelOnly="1" outline="0" fieldPosition="0">
        <references count="2">
          <reference field="4294967294" count="2">
            <x v="0"/>
            <x v="1"/>
          </reference>
          <reference field="1" count="1" selected="0">
            <x v="0"/>
          </reference>
        </references>
      </pivotArea>
    </format>
    <format dxfId="104">
      <pivotArea dataOnly="0" labelOnly="1" outline="0" fieldPosition="0">
        <references count="2">
          <reference field="4294967294" count="2">
            <x v="0"/>
            <x v="1"/>
          </reference>
          <reference field="1" count="1" selected="0">
            <x v="1"/>
          </reference>
        </references>
      </pivotArea>
    </format>
    <format dxfId="103">
      <pivotArea collapsedLevelsAreSubtotals="1" fieldPosition="0">
        <references count="3">
          <reference field="4294967294" count="1" selected="0">
            <x v="0"/>
          </reference>
          <reference field="1" count="1" selected="0">
            <x v="0"/>
          </reference>
          <reference field="15" count="1">
            <x v="7"/>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616FD4-1774-4B84-9B6D-AF324F844FAD}"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6459309B-B630-4017-9671-C21883A26105}" autoFormatId="16" applyNumberFormats="0" applyBorderFormats="0" applyFontFormats="0" applyPatternFormats="0" applyAlignmentFormats="0" applyWidthHeightFormats="0">
  <queryTableRefresh nextId="46" unboundColumnsRight="10">
    <queryTableFields count="4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 id="38" dataBound="0" tableColumnId="38"/>
      <queryTableField id="39" dataBound="0" tableColumnId="39"/>
      <queryTableField id="40" dataBound="0" tableColumnId="40"/>
      <queryTableField id="41" dataBound="0" tableColumnId="41"/>
      <queryTableField id="43" dataBound="0" tableColumnId="43"/>
      <queryTableField id="42" dataBound="0" tableColumnId="42"/>
      <queryTableField id="44" dataBound="0" tableColumnId="44"/>
      <queryTableField id="45" dataBound="0" tableColumnId="4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7085C12-B791-4143-B2BB-5705FF57E47B}" sourceName="Department">
  <pivotTables>
    <pivotTable tabId="9" name="PivotTable1"/>
    <pivotTable tabId="9" name="PivotTable2"/>
    <pivotTable tabId="9" name="PivotTable3"/>
    <pivotTable tabId="9" name="PivotTable4"/>
    <pivotTable tabId="9" name="PivotTable5"/>
  </pivotTables>
  <data>
    <tabular pivotCacheId="104632001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F94D49BB-C6E4-4404-9AC2-59CFD7323E25}" sourceName="OverTime">
  <pivotTables>
    <pivotTable tabId="9" name="PivotTable1"/>
  </pivotTables>
  <data>
    <tabular pivotCacheId="104632001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abel" xr10:uid="{6A2463EB-C72E-44D5-BC09-B4795E9EC622}" sourceName="Education_Label">
  <pivotTables>
    <pivotTable tabId="9" name="PivotTable1"/>
  </pivotTables>
  <data>
    <tabular pivotCacheId="1046320018">
      <items count="5">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4DAA393-D9D1-40CA-9EF1-2CA4E7983BA1}" cache="Slicer_Department" caption="Department" rowHeight="257175"/>
  <slicer name="OverTime" xr10:uid="{279F243F-19A1-4214-955C-ADCA6382D143}" cache="Slicer_OverTime" caption="OverTime" rowHeight="257175"/>
  <slicer name="Education_Label" xr10:uid="{65E976CA-7C80-4E8A-8B1B-DEFA2A2D3143}" cache="Slicer_Education_Label" caption="Education_Label"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72EAC9-B929-4BA2-B397-B908235C584E}" name="RawEmployeeData" displayName="RawEmployeeData" ref="A1:AI1471" tableType="queryTable" totalsRowShown="0">
  <autoFilter ref="A1:AI1471" xr:uid="{2872EAC9-B929-4BA2-B397-B908235C584E}"/>
  <tableColumns count="35">
    <tableColumn id="1" xr3:uid="{54EA47F7-9A85-4448-8A85-D30DB25A6DE0}" uniqueName="1" name="Age" queryTableFieldId="1"/>
    <tableColumn id="2" xr3:uid="{3508EA68-D513-4E49-9498-5E32A7BA5A3B}" uniqueName="2" name="Attrition" queryTableFieldId="2" dataDxfId="241"/>
    <tableColumn id="3" xr3:uid="{631D7EFA-F015-46C6-ABB0-F4F0862083FD}" uniqueName="3" name="BusinessTravel" queryTableFieldId="3" dataDxfId="240"/>
    <tableColumn id="4" xr3:uid="{13C3DE18-86C0-43FC-BB4B-F2966225CAC0}" uniqueName="4" name="DailyRate" queryTableFieldId="4"/>
    <tableColumn id="5" xr3:uid="{80F990BC-8631-4AB4-B295-FA06A39A2B6C}" uniqueName="5" name="Department" queryTableFieldId="5" dataDxfId="239"/>
    <tableColumn id="6" xr3:uid="{9C013C67-C525-48E9-B205-BB3DFAFF6EFD}" uniqueName="6" name="DistanceFromHome" queryTableFieldId="6"/>
    <tableColumn id="7" xr3:uid="{DB5A04EF-A66F-4A6F-8BE5-E4BB4F60FF89}" uniqueName="7" name="Education" queryTableFieldId="7"/>
    <tableColumn id="8" xr3:uid="{6459ED23-CD1B-4DAC-BAAF-14DA70A82467}" uniqueName="8" name="EducationField" queryTableFieldId="8" dataDxfId="238"/>
    <tableColumn id="9" xr3:uid="{BD4B0793-639A-4BDA-8463-D453009E3F1D}" uniqueName="9" name="EmployeeCount" queryTableFieldId="9"/>
    <tableColumn id="10" xr3:uid="{890153FF-F6CA-4225-81CD-9DBF8EF67062}" uniqueName="10" name="EmployeeNumber" queryTableFieldId="10"/>
    <tableColumn id="11" xr3:uid="{2BB2C428-ABF7-42E6-B610-4C031460C78A}" uniqueName="11" name="EnvironmentSatisfaction" queryTableFieldId="11"/>
    <tableColumn id="12" xr3:uid="{FEAF8CCF-D620-4D4B-B78C-370B8F4F402D}" uniqueName="12" name="Gender" queryTableFieldId="12" dataDxfId="237"/>
    <tableColumn id="13" xr3:uid="{BB81008E-2B46-44EA-9358-29A281CFB337}" uniqueName="13" name="HourlyRate" queryTableFieldId="13"/>
    <tableColumn id="14" xr3:uid="{70CB7F57-85EE-434F-AD44-CFEF66B67428}" uniqueName="14" name="JobInvolvement" queryTableFieldId="14"/>
    <tableColumn id="15" xr3:uid="{C32F0887-2BA7-4964-A04C-F4F61802F859}" uniqueName="15" name="JobLevel" queryTableFieldId="15"/>
    <tableColumn id="16" xr3:uid="{5C2EAE97-2266-431C-BF6A-4460CA7DF59E}" uniqueName="16" name="JobRole" queryTableFieldId="16" dataDxfId="236"/>
    <tableColumn id="17" xr3:uid="{BE819288-DFBC-4918-B194-343E94241C56}" uniqueName="17" name="JobSatisfaction" queryTableFieldId="17"/>
    <tableColumn id="18" xr3:uid="{E4BA3042-2E6B-4DAF-A461-52945438DE09}" uniqueName="18" name="MaritalStatus" queryTableFieldId="18" dataDxfId="235"/>
    <tableColumn id="19" xr3:uid="{A69E35AC-36AB-4259-911C-FB08325B030B}" uniqueName="19" name="MonthlyIncome" queryTableFieldId="19"/>
    <tableColumn id="20" xr3:uid="{63312C06-8ED5-48E2-A357-5557320F3949}" uniqueName="20" name="MonthlyRate" queryTableFieldId="20"/>
    <tableColumn id="21" xr3:uid="{36F30D22-40EA-4A70-95BF-B67440A7001E}" uniqueName="21" name="NumCompaniesWorked" queryTableFieldId="21"/>
    <tableColumn id="22" xr3:uid="{6AC24D03-39A8-4A39-89F8-95F39A9C344E}" uniqueName="22" name="Over18" queryTableFieldId="22" dataDxfId="234"/>
    <tableColumn id="23" xr3:uid="{88D11389-B2F3-4A74-ACB5-8D23DA7C006B}" uniqueName="23" name="OverTime" queryTableFieldId="23" dataDxfId="233"/>
    <tableColumn id="24" xr3:uid="{58FF0D09-79BE-4180-85F6-DE57CDE5FBBD}" uniqueName="24" name="PercentSalaryHike" queryTableFieldId="24"/>
    <tableColumn id="25" xr3:uid="{FB6F3F24-9252-4150-B76A-62DDAD53CCC4}" uniqueName="25" name="PerformanceRating" queryTableFieldId="25"/>
    <tableColumn id="26" xr3:uid="{D809E6AB-5612-48E4-A29C-6CFE2B08833C}" uniqueName="26" name="RelationshipSatisfaction" queryTableFieldId="26"/>
    <tableColumn id="27" xr3:uid="{2E0C585A-85A0-4D17-8E60-ED44E66B72AE}" uniqueName="27" name="StandardHours" queryTableFieldId="27"/>
    <tableColumn id="28" xr3:uid="{DD6EC940-7DD6-4300-96EC-DC6525712000}" uniqueName="28" name="StockOptionLevel" queryTableFieldId="28"/>
    <tableColumn id="29" xr3:uid="{41FBDFDC-84EB-4B3C-B784-0D70E921092E}" uniqueName="29" name="TotalWorkingYears" queryTableFieldId="29"/>
    <tableColumn id="30" xr3:uid="{5ACC6ED7-B961-422C-97BF-CC213728C997}" uniqueName="30" name="TrainingTimesLastYear" queryTableFieldId="30"/>
    <tableColumn id="31" xr3:uid="{9DDF62B5-5CD1-4E12-AA97-76D1A9EBA062}" uniqueName="31" name="WorkLifeBalance" queryTableFieldId="31"/>
    <tableColumn id="32" xr3:uid="{7CB2575B-DB60-48C3-BF78-DA0FD62F12BB}" uniqueName="32" name="YearsAtCompany" queryTableFieldId="32"/>
    <tableColumn id="33" xr3:uid="{67A00F58-3118-428F-96E0-FFFDE33E9570}" uniqueName="33" name="YearsInCurrentRole" queryTableFieldId="33"/>
    <tableColumn id="34" xr3:uid="{3671D6B2-05B0-48AB-B93A-6624440494D7}" uniqueName="34" name="YearsSinceLastPromotion" queryTableFieldId="34"/>
    <tableColumn id="35" xr3:uid="{521980AE-6176-412C-923E-ED290C975A69}" uniqueName="35" name="YearsWithCurrManager" queryTableField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18B576-84FE-4B5D-89BE-2596EF5F465A}" name="CleanEmployeeData" displayName="CleanEmployeeData" ref="A1:AS1471" tableType="queryTable" totalsRowShown="0">
  <autoFilter ref="A1:AS1471" xr:uid="{3918B576-84FE-4B5D-89BE-2596EF5F465A}"/>
  <tableColumns count="45">
    <tableColumn id="1" xr3:uid="{56E058A2-3283-40FE-814C-7559F15D5A2B}" uniqueName="1" name="Age" queryTableFieldId="1"/>
    <tableColumn id="2" xr3:uid="{48D409E5-D619-490E-8915-8CA1C83DB5E6}" uniqueName="2" name="Attrition" queryTableFieldId="2" dataDxfId="232"/>
    <tableColumn id="3" xr3:uid="{984C3963-21F0-455F-B302-AB698998A4EE}" uniqueName="3" name="BusinessTravel" queryTableFieldId="3" dataDxfId="231"/>
    <tableColumn id="4" xr3:uid="{49F91AF2-9C9A-4261-B76B-D5BBD90B0B55}" uniqueName="4" name="DailyRate" queryTableFieldId="4"/>
    <tableColumn id="5" xr3:uid="{74639EA7-A620-424E-854A-84F2FBB63A59}" uniqueName="5" name="Department" queryTableFieldId="5" dataDxfId="230"/>
    <tableColumn id="6" xr3:uid="{026D672D-9893-4B06-8CEB-C8FFDE7CD56A}" uniqueName="6" name="DistanceFromHome" queryTableFieldId="6"/>
    <tableColumn id="7" xr3:uid="{DB7D0997-BF0C-43B1-B15B-45396D58E180}" uniqueName="7" name="Education" queryTableFieldId="7"/>
    <tableColumn id="8" xr3:uid="{6EF668FB-04E9-414B-89FE-B255E577D8D2}" uniqueName="8" name="EducationField" queryTableFieldId="8" dataDxfId="229"/>
    <tableColumn id="9" xr3:uid="{252EAE92-3294-4B14-9370-34FC4A41A3A3}" uniqueName="9" name="EmployeeCount" queryTableFieldId="9"/>
    <tableColumn id="10" xr3:uid="{ADFDBFA8-7464-4DB9-8D6D-2BF4F0346D60}" uniqueName="10" name="EmployeeNumber" queryTableFieldId="10"/>
    <tableColumn id="11" xr3:uid="{2B2CDE99-6ADA-4E62-A813-0EEFB3816D80}" uniqueName="11" name="EnvironmentSatisfaction" queryTableFieldId="11"/>
    <tableColumn id="12" xr3:uid="{13EB2CD0-49D6-4B75-B6D8-4C5C9BC1B103}" uniqueName="12" name="Gender" queryTableFieldId="12" dataDxfId="228"/>
    <tableColumn id="13" xr3:uid="{3CC1659C-CA0A-46F8-9C1E-5392BE349D23}" uniqueName="13" name="HourlyRate" queryTableFieldId="13"/>
    <tableColumn id="14" xr3:uid="{71345817-0238-44DA-A00B-164839CBC1E9}" uniqueName="14" name="JobInvolvement" queryTableFieldId="14"/>
    <tableColumn id="15" xr3:uid="{3790770B-B720-4E45-8312-EBB2037D3945}" uniqueName="15" name="JobLevel" queryTableFieldId="15"/>
    <tableColumn id="16" xr3:uid="{FAE94BFF-1A5E-46CD-9435-B10F6257C97C}" uniqueName="16" name="JobRole" queryTableFieldId="16" dataDxfId="227"/>
    <tableColumn id="17" xr3:uid="{CD3DF2AC-D473-45EB-8DE3-6977C9637014}" uniqueName="17" name="JobSatisfaction" queryTableFieldId="17"/>
    <tableColumn id="18" xr3:uid="{0F053B5A-925B-4D81-BC7E-3041416E6371}" uniqueName="18" name="MaritalStatus" queryTableFieldId="18" dataDxfId="226"/>
    <tableColumn id="19" xr3:uid="{59DA508C-19BC-40A7-857C-F698484C34C0}" uniqueName="19" name="MonthlyIncome" queryTableFieldId="19"/>
    <tableColumn id="20" xr3:uid="{AA6414BE-9642-46F1-BA56-02CBABCF2305}" uniqueName="20" name="MonthlyRate" queryTableFieldId="20"/>
    <tableColumn id="21" xr3:uid="{915A8852-90AA-456C-BD44-E7A90AB73343}" uniqueName="21" name="NumCompaniesWorked" queryTableFieldId="21"/>
    <tableColumn id="22" xr3:uid="{2A316064-2F53-4DCE-8EC4-4ED214C04348}" uniqueName="22" name="Over18" queryTableFieldId="22" dataDxfId="225"/>
    <tableColumn id="23" xr3:uid="{19338995-E2BE-4C94-A0C1-A30E7CB1F68B}" uniqueName="23" name="OverTime" queryTableFieldId="23" dataDxfId="224"/>
    <tableColumn id="24" xr3:uid="{34AA3050-2322-449D-B6C7-E79D2F2292BA}" uniqueName="24" name="PercentSalaryHike" queryTableFieldId="24"/>
    <tableColumn id="25" xr3:uid="{D0D2CE62-D304-4BB7-BBE4-481D6FEF2F5B}" uniqueName="25" name="PerformanceRating" queryTableFieldId="25"/>
    <tableColumn id="26" xr3:uid="{71BD2082-4CF3-4C65-B586-717836A26262}" uniqueName="26" name="RelationshipSatisfaction" queryTableFieldId="26"/>
    <tableColumn id="27" xr3:uid="{07CA7056-4E93-46EB-9AD0-19859238822A}" uniqueName="27" name="StandardHours" queryTableFieldId="27"/>
    <tableColumn id="28" xr3:uid="{464F4DC6-8DFB-49B7-96B1-665D1A01FE87}" uniqueName="28" name="StockOptionLevel" queryTableFieldId="28"/>
    <tableColumn id="29" xr3:uid="{4E8538EE-7C03-4122-A0E7-9C9033C6FCBD}" uniqueName="29" name="TotalWorkingYears" queryTableFieldId="29"/>
    <tableColumn id="30" xr3:uid="{91394DC1-A56D-4880-8497-C7CC6F81DB7B}" uniqueName="30" name="TrainingTimesLastYear" queryTableFieldId="30"/>
    <tableColumn id="31" xr3:uid="{55D7A26C-491D-437F-9060-D566F8A84882}" uniqueName="31" name="WorkLifeBalance" queryTableFieldId="31"/>
    <tableColumn id="32" xr3:uid="{0A13CB93-46A9-4F6D-A014-ADF77A0381D9}" uniqueName="32" name="YearsAtCompany" queryTableFieldId="32"/>
    <tableColumn id="33" xr3:uid="{FDFC8340-FE43-4F65-B649-FFE49A7F3FA4}" uniqueName="33" name="YearsInCurrentRole" queryTableFieldId="33"/>
    <tableColumn id="34" xr3:uid="{88E3CC73-5726-4056-B3C6-EF000E63B944}" uniqueName="34" name="YearsSinceLastPromotion" queryTableFieldId="34"/>
    <tableColumn id="35" xr3:uid="{ED1941D8-3BEB-4F60-9DAA-EBD4CC738C1F}" uniqueName="35" name="YearsWithCurrManager" queryTableFieldId="35"/>
    <tableColumn id="36" xr3:uid="{AB5A2A2B-52E3-4329-AFA8-D13D7B4F02CA}" uniqueName="36" name="Education_Label" queryTableFieldId="36" dataDxfId="223">
      <calculatedColumnFormula array="1">_xlfn.SWITCH(CleanEmployeeData[[#This Row],[Education]],1,"Below College",2,"College",3,"Bachelor",4,"Master",5,"Doctor","Unknown")</calculatedColumnFormula>
    </tableColumn>
    <tableColumn id="37" xr3:uid="{89777A4C-BB1F-4100-ADD8-011DD8A25AE4}" uniqueName="37" name="EnvironmentSatisfaction_Label" queryTableFieldId="37" dataDxfId="222">
      <calculatedColumnFormula array="1">_xlfn.SWITCH(CleanEmployeeData[[#This Row],[EnvironmentSatisfaction]],1,"Low",2,"Medium",3,"High",4,"Very High","Unknown")</calculatedColumnFormula>
    </tableColumn>
    <tableColumn id="38" xr3:uid="{481AFC63-0472-495A-A1B0-330F6393FA85}" uniqueName="38" name="JobInvolvement_Label" queryTableFieldId="38" dataDxfId="221">
      <calculatedColumnFormula array="1">_xlfn.SWITCH(CleanEmployeeData[[#This Row],[JobInvolvement]],1,"Low",2,"Medium",3,"High",4,"Very High","Unknown")</calculatedColumnFormula>
    </tableColumn>
    <tableColumn id="39" xr3:uid="{8CF7137A-1EB7-472D-97AB-7A38CC8787AE}" uniqueName="39" name="JobSatisfaction_Label" queryTableFieldId="39" dataDxfId="220">
      <calculatedColumnFormula array="1">_xlfn.SWITCH(CleanEmployeeData[[#This Row],[JobSatisfaction]],1,"Low",2,"Medium",3,"High",4,"Very High","Unknown")</calculatedColumnFormula>
    </tableColumn>
    <tableColumn id="40" xr3:uid="{5B538C8A-B38F-4F8E-B61F-1692A8D50D52}" uniqueName="40" name="PerformanceRating_Label" queryTableFieldId="40" dataDxfId="219">
      <calculatedColumnFormula array="1">_xlfn.SWITCH(CleanEmployeeData[[#This Row],[PerformanceRating]],1,"Low",2,"Good",3,"Excellent",4,"Outstanding","Unknown")</calculatedColumnFormula>
    </tableColumn>
    <tableColumn id="41" xr3:uid="{ABCC93D5-1FBF-4903-BBF8-074B84163ED4}" uniqueName="41" name="WorkLifeBalance_Label" queryTableFieldId="41" dataDxfId="218">
      <calculatedColumnFormula array="1">_xlfn.SWITCH(CleanEmployeeData[[#This Row],[WorkLifeBalance]],1,"Bad",2,"Good",3,"Better",4,"Best","Unknown")</calculatedColumnFormula>
    </tableColumn>
    <tableColumn id="43" xr3:uid="{F8AE4ACD-173C-4C3E-85F7-20DA41BEFD07}" uniqueName="43" name="Attrition_Flag" queryTableFieldId="43" dataDxfId="217">
      <calculatedColumnFormula>IF(CleanEmployeeData[[#This Row],[Attrition]]="Yes",1,IF(CleanEmployeeData[[#This Row],[Attrition]]="No",0,""))</calculatedColumnFormula>
    </tableColumn>
    <tableColumn id="42" xr3:uid="{654D81BB-AE4A-4500-AE64-06F60746950A}" uniqueName="42" name="Income_Band" queryTableFieldId="42" dataDxfId="216">
      <calculatedColumnFormula array="1">_xlfn.IFS(CleanEmployeeData[[#This Row],[MonthlyIncome]]&lt;=3000,"0–3,000",CleanEmployeeData[[#This Row],[MonthlyIncome]]&lt;=6000,"3,001–6,000",CleanEmployeeData[[#This Row],[MonthlyIncome]]&lt;=10000,"6,001–10,000",TRUE,"10,001+")</calculatedColumnFormula>
    </tableColumn>
    <tableColumn id="44" xr3:uid="{F415D85D-B6EB-4852-9C54-70D1D802045A}" uniqueName="44" name="Distance_Band" queryTableFieldId="44" dataDxfId="215">
      <calculatedColumnFormula array="1">_xlfn.IFS(CleanEmployeeData[[#This Row],[DistanceFromHome]]&lt;=5,"0–5 miles",CleanEmployeeData[[#This Row],[DistanceFromHome]]&lt;=10,"6–10 miles",CleanEmployeeData[[#This Row],[DistanceFromHome]]&lt;=15,"11–15 miles",TRUE,"16+ miles")</calculatedColumnFormula>
    </tableColumn>
    <tableColumn id="45" xr3:uid="{CB36F595-1888-484B-8538-BF47DA6A310A}" uniqueName="45" name="Tenure_Board" queryTableFieldId="45" dataDxfId="214">
      <calculatedColumnFormula array="1">_xlfn.IFS(CleanEmployeeData[[#This Row],[YearsAtCompany]]&lt;=1,"0–1 years",CleanEmployeeData[[#This Row],[YearsAtCompany]]&lt;=5,"2–5 years",CleanEmployeeData[[#This Row],[YearsAtCompany]]&lt;=10,"6–10 years",TRUE,"11+ years")</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41E4269-97A8-4C89-B8E5-EEE333C13223}" name="DataDictionary" displayName="DataDictionary" ref="A3:E49" totalsRowShown="0" headerRowDxfId="251" dataDxfId="249" headerRowBorderDxfId="250" tableBorderDxfId="248" totalsRowBorderDxfId="247">
  <autoFilter ref="A3:E49" xr:uid="{A41E4269-97A8-4C89-B8E5-EEE333C13223}"/>
  <tableColumns count="5">
    <tableColumn id="1" xr3:uid="{CA803C28-48B1-4231-B9A3-027396E50823}" name="Column Name" dataDxfId="246"/>
    <tableColumn id="2" xr3:uid="{DDB8F95C-D063-4F56-A201-329D7DA99B38}" name="Category / Data Type" dataDxfId="245"/>
    <tableColumn id="3" xr3:uid="{F8D656CB-4DFA-4F66-8DF7-0B3FECC41144}" name="Definition" dataDxfId="244"/>
    <tableColumn id="4" xr3:uid="{2D1863F5-1090-44C7-86CA-8319D2757C00}" name="Expected Values / Format" dataDxfId="243"/>
    <tableColumn id="5" xr3:uid="{2ED0481E-177C-4138-AF63-7EFC89A8749C}" name="Analytical Handling" dataDxfId="24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895B7BC-E4F4-4EBD-969D-6240DA0ABCE4}" name="Table13" displayName="Table13" ref="A3:D9" totalsRowShown="0" headerRowDxfId="213" dataDxfId="211" headerRowBorderDxfId="212" tableBorderDxfId="210" totalsRowBorderDxfId="209">
  <autoFilter ref="A3:D9" xr:uid="{F895B7BC-E4F4-4EBD-969D-6240DA0ABCE4}"/>
  <tableColumns count="4">
    <tableColumn id="1" xr3:uid="{F85D1140-2C62-4C42-9238-E7E3F7F32282}" name="Check" dataDxfId="208"/>
    <tableColumn id="2" xr3:uid="{2C69C259-4F6B-44DF-8FD4-70B271AEFE6C}" name="Result" dataDxfId="207"/>
    <tableColumn id="3" xr3:uid="{1D539D04-B5A7-4295-AC76-9E0808D33486}" name="Expected Result" dataDxfId="206"/>
    <tableColumn id="4" xr3:uid="{A7708D18-3048-439A-BBD1-1C645DEE2512}" name="Status" dataDxfId="205">
      <calculatedColumnFormula>IF(B4=C4, "PASS", "REVIEW")</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FF59B6-108A-4A7B-8D0E-BE35C8FF966F}" name="Table1" displayName="Table1" ref="A3:B13" totalsRowShown="0" headerRowDxfId="204" dataDxfId="202" headerRowBorderDxfId="203" tableBorderDxfId="201" totalsRowBorderDxfId="200">
  <autoFilter ref="A3:B13" xr:uid="{E0FF59B6-108A-4A7B-8D0E-BE35C8FF966F}"/>
  <tableColumns count="2">
    <tableColumn id="1" xr3:uid="{926A04EC-F95C-4F39-BBE6-3CA4510177D6}" name="Metric" dataDxfId="199"/>
    <tableColumn id="2" xr3:uid="{D233C77D-9F2F-47E1-BDEB-3EDECB830D4C}" name="Value" dataDxfId="198" dataCellStyle="Percent"/>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EA9D89-A8BD-4CA3-B469-3D2BE30279F6}" name="Table2" displayName="Table2" ref="A17:D20" totalsRowShown="0" headerRowDxfId="197" dataDxfId="196">
  <autoFilter ref="A17:D20" xr:uid="{94EA9D89-A8BD-4CA3-B469-3D2BE30279F6}"/>
  <tableColumns count="4">
    <tableColumn id="1" xr3:uid="{B061D41C-1588-401D-A5BC-657C1118AA2F}" name="Department" dataDxfId="195"/>
    <tableColumn id="2" xr3:uid="{09A48E47-CCF6-4853-B91F-18D41E0655A5}" name="Employees" dataDxfId="194">
      <calculatedColumnFormula>COUNTIF(CleanEmployeeData[Department],A18)</calculatedColumnFormula>
    </tableColumn>
    <tableColumn id="3" xr3:uid="{F5F3B8AC-587F-49EB-82C8-F3D33E8BE593}" name="Attrition Count" dataDxfId="193">
      <calculatedColumnFormula>COUNTIFS(CleanEmployeeData[Department],A18,CleanEmployeeData[Attrition],"Yes")</calculatedColumnFormula>
    </tableColumn>
    <tableColumn id="4" xr3:uid="{3AE81B69-CF58-4096-A494-1922FA50794D}" name="Attrition Rate" dataDxfId="192" dataCellStyle="Percent">
      <calculatedColumnFormula>IFERROR(C18/B18,0)</calculatedColumnFormula>
    </tableColumn>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7603637-7F73-44C5-99A1-64D12B63CFED}" name="Table3" displayName="Table3" ref="F17:I26" totalsRowShown="0" headerRowDxfId="191" dataDxfId="190">
  <autoFilter ref="F17:I26" xr:uid="{57603637-7F73-44C5-99A1-64D12B63CFED}"/>
  <tableColumns count="4">
    <tableColumn id="1" xr3:uid="{1C4D0112-906B-4CE3-B6CE-8EC0F81E144A}" name="Job Role" dataDxfId="189"/>
    <tableColumn id="2" xr3:uid="{632547A1-9191-4019-A1C8-EF0A80222FC2}" name="Employees" dataDxfId="188">
      <calculatedColumnFormula>COUNTIF(CleanEmployeeData[JobRole],F18)</calculatedColumnFormula>
    </tableColumn>
    <tableColumn id="3" xr3:uid="{48099B5A-FB48-403C-A24C-8A5001B4E357}" name="Attrition Count" dataDxfId="187">
      <calculatedColumnFormula>COUNTIFS(CleanEmployeeData[JobRole],F18,CleanEmployeeData[Attrition],"Yes")</calculatedColumnFormula>
    </tableColumn>
    <tableColumn id="4" xr3:uid="{FA94F649-062F-46D5-BDA1-328B1B70646D}" name="Attrition Rate" dataDxfId="186" dataCellStyle="Percent">
      <calculatedColumnFormula>IFERROR(H18/G18,0)</calculatedColumnFormula>
    </tableColumn>
  </tableColumns>
  <tableStyleInfo name="TableStyleMedium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D198182-E337-4C34-A3C5-BCE34994FA90}" name="Table4" displayName="Table4" ref="F36:H41" totalsRowShown="0" headerRowDxfId="185" dataDxfId="184">
  <autoFilter ref="F36:H41" xr:uid="{0D198182-E337-4C34-A3C5-BCE34994FA90}"/>
  <tableColumns count="3">
    <tableColumn id="1" xr3:uid="{8EE009E5-F3F7-4192-A337-38CF03FAE133}" name="Education" dataDxfId="183"/>
    <tableColumn id="2" xr3:uid="{019A6893-8B67-4AFD-B833-118414234E88}" name="Stayed — Average Income" dataDxfId="182" dataCellStyle="Comma">
      <calculatedColumnFormula>IFERROR(AVERAGEIFS(CleanEmployeeData[MonthlyIncome],CleanEmployeeData[Education_Label],F37,CleanEmployeeData[Attrition],"No"),0)</calculatedColumnFormula>
    </tableColumn>
    <tableColumn id="3" xr3:uid="{A6CB3661-1050-442C-916B-1FD5A266FF4E}" name="Left — Average Income" dataDxfId="181" dataCellStyle="Comma">
      <calculatedColumnFormula>IFERROR(AVERAGEIFS(CleanEmployeeData[MonthlyIncome],CleanEmployeeData[Education_Label],F37,CleanEmployeeData[Attrition],"Yes"),0)</calculatedColumnFormula>
    </tableColumn>
  </tableColumns>
  <tableStyleInfo name="TableStyleMedium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D2D32E-F316-4513-817B-6BE52E405104}" name="Table5" displayName="Table5" ref="A36:D41" totalsRowShown="0" headerRowDxfId="180" dataDxfId="179">
  <autoFilter ref="A36:D41" xr:uid="{D5D2D32E-F316-4513-817B-6BE52E405104}"/>
  <tableColumns count="4">
    <tableColumn id="1" xr3:uid="{9C2C560A-5DB6-4DB0-90A5-7D073266111F}" name="Education" dataDxfId="178"/>
    <tableColumn id="2" xr3:uid="{D07E1652-3BAA-455E-9229-739BABE59BB3}" name="Employees" dataDxfId="177">
      <calculatedColumnFormula>COUNTIF(CleanEmployeeData[Education_Label],A37)</calculatedColumnFormula>
    </tableColumn>
    <tableColumn id="3" xr3:uid="{C94E669B-2433-4898-9379-625D3C0C6F35}" name="Attrition Count" dataDxfId="176">
      <calculatedColumnFormula>COUNTIFS(CleanEmployeeData[Education_Label],A37,CleanEmployeeData[Attrition],"Yes")</calculatedColumnFormula>
    </tableColumn>
    <tableColumn id="4" xr3:uid="{18F79DA4-F222-413F-A3D7-BEAEC4398E8A}" name="Attrition Rate" dataDxfId="175" dataCellStyle="Percent">
      <calculatedColumnFormula>IFERROR(C37/B37,0)</calculatedColumnFormula>
    </tableColumn>
  </tableColumns>
  <tableStyleInfo name="TableStyleMedium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3D1532-01D8-4262-8D7B-757558B9D65C}" name="Table6" displayName="Table6" ref="A45:D49" totalsRowShown="0" headerRowDxfId="174" dataDxfId="173">
  <autoFilter ref="A45:D49" xr:uid="{6B3D1532-01D8-4262-8D7B-757558B9D65C}"/>
  <tableColumns count="4">
    <tableColumn id="1" xr3:uid="{4CF0FAA5-5FC2-49B3-AFED-6969FAE32703}" name="Work-Life Balance" dataDxfId="172"/>
    <tableColumn id="2" xr3:uid="{888973FA-38A2-4332-9CCA-6A27AE322137}" name="Employees" dataDxfId="171">
      <calculatedColumnFormula>COUNTIF(CleanEmployeeData[WorkLifeBalance_Label],A46)</calculatedColumnFormula>
    </tableColumn>
    <tableColumn id="3" xr3:uid="{463D4BBF-3A19-4EF1-A1F7-B79CDAD06CED}" name="Attrition Count" dataDxfId="170">
      <calculatedColumnFormula>COUNTIFS(CleanEmployeeData[WorkLifeBalance_Label],A46,CleanEmployeeData[Attrition],"Yes")</calculatedColumnFormula>
    </tableColumn>
    <tableColumn id="4" xr3:uid="{7891107F-0A8C-4C4C-BA9D-18D871C010C5}" name="Attrition Rate" dataDxfId="169" dataCellStyle="Percent">
      <calculatedColumnFormula>IFERROR(C46/B46,0)</calculatedColumnFormula>
    </tableColumn>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8B9C38-278E-48FD-864E-F8B216BC9B02}" name="Table7" displayName="Table7" ref="A53:D57" totalsRowShown="0" headerRowDxfId="168" dataDxfId="167">
  <autoFilter ref="A53:D57" xr:uid="{498B9C38-278E-48FD-864E-F8B216BC9B02}"/>
  <tableColumns count="4">
    <tableColumn id="1" xr3:uid="{7C368567-33CB-44FF-B82D-4FEB92A84F72}" name="Group" dataDxfId="166"/>
    <tableColumn id="2" xr3:uid="{ABEB5432-1BE4-4750-8518-03013ED1A1DE}" name="Employees" dataDxfId="165">
      <calculatedColumnFormula>COUNTIF(CleanEmployeeData[Distance_Band],A54)</calculatedColumnFormula>
    </tableColumn>
    <tableColumn id="3" xr3:uid="{90E24713-5C5D-4180-8F18-783A22EA9687}" name="Attrition Count" dataDxfId="164">
      <calculatedColumnFormula>COUNTIFS(CleanEmployeeData[Distance_Band],A54,CleanEmployeeData[Attrition],"Yes")</calculatedColumnFormula>
    </tableColumn>
    <tableColumn id="4" xr3:uid="{1ED6F888-C9CA-4E2F-8CD5-41DAE7839732}" name="Attrition Rate" dataDxfId="163" dataCellStyle="Percent">
      <calculatedColumnFormula>IFERROR(C54/B54,0)</calculatedColumnFormula>
    </tableColumn>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B31D2F3-9491-4E04-81F2-AD8D3AB58FFC}" name="Table8" displayName="Table8" ref="A61:D65" totalsRowShown="0" headerRowDxfId="162" dataDxfId="161">
  <autoFilter ref="A61:D65" xr:uid="{8B31D2F3-9491-4E04-81F2-AD8D3AB58FFC}"/>
  <tableColumns count="4">
    <tableColumn id="1" xr3:uid="{8DDD2EE6-2D4D-48BF-8D92-C82DBF68F1EE}" name="Group" dataDxfId="160"/>
    <tableColumn id="2" xr3:uid="{0711B139-13B4-4F47-9C0D-274B74A971D0}" name="Employees" dataDxfId="159">
      <calculatedColumnFormula>COUNTIF(CleanEmployeeData[Income_Band],A62)</calculatedColumnFormula>
    </tableColumn>
    <tableColumn id="3" xr3:uid="{9BC7B1BE-2663-44DC-BA12-DA93F870CE50}" name="Attrition Count" dataDxfId="158">
      <calculatedColumnFormula>COUNTIFS(CleanEmployeeData[Income_Band],A62,CleanEmployeeData[Attrition],"Yes")</calculatedColumnFormula>
    </tableColumn>
    <tableColumn id="4" xr3:uid="{CE4464A8-7FDB-4A66-9109-D96430D2DE14}" name="Attrition Rate" dataDxfId="157" dataCellStyle="Percent">
      <calculatedColumnFormula>IFERROR(C62/B62,0)</calculatedColumnFormula>
    </tableColumn>
  </tableColumns>
  <tableStyleInfo name="TableStyleMedium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334243A-93A6-463E-A14D-8A6D01C50EC8}" name="Table9" displayName="Table9" ref="F69:I73" totalsRowShown="0" headerRowDxfId="156" dataDxfId="155">
  <autoFilter ref="F69:I73" xr:uid="{F334243A-93A6-463E-A14D-8A6D01C50EC8}"/>
  <tableColumns count="4">
    <tableColumn id="1" xr3:uid="{C95C8D2A-12F5-4BF4-BABB-B2FA6CD80277}" name="Environment Satisfaction" dataDxfId="154"/>
    <tableColumn id="2" xr3:uid="{9DC5A832-0ACD-4507-94B0-2B2509B2FBC1}" name="Employees" dataDxfId="153">
      <calculatedColumnFormula>COUNTIF(CleanEmployeeData[EnvironmentSatisfaction_Label],F70)</calculatedColumnFormula>
    </tableColumn>
    <tableColumn id="3" xr3:uid="{8D35D17F-2C70-4A8A-ADE6-F97028E5E241}" name="Employees Who Left" dataDxfId="152">
      <calculatedColumnFormula>COUNTIFS(CleanEmployeeData[EnvironmentSatisfaction_Label],F70,CleanEmployeeData[Attrition],"Yes")</calculatedColumnFormula>
    </tableColumn>
    <tableColumn id="4" xr3:uid="{A3227C9A-D63E-4B58-9955-CF32D441A8B8}" name="Attrition Rate" dataDxfId="151" dataCellStyle="Percent">
      <calculatedColumnFormula>IFERROR(H70/G70,0)</calculatedColumnFormula>
    </tableColumn>
  </tableColumns>
  <tableStyleInfo name="TableStyleMedium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B2818CA-61FF-4CC6-92E6-886CB9DCFAD4}" name="Table10" displayName="Table10" ref="A69:D73" totalsRowShown="0" headerRowDxfId="150" dataDxfId="149">
  <autoFilter ref="A69:D73" xr:uid="{4B2818CA-61FF-4CC6-92E6-886CB9DCFAD4}"/>
  <tableColumns count="4">
    <tableColumn id="1" xr3:uid="{CAE897AA-9C93-493F-9EEB-39F3E63C69ED}" name="Job Satisfaction" dataDxfId="148"/>
    <tableColumn id="2" xr3:uid="{FCB2DBD7-0FC8-4193-807C-FA00A0EC1D05}" name="Employees" dataDxfId="147">
      <calculatedColumnFormula>COUNTIF(CleanEmployeeData[JobSatisfaction_Label],A70)</calculatedColumnFormula>
    </tableColumn>
    <tableColumn id="3" xr3:uid="{B9F1D5CB-9967-42D8-8D68-7A356801F882}" name="Employees Who Left" dataDxfId="146">
      <calculatedColumnFormula>COUNTIFS(CleanEmployeeData[JobSatisfaction_Label],A70,CleanEmployeeData[Attrition],"Yes")</calculatedColumnFormula>
    </tableColumn>
    <tableColumn id="4" xr3:uid="{B551B14D-1F28-46D2-BBC4-0B1C72A54A49}" name="Attrition Rate" dataDxfId="145" dataCellStyle="Percent">
      <calculatedColumnFormula>IFERROR(C70/B70,0)</calculatedColumnFormula>
    </tableColumn>
  </tableColumns>
  <tableStyleInfo name="TableStyleMedium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257A5C9-520C-442E-9C1A-3FF114068B46}" name="Table11" displayName="Table11" ref="A77:C81" totalsRowShown="0" headerRowDxfId="144" dataDxfId="143">
  <autoFilter ref="A77:C81" xr:uid="{5257A5C9-520C-442E-9C1A-3FF114068B46}"/>
  <tableColumns count="3">
    <tableColumn id="1" xr3:uid="{A4DCBFC8-733B-4478-9DCB-2C4B52AFF5AB}" name="Metric" dataDxfId="142"/>
    <tableColumn id="2" xr3:uid="{897CBEBF-84A8-4116-9E77-F35CBC98CD47}" name="Employees Who Stayed" dataDxfId="141" dataCellStyle="Comma"/>
    <tableColumn id="3" xr3:uid="{E52F9200-3A94-416E-9F7D-F7CC511CF572}" name="Employees Who Left" dataDxfId="140" dataCellStyle="Comma"/>
  </tableColumns>
  <tableStyleInfo name="TableStyleMedium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72ABBA-1634-4256-A3B0-92DCBC5E065C}" name="Table12" displayName="Table12" ref="A26:D28" totalsRowShown="0" headerRowDxfId="139" dataDxfId="138">
  <autoFilter ref="A26:D28" xr:uid="{AC72ABBA-1634-4256-A3B0-92DCBC5E065C}"/>
  <tableColumns count="4">
    <tableColumn id="1" xr3:uid="{9434A8C9-413F-484E-94AD-76B284906B40}" name="Overtime" dataDxfId="137"/>
    <tableColumn id="2" xr3:uid="{BB43D80A-85FD-402D-A8A5-111DF69A61EB}" name="Employees" dataDxfId="136">
      <calculatedColumnFormula>COUNTIF(CleanEmployeeData[OverTime],A27)</calculatedColumnFormula>
    </tableColumn>
    <tableColumn id="3" xr3:uid="{1CCE6ADB-38EE-4995-A81F-22E8E963B257}" name="Attrition Count" dataDxfId="135">
      <calculatedColumnFormula>COUNTIFS(CleanEmployeeData[OverTime],A27,CleanEmployeeData[Attrition],"Yes")</calculatedColumnFormula>
    </tableColumn>
    <tableColumn id="4" xr3:uid="{3A05F815-B9D4-43FB-8C4D-8CE2C9513126}" name="Attrition Rate" dataDxfId="134" dataCellStyle="Percent">
      <calculatedColumnFormula>IFERROR(C27/B27,0)</calculatedColumnFormula>
    </tableColumn>
  </tableColumns>
  <tableStyleInfo name="TableStyleMedium1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656DA91-E38C-4823-A2BD-604DCF5B7398}" name="AnalysisPlan" displayName="AnalysisPlan" ref="A3:H21" totalsRowShown="0" headerRowDxfId="12" dataDxfId="10" headerRowBorderDxfId="11" tableBorderDxfId="9" totalsRowBorderDxfId="8">
  <autoFilter ref="A3:H21" xr:uid="{5656DA91-E38C-4823-A2BD-604DCF5B7398}"/>
  <tableColumns count="8">
    <tableColumn id="1" xr3:uid="{9DFADD7D-ECEB-4108-8158-64671C153853}" name="Business Question" dataDxfId="7"/>
    <tableColumn id="2" xr3:uid="{677AF707-CC76-4A9F-9798-D1E2F876F9F7}" name="Objective" dataDxfId="6"/>
    <tableColumn id="3" xr3:uid="{C542ED2F-DB55-4662-BF5E-DC3E0D50C59E}" name="Excel Method" dataDxfId="5"/>
    <tableColumn id="4" xr3:uid="{B2A005DB-81BA-4117-A7CB-B2F1E28D1B23}" name="Rows / Categories" dataDxfId="4"/>
    <tableColumn id="5" xr3:uid="{A59C7586-DBBA-439F-A679-8CC8F59BB68B}" name="Columns" dataDxfId="3"/>
    <tableColumn id="6" xr3:uid="{B8E036EC-E25B-47B4-A6FE-73059A4CED09}" name="Values / Calculation" dataDxfId="2"/>
    <tableColumn id="7" xr3:uid="{E8A68320-0108-46CF-9925-1C90676F7B2A}" name="Recommended Visualization" dataDxfId="1"/>
    <tableColumn id="8" xr3:uid="{126D203C-8742-4076-BBE1-A402F71BC115}" name="Analytical Consideration"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F6C90-C728-479A-AAFA-EAEB9B934211}">
  <sheetPr>
    <tabColor theme="4" tint="-0.249977111117893"/>
  </sheetPr>
  <dimension ref="A1:H289"/>
  <sheetViews>
    <sheetView showGridLines="0" topLeftCell="A281" workbookViewId="0">
      <selection activeCell="H14" sqref="H14"/>
    </sheetView>
  </sheetViews>
  <sheetFormatPr defaultRowHeight="15" x14ac:dyDescent="0.25"/>
  <cols>
    <col min="1" max="16384" width="9.140625" style="1"/>
  </cols>
  <sheetData>
    <row r="1" spans="1:8" ht="31.5" x14ac:dyDescent="0.25">
      <c r="A1" s="78" t="s">
        <v>168</v>
      </c>
      <c r="B1" s="78"/>
      <c r="C1" s="78"/>
      <c r="D1" s="78"/>
      <c r="E1" s="78"/>
      <c r="F1" s="78"/>
      <c r="G1" s="78"/>
      <c r="H1" s="78"/>
    </row>
    <row r="3" spans="1:8" ht="24" x14ac:dyDescent="0.25">
      <c r="A3" s="55" t="s">
        <v>169</v>
      </c>
    </row>
    <row r="5" spans="1:8" ht="18" x14ac:dyDescent="0.25">
      <c r="A5" s="56" t="s">
        <v>170</v>
      </c>
    </row>
    <row r="7" spans="1:8" x14ac:dyDescent="0.25">
      <c r="A7" s="1" t="s">
        <v>171</v>
      </c>
    </row>
    <row r="9" spans="1:8" x14ac:dyDescent="0.25">
      <c r="A9" s="1" t="s">
        <v>172</v>
      </c>
    </row>
    <row r="11" spans="1:8" x14ac:dyDescent="0.25">
      <c r="A11" s="1" t="s">
        <v>173</v>
      </c>
    </row>
    <row r="13" spans="1:8" ht="18" x14ac:dyDescent="0.25">
      <c r="A13" s="56" t="s">
        <v>174</v>
      </c>
    </row>
    <row r="15" spans="1:8" x14ac:dyDescent="0.25">
      <c r="A15" s="1" t="s">
        <v>175</v>
      </c>
    </row>
    <row r="17" spans="1:1" x14ac:dyDescent="0.25">
      <c r="A17" s="1" t="s">
        <v>176</v>
      </c>
    </row>
    <row r="19" spans="1:1" x14ac:dyDescent="0.25">
      <c r="A19" s="1" t="s">
        <v>177</v>
      </c>
    </row>
    <row r="21" spans="1:1" ht="18" x14ac:dyDescent="0.25">
      <c r="A21" s="56" t="s">
        <v>178</v>
      </c>
    </row>
    <row r="22" spans="1:1" x14ac:dyDescent="0.25">
      <c r="A22" s="57"/>
    </row>
    <row r="23" spans="1:1" x14ac:dyDescent="0.25">
      <c r="A23" s="57" t="s">
        <v>179</v>
      </c>
    </row>
    <row r="24" spans="1:1" x14ac:dyDescent="0.25">
      <c r="A24" s="57"/>
    </row>
    <row r="25" spans="1:1" x14ac:dyDescent="0.25">
      <c r="A25" s="57" t="s">
        <v>180</v>
      </c>
    </row>
    <row r="26" spans="1:1" x14ac:dyDescent="0.25">
      <c r="A26" s="57"/>
    </row>
    <row r="27" spans="1:1" x14ac:dyDescent="0.25">
      <c r="A27" s="57" t="s">
        <v>181</v>
      </c>
    </row>
    <row r="28" spans="1:1" x14ac:dyDescent="0.25">
      <c r="A28" s="57"/>
    </row>
    <row r="29" spans="1:1" x14ac:dyDescent="0.25">
      <c r="A29" s="57" t="s">
        <v>182</v>
      </c>
    </row>
    <row r="30" spans="1:1" x14ac:dyDescent="0.25">
      <c r="A30" s="57"/>
    </row>
    <row r="31" spans="1:1" x14ac:dyDescent="0.25">
      <c r="A31" s="57" t="s">
        <v>183</v>
      </c>
    </row>
    <row r="32" spans="1:1" x14ac:dyDescent="0.25">
      <c r="A32" s="57"/>
    </row>
    <row r="33" spans="1:1" x14ac:dyDescent="0.25">
      <c r="A33" s="57" t="s">
        <v>184</v>
      </c>
    </row>
    <row r="34" spans="1:1" x14ac:dyDescent="0.25">
      <c r="A34" s="57"/>
    </row>
    <row r="35" spans="1:1" x14ac:dyDescent="0.25">
      <c r="A35" s="57" t="s">
        <v>185</v>
      </c>
    </row>
    <row r="36" spans="1:1" x14ac:dyDescent="0.25">
      <c r="A36" s="57"/>
    </row>
    <row r="37" spans="1:1" x14ac:dyDescent="0.25">
      <c r="A37" s="57" t="s">
        <v>186</v>
      </c>
    </row>
    <row r="38" spans="1:1" x14ac:dyDescent="0.25">
      <c r="A38" s="57"/>
    </row>
    <row r="39" spans="1:1" x14ac:dyDescent="0.25">
      <c r="A39" s="57" t="s">
        <v>187</v>
      </c>
    </row>
    <row r="41" spans="1:1" ht="18" x14ac:dyDescent="0.25">
      <c r="A41" s="56" t="s">
        <v>188</v>
      </c>
    </row>
    <row r="43" spans="1:1" x14ac:dyDescent="0.25">
      <c r="A43" s="1" t="s">
        <v>189</v>
      </c>
    </row>
    <row r="45" spans="1:1" x14ac:dyDescent="0.25">
      <c r="A45" s="1" t="s">
        <v>190</v>
      </c>
    </row>
    <row r="47" spans="1:1" x14ac:dyDescent="0.25">
      <c r="A47" s="1" t="s">
        <v>191</v>
      </c>
    </row>
    <row r="49" spans="1:1" x14ac:dyDescent="0.25">
      <c r="A49" s="1" t="s">
        <v>192</v>
      </c>
    </row>
    <row r="51" spans="1:1" x14ac:dyDescent="0.25">
      <c r="A51" s="1" t="s">
        <v>193</v>
      </c>
    </row>
    <row r="53" spans="1:1" x14ac:dyDescent="0.25">
      <c r="A53" s="1" t="s">
        <v>194</v>
      </c>
    </row>
    <row r="55" spans="1:1" x14ac:dyDescent="0.25">
      <c r="A55" s="1" t="s">
        <v>195</v>
      </c>
    </row>
    <row r="57" spans="1:1" ht="18" x14ac:dyDescent="0.25">
      <c r="A57" s="56" t="s">
        <v>196</v>
      </c>
    </row>
    <row r="59" spans="1:1" x14ac:dyDescent="0.25">
      <c r="A59" s="1" t="s">
        <v>197</v>
      </c>
    </row>
    <row r="61" spans="1:1" x14ac:dyDescent="0.25">
      <c r="A61" s="1" t="s">
        <v>198</v>
      </c>
    </row>
    <row r="62" spans="1:1" x14ac:dyDescent="0.25">
      <c r="A62" s="57"/>
    </row>
    <row r="63" spans="1:1" x14ac:dyDescent="0.25">
      <c r="A63" s="57" t="s">
        <v>199</v>
      </c>
    </row>
    <row r="64" spans="1:1" x14ac:dyDescent="0.25">
      <c r="A64" s="57"/>
    </row>
    <row r="65" spans="1:1" x14ac:dyDescent="0.25">
      <c r="A65" s="57" t="s">
        <v>200</v>
      </c>
    </row>
    <row r="66" spans="1:1" x14ac:dyDescent="0.25">
      <c r="A66" s="57"/>
    </row>
    <row r="67" spans="1:1" x14ac:dyDescent="0.25">
      <c r="A67" s="57" t="s">
        <v>201</v>
      </c>
    </row>
    <row r="68" spans="1:1" x14ac:dyDescent="0.25">
      <c r="A68" s="57"/>
    </row>
    <row r="69" spans="1:1" x14ac:dyDescent="0.25">
      <c r="A69" s="57" t="s">
        <v>202</v>
      </c>
    </row>
    <row r="70" spans="1:1" x14ac:dyDescent="0.25">
      <c r="A70" s="57"/>
    </row>
    <row r="71" spans="1:1" x14ac:dyDescent="0.25">
      <c r="A71" s="57" t="s">
        <v>203</v>
      </c>
    </row>
    <row r="72" spans="1:1" x14ac:dyDescent="0.25">
      <c r="A72" s="57"/>
    </row>
    <row r="73" spans="1:1" x14ac:dyDescent="0.25">
      <c r="A73" s="57" t="s">
        <v>204</v>
      </c>
    </row>
    <row r="74" spans="1:1" x14ac:dyDescent="0.25">
      <c r="A74" s="57"/>
    </row>
    <row r="75" spans="1:1" x14ac:dyDescent="0.25">
      <c r="A75" s="57" t="s">
        <v>205</v>
      </c>
    </row>
    <row r="76" spans="1:1" x14ac:dyDescent="0.25">
      <c r="A76" s="57"/>
    </row>
    <row r="77" spans="1:1" x14ac:dyDescent="0.25">
      <c r="A77" s="57" t="s">
        <v>206</v>
      </c>
    </row>
    <row r="78" spans="1:1" x14ac:dyDescent="0.25">
      <c r="A78" s="57"/>
    </row>
    <row r="79" spans="1:1" x14ac:dyDescent="0.25">
      <c r="A79" s="57" t="s">
        <v>207</v>
      </c>
    </row>
    <row r="80" spans="1:1" x14ac:dyDescent="0.25">
      <c r="A80" s="57"/>
    </row>
    <row r="81" spans="1:1" x14ac:dyDescent="0.25">
      <c r="A81" s="57" t="s">
        <v>208</v>
      </c>
    </row>
    <row r="82" spans="1:1" x14ac:dyDescent="0.25">
      <c r="A82" s="57"/>
    </row>
    <row r="83" spans="1:1" x14ac:dyDescent="0.25">
      <c r="A83" s="57" t="s">
        <v>209</v>
      </c>
    </row>
    <row r="85" spans="1:1" x14ac:dyDescent="0.25">
      <c r="A85" s="1" t="s">
        <v>210</v>
      </c>
    </row>
    <row r="87" spans="1:1" ht="18" x14ac:dyDescent="0.25">
      <c r="A87" s="56" t="s">
        <v>211</v>
      </c>
    </row>
    <row r="89" spans="1:1" x14ac:dyDescent="0.25">
      <c r="A89" s="1" t="s">
        <v>212</v>
      </c>
    </row>
    <row r="90" spans="1:1" x14ac:dyDescent="0.25">
      <c r="A90" s="1" t="s">
        <v>213</v>
      </c>
    </row>
    <row r="92" spans="1:1" x14ac:dyDescent="0.25">
      <c r="A92" s="1" t="s">
        <v>214</v>
      </c>
    </row>
    <row r="93" spans="1:1" x14ac:dyDescent="0.25">
      <c r="A93" s="1" t="s">
        <v>215</v>
      </c>
    </row>
    <row r="95" spans="1:1" x14ac:dyDescent="0.25">
      <c r="A95" s="1" t="s">
        <v>216</v>
      </c>
    </row>
    <row r="96" spans="1:1" x14ac:dyDescent="0.25">
      <c r="A96" s="1" t="s">
        <v>217</v>
      </c>
    </row>
    <row r="98" spans="1:1" x14ac:dyDescent="0.25">
      <c r="A98" s="1" t="s">
        <v>218</v>
      </c>
    </row>
    <row r="99" spans="1:1" x14ac:dyDescent="0.25">
      <c r="A99" s="1" t="s">
        <v>219</v>
      </c>
    </row>
    <row r="101" spans="1:1" x14ac:dyDescent="0.25">
      <c r="A101" s="1" t="s">
        <v>220</v>
      </c>
    </row>
    <row r="102" spans="1:1" x14ac:dyDescent="0.25">
      <c r="A102" s="1" t="s">
        <v>221</v>
      </c>
    </row>
    <row r="104" spans="1:1" x14ac:dyDescent="0.25">
      <c r="A104" s="1" t="s">
        <v>222</v>
      </c>
    </row>
    <row r="105" spans="1:1" x14ac:dyDescent="0.25">
      <c r="A105" s="1" t="s">
        <v>223</v>
      </c>
    </row>
    <row r="107" spans="1:1" x14ac:dyDescent="0.25">
      <c r="A107" s="1" t="s">
        <v>204</v>
      </c>
    </row>
    <row r="108" spans="1:1" x14ac:dyDescent="0.25">
      <c r="A108" s="1" t="s">
        <v>224</v>
      </c>
    </row>
    <row r="110" spans="1:1" x14ac:dyDescent="0.25">
      <c r="A110" s="1" t="s">
        <v>225</v>
      </c>
    </row>
    <row r="111" spans="1:1" x14ac:dyDescent="0.25">
      <c r="A111" s="1" t="s">
        <v>226</v>
      </c>
    </row>
    <row r="113" spans="1:1" x14ac:dyDescent="0.25">
      <c r="A113" s="1" t="s">
        <v>227</v>
      </c>
    </row>
    <row r="114" spans="1:1" x14ac:dyDescent="0.25">
      <c r="A114" s="1" t="s">
        <v>228</v>
      </c>
    </row>
    <row r="116" spans="1:1" ht="18" x14ac:dyDescent="0.25">
      <c r="A116" s="56" t="s">
        <v>229</v>
      </c>
    </row>
    <row r="117" spans="1:1" x14ac:dyDescent="0.25">
      <c r="A117" s="57"/>
    </row>
    <row r="118" spans="1:1" x14ac:dyDescent="0.25">
      <c r="A118" s="57" t="s">
        <v>230</v>
      </c>
    </row>
    <row r="119" spans="1:1" x14ac:dyDescent="0.25">
      <c r="A119" s="57"/>
    </row>
    <row r="120" spans="1:1" x14ac:dyDescent="0.25">
      <c r="A120" s="57" t="s">
        <v>231</v>
      </c>
    </row>
    <row r="121" spans="1:1" x14ac:dyDescent="0.25">
      <c r="A121" s="57"/>
    </row>
    <row r="122" spans="1:1" x14ac:dyDescent="0.25">
      <c r="A122" s="57" t="s">
        <v>232</v>
      </c>
    </row>
    <row r="123" spans="1:1" x14ac:dyDescent="0.25">
      <c r="A123" s="57"/>
    </row>
    <row r="124" spans="1:1" x14ac:dyDescent="0.25">
      <c r="A124" s="57" t="s">
        <v>233</v>
      </c>
    </row>
    <row r="125" spans="1:1" x14ac:dyDescent="0.25">
      <c r="A125" s="57"/>
    </row>
    <row r="126" spans="1:1" x14ac:dyDescent="0.25">
      <c r="A126" s="57" t="s">
        <v>234</v>
      </c>
    </row>
    <row r="127" spans="1:1" x14ac:dyDescent="0.25">
      <c r="A127" s="57"/>
    </row>
    <row r="128" spans="1:1" x14ac:dyDescent="0.25">
      <c r="A128" s="57" t="s">
        <v>235</v>
      </c>
    </row>
    <row r="129" spans="1:1" x14ac:dyDescent="0.25">
      <c r="A129" s="57"/>
    </row>
    <row r="130" spans="1:1" x14ac:dyDescent="0.25">
      <c r="A130" s="57" t="s">
        <v>236</v>
      </c>
    </row>
    <row r="131" spans="1:1" x14ac:dyDescent="0.25">
      <c r="A131" s="57"/>
    </row>
    <row r="132" spans="1:1" x14ac:dyDescent="0.25">
      <c r="A132" s="57" t="s">
        <v>237</v>
      </c>
    </row>
    <row r="133" spans="1:1" x14ac:dyDescent="0.25">
      <c r="A133" s="57"/>
    </row>
    <row r="134" spans="1:1" x14ac:dyDescent="0.25">
      <c r="A134" s="57" t="s">
        <v>238</v>
      </c>
    </row>
    <row r="135" spans="1:1" x14ac:dyDescent="0.25">
      <c r="A135" s="57"/>
    </row>
    <row r="136" spans="1:1" x14ac:dyDescent="0.25">
      <c r="A136" s="57" t="s">
        <v>239</v>
      </c>
    </row>
    <row r="138" spans="1:1" x14ac:dyDescent="0.25">
      <c r="A138" s="1" t="s">
        <v>240</v>
      </c>
    </row>
    <row r="140" spans="1:1" ht="18" x14ac:dyDescent="0.25">
      <c r="A140" s="56" t="s">
        <v>241</v>
      </c>
    </row>
    <row r="142" spans="1:1" x14ac:dyDescent="0.25">
      <c r="A142" s="1" t="s">
        <v>86</v>
      </c>
    </row>
    <row r="143" spans="1:1" x14ac:dyDescent="0.25">
      <c r="A143" s="1" t="s">
        <v>242</v>
      </c>
    </row>
    <row r="145" spans="1:1" x14ac:dyDescent="0.25">
      <c r="A145" s="1" t="s">
        <v>88</v>
      </c>
    </row>
    <row r="146" spans="1:1" x14ac:dyDescent="0.25">
      <c r="A146" s="1" t="s">
        <v>243</v>
      </c>
    </row>
    <row r="148" spans="1:1" x14ac:dyDescent="0.25">
      <c r="A148" s="1" t="s">
        <v>87</v>
      </c>
    </row>
    <row r="149" spans="1:1" x14ac:dyDescent="0.25">
      <c r="A149" s="1" t="s">
        <v>244</v>
      </c>
    </row>
    <row r="151" spans="1:1" x14ac:dyDescent="0.25">
      <c r="A151" s="1" t="s">
        <v>245</v>
      </c>
    </row>
    <row r="152" spans="1:1" x14ac:dyDescent="0.25">
      <c r="A152" s="1" t="s">
        <v>246</v>
      </c>
    </row>
    <row r="154" spans="1:1" x14ac:dyDescent="0.25">
      <c r="A154" s="1" t="s">
        <v>90</v>
      </c>
    </row>
    <row r="155" spans="1:1" x14ac:dyDescent="0.25">
      <c r="A155" s="1" t="s">
        <v>247</v>
      </c>
    </row>
    <row r="157" spans="1:1" x14ac:dyDescent="0.25">
      <c r="A157" s="1" t="s">
        <v>94</v>
      </c>
    </row>
    <row r="158" spans="1:1" x14ac:dyDescent="0.25">
      <c r="A158" s="1" t="s">
        <v>248</v>
      </c>
    </row>
    <row r="160" spans="1:1" x14ac:dyDescent="0.25">
      <c r="A160" s="1" t="s">
        <v>249</v>
      </c>
    </row>
    <row r="161" spans="1:1" x14ac:dyDescent="0.25">
      <c r="A161" s="1" t="s">
        <v>250</v>
      </c>
    </row>
    <row r="163" spans="1:1" x14ac:dyDescent="0.25">
      <c r="A163" s="1" t="s">
        <v>251</v>
      </c>
    </row>
    <row r="165" spans="1:1" ht="18" x14ac:dyDescent="0.25">
      <c r="A165" s="56" t="s">
        <v>252</v>
      </c>
    </row>
    <row r="167" spans="1:1" x14ac:dyDescent="0.25">
      <c r="A167" s="1" t="s">
        <v>253</v>
      </c>
    </row>
    <row r="168" spans="1:1" x14ac:dyDescent="0.25">
      <c r="A168" s="57"/>
    </row>
    <row r="169" spans="1:1" x14ac:dyDescent="0.25">
      <c r="A169" s="57" t="s">
        <v>86</v>
      </c>
    </row>
    <row r="170" spans="1:1" x14ac:dyDescent="0.25">
      <c r="A170" s="57"/>
    </row>
    <row r="171" spans="1:1" x14ac:dyDescent="0.25">
      <c r="A171" s="57" t="s">
        <v>88</v>
      </c>
    </row>
    <row r="172" spans="1:1" x14ac:dyDescent="0.25">
      <c r="A172" s="57"/>
    </row>
    <row r="173" spans="1:1" x14ac:dyDescent="0.25">
      <c r="A173" s="57" t="s">
        <v>245</v>
      </c>
    </row>
    <row r="174" spans="1:1" x14ac:dyDescent="0.25">
      <c r="A174" s="57"/>
    </row>
    <row r="175" spans="1:1" x14ac:dyDescent="0.25">
      <c r="A175" s="57" t="s">
        <v>90</v>
      </c>
    </row>
    <row r="177" spans="1:1" x14ac:dyDescent="0.25">
      <c r="A177" s="1" t="s">
        <v>254</v>
      </c>
    </row>
    <row r="178" spans="1:1" x14ac:dyDescent="0.25">
      <c r="A178" s="57"/>
    </row>
    <row r="179" spans="1:1" x14ac:dyDescent="0.25">
      <c r="A179" s="57" t="s">
        <v>255</v>
      </c>
    </row>
    <row r="180" spans="1:1" x14ac:dyDescent="0.25">
      <c r="A180" s="57"/>
    </row>
    <row r="181" spans="1:1" x14ac:dyDescent="0.25">
      <c r="A181" s="57" t="s">
        <v>256</v>
      </c>
    </row>
    <row r="182" spans="1:1" x14ac:dyDescent="0.25">
      <c r="A182" s="57"/>
    </row>
    <row r="183" spans="1:1" x14ac:dyDescent="0.25">
      <c r="A183" s="57" t="s">
        <v>257</v>
      </c>
    </row>
    <row r="184" spans="1:1" x14ac:dyDescent="0.25">
      <c r="A184" s="57"/>
    </row>
    <row r="185" spans="1:1" x14ac:dyDescent="0.25">
      <c r="A185" s="57" t="s">
        <v>110</v>
      </c>
    </row>
    <row r="186" spans="1:1" x14ac:dyDescent="0.25">
      <c r="A186" s="57"/>
    </row>
    <row r="187" spans="1:1" x14ac:dyDescent="0.25">
      <c r="A187" s="57" t="s">
        <v>258</v>
      </c>
    </row>
    <row r="188" spans="1:1" x14ac:dyDescent="0.25">
      <c r="A188" s="57"/>
    </row>
    <row r="189" spans="1:1" x14ac:dyDescent="0.25">
      <c r="A189" s="57" t="s">
        <v>259</v>
      </c>
    </row>
    <row r="191" spans="1:1" x14ac:dyDescent="0.25">
      <c r="A191" s="1" t="s">
        <v>260</v>
      </c>
    </row>
    <row r="192" spans="1:1" x14ac:dyDescent="0.25">
      <c r="A192" s="57"/>
    </row>
    <row r="193" spans="1:1" x14ac:dyDescent="0.25">
      <c r="A193" s="57" t="s">
        <v>4</v>
      </c>
    </row>
    <row r="194" spans="1:1" x14ac:dyDescent="0.25">
      <c r="A194" s="57"/>
    </row>
    <row r="195" spans="1:1" x14ac:dyDescent="0.25">
      <c r="A195" s="57" t="s">
        <v>15</v>
      </c>
    </row>
    <row r="196" spans="1:1" x14ac:dyDescent="0.25">
      <c r="A196" s="57"/>
    </row>
    <row r="197" spans="1:1" x14ac:dyDescent="0.25">
      <c r="A197" s="57" t="s">
        <v>22</v>
      </c>
    </row>
    <row r="198" spans="1:1" x14ac:dyDescent="0.25">
      <c r="A198" s="57"/>
    </row>
    <row r="199" spans="1:1" x14ac:dyDescent="0.25">
      <c r="A199" s="57" t="s">
        <v>62</v>
      </c>
    </row>
    <row r="201" spans="1:1" x14ac:dyDescent="0.25">
      <c r="A201" s="1" t="s">
        <v>261</v>
      </c>
    </row>
    <row r="203" spans="1:1" ht="18" x14ac:dyDescent="0.25">
      <c r="A203" s="56" t="s">
        <v>262</v>
      </c>
    </row>
    <row r="205" spans="1:1" x14ac:dyDescent="0.25">
      <c r="A205" s="1" t="s">
        <v>263</v>
      </c>
    </row>
    <row r="207" spans="1:1" x14ac:dyDescent="0.25">
      <c r="A207" s="1" t="s">
        <v>264</v>
      </c>
    </row>
    <row r="209" spans="1:1" x14ac:dyDescent="0.25">
      <c r="A209" s="1" t="s">
        <v>265</v>
      </c>
    </row>
    <row r="211" spans="1:1" x14ac:dyDescent="0.25">
      <c r="A211" s="1" t="s">
        <v>266</v>
      </c>
    </row>
    <row r="213" spans="1:1" x14ac:dyDescent="0.25">
      <c r="A213" s="1" t="s">
        <v>267</v>
      </c>
    </row>
    <row r="215" spans="1:1" ht="18" x14ac:dyDescent="0.25">
      <c r="A215" s="56" t="s">
        <v>268</v>
      </c>
    </row>
    <row r="216" spans="1:1" x14ac:dyDescent="0.25">
      <c r="A216" s="57"/>
    </row>
    <row r="217" spans="1:1" x14ac:dyDescent="0.25">
      <c r="A217" s="57" t="s">
        <v>269</v>
      </c>
    </row>
    <row r="218" spans="1:1" x14ac:dyDescent="0.25">
      <c r="A218" s="57"/>
    </row>
    <row r="219" spans="1:1" x14ac:dyDescent="0.25">
      <c r="A219" s="57" t="s">
        <v>270</v>
      </c>
    </row>
    <row r="220" spans="1:1" x14ac:dyDescent="0.25">
      <c r="A220" s="57"/>
    </row>
    <row r="221" spans="1:1" x14ac:dyDescent="0.25">
      <c r="A221" s="57" t="s">
        <v>271</v>
      </c>
    </row>
    <row r="222" spans="1:1" x14ac:dyDescent="0.25">
      <c r="A222" s="57"/>
    </row>
    <row r="223" spans="1:1" x14ac:dyDescent="0.25">
      <c r="A223" s="57" t="s">
        <v>272</v>
      </c>
    </row>
    <row r="224" spans="1:1" x14ac:dyDescent="0.25">
      <c r="A224" s="57"/>
    </row>
    <row r="225" spans="1:1" x14ac:dyDescent="0.25">
      <c r="A225" s="57" t="s">
        <v>273</v>
      </c>
    </row>
    <row r="226" spans="1:1" x14ac:dyDescent="0.25">
      <c r="A226" s="57"/>
    </row>
    <row r="227" spans="1:1" x14ac:dyDescent="0.25">
      <c r="A227" s="57" t="s">
        <v>274</v>
      </c>
    </row>
    <row r="228" spans="1:1" x14ac:dyDescent="0.25">
      <c r="A228" s="57"/>
    </row>
    <row r="229" spans="1:1" x14ac:dyDescent="0.25">
      <c r="A229" s="57" t="s">
        <v>275</v>
      </c>
    </row>
    <row r="230" spans="1:1" x14ac:dyDescent="0.25">
      <c r="A230" s="57"/>
    </row>
    <row r="231" spans="1:1" x14ac:dyDescent="0.25">
      <c r="A231" s="57" t="s">
        <v>276</v>
      </c>
    </row>
    <row r="233" spans="1:1" ht="18" x14ac:dyDescent="0.25">
      <c r="A233" s="56" t="s">
        <v>277</v>
      </c>
    </row>
    <row r="234" spans="1:1" x14ac:dyDescent="0.25">
      <c r="A234" s="57"/>
    </row>
    <row r="235" spans="1:1" x14ac:dyDescent="0.25">
      <c r="A235" s="57" t="s">
        <v>278</v>
      </c>
    </row>
    <row r="236" spans="1:1" x14ac:dyDescent="0.25">
      <c r="A236" s="57"/>
    </row>
    <row r="237" spans="1:1" x14ac:dyDescent="0.25">
      <c r="A237" s="57" t="s">
        <v>279</v>
      </c>
    </row>
    <row r="238" spans="1:1" x14ac:dyDescent="0.25">
      <c r="A238" s="57"/>
    </row>
    <row r="239" spans="1:1" x14ac:dyDescent="0.25">
      <c r="A239" s="57" t="s">
        <v>280</v>
      </c>
    </row>
    <row r="240" spans="1:1" x14ac:dyDescent="0.25">
      <c r="A240" s="57"/>
    </row>
    <row r="241" spans="1:1" x14ac:dyDescent="0.25">
      <c r="A241" s="57" t="s">
        <v>281</v>
      </c>
    </row>
    <row r="242" spans="1:1" x14ac:dyDescent="0.25">
      <c r="A242" s="57"/>
    </row>
    <row r="243" spans="1:1" x14ac:dyDescent="0.25">
      <c r="A243" s="57" t="s">
        <v>282</v>
      </c>
    </row>
    <row r="244" spans="1:1" x14ac:dyDescent="0.25">
      <c r="A244" s="57"/>
    </row>
    <row r="245" spans="1:1" x14ac:dyDescent="0.25">
      <c r="A245" s="57" t="s">
        <v>283</v>
      </c>
    </row>
    <row r="246" spans="1:1" x14ac:dyDescent="0.25">
      <c r="A246" s="57"/>
    </row>
    <row r="247" spans="1:1" x14ac:dyDescent="0.25">
      <c r="A247" s="57" t="s">
        <v>284</v>
      </c>
    </row>
    <row r="248" spans="1:1" x14ac:dyDescent="0.25">
      <c r="A248" s="57"/>
    </row>
    <row r="249" spans="1:1" x14ac:dyDescent="0.25">
      <c r="A249" s="57" t="s">
        <v>285</v>
      </c>
    </row>
    <row r="250" spans="1:1" x14ac:dyDescent="0.25">
      <c r="A250" s="57"/>
    </row>
    <row r="251" spans="1:1" x14ac:dyDescent="0.25">
      <c r="A251" s="57" t="s">
        <v>286</v>
      </c>
    </row>
    <row r="252" spans="1:1" x14ac:dyDescent="0.25">
      <c r="A252" s="57"/>
    </row>
    <row r="253" spans="1:1" x14ac:dyDescent="0.25">
      <c r="A253" s="57" t="s">
        <v>287</v>
      </c>
    </row>
    <row r="254" spans="1:1" x14ac:dyDescent="0.25">
      <c r="A254" s="57"/>
    </row>
    <row r="255" spans="1:1" x14ac:dyDescent="0.25">
      <c r="A255" s="57" t="s">
        <v>288</v>
      </c>
    </row>
    <row r="256" spans="1:1" x14ac:dyDescent="0.25">
      <c r="A256" s="57"/>
    </row>
    <row r="257" spans="1:1" x14ac:dyDescent="0.25">
      <c r="A257" s="57" t="s">
        <v>289</v>
      </c>
    </row>
    <row r="259" spans="1:1" ht="18" x14ac:dyDescent="0.25">
      <c r="A259" s="56" t="s">
        <v>290</v>
      </c>
    </row>
    <row r="261" spans="1:1" x14ac:dyDescent="0.25">
      <c r="A261" s="1" t="s">
        <v>291</v>
      </c>
    </row>
    <row r="263" spans="1:1" x14ac:dyDescent="0.25">
      <c r="A263" s="1" t="s">
        <v>292</v>
      </c>
    </row>
    <row r="265" spans="1:1" x14ac:dyDescent="0.25">
      <c r="A265" s="1" t="s">
        <v>293</v>
      </c>
    </row>
    <row r="267" spans="1:1" x14ac:dyDescent="0.25">
      <c r="A267" s="1" t="s">
        <v>294</v>
      </c>
    </row>
    <row r="269" spans="1:1" x14ac:dyDescent="0.25">
      <c r="A269" s="1" t="s">
        <v>295</v>
      </c>
    </row>
    <row r="271" spans="1:1" x14ac:dyDescent="0.25">
      <c r="A271" s="1" t="s">
        <v>296</v>
      </c>
    </row>
    <row r="273" spans="1:1" x14ac:dyDescent="0.25">
      <c r="A273" s="1" t="s">
        <v>297</v>
      </c>
    </row>
    <row r="275" spans="1:1" x14ac:dyDescent="0.25">
      <c r="A275" s="1" t="s">
        <v>298</v>
      </c>
    </row>
    <row r="277" spans="1:1" x14ac:dyDescent="0.25">
      <c r="A277" s="1" t="s">
        <v>299</v>
      </c>
    </row>
    <row r="279" spans="1:1" x14ac:dyDescent="0.25">
      <c r="A279" s="1" t="s">
        <v>300</v>
      </c>
    </row>
    <row r="281" spans="1:1" x14ac:dyDescent="0.25">
      <c r="A281" s="1" t="s">
        <v>301</v>
      </c>
    </row>
    <row r="283" spans="1:1" x14ac:dyDescent="0.25">
      <c r="A283" s="1" t="s">
        <v>302</v>
      </c>
    </row>
    <row r="285" spans="1:1" ht="18" x14ac:dyDescent="0.25">
      <c r="A285" s="56" t="s">
        <v>303</v>
      </c>
    </row>
    <row r="287" spans="1:1" x14ac:dyDescent="0.25">
      <c r="A287" s="1" t="s">
        <v>304</v>
      </c>
    </row>
    <row r="289" spans="1:1" x14ac:dyDescent="0.25">
      <c r="A289" s="1" t="s">
        <v>305</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C74F-4287-4686-9840-63F7D0078C77}">
  <sheetPr>
    <tabColor rgb="FF0070C0"/>
  </sheetPr>
  <dimension ref="A1:L42"/>
  <sheetViews>
    <sheetView showGridLines="0" zoomScale="57" zoomScaleNormal="57" workbookViewId="0">
      <selection activeCell="A2" sqref="A2:L2"/>
    </sheetView>
  </sheetViews>
  <sheetFormatPr defaultRowHeight="15" x14ac:dyDescent="0.25"/>
  <cols>
    <col min="1" max="1" width="22.28515625" customWidth="1"/>
    <col min="2" max="2" width="26.42578125" customWidth="1"/>
    <col min="3" max="3" width="30" customWidth="1"/>
    <col min="4" max="4" width="28.42578125" customWidth="1"/>
    <col min="5" max="5" width="30.85546875" customWidth="1"/>
    <col min="6" max="6" width="34.42578125" customWidth="1"/>
  </cols>
  <sheetData>
    <row r="1" spans="1:12" ht="24" x14ac:dyDescent="0.25">
      <c r="A1" s="81" t="s">
        <v>166</v>
      </c>
      <c r="B1" s="82"/>
      <c r="C1" s="82"/>
      <c r="D1" s="82"/>
      <c r="E1" s="82"/>
      <c r="F1" s="82"/>
      <c r="G1" s="82"/>
      <c r="H1" s="82"/>
      <c r="I1" s="82"/>
      <c r="J1" s="82"/>
      <c r="K1" s="82"/>
      <c r="L1" s="83"/>
    </row>
    <row r="2" spans="1:12" x14ac:dyDescent="0.25">
      <c r="A2" s="84" t="s">
        <v>167</v>
      </c>
      <c r="B2" s="85"/>
      <c r="C2" s="85"/>
      <c r="D2" s="85"/>
      <c r="E2" s="85"/>
      <c r="F2" s="85"/>
      <c r="G2" s="85"/>
      <c r="H2" s="85"/>
      <c r="I2" s="85"/>
      <c r="J2" s="85"/>
      <c r="K2" s="85"/>
      <c r="L2" s="86"/>
    </row>
    <row r="3" spans="1:12" x14ac:dyDescent="0.25">
      <c r="A3" s="31"/>
      <c r="L3" s="32"/>
    </row>
    <row r="4" spans="1:12" x14ac:dyDescent="0.25">
      <c r="A4" s="31"/>
      <c r="L4" s="32"/>
    </row>
    <row r="5" spans="1:12" x14ac:dyDescent="0.25">
      <c r="C5" s="49" t="s">
        <v>162</v>
      </c>
      <c r="D5" s="49" t="s">
        <v>163</v>
      </c>
      <c r="E5" s="49" t="s">
        <v>164</v>
      </c>
      <c r="F5" s="49" t="s">
        <v>165</v>
      </c>
      <c r="L5" s="32"/>
    </row>
    <row r="6" spans="1:12" ht="15" customHeight="1" x14ac:dyDescent="0.25">
      <c r="C6" s="79">
        <f>KPI_Summary!B4</f>
        <v>1470</v>
      </c>
      <c r="D6" s="79">
        <f>KPI_Summary!B5</f>
        <v>237</v>
      </c>
      <c r="E6" s="53">
        <f>KPI_Summary!B7</f>
        <v>0.16122448979591836</v>
      </c>
      <c r="F6" s="51">
        <f>KPI_Summary!B8</f>
        <v>6502.931292517007</v>
      </c>
      <c r="L6" s="32"/>
    </row>
    <row r="7" spans="1:12" ht="15" customHeight="1" x14ac:dyDescent="0.25">
      <c r="C7" s="80"/>
      <c r="D7" s="80"/>
      <c r="E7" s="54"/>
      <c r="F7" s="52"/>
      <c r="L7" s="32"/>
    </row>
    <row r="8" spans="1:12" x14ac:dyDescent="0.25">
      <c r="A8" s="31"/>
      <c r="L8" s="32"/>
    </row>
    <row r="9" spans="1:12" x14ac:dyDescent="0.25">
      <c r="A9" s="31"/>
      <c r="L9" s="32"/>
    </row>
    <row r="10" spans="1:12" x14ac:dyDescent="0.25">
      <c r="A10" s="31"/>
      <c r="L10" s="32"/>
    </row>
    <row r="11" spans="1:12" x14ac:dyDescent="0.25">
      <c r="A11" s="31"/>
      <c r="L11" s="32"/>
    </row>
    <row r="12" spans="1:12" x14ac:dyDescent="0.25">
      <c r="A12" s="31"/>
      <c r="L12" s="32"/>
    </row>
    <row r="13" spans="1:12" x14ac:dyDescent="0.25">
      <c r="A13" s="31"/>
      <c r="L13" s="32"/>
    </row>
    <row r="14" spans="1:12" x14ac:dyDescent="0.25">
      <c r="A14" s="31"/>
      <c r="L14" s="32"/>
    </row>
    <row r="15" spans="1:12" x14ac:dyDescent="0.25">
      <c r="A15" s="31"/>
      <c r="L15" s="32"/>
    </row>
    <row r="16" spans="1:12" x14ac:dyDescent="0.25">
      <c r="A16" s="31"/>
      <c r="L16" s="32"/>
    </row>
    <row r="17" spans="1:12" x14ac:dyDescent="0.25">
      <c r="A17" s="31"/>
      <c r="L17" s="32"/>
    </row>
    <row r="18" spans="1:12" x14ac:dyDescent="0.25">
      <c r="A18" s="31"/>
      <c r="L18" s="32"/>
    </row>
    <row r="19" spans="1:12" x14ac:dyDescent="0.25">
      <c r="A19" s="31"/>
      <c r="L19" s="32"/>
    </row>
    <row r="20" spans="1:12" x14ac:dyDescent="0.25">
      <c r="A20" s="31"/>
      <c r="L20" s="32"/>
    </row>
    <row r="21" spans="1:12" x14ac:dyDescent="0.25">
      <c r="A21" s="31"/>
      <c r="L21" s="32"/>
    </row>
    <row r="22" spans="1:12" x14ac:dyDescent="0.25">
      <c r="A22" s="31"/>
      <c r="L22" s="32"/>
    </row>
    <row r="23" spans="1:12" x14ac:dyDescent="0.25">
      <c r="A23" s="31"/>
      <c r="L23" s="32"/>
    </row>
    <row r="24" spans="1:12" x14ac:dyDescent="0.25">
      <c r="A24" s="31"/>
      <c r="L24" s="32"/>
    </row>
    <row r="25" spans="1:12" x14ac:dyDescent="0.25">
      <c r="A25" s="31"/>
      <c r="L25" s="32"/>
    </row>
    <row r="26" spans="1:12" x14ac:dyDescent="0.25">
      <c r="A26" s="31"/>
      <c r="L26" s="32"/>
    </row>
    <row r="27" spans="1:12" x14ac:dyDescent="0.25">
      <c r="A27" s="31"/>
      <c r="L27" s="32"/>
    </row>
    <row r="28" spans="1:12" x14ac:dyDescent="0.25">
      <c r="A28" s="31"/>
      <c r="L28" s="32"/>
    </row>
    <row r="29" spans="1:12" x14ac:dyDescent="0.25">
      <c r="A29" s="31"/>
      <c r="L29" s="32"/>
    </row>
    <row r="30" spans="1:12" x14ac:dyDescent="0.25">
      <c r="A30" s="31"/>
      <c r="L30" s="32"/>
    </row>
    <row r="31" spans="1:12" x14ac:dyDescent="0.25">
      <c r="A31" s="31"/>
      <c r="L31" s="32"/>
    </row>
    <row r="32" spans="1:12" x14ac:dyDescent="0.25">
      <c r="A32" s="31"/>
      <c r="L32" s="32"/>
    </row>
    <row r="33" spans="1:12" x14ac:dyDescent="0.25">
      <c r="A33" s="31"/>
      <c r="L33" s="32"/>
    </row>
    <row r="34" spans="1:12" x14ac:dyDescent="0.25">
      <c r="A34" s="31"/>
      <c r="L34" s="32"/>
    </row>
    <row r="35" spans="1:12" x14ac:dyDescent="0.25">
      <c r="A35" s="31"/>
      <c r="L35" s="32"/>
    </row>
    <row r="36" spans="1:12" x14ac:dyDescent="0.25">
      <c r="A36" s="31"/>
      <c r="L36" s="32"/>
    </row>
    <row r="37" spans="1:12" x14ac:dyDescent="0.25">
      <c r="A37" s="31"/>
      <c r="L37" s="32"/>
    </row>
    <row r="38" spans="1:12" x14ac:dyDescent="0.25">
      <c r="A38" s="31"/>
      <c r="L38" s="32"/>
    </row>
    <row r="39" spans="1:12" x14ac:dyDescent="0.25">
      <c r="A39" s="31"/>
      <c r="L39" s="32"/>
    </row>
    <row r="40" spans="1:12" x14ac:dyDescent="0.25">
      <c r="A40" s="31"/>
      <c r="L40" s="32"/>
    </row>
    <row r="41" spans="1:12" x14ac:dyDescent="0.25">
      <c r="A41" s="31"/>
      <c r="L41" s="32"/>
    </row>
    <row r="42" spans="1:12" x14ac:dyDescent="0.25">
      <c r="A42" s="33"/>
      <c r="B42" s="48"/>
      <c r="C42" s="48"/>
      <c r="D42" s="48"/>
      <c r="E42" s="48"/>
      <c r="F42" s="48"/>
      <c r="G42" s="48"/>
      <c r="H42" s="48"/>
      <c r="I42" s="48"/>
      <c r="J42" s="48"/>
      <c r="K42" s="48"/>
      <c r="L42" s="34"/>
    </row>
  </sheetData>
  <mergeCells count="4">
    <mergeCell ref="C6:C7"/>
    <mergeCell ref="D6:D7"/>
    <mergeCell ref="A1:L1"/>
    <mergeCell ref="A2:L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66167-0DC8-43E8-9042-D188256161F9}">
  <dimension ref="A1:AI1471"/>
  <sheetViews>
    <sheetView workbookViewId="0">
      <selection activeCell="C10" sqref="C10"/>
    </sheetView>
  </sheetViews>
  <sheetFormatPr defaultRowHeight="15" x14ac:dyDescent="0.25"/>
  <cols>
    <col min="1" max="1" width="6.5703125" bestFit="1" customWidth="1"/>
    <col min="2" max="2" width="10.7109375" bestFit="1" customWidth="1"/>
    <col min="3" max="3" width="17" bestFit="1" customWidth="1"/>
    <col min="4" max="4" width="12" bestFit="1" customWidth="1"/>
    <col min="5" max="5" width="23.140625" bestFit="1" customWidth="1"/>
    <col min="6" max="6" width="21.5703125" bestFit="1" customWidth="1"/>
    <col min="7" max="7" width="12.28515625" bestFit="1" customWidth="1"/>
    <col min="8" max="8" width="17.28515625" bestFit="1" customWidth="1"/>
    <col min="9" max="9" width="18" bestFit="1" customWidth="1"/>
    <col min="10" max="10" width="19.85546875" bestFit="1" customWidth="1"/>
    <col min="11" max="11" width="26" bestFit="1" customWidth="1"/>
    <col min="12" max="12" width="10" bestFit="1" customWidth="1"/>
    <col min="13" max="13" width="13.42578125" bestFit="1" customWidth="1"/>
    <col min="14" max="14" width="17.7109375" bestFit="1" customWidth="1"/>
    <col min="15" max="15" width="11.140625" bestFit="1" customWidth="1"/>
    <col min="16" max="16" width="24.28515625" bestFit="1" customWidth="1"/>
    <col min="17" max="17" width="17.140625" bestFit="1" customWidth="1"/>
    <col min="18" max="18" width="15.140625" bestFit="1" customWidth="1"/>
    <col min="19" max="19" width="17.42578125" bestFit="1" customWidth="1"/>
    <col min="20" max="20" width="14.7109375" bestFit="1" customWidth="1"/>
    <col min="21" max="21" width="25.28515625" bestFit="1" customWidth="1"/>
    <col min="22" max="22" width="9.5703125" bestFit="1" customWidth="1"/>
    <col min="23" max="23" width="12" bestFit="1" customWidth="1"/>
    <col min="24" max="24" width="20.140625" bestFit="1" customWidth="1"/>
    <col min="25" max="25" width="20.85546875" bestFit="1" customWidth="1"/>
    <col min="26" max="26" width="25.85546875" bestFit="1" customWidth="1"/>
    <col min="27" max="27" width="16.85546875" bestFit="1" customWidth="1"/>
    <col min="28" max="28" width="19.5703125" bestFit="1" customWidth="1"/>
    <col min="29" max="29" width="20.42578125" bestFit="1" customWidth="1"/>
    <col min="30" max="30" width="24" bestFit="1" customWidth="1"/>
    <col min="31" max="31" width="18.5703125" bestFit="1" customWidth="1"/>
    <col min="32" max="32" width="18.85546875" bestFit="1" customWidth="1"/>
    <col min="33" max="33" width="21.42578125" bestFit="1" customWidth="1"/>
    <col min="34" max="34" width="26.85546875" bestFit="1" customWidth="1"/>
    <col min="35" max="35" width="24.57031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8DB81-2997-4E10-B4CC-08AF25C1FC09}">
  <dimension ref="A1:AS1471"/>
  <sheetViews>
    <sheetView topLeftCell="A2" workbookViewId="0">
      <selection activeCell="E17" sqref="E17"/>
    </sheetView>
  </sheetViews>
  <sheetFormatPr defaultRowHeight="15" x14ac:dyDescent="0.25"/>
  <cols>
    <col min="1" max="1" width="6.5703125" bestFit="1" customWidth="1"/>
    <col min="2" max="2" width="10.7109375" bestFit="1" customWidth="1"/>
    <col min="3" max="3" width="17" bestFit="1" customWidth="1"/>
    <col min="4" max="4" width="12" bestFit="1" customWidth="1"/>
    <col min="5" max="5" width="23.140625" bestFit="1" customWidth="1"/>
    <col min="6" max="6" width="21.5703125" bestFit="1" customWidth="1"/>
    <col min="7" max="7" width="12.28515625" bestFit="1" customWidth="1"/>
    <col min="8" max="8" width="17.28515625" bestFit="1" customWidth="1"/>
    <col min="9" max="9" width="18" bestFit="1" customWidth="1"/>
    <col min="10" max="10" width="19.85546875" bestFit="1" customWidth="1"/>
    <col min="11" max="11" width="26" bestFit="1" customWidth="1"/>
    <col min="12" max="12" width="10" bestFit="1" customWidth="1"/>
    <col min="13" max="13" width="13.42578125" bestFit="1" customWidth="1"/>
    <col min="14" max="14" width="17.7109375" bestFit="1" customWidth="1"/>
    <col min="15" max="15" width="11.140625" bestFit="1" customWidth="1"/>
    <col min="16" max="16" width="24.28515625" bestFit="1" customWidth="1"/>
    <col min="17" max="17" width="17.140625" bestFit="1" customWidth="1"/>
    <col min="18" max="18" width="15.140625" bestFit="1" customWidth="1"/>
    <col min="19" max="19" width="17.42578125" bestFit="1" customWidth="1"/>
    <col min="20" max="20" width="14.7109375" bestFit="1" customWidth="1"/>
    <col min="21" max="21" width="25.28515625" bestFit="1" customWidth="1"/>
    <col min="22" max="22" width="9.5703125" bestFit="1" customWidth="1"/>
    <col min="23" max="23" width="12" bestFit="1" customWidth="1"/>
    <col min="24" max="24" width="20.140625" bestFit="1" customWidth="1"/>
    <col min="25" max="25" width="20.85546875" bestFit="1" customWidth="1"/>
    <col min="26" max="26" width="25.85546875" bestFit="1" customWidth="1"/>
    <col min="27" max="27" width="16.85546875" bestFit="1" customWidth="1"/>
    <col min="28" max="28" width="19.5703125" bestFit="1" customWidth="1"/>
    <col min="29" max="29" width="20.42578125" bestFit="1" customWidth="1"/>
    <col min="30" max="30" width="24" bestFit="1" customWidth="1"/>
    <col min="31" max="31" width="18.5703125" bestFit="1" customWidth="1"/>
    <col min="32" max="32" width="18.85546875" bestFit="1" customWidth="1"/>
    <col min="33" max="33" width="21.42578125" bestFit="1" customWidth="1"/>
    <col min="34" max="34" width="26.85546875" bestFit="1" customWidth="1"/>
    <col min="35" max="35" width="24.5703125" bestFit="1" customWidth="1"/>
    <col min="36" max="36" width="24.5703125" customWidth="1"/>
    <col min="37" max="37" width="32.140625" customWidth="1"/>
    <col min="38" max="39" width="23.5703125" customWidth="1"/>
    <col min="40" max="40" width="26.28515625" customWidth="1"/>
    <col min="41" max="41" width="24.5703125" customWidth="1"/>
    <col min="42" max="42" width="20.85546875" customWidth="1"/>
    <col min="43" max="43" width="20.140625" customWidth="1"/>
    <col min="44" max="44" width="19.7109375" customWidth="1"/>
    <col min="45" max="45" width="20.5703125" customWidth="1"/>
  </cols>
  <sheetData>
    <row r="1" spans="1:4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c r="AL1" t="s">
        <v>64</v>
      </c>
      <c r="AM1" t="s">
        <v>65</v>
      </c>
      <c r="AN1" t="s">
        <v>71</v>
      </c>
      <c r="AO1" t="s">
        <v>66</v>
      </c>
      <c r="AP1" t="s">
        <v>67</v>
      </c>
      <c r="AQ1" t="s">
        <v>68</v>
      </c>
      <c r="AR1" t="s">
        <v>69</v>
      </c>
      <c r="AS1" t="s">
        <v>70</v>
      </c>
    </row>
    <row r="2" spans="1:4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cm="1">
        <f t="array" ref="AJ2">_xlfn.SWITCH(CleanEmployeeData[[#This Row],[Education]],1,"Below College",2,"College",3,"Bachelor",4,"Master",5,"Doctor","Unknown")</f>
        <v>College</v>
      </c>
      <c r="AK2" t="str" cm="1">
        <f t="array" ref="AK2">_xlfn.SWITCH(CleanEmployeeData[[#This Row],[EnvironmentSatisfaction]],1,"Low",2,"Medium",3,"High",4,"Very High","Unknown")</f>
        <v>Medium</v>
      </c>
      <c r="AL2" t="str" cm="1">
        <f t="array" ref="AL2">_xlfn.SWITCH(CleanEmployeeData[[#This Row],[JobInvolvement]],1,"Low",2,"Medium",3,"High",4,"Very High","Unknown")</f>
        <v>High</v>
      </c>
      <c r="AM2" t="str" cm="1">
        <f t="array" ref="AM2">_xlfn.SWITCH(CleanEmployeeData[[#This Row],[JobSatisfaction]],1,"Low",2,"Medium",3,"High",4,"Very High","Unknown")</f>
        <v>Very High</v>
      </c>
      <c r="AN2" t="str" cm="1">
        <f t="array" ref="AN2">_xlfn.SWITCH(CleanEmployeeData[[#This Row],[PerformanceRating]],1,"Low",2,"Good",3,"Excellent",4,"Outstanding","Unknown")</f>
        <v>Excellent</v>
      </c>
      <c r="AO2" t="str" cm="1">
        <f t="array" ref="AO2">_xlfn.SWITCH(CleanEmployeeData[[#This Row],[WorkLifeBalance]],1,"Bad",2,"Good",3,"Better",4,"Best","Unknown")</f>
        <v>Bad</v>
      </c>
      <c r="AP2">
        <f>IF(CleanEmployeeData[[#This Row],[Attrition]]="Yes",1,IF(CleanEmployeeData[[#This Row],[Attrition]]="No",0,""))</f>
        <v>1</v>
      </c>
      <c r="AQ2" t="str" cm="1">
        <f t="array" ref="AQ2">_xlfn.IFS(CleanEmployeeData[[#This Row],[MonthlyIncome]]&lt;=3000,"0–3,000",CleanEmployeeData[[#This Row],[MonthlyIncome]]&lt;=6000,"3,001–6,000",CleanEmployeeData[[#This Row],[MonthlyIncome]]&lt;=10000,"6,001–10,000",TRUE,"10,001+")</f>
        <v>3,001–6,000</v>
      </c>
      <c r="AR2" t="str" cm="1">
        <f t="array" ref="AR2">_xlfn.IFS(CleanEmployeeData[[#This Row],[DistanceFromHome]]&lt;=5,"0–5 miles",CleanEmployeeData[[#This Row],[DistanceFromHome]]&lt;=10,"6–10 miles",CleanEmployeeData[[#This Row],[DistanceFromHome]]&lt;=15,"11–15 miles",TRUE,"16+ miles")</f>
        <v>0–5 miles</v>
      </c>
      <c r="AS2" t="str" cm="1">
        <f t="array" ref="AS2">_xlfn.IFS(CleanEmployeeData[[#This Row],[YearsAtCompany]]&lt;=1,"0–1 years",CleanEmployeeData[[#This Row],[YearsAtCompany]]&lt;=5,"2–5 years",CleanEmployeeData[[#This Row],[YearsAtCompany]]&lt;=10,"6–10 years",TRUE,"11+ years")</f>
        <v>6–10 years</v>
      </c>
    </row>
    <row r="3" spans="1:4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cm="1">
        <f t="array" ref="AJ3">_xlfn.SWITCH(CleanEmployeeData[[#This Row],[Education]],1,"Below College",2,"College",3,"Bachelor",4,"Master",5,"Doctor","Unknown")</f>
        <v>Below College</v>
      </c>
      <c r="AK3" t="str" cm="1">
        <f t="array" ref="AK3">_xlfn.SWITCH(CleanEmployeeData[[#This Row],[EnvironmentSatisfaction]],1,"Low",2,"Medium",3,"High",4,"Very High","Unknown")</f>
        <v>High</v>
      </c>
      <c r="AL3" t="str" cm="1">
        <f t="array" ref="AL3">_xlfn.SWITCH(CleanEmployeeData[[#This Row],[JobInvolvement]],1,"Low",2,"Medium",3,"High",4,"Very High","Unknown")</f>
        <v>Medium</v>
      </c>
      <c r="AM3" t="str" cm="1">
        <f t="array" ref="AM3">_xlfn.SWITCH(CleanEmployeeData[[#This Row],[JobSatisfaction]],1,"Low",2,"Medium",3,"High",4,"Very High","Unknown")</f>
        <v>Medium</v>
      </c>
      <c r="AN3" t="str" cm="1">
        <f t="array" ref="AN3">_xlfn.SWITCH(CleanEmployeeData[[#This Row],[PerformanceRating]],1,"Low",2,"Good",3,"Excellent",4,"Outstanding","Unknown")</f>
        <v>Outstanding</v>
      </c>
      <c r="AO3" t="str" cm="1">
        <f t="array" ref="AO3">_xlfn.SWITCH(CleanEmployeeData[[#This Row],[WorkLifeBalance]],1,"Bad",2,"Good",3,"Better",4,"Best","Unknown")</f>
        <v>Better</v>
      </c>
      <c r="AP3">
        <f>IF(CleanEmployeeData[[#This Row],[Attrition]]="Yes",1,IF(CleanEmployeeData[[#This Row],[Attrition]]="No",0,""))</f>
        <v>0</v>
      </c>
      <c r="AQ3" t="str" cm="1">
        <f t="array" ref="AQ3">_xlfn.IFS(CleanEmployeeData[[#This Row],[MonthlyIncome]]&lt;=3000,"0–3,000",CleanEmployeeData[[#This Row],[MonthlyIncome]]&lt;=6000,"3,001–6,000",CleanEmployeeData[[#This Row],[MonthlyIncome]]&lt;=10000,"6,001–10,000",TRUE,"10,001+")</f>
        <v>3,001–6,000</v>
      </c>
      <c r="AR3" t="str" cm="1">
        <f t="array" ref="AR3">_xlfn.IFS(CleanEmployeeData[[#This Row],[DistanceFromHome]]&lt;=5,"0–5 miles",CleanEmployeeData[[#This Row],[DistanceFromHome]]&lt;=10,"6–10 miles",CleanEmployeeData[[#This Row],[DistanceFromHome]]&lt;=15,"11–15 miles",TRUE,"16+ miles")</f>
        <v>6–10 miles</v>
      </c>
      <c r="AS3" t="str" cm="1">
        <f t="array" ref="AS3">_xlfn.IFS(CleanEmployeeData[[#This Row],[YearsAtCompany]]&lt;=1,"0–1 years",CleanEmployeeData[[#This Row],[YearsAtCompany]]&lt;=5,"2–5 years",CleanEmployeeData[[#This Row],[YearsAtCompany]]&lt;=10,"6–10 years",TRUE,"11+ years")</f>
        <v>6–10 years</v>
      </c>
    </row>
    <row r="4" spans="1:4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cm="1">
        <f t="array" ref="AJ4">_xlfn.SWITCH(CleanEmployeeData[[#This Row],[Education]],1,"Below College",2,"College",3,"Bachelor",4,"Master",5,"Doctor","Unknown")</f>
        <v>College</v>
      </c>
      <c r="AK4" t="str" cm="1">
        <f t="array" ref="AK4">_xlfn.SWITCH(CleanEmployeeData[[#This Row],[EnvironmentSatisfaction]],1,"Low",2,"Medium",3,"High",4,"Very High","Unknown")</f>
        <v>Very High</v>
      </c>
      <c r="AL4" t="str" cm="1">
        <f t="array" ref="AL4">_xlfn.SWITCH(CleanEmployeeData[[#This Row],[JobInvolvement]],1,"Low",2,"Medium",3,"High",4,"Very High","Unknown")</f>
        <v>Medium</v>
      </c>
      <c r="AM4" t="str" cm="1">
        <f t="array" ref="AM4">_xlfn.SWITCH(CleanEmployeeData[[#This Row],[JobSatisfaction]],1,"Low",2,"Medium",3,"High",4,"Very High","Unknown")</f>
        <v>High</v>
      </c>
      <c r="AN4" t="str" cm="1">
        <f t="array" ref="AN4">_xlfn.SWITCH(CleanEmployeeData[[#This Row],[PerformanceRating]],1,"Low",2,"Good",3,"Excellent",4,"Outstanding","Unknown")</f>
        <v>Excellent</v>
      </c>
      <c r="AO4" t="str" cm="1">
        <f t="array" ref="AO4">_xlfn.SWITCH(CleanEmployeeData[[#This Row],[WorkLifeBalance]],1,"Bad",2,"Good",3,"Better",4,"Best","Unknown")</f>
        <v>Better</v>
      </c>
      <c r="AP4">
        <f>IF(CleanEmployeeData[[#This Row],[Attrition]]="Yes",1,IF(CleanEmployeeData[[#This Row],[Attrition]]="No",0,""))</f>
        <v>1</v>
      </c>
      <c r="AQ4" t="str" cm="1">
        <f t="array" ref="AQ4">_xlfn.IFS(CleanEmployeeData[[#This Row],[MonthlyIncome]]&lt;=3000,"0–3,000",CleanEmployeeData[[#This Row],[MonthlyIncome]]&lt;=6000,"3,001–6,000",CleanEmployeeData[[#This Row],[MonthlyIncome]]&lt;=10000,"6,001–10,000",TRUE,"10,001+")</f>
        <v>0–3,000</v>
      </c>
      <c r="AR4" t="str" cm="1">
        <f t="array" ref="AR4">_xlfn.IFS(CleanEmployeeData[[#This Row],[DistanceFromHome]]&lt;=5,"0–5 miles",CleanEmployeeData[[#This Row],[DistanceFromHome]]&lt;=10,"6–10 miles",CleanEmployeeData[[#This Row],[DistanceFromHome]]&lt;=15,"11–15 miles",TRUE,"16+ miles")</f>
        <v>0–5 miles</v>
      </c>
      <c r="AS4" t="str" cm="1">
        <f t="array" ref="AS4">_xlfn.IFS(CleanEmployeeData[[#This Row],[YearsAtCompany]]&lt;=1,"0–1 years",CleanEmployeeData[[#This Row],[YearsAtCompany]]&lt;=5,"2–5 years",CleanEmployeeData[[#This Row],[YearsAtCompany]]&lt;=10,"6–10 years",TRUE,"11+ years")</f>
        <v>0–1 years</v>
      </c>
    </row>
    <row r="5" spans="1:4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cm="1">
        <f t="array" ref="AJ5">_xlfn.SWITCH(CleanEmployeeData[[#This Row],[Education]],1,"Below College",2,"College",3,"Bachelor",4,"Master",5,"Doctor","Unknown")</f>
        <v>Master</v>
      </c>
      <c r="AK5" t="str" cm="1">
        <f t="array" ref="AK5">_xlfn.SWITCH(CleanEmployeeData[[#This Row],[EnvironmentSatisfaction]],1,"Low",2,"Medium",3,"High",4,"Very High","Unknown")</f>
        <v>Very High</v>
      </c>
      <c r="AL5" t="str" cm="1">
        <f t="array" ref="AL5">_xlfn.SWITCH(CleanEmployeeData[[#This Row],[JobInvolvement]],1,"Low",2,"Medium",3,"High",4,"Very High","Unknown")</f>
        <v>High</v>
      </c>
      <c r="AM5" t="str" cm="1">
        <f t="array" ref="AM5">_xlfn.SWITCH(CleanEmployeeData[[#This Row],[JobSatisfaction]],1,"Low",2,"Medium",3,"High",4,"Very High","Unknown")</f>
        <v>High</v>
      </c>
      <c r="AN5" t="str" cm="1">
        <f t="array" ref="AN5">_xlfn.SWITCH(CleanEmployeeData[[#This Row],[PerformanceRating]],1,"Low",2,"Good",3,"Excellent",4,"Outstanding","Unknown")</f>
        <v>Excellent</v>
      </c>
      <c r="AO5" t="str" cm="1">
        <f t="array" ref="AO5">_xlfn.SWITCH(CleanEmployeeData[[#This Row],[WorkLifeBalance]],1,"Bad",2,"Good",3,"Better",4,"Best","Unknown")</f>
        <v>Better</v>
      </c>
      <c r="AP5">
        <f>IF(CleanEmployeeData[[#This Row],[Attrition]]="Yes",1,IF(CleanEmployeeData[[#This Row],[Attrition]]="No",0,""))</f>
        <v>0</v>
      </c>
      <c r="AQ5" t="str" cm="1">
        <f t="array" ref="AQ5">_xlfn.IFS(CleanEmployeeData[[#This Row],[MonthlyIncome]]&lt;=3000,"0–3,000",CleanEmployeeData[[#This Row],[MonthlyIncome]]&lt;=6000,"3,001–6,000",CleanEmployeeData[[#This Row],[MonthlyIncome]]&lt;=10000,"6,001–10,000",TRUE,"10,001+")</f>
        <v>0–3,000</v>
      </c>
      <c r="AR5" t="str" cm="1">
        <f t="array" ref="AR5">_xlfn.IFS(CleanEmployeeData[[#This Row],[DistanceFromHome]]&lt;=5,"0–5 miles",CleanEmployeeData[[#This Row],[DistanceFromHome]]&lt;=10,"6–10 miles",CleanEmployeeData[[#This Row],[DistanceFromHome]]&lt;=15,"11–15 miles",TRUE,"16+ miles")</f>
        <v>0–5 miles</v>
      </c>
      <c r="AS5" t="str" cm="1">
        <f t="array" ref="AS5">_xlfn.IFS(CleanEmployeeData[[#This Row],[YearsAtCompany]]&lt;=1,"0–1 years",CleanEmployeeData[[#This Row],[YearsAtCompany]]&lt;=5,"2–5 years",CleanEmployeeData[[#This Row],[YearsAtCompany]]&lt;=10,"6–10 years",TRUE,"11+ years")</f>
        <v>6–10 years</v>
      </c>
    </row>
    <row r="6" spans="1:4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cm="1">
        <f t="array" ref="AJ6">_xlfn.SWITCH(CleanEmployeeData[[#This Row],[Education]],1,"Below College",2,"College",3,"Bachelor",4,"Master",5,"Doctor","Unknown")</f>
        <v>Below College</v>
      </c>
      <c r="AK6" t="str" cm="1">
        <f t="array" ref="AK6">_xlfn.SWITCH(CleanEmployeeData[[#This Row],[EnvironmentSatisfaction]],1,"Low",2,"Medium",3,"High",4,"Very High","Unknown")</f>
        <v>Low</v>
      </c>
      <c r="AL6" t="str" cm="1">
        <f t="array" ref="AL6">_xlfn.SWITCH(CleanEmployeeData[[#This Row],[JobInvolvement]],1,"Low",2,"Medium",3,"High",4,"Very High","Unknown")</f>
        <v>High</v>
      </c>
      <c r="AM6" t="str" cm="1">
        <f t="array" ref="AM6">_xlfn.SWITCH(CleanEmployeeData[[#This Row],[JobSatisfaction]],1,"Low",2,"Medium",3,"High",4,"Very High","Unknown")</f>
        <v>Medium</v>
      </c>
      <c r="AN6" t="str" cm="1">
        <f t="array" ref="AN6">_xlfn.SWITCH(CleanEmployeeData[[#This Row],[PerformanceRating]],1,"Low",2,"Good",3,"Excellent",4,"Outstanding","Unknown")</f>
        <v>Excellent</v>
      </c>
      <c r="AO6" t="str" cm="1">
        <f t="array" ref="AO6">_xlfn.SWITCH(CleanEmployeeData[[#This Row],[WorkLifeBalance]],1,"Bad",2,"Good",3,"Better",4,"Best","Unknown")</f>
        <v>Better</v>
      </c>
      <c r="AP6">
        <f>IF(CleanEmployeeData[[#This Row],[Attrition]]="Yes",1,IF(CleanEmployeeData[[#This Row],[Attrition]]="No",0,""))</f>
        <v>0</v>
      </c>
      <c r="AQ6" t="str" cm="1">
        <f t="array" ref="AQ6">_xlfn.IFS(CleanEmployeeData[[#This Row],[MonthlyIncome]]&lt;=3000,"0–3,000",CleanEmployeeData[[#This Row],[MonthlyIncome]]&lt;=6000,"3,001–6,000",CleanEmployeeData[[#This Row],[MonthlyIncome]]&lt;=10000,"6,001–10,000",TRUE,"10,001+")</f>
        <v>3,001–6,000</v>
      </c>
      <c r="AR6" t="str" cm="1">
        <f t="array" ref="AR6">_xlfn.IFS(CleanEmployeeData[[#This Row],[DistanceFromHome]]&lt;=5,"0–5 miles",CleanEmployeeData[[#This Row],[DistanceFromHome]]&lt;=10,"6–10 miles",CleanEmployeeData[[#This Row],[DistanceFromHome]]&lt;=15,"11–15 miles",TRUE,"16+ miles")</f>
        <v>0–5 miles</v>
      </c>
      <c r="AS6" t="str" cm="1">
        <f t="array" ref="AS6">_xlfn.IFS(CleanEmployeeData[[#This Row],[YearsAtCompany]]&lt;=1,"0–1 years",CleanEmployeeData[[#This Row],[YearsAtCompany]]&lt;=5,"2–5 years",CleanEmployeeData[[#This Row],[YearsAtCompany]]&lt;=10,"6–10 years",TRUE,"11+ years")</f>
        <v>2–5 years</v>
      </c>
    </row>
    <row r="7" spans="1:4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cm="1">
        <f t="array" ref="AJ7">_xlfn.SWITCH(CleanEmployeeData[[#This Row],[Education]],1,"Below College",2,"College",3,"Bachelor",4,"Master",5,"Doctor","Unknown")</f>
        <v>College</v>
      </c>
      <c r="AK7" t="str" cm="1">
        <f t="array" ref="AK7">_xlfn.SWITCH(CleanEmployeeData[[#This Row],[EnvironmentSatisfaction]],1,"Low",2,"Medium",3,"High",4,"Very High","Unknown")</f>
        <v>Very High</v>
      </c>
      <c r="AL7" t="str" cm="1">
        <f t="array" ref="AL7">_xlfn.SWITCH(CleanEmployeeData[[#This Row],[JobInvolvement]],1,"Low",2,"Medium",3,"High",4,"Very High","Unknown")</f>
        <v>High</v>
      </c>
      <c r="AM7" t="str" cm="1">
        <f t="array" ref="AM7">_xlfn.SWITCH(CleanEmployeeData[[#This Row],[JobSatisfaction]],1,"Low",2,"Medium",3,"High",4,"Very High","Unknown")</f>
        <v>Very High</v>
      </c>
      <c r="AN7" t="str" cm="1">
        <f t="array" ref="AN7">_xlfn.SWITCH(CleanEmployeeData[[#This Row],[PerformanceRating]],1,"Low",2,"Good",3,"Excellent",4,"Outstanding","Unknown")</f>
        <v>Excellent</v>
      </c>
      <c r="AO7" t="str" cm="1">
        <f t="array" ref="AO7">_xlfn.SWITCH(CleanEmployeeData[[#This Row],[WorkLifeBalance]],1,"Bad",2,"Good",3,"Better",4,"Best","Unknown")</f>
        <v>Good</v>
      </c>
      <c r="AP7">
        <f>IF(CleanEmployeeData[[#This Row],[Attrition]]="Yes",1,IF(CleanEmployeeData[[#This Row],[Attrition]]="No",0,""))</f>
        <v>0</v>
      </c>
      <c r="AQ7" t="str" cm="1">
        <f t="array" ref="AQ7">_xlfn.IFS(CleanEmployeeData[[#This Row],[MonthlyIncome]]&lt;=3000,"0–3,000",CleanEmployeeData[[#This Row],[MonthlyIncome]]&lt;=6000,"3,001–6,000",CleanEmployeeData[[#This Row],[MonthlyIncome]]&lt;=10000,"6,001–10,000",TRUE,"10,001+")</f>
        <v>3,001–6,000</v>
      </c>
      <c r="AR7" t="str" cm="1">
        <f t="array" ref="AR7">_xlfn.IFS(CleanEmployeeData[[#This Row],[DistanceFromHome]]&lt;=5,"0–5 miles",CleanEmployeeData[[#This Row],[DistanceFromHome]]&lt;=10,"6–10 miles",CleanEmployeeData[[#This Row],[DistanceFromHome]]&lt;=15,"11–15 miles",TRUE,"16+ miles")</f>
        <v>0–5 miles</v>
      </c>
      <c r="AS7" t="str" cm="1">
        <f t="array" ref="AS7">_xlfn.IFS(CleanEmployeeData[[#This Row],[YearsAtCompany]]&lt;=1,"0–1 years",CleanEmployeeData[[#This Row],[YearsAtCompany]]&lt;=5,"2–5 years",CleanEmployeeData[[#This Row],[YearsAtCompany]]&lt;=10,"6–10 years",TRUE,"11+ years")</f>
        <v>6–10 years</v>
      </c>
    </row>
    <row r="8" spans="1:4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cm="1">
        <f t="array" ref="AJ8">_xlfn.SWITCH(CleanEmployeeData[[#This Row],[Education]],1,"Below College",2,"College",3,"Bachelor",4,"Master",5,"Doctor","Unknown")</f>
        <v>Bachelor</v>
      </c>
      <c r="AK8" t="str" cm="1">
        <f t="array" ref="AK8">_xlfn.SWITCH(CleanEmployeeData[[#This Row],[EnvironmentSatisfaction]],1,"Low",2,"Medium",3,"High",4,"Very High","Unknown")</f>
        <v>High</v>
      </c>
      <c r="AL8" t="str" cm="1">
        <f t="array" ref="AL8">_xlfn.SWITCH(CleanEmployeeData[[#This Row],[JobInvolvement]],1,"Low",2,"Medium",3,"High",4,"Very High","Unknown")</f>
        <v>Very High</v>
      </c>
      <c r="AM8" t="str" cm="1">
        <f t="array" ref="AM8">_xlfn.SWITCH(CleanEmployeeData[[#This Row],[JobSatisfaction]],1,"Low",2,"Medium",3,"High",4,"Very High","Unknown")</f>
        <v>Low</v>
      </c>
      <c r="AN8" t="str" cm="1">
        <f t="array" ref="AN8">_xlfn.SWITCH(CleanEmployeeData[[#This Row],[PerformanceRating]],1,"Low",2,"Good",3,"Excellent",4,"Outstanding","Unknown")</f>
        <v>Outstanding</v>
      </c>
      <c r="AO8" t="str" cm="1">
        <f t="array" ref="AO8">_xlfn.SWITCH(CleanEmployeeData[[#This Row],[WorkLifeBalance]],1,"Bad",2,"Good",3,"Better",4,"Best","Unknown")</f>
        <v>Good</v>
      </c>
      <c r="AP8">
        <f>IF(CleanEmployeeData[[#This Row],[Attrition]]="Yes",1,IF(CleanEmployeeData[[#This Row],[Attrition]]="No",0,""))</f>
        <v>0</v>
      </c>
      <c r="AQ8" t="str" cm="1">
        <f t="array" ref="AQ8">_xlfn.IFS(CleanEmployeeData[[#This Row],[MonthlyIncome]]&lt;=3000,"0–3,000",CleanEmployeeData[[#This Row],[MonthlyIncome]]&lt;=6000,"3,001–6,000",CleanEmployeeData[[#This Row],[MonthlyIncome]]&lt;=10000,"6,001–10,000",TRUE,"10,001+")</f>
        <v>0–3,000</v>
      </c>
      <c r="AR8" t="str" cm="1">
        <f t="array" ref="AR8">_xlfn.IFS(CleanEmployeeData[[#This Row],[DistanceFromHome]]&lt;=5,"0–5 miles",CleanEmployeeData[[#This Row],[DistanceFromHome]]&lt;=10,"6–10 miles",CleanEmployeeData[[#This Row],[DistanceFromHome]]&lt;=15,"11–15 miles",TRUE,"16+ miles")</f>
        <v>0–5 miles</v>
      </c>
      <c r="AS8" t="str" cm="1">
        <f t="array" ref="AS8">_xlfn.IFS(CleanEmployeeData[[#This Row],[YearsAtCompany]]&lt;=1,"0–1 years",CleanEmployeeData[[#This Row],[YearsAtCompany]]&lt;=5,"2–5 years",CleanEmployeeData[[#This Row],[YearsAtCompany]]&lt;=10,"6–10 years",TRUE,"11+ years")</f>
        <v>0–1 years</v>
      </c>
    </row>
    <row r="9" spans="1:4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cm="1">
        <f t="array" ref="AJ9">_xlfn.SWITCH(CleanEmployeeData[[#This Row],[Education]],1,"Below College",2,"College",3,"Bachelor",4,"Master",5,"Doctor","Unknown")</f>
        <v>Below College</v>
      </c>
      <c r="AK9" t="str" cm="1">
        <f t="array" ref="AK9">_xlfn.SWITCH(CleanEmployeeData[[#This Row],[EnvironmentSatisfaction]],1,"Low",2,"Medium",3,"High",4,"Very High","Unknown")</f>
        <v>Very High</v>
      </c>
      <c r="AL9" t="str" cm="1">
        <f t="array" ref="AL9">_xlfn.SWITCH(CleanEmployeeData[[#This Row],[JobInvolvement]],1,"Low",2,"Medium",3,"High",4,"Very High","Unknown")</f>
        <v>High</v>
      </c>
      <c r="AM9" t="str" cm="1">
        <f t="array" ref="AM9">_xlfn.SWITCH(CleanEmployeeData[[#This Row],[JobSatisfaction]],1,"Low",2,"Medium",3,"High",4,"Very High","Unknown")</f>
        <v>High</v>
      </c>
      <c r="AN9" t="str" cm="1">
        <f t="array" ref="AN9">_xlfn.SWITCH(CleanEmployeeData[[#This Row],[PerformanceRating]],1,"Low",2,"Good",3,"Excellent",4,"Outstanding","Unknown")</f>
        <v>Outstanding</v>
      </c>
      <c r="AO9" t="str" cm="1">
        <f t="array" ref="AO9">_xlfn.SWITCH(CleanEmployeeData[[#This Row],[WorkLifeBalance]],1,"Bad",2,"Good",3,"Better",4,"Best","Unknown")</f>
        <v>Better</v>
      </c>
      <c r="AP9">
        <f>IF(CleanEmployeeData[[#This Row],[Attrition]]="Yes",1,IF(CleanEmployeeData[[#This Row],[Attrition]]="No",0,""))</f>
        <v>0</v>
      </c>
      <c r="AQ9" t="str" cm="1">
        <f t="array" ref="AQ9">_xlfn.IFS(CleanEmployeeData[[#This Row],[MonthlyIncome]]&lt;=3000,"0–3,000",CleanEmployeeData[[#This Row],[MonthlyIncome]]&lt;=6000,"3,001–6,000",CleanEmployeeData[[#This Row],[MonthlyIncome]]&lt;=10000,"6,001–10,000",TRUE,"10,001+")</f>
        <v>0–3,000</v>
      </c>
      <c r="AR9" t="str" cm="1">
        <f t="array" ref="AR9">_xlfn.IFS(CleanEmployeeData[[#This Row],[DistanceFromHome]]&lt;=5,"0–5 miles",CleanEmployeeData[[#This Row],[DistanceFromHome]]&lt;=10,"6–10 miles",CleanEmployeeData[[#This Row],[DistanceFromHome]]&lt;=15,"11–15 miles",TRUE,"16+ miles")</f>
        <v>16+ miles</v>
      </c>
      <c r="AS9" t="str" cm="1">
        <f t="array" ref="AS9">_xlfn.IFS(CleanEmployeeData[[#This Row],[YearsAtCompany]]&lt;=1,"0–1 years",CleanEmployeeData[[#This Row],[YearsAtCompany]]&lt;=5,"2–5 years",CleanEmployeeData[[#This Row],[YearsAtCompany]]&lt;=10,"6–10 years",TRUE,"11+ years")</f>
        <v>0–1 years</v>
      </c>
    </row>
    <row r="10" spans="1:4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cm="1">
        <f t="array" ref="AJ10">_xlfn.SWITCH(CleanEmployeeData[[#This Row],[Education]],1,"Below College",2,"College",3,"Bachelor",4,"Master",5,"Doctor","Unknown")</f>
        <v>Bachelor</v>
      </c>
      <c r="AK10" t="str" cm="1">
        <f t="array" ref="AK10">_xlfn.SWITCH(CleanEmployeeData[[#This Row],[EnvironmentSatisfaction]],1,"Low",2,"Medium",3,"High",4,"Very High","Unknown")</f>
        <v>Very High</v>
      </c>
      <c r="AL10" t="str" cm="1">
        <f t="array" ref="AL10">_xlfn.SWITCH(CleanEmployeeData[[#This Row],[JobInvolvement]],1,"Low",2,"Medium",3,"High",4,"Very High","Unknown")</f>
        <v>Medium</v>
      </c>
      <c r="AM10" t="str" cm="1">
        <f t="array" ref="AM10">_xlfn.SWITCH(CleanEmployeeData[[#This Row],[JobSatisfaction]],1,"Low",2,"Medium",3,"High",4,"Very High","Unknown")</f>
        <v>High</v>
      </c>
      <c r="AN10" t="str" cm="1">
        <f t="array" ref="AN10">_xlfn.SWITCH(CleanEmployeeData[[#This Row],[PerformanceRating]],1,"Low",2,"Good",3,"Excellent",4,"Outstanding","Unknown")</f>
        <v>Outstanding</v>
      </c>
      <c r="AO10" t="str" cm="1">
        <f t="array" ref="AO10">_xlfn.SWITCH(CleanEmployeeData[[#This Row],[WorkLifeBalance]],1,"Bad",2,"Good",3,"Better",4,"Best","Unknown")</f>
        <v>Better</v>
      </c>
      <c r="AP10">
        <f>IF(CleanEmployeeData[[#This Row],[Attrition]]="Yes",1,IF(CleanEmployeeData[[#This Row],[Attrition]]="No",0,""))</f>
        <v>0</v>
      </c>
      <c r="AQ10" t="str" cm="1">
        <f t="array" ref="AQ10">_xlfn.IFS(CleanEmployeeData[[#This Row],[MonthlyIncome]]&lt;=3000,"0–3,000",CleanEmployeeData[[#This Row],[MonthlyIncome]]&lt;=6000,"3,001–6,000",CleanEmployeeData[[#This Row],[MonthlyIncome]]&lt;=10000,"6,001–10,000",TRUE,"10,001+")</f>
        <v>6,001–10,000</v>
      </c>
      <c r="AR10" t="str" cm="1">
        <f t="array" ref="AR10">_xlfn.IFS(CleanEmployeeData[[#This Row],[DistanceFromHome]]&lt;=5,"0–5 miles",CleanEmployeeData[[#This Row],[DistanceFromHome]]&lt;=10,"6–10 miles",CleanEmployeeData[[#This Row],[DistanceFromHome]]&lt;=15,"11–15 miles",TRUE,"16+ miles")</f>
        <v>16+ miles</v>
      </c>
      <c r="AS10" t="str" cm="1">
        <f t="array" ref="AS10">_xlfn.IFS(CleanEmployeeData[[#This Row],[YearsAtCompany]]&lt;=1,"0–1 years",CleanEmployeeData[[#This Row],[YearsAtCompany]]&lt;=5,"2–5 years",CleanEmployeeData[[#This Row],[YearsAtCompany]]&lt;=10,"6–10 years",TRUE,"11+ years")</f>
        <v>6–10 years</v>
      </c>
    </row>
    <row r="11" spans="1:4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cm="1">
        <f t="array" ref="AJ11">_xlfn.SWITCH(CleanEmployeeData[[#This Row],[Education]],1,"Below College",2,"College",3,"Bachelor",4,"Master",5,"Doctor","Unknown")</f>
        <v>Bachelor</v>
      </c>
      <c r="AK11" t="str" cm="1">
        <f t="array" ref="AK11">_xlfn.SWITCH(CleanEmployeeData[[#This Row],[EnvironmentSatisfaction]],1,"Low",2,"Medium",3,"High",4,"Very High","Unknown")</f>
        <v>High</v>
      </c>
      <c r="AL11" t="str" cm="1">
        <f t="array" ref="AL11">_xlfn.SWITCH(CleanEmployeeData[[#This Row],[JobInvolvement]],1,"Low",2,"Medium",3,"High",4,"Very High","Unknown")</f>
        <v>High</v>
      </c>
      <c r="AM11" t="str" cm="1">
        <f t="array" ref="AM11">_xlfn.SWITCH(CleanEmployeeData[[#This Row],[JobSatisfaction]],1,"Low",2,"Medium",3,"High",4,"Very High","Unknown")</f>
        <v>High</v>
      </c>
      <c r="AN11" t="str" cm="1">
        <f t="array" ref="AN11">_xlfn.SWITCH(CleanEmployeeData[[#This Row],[PerformanceRating]],1,"Low",2,"Good",3,"Excellent",4,"Outstanding","Unknown")</f>
        <v>Excellent</v>
      </c>
      <c r="AO11" t="str" cm="1">
        <f t="array" ref="AO11">_xlfn.SWITCH(CleanEmployeeData[[#This Row],[WorkLifeBalance]],1,"Bad",2,"Good",3,"Better",4,"Best","Unknown")</f>
        <v>Good</v>
      </c>
      <c r="AP11">
        <f>IF(CleanEmployeeData[[#This Row],[Attrition]]="Yes",1,IF(CleanEmployeeData[[#This Row],[Attrition]]="No",0,""))</f>
        <v>0</v>
      </c>
      <c r="AQ11" t="str" cm="1">
        <f t="array" ref="AQ11">_xlfn.IFS(CleanEmployeeData[[#This Row],[MonthlyIncome]]&lt;=3000,"0–3,000",CleanEmployeeData[[#This Row],[MonthlyIncome]]&lt;=6000,"3,001–6,000",CleanEmployeeData[[#This Row],[MonthlyIncome]]&lt;=10000,"6,001–10,000",TRUE,"10,001+")</f>
        <v>3,001–6,000</v>
      </c>
      <c r="AR11" t="str" cm="1">
        <f t="array" ref="AR11">_xlfn.IFS(CleanEmployeeData[[#This Row],[DistanceFromHome]]&lt;=5,"0–5 miles",CleanEmployeeData[[#This Row],[DistanceFromHome]]&lt;=10,"6–10 miles",CleanEmployeeData[[#This Row],[DistanceFromHome]]&lt;=15,"11–15 miles",TRUE,"16+ miles")</f>
        <v>16+ miles</v>
      </c>
      <c r="AS11" t="str" cm="1">
        <f t="array" ref="AS11">_xlfn.IFS(CleanEmployeeData[[#This Row],[YearsAtCompany]]&lt;=1,"0–1 years",CleanEmployeeData[[#This Row],[YearsAtCompany]]&lt;=5,"2–5 years",CleanEmployeeData[[#This Row],[YearsAtCompany]]&lt;=10,"6–10 years",TRUE,"11+ years")</f>
        <v>6–10 years</v>
      </c>
    </row>
    <row r="12" spans="1:4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cm="1">
        <f t="array" ref="AJ12">_xlfn.SWITCH(CleanEmployeeData[[#This Row],[Education]],1,"Below College",2,"College",3,"Bachelor",4,"Master",5,"Doctor","Unknown")</f>
        <v>Bachelor</v>
      </c>
      <c r="AK12" t="str" cm="1">
        <f t="array" ref="AK12">_xlfn.SWITCH(CleanEmployeeData[[#This Row],[EnvironmentSatisfaction]],1,"Low",2,"Medium",3,"High",4,"Very High","Unknown")</f>
        <v>Low</v>
      </c>
      <c r="AL12" t="str" cm="1">
        <f t="array" ref="AL12">_xlfn.SWITCH(CleanEmployeeData[[#This Row],[JobInvolvement]],1,"Low",2,"Medium",3,"High",4,"Very High","Unknown")</f>
        <v>Very High</v>
      </c>
      <c r="AM12" t="str" cm="1">
        <f t="array" ref="AM12">_xlfn.SWITCH(CleanEmployeeData[[#This Row],[JobSatisfaction]],1,"Low",2,"Medium",3,"High",4,"Very High","Unknown")</f>
        <v>Medium</v>
      </c>
      <c r="AN12" t="str" cm="1">
        <f t="array" ref="AN12">_xlfn.SWITCH(CleanEmployeeData[[#This Row],[PerformanceRating]],1,"Low",2,"Good",3,"Excellent",4,"Outstanding","Unknown")</f>
        <v>Excellent</v>
      </c>
      <c r="AO12" t="str" cm="1">
        <f t="array" ref="AO12">_xlfn.SWITCH(CleanEmployeeData[[#This Row],[WorkLifeBalance]],1,"Bad",2,"Good",3,"Better",4,"Best","Unknown")</f>
        <v>Better</v>
      </c>
      <c r="AP12">
        <f>IF(CleanEmployeeData[[#This Row],[Attrition]]="Yes",1,IF(CleanEmployeeData[[#This Row],[Attrition]]="No",0,""))</f>
        <v>0</v>
      </c>
      <c r="AQ12" t="str" cm="1">
        <f t="array" ref="AQ12">_xlfn.IFS(CleanEmployeeData[[#This Row],[MonthlyIncome]]&lt;=3000,"0–3,000",CleanEmployeeData[[#This Row],[MonthlyIncome]]&lt;=6000,"3,001–6,000",CleanEmployeeData[[#This Row],[MonthlyIncome]]&lt;=10000,"6,001–10,000",TRUE,"10,001+")</f>
        <v>0–3,000</v>
      </c>
      <c r="AR12" t="str" cm="1">
        <f t="array" ref="AR12">_xlfn.IFS(CleanEmployeeData[[#This Row],[DistanceFromHome]]&lt;=5,"0–5 miles",CleanEmployeeData[[#This Row],[DistanceFromHome]]&lt;=10,"6–10 miles",CleanEmployeeData[[#This Row],[DistanceFromHome]]&lt;=15,"11–15 miles",TRUE,"16+ miles")</f>
        <v>16+ miles</v>
      </c>
      <c r="AS12" t="str" cm="1">
        <f t="array" ref="AS12">_xlfn.IFS(CleanEmployeeData[[#This Row],[YearsAtCompany]]&lt;=1,"0–1 years",CleanEmployeeData[[#This Row],[YearsAtCompany]]&lt;=5,"2–5 years",CleanEmployeeData[[#This Row],[YearsAtCompany]]&lt;=10,"6–10 years",TRUE,"11+ years")</f>
        <v>2–5 years</v>
      </c>
    </row>
    <row r="13" spans="1:4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cm="1">
        <f t="array" ref="AJ13">_xlfn.SWITCH(CleanEmployeeData[[#This Row],[Education]],1,"Below College",2,"College",3,"Bachelor",4,"Master",5,"Doctor","Unknown")</f>
        <v>College</v>
      </c>
      <c r="AK13" t="str" cm="1">
        <f t="array" ref="AK13">_xlfn.SWITCH(CleanEmployeeData[[#This Row],[EnvironmentSatisfaction]],1,"Low",2,"Medium",3,"High",4,"Very High","Unknown")</f>
        <v>Very High</v>
      </c>
      <c r="AL13" t="str" cm="1">
        <f t="array" ref="AL13">_xlfn.SWITCH(CleanEmployeeData[[#This Row],[JobInvolvement]],1,"Low",2,"Medium",3,"High",4,"Very High","Unknown")</f>
        <v>Medium</v>
      </c>
      <c r="AM13" t="str" cm="1">
        <f t="array" ref="AM13">_xlfn.SWITCH(CleanEmployeeData[[#This Row],[JobSatisfaction]],1,"Low",2,"Medium",3,"High",4,"Very High","Unknown")</f>
        <v>High</v>
      </c>
      <c r="AN13" t="str" cm="1">
        <f t="array" ref="AN13">_xlfn.SWITCH(CleanEmployeeData[[#This Row],[PerformanceRating]],1,"Low",2,"Good",3,"Excellent",4,"Outstanding","Unknown")</f>
        <v>Excellent</v>
      </c>
      <c r="AO13" t="str" cm="1">
        <f t="array" ref="AO13">_xlfn.SWITCH(CleanEmployeeData[[#This Row],[WorkLifeBalance]],1,"Bad",2,"Good",3,"Better",4,"Best","Unknown")</f>
        <v>Better</v>
      </c>
      <c r="AP13">
        <f>IF(CleanEmployeeData[[#This Row],[Attrition]]="Yes",1,IF(CleanEmployeeData[[#This Row],[Attrition]]="No",0,""))</f>
        <v>0</v>
      </c>
      <c r="AQ13" t="str" cm="1">
        <f t="array" ref="AQ13">_xlfn.IFS(CleanEmployeeData[[#This Row],[MonthlyIncome]]&lt;=3000,"0–3,000",CleanEmployeeData[[#This Row],[MonthlyIncome]]&lt;=6000,"3,001–6,000",CleanEmployeeData[[#This Row],[MonthlyIncome]]&lt;=10000,"6,001–10,000",TRUE,"10,001+")</f>
        <v>3,001–6,000</v>
      </c>
      <c r="AR13" t="str" cm="1">
        <f t="array" ref="AR13">_xlfn.IFS(CleanEmployeeData[[#This Row],[DistanceFromHome]]&lt;=5,"0–5 miles",CleanEmployeeData[[#This Row],[DistanceFromHome]]&lt;=10,"6–10 miles",CleanEmployeeData[[#This Row],[DistanceFromHome]]&lt;=15,"11–15 miles",TRUE,"16+ miles")</f>
        <v>11–15 miles</v>
      </c>
      <c r="AS13" t="str" cm="1">
        <f t="array" ref="AS13">_xlfn.IFS(CleanEmployeeData[[#This Row],[YearsAtCompany]]&lt;=1,"0–1 years",CleanEmployeeData[[#This Row],[YearsAtCompany]]&lt;=5,"2–5 years",CleanEmployeeData[[#This Row],[YearsAtCompany]]&lt;=10,"6–10 years",TRUE,"11+ years")</f>
        <v>6–10 years</v>
      </c>
    </row>
    <row r="14" spans="1:4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cm="1">
        <f t="array" ref="AJ14">_xlfn.SWITCH(CleanEmployeeData[[#This Row],[Education]],1,"Below College",2,"College",3,"Bachelor",4,"Master",5,"Doctor","Unknown")</f>
        <v>Below College</v>
      </c>
      <c r="AK14" t="str" cm="1">
        <f t="array" ref="AK14">_xlfn.SWITCH(CleanEmployeeData[[#This Row],[EnvironmentSatisfaction]],1,"Low",2,"Medium",3,"High",4,"Very High","Unknown")</f>
        <v>Low</v>
      </c>
      <c r="AL14" t="str" cm="1">
        <f t="array" ref="AL14">_xlfn.SWITCH(CleanEmployeeData[[#This Row],[JobInvolvement]],1,"Low",2,"Medium",3,"High",4,"Very High","Unknown")</f>
        <v>High</v>
      </c>
      <c r="AM14" t="str" cm="1">
        <f t="array" ref="AM14">_xlfn.SWITCH(CleanEmployeeData[[#This Row],[JobSatisfaction]],1,"Low",2,"Medium",3,"High",4,"Very High","Unknown")</f>
        <v>High</v>
      </c>
      <c r="AN14" t="str" cm="1">
        <f t="array" ref="AN14">_xlfn.SWITCH(CleanEmployeeData[[#This Row],[PerformanceRating]],1,"Low",2,"Good",3,"Excellent",4,"Outstanding","Unknown")</f>
        <v>Excellent</v>
      </c>
      <c r="AO14" t="str" cm="1">
        <f t="array" ref="AO14">_xlfn.SWITCH(CleanEmployeeData[[#This Row],[WorkLifeBalance]],1,"Bad",2,"Good",3,"Better",4,"Best","Unknown")</f>
        <v>Good</v>
      </c>
      <c r="AP14">
        <f>IF(CleanEmployeeData[[#This Row],[Attrition]]="Yes",1,IF(CleanEmployeeData[[#This Row],[Attrition]]="No",0,""))</f>
        <v>0</v>
      </c>
      <c r="AQ14" t="str" cm="1">
        <f t="array" ref="AQ14">_xlfn.IFS(CleanEmployeeData[[#This Row],[MonthlyIncome]]&lt;=3000,"0–3,000",CleanEmployeeData[[#This Row],[MonthlyIncome]]&lt;=6000,"3,001–6,000",CleanEmployeeData[[#This Row],[MonthlyIncome]]&lt;=10000,"6,001–10,000",TRUE,"10,001+")</f>
        <v>0–3,000</v>
      </c>
      <c r="AR14" t="str" cm="1">
        <f t="array" ref="AR14">_xlfn.IFS(CleanEmployeeData[[#This Row],[DistanceFromHome]]&lt;=5,"0–5 miles",CleanEmployeeData[[#This Row],[DistanceFromHome]]&lt;=10,"6–10 miles",CleanEmployeeData[[#This Row],[DistanceFromHome]]&lt;=15,"11–15 miles",TRUE,"16+ miles")</f>
        <v>16+ miles</v>
      </c>
      <c r="AS14" t="str" cm="1">
        <f t="array" ref="AS14">_xlfn.IFS(CleanEmployeeData[[#This Row],[YearsAtCompany]]&lt;=1,"0–1 years",CleanEmployeeData[[#This Row],[YearsAtCompany]]&lt;=5,"2–5 years",CleanEmployeeData[[#This Row],[YearsAtCompany]]&lt;=10,"6–10 years",TRUE,"11+ years")</f>
        <v>2–5 years</v>
      </c>
    </row>
    <row r="15" spans="1:4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cm="1">
        <f t="array" ref="AJ15">_xlfn.SWITCH(CleanEmployeeData[[#This Row],[Education]],1,"Below College",2,"College",3,"Bachelor",4,"Master",5,"Doctor","Unknown")</f>
        <v>College</v>
      </c>
      <c r="AK15" t="str" cm="1">
        <f t="array" ref="AK15">_xlfn.SWITCH(CleanEmployeeData[[#This Row],[EnvironmentSatisfaction]],1,"Low",2,"Medium",3,"High",4,"Very High","Unknown")</f>
        <v>Medium</v>
      </c>
      <c r="AL15" t="str" cm="1">
        <f t="array" ref="AL15">_xlfn.SWITCH(CleanEmployeeData[[#This Row],[JobInvolvement]],1,"Low",2,"Medium",3,"High",4,"Very High","Unknown")</f>
        <v>High</v>
      </c>
      <c r="AM15" t="str" cm="1">
        <f t="array" ref="AM15">_xlfn.SWITCH(CleanEmployeeData[[#This Row],[JobSatisfaction]],1,"Low",2,"Medium",3,"High",4,"Very High","Unknown")</f>
        <v>Very High</v>
      </c>
      <c r="AN15" t="str" cm="1">
        <f t="array" ref="AN15">_xlfn.SWITCH(CleanEmployeeData[[#This Row],[PerformanceRating]],1,"Low",2,"Good",3,"Excellent",4,"Outstanding","Unknown")</f>
        <v>Excellent</v>
      </c>
      <c r="AO15" t="str" cm="1">
        <f t="array" ref="AO15">_xlfn.SWITCH(CleanEmployeeData[[#This Row],[WorkLifeBalance]],1,"Bad",2,"Good",3,"Better",4,"Best","Unknown")</f>
        <v>Better</v>
      </c>
      <c r="AP15">
        <f>IF(CleanEmployeeData[[#This Row],[Attrition]]="Yes",1,IF(CleanEmployeeData[[#This Row],[Attrition]]="No",0,""))</f>
        <v>0</v>
      </c>
      <c r="AQ15" t="str" cm="1">
        <f t="array" ref="AQ15">_xlfn.IFS(CleanEmployeeData[[#This Row],[MonthlyIncome]]&lt;=3000,"0–3,000",CleanEmployeeData[[#This Row],[MonthlyIncome]]&lt;=6000,"3,001–6,000",CleanEmployeeData[[#This Row],[MonthlyIncome]]&lt;=10000,"6,001–10,000",TRUE,"10,001+")</f>
        <v>0–3,000</v>
      </c>
      <c r="AR15" t="str" cm="1">
        <f t="array" ref="AR15">_xlfn.IFS(CleanEmployeeData[[#This Row],[DistanceFromHome]]&lt;=5,"0–5 miles",CleanEmployeeData[[#This Row],[DistanceFromHome]]&lt;=10,"6–10 miles",CleanEmployeeData[[#This Row],[DistanceFromHome]]&lt;=15,"11–15 miles",TRUE,"16+ miles")</f>
        <v>16+ miles</v>
      </c>
      <c r="AS15" t="str" cm="1">
        <f t="array" ref="AS15">_xlfn.IFS(CleanEmployeeData[[#This Row],[YearsAtCompany]]&lt;=1,"0–1 years",CleanEmployeeData[[#This Row],[YearsAtCompany]]&lt;=5,"2–5 years",CleanEmployeeData[[#This Row],[YearsAtCompany]]&lt;=10,"6–10 years",TRUE,"11+ years")</f>
        <v>2–5 years</v>
      </c>
    </row>
    <row r="16" spans="1:4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cm="1">
        <f t="array" ref="AJ16">_xlfn.SWITCH(CleanEmployeeData[[#This Row],[Education]],1,"Below College",2,"College",3,"Bachelor",4,"Master",5,"Doctor","Unknown")</f>
        <v>Bachelor</v>
      </c>
      <c r="AK16" t="str" cm="1">
        <f t="array" ref="AK16">_xlfn.SWITCH(CleanEmployeeData[[#This Row],[EnvironmentSatisfaction]],1,"Low",2,"Medium",3,"High",4,"Very High","Unknown")</f>
        <v>High</v>
      </c>
      <c r="AL16" t="str" cm="1">
        <f t="array" ref="AL16">_xlfn.SWITCH(CleanEmployeeData[[#This Row],[JobInvolvement]],1,"Low",2,"Medium",3,"High",4,"Very High","Unknown")</f>
        <v>Medium</v>
      </c>
      <c r="AM16" t="str" cm="1">
        <f t="array" ref="AM16">_xlfn.SWITCH(CleanEmployeeData[[#This Row],[JobSatisfaction]],1,"Low",2,"Medium",3,"High",4,"Very High","Unknown")</f>
        <v>High</v>
      </c>
      <c r="AN16" t="str" cm="1">
        <f t="array" ref="AN16">_xlfn.SWITCH(CleanEmployeeData[[#This Row],[PerformanceRating]],1,"Low",2,"Good",3,"Excellent",4,"Outstanding","Unknown")</f>
        <v>Excellent</v>
      </c>
      <c r="AO16" t="str" cm="1">
        <f t="array" ref="AO16">_xlfn.SWITCH(CleanEmployeeData[[#This Row],[WorkLifeBalance]],1,"Bad",2,"Good",3,"Better",4,"Best","Unknown")</f>
        <v>Better</v>
      </c>
      <c r="AP16">
        <f>IF(CleanEmployeeData[[#This Row],[Attrition]]="Yes",1,IF(CleanEmployeeData[[#This Row],[Attrition]]="No",0,""))</f>
        <v>1</v>
      </c>
      <c r="AQ16" t="str" cm="1">
        <f t="array" ref="AQ16">_xlfn.IFS(CleanEmployeeData[[#This Row],[MonthlyIncome]]&lt;=3000,"0–3,000",CleanEmployeeData[[#This Row],[MonthlyIncome]]&lt;=6000,"3,001–6,000",CleanEmployeeData[[#This Row],[MonthlyIncome]]&lt;=10000,"6,001–10,000",TRUE,"10,001+")</f>
        <v>0–3,000</v>
      </c>
      <c r="AR16" t="str" cm="1">
        <f t="array" ref="AR16">_xlfn.IFS(CleanEmployeeData[[#This Row],[DistanceFromHome]]&lt;=5,"0–5 miles",CleanEmployeeData[[#This Row],[DistanceFromHome]]&lt;=10,"6–10 miles",CleanEmployeeData[[#This Row],[DistanceFromHome]]&lt;=15,"11–15 miles",TRUE,"16+ miles")</f>
        <v>16+ miles</v>
      </c>
      <c r="AS16" t="str" cm="1">
        <f t="array" ref="AS16">_xlfn.IFS(CleanEmployeeData[[#This Row],[YearsAtCompany]]&lt;=1,"0–1 years",CleanEmployeeData[[#This Row],[YearsAtCompany]]&lt;=5,"2–5 years",CleanEmployeeData[[#This Row],[YearsAtCompany]]&lt;=10,"6–10 years",TRUE,"11+ years")</f>
        <v>2–5 years</v>
      </c>
    </row>
    <row r="17" spans="1:4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cm="1">
        <f t="array" ref="AJ17">_xlfn.SWITCH(CleanEmployeeData[[#This Row],[Education]],1,"Below College",2,"College",3,"Bachelor",4,"Master",5,"Doctor","Unknown")</f>
        <v>Master</v>
      </c>
      <c r="AK17" t="str" cm="1">
        <f t="array" ref="AK17">_xlfn.SWITCH(CleanEmployeeData[[#This Row],[EnvironmentSatisfaction]],1,"Low",2,"Medium",3,"High",4,"Very High","Unknown")</f>
        <v>Medium</v>
      </c>
      <c r="AL17" t="str" cm="1">
        <f t="array" ref="AL17">_xlfn.SWITCH(CleanEmployeeData[[#This Row],[JobInvolvement]],1,"Low",2,"Medium",3,"High",4,"Very High","Unknown")</f>
        <v>Very High</v>
      </c>
      <c r="AM17" t="str" cm="1">
        <f t="array" ref="AM17">_xlfn.SWITCH(CleanEmployeeData[[#This Row],[JobSatisfaction]],1,"Low",2,"Medium",3,"High",4,"Very High","Unknown")</f>
        <v>Low</v>
      </c>
      <c r="AN17" t="str" cm="1">
        <f t="array" ref="AN17">_xlfn.SWITCH(CleanEmployeeData[[#This Row],[PerformanceRating]],1,"Low",2,"Good",3,"Excellent",4,"Outstanding","Unknown")</f>
        <v>Excellent</v>
      </c>
      <c r="AO17" t="str" cm="1">
        <f t="array" ref="AO17">_xlfn.SWITCH(CleanEmployeeData[[#This Row],[WorkLifeBalance]],1,"Bad",2,"Good",3,"Better",4,"Best","Unknown")</f>
        <v>Better</v>
      </c>
      <c r="AP17">
        <f>IF(CleanEmployeeData[[#This Row],[Attrition]]="Yes",1,IF(CleanEmployeeData[[#This Row],[Attrition]]="No",0,""))</f>
        <v>0</v>
      </c>
      <c r="AQ17" t="str" cm="1">
        <f t="array" ref="AQ17">_xlfn.IFS(CleanEmployeeData[[#This Row],[MonthlyIncome]]&lt;=3000,"0–3,000",CleanEmployeeData[[#This Row],[MonthlyIncome]]&lt;=6000,"3,001–6,000",CleanEmployeeData[[#This Row],[MonthlyIncome]]&lt;=10000,"6,001–10,000",TRUE,"10,001+")</f>
        <v>6,001–10,000</v>
      </c>
      <c r="AR17" t="str" cm="1">
        <f t="array" ref="AR17">_xlfn.IFS(CleanEmployeeData[[#This Row],[DistanceFromHome]]&lt;=5,"0–5 miles",CleanEmployeeData[[#This Row],[DistanceFromHome]]&lt;=10,"6–10 miles",CleanEmployeeData[[#This Row],[DistanceFromHome]]&lt;=15,"11–15 miles",TRUE,"16+ miles")</f>
        <v>16+ miles</v>
      </c>
      <c r="AS17" t="str" cm="1">
        <f t="array" ref="AS17">_xlfn.IFS(CleanEmployeeData[[#This Row],[YearsAtCompany]]&lt;=1,"0–1 years",CleanEmployeeData[[#This Row],[YearsAtCompany]]&lt;=5,"2–5 years",CleanEmployeeData[[#This Row],[YearsAtCompany]]&lt;=10,"6–10 years",TRUE,"11+ years")</f>
        <v>6–10 years</v>
      </c>
    </row>
    <row r="18" spans="1:4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cm="1">
        <f t="array" ref="AJ18">_xlfn.SWITCH(CleanEmployeeData[[#This Row],[Education]],1,"Below College",2,"College",3,"Bachelor",4,"Master",5,"Doctor","Unknown")</f>
        <v>College</v>
      </c>
      <c r="AK18" t="str" cm="1">
        <f t="array" ref="AK18">_xlfn.SWITCH(CleanEmployeeData[[#This Row],[EnvironmentSatisfaction]],1,"Low",2,"Medium",3,"High",4,"Very High","Unknown")</f>
        <v>Low</v>
      </c>
      <c r="AL18" t="str" cm="1">
        <f t="array" ref="AL18">_xlfn.SWITCH(CleanEmployeeData[[#This Row],[JobInvolvement]],1,"Low",2,"Medium",3,"High",4,"Very High","Unknown")</f>
        <v>Very High</v>
      </c>
      <c r="AM18" t="str" cm="1">
        <f t="array" ref="AM18">_xlfn.SWITCH(CleanEmployeeData[[#This Row],[JobSatisfaction]],1,"Low",2,"Medium",3,"High",4,"Very High","Unknown")</f>
        <v>Medium</v>
      </c>
      <c r="AN18" t="str" cm="1">
        <f t="array" ref="AN18">_xlfn.SWITCH(CleanEmployeeData[[#This Row],[PerformanceRating]],1,"Low",2,"Good",3,"Excellent",4,"Outstanding","Unknown")</f>
        <v>Excellent</v>
      </c>
      <c r="AO18" t="str" cm="1">
        <f t="array" ref="AO18">_xlfn.SWITCH(CleanEmployeeData[[#This Row],[WorkLifeBalance]],1,"Bad",2,"Good",3,"Better",4,"Best","Unknown")</f>
        <v>Good</v>
      </c>
      <c r="AP18">
        <f>IF(CleanEmployeeData[[#This Row],[Attrition]]="Yes",1,IF(CleanEmployeeData[[#This Row],[Attrition]]="No",0,""))</f>
        <v>0</v>
      </c>
      <c r="AQ18" t="str" cm="1">
        <f t="array" ref="AQ18">_xlfn.IFS(CleanEmployeeData[[#This Row],[MonthlyIncome]]&lt;=3000,"0–3,000",CleanEmployeeData[[#This Row],[MonthlyIncome]]&lt;=6000,"3,001–6,000",CleanEmployeeData[[#This Row],[MonthlyIncome]]&lt;=10000,"6,001–10,000",TRUE,"10,001+")</f>
        <v>3,001–6,000</v>
      </c>
      <c r="AR18" t="str" cm="1">
        <f t="array" ref="AR18">_xlfn.IFS(CleanEmployeeData[[#This Row],[DistanceFromHome]]&lt;=5,"0–5 miles",CleanEmployeeData[[#This Row],[DistanceFromHome]]&lt;=10,"6–10 miles",CleanEmployeeData[[#This Row],[DistanceFromHome]]&lt;=15,"11–15 miles",TRUE,"16+ miles")</f>
        <v>0–5 miles</v>
      </c>
      <c r="AS18" t="str" cm="1">
        <f t="array" ref="AS18">_xlfn.IFS(CleanEmployeeData[[#This Row],[YearsAtCompany]]&lt;=1,"0–1 years",CleanEmployeeData[[#This Row],[YearsAtCompany]]&lt;=5,"2–5 years",CleanEmployeeData[[#This Row],[YearsAtCompany]]&lt;=10,"6–10 years",TRUE,"11+ years")</f>
        <v>6–10 years</v>
      </c>
    </row>
    <row r="19" spans="1:4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cm="1">
        <f t="array" ref="AJ19">_xlfn.SWITCH(CleanEmployeeData[[#This Row],[Education]],1,"Below College",2,"College",3,"Bachelor",4,"Master",5,"Doctor","Unknown")</f>
        <v>College</v>
      </c>
      <c r="AK19" t="str" cm="1">
        <f t="array" ref="AK19">_xlfn.SWITCH(CleanEmployeeData[[#This Row],[EnvironmentSatisfaction]],1,"Low",2,"Medium",3,"High",4,"Very High","Unknown")</f>
        <v>Very High</v>
      </c>
      <c r="AL19" t="str" cm="1">
        <f t="array" ref="AL19">_xlfn.SWITCH(CleanEmployeeData[[#This Row],[JobInvolvement]],1,"Low",2,"Medium",3,"High",4,"Very High","Unknown")</f>
        <v>Very High</v>
      </c>
      <c r="AM19" t="str" cm="1">
        <f t="array" ref="AM19">_xlfn.SWITCH(CleanEmployeeData[[#This Row],[JobSatisfaction]],1,"Low",2,"Medium",3,"High",4,"Very High","Unknown")</f>
        <v>Very High</v>
      </c>
      <c r="AN19" t="str" cm="1">
        <f t="array" ref="AN19">_xlfn.SWITCH(CleanEmployeeData[[#This Row],[PerformanceRating]],1,"Low",2,"Good",3,"Excellent",4,"Outstanding","Unknown")</f>
        <v>Excellent</v>
      </c>
      <c r="AO19" t="str" cm="1">
        <f t="array" ref="AO19">_xlfn.SWITCH(CleanEmployeeData[[#This Row],[WorkLifeBalance]],1,"Bad",2,"Good",3,"Better",4,"Best","Unknown")</f>
        <v>Good</v>
      </c>
      <c r="AP19">
        <f>IF(CleanEmployeeData[[#This Row],[Attrition]]="Yes",1,IF(CleanEmployeeData[[#This Row],[Attrition]]="No",0,""))</f>
        <v>0</v>
      </c>
      <c r="AQ19" t="str" cm="1">
        <f t="array" ref="AQ19">_xlfn.IFS(CleanEmployeeData[[#This Row],[MonthlyIncome]]&lt;=3000,"0–3,000",CleanEmployeeData[[#This Row],[MonthlyIncome]]&lt;=6000,"3,001–6,000",CleanEmployeeData[[#This Row],[MonthlyIncome]]&lt;=10000,"6,001–10,000",TRUE,"10,001+")</f>
        <v>0–3,000</v>
      </c>
      <c r="AR19" t="str" cm="1">
        <f t="array" ref="AR19">_xlfn.IFS(CleanEmployeeData[[#This Row],[DistanceFromHome]]&lt;=5,"0–5 miles",CleanEmployeeData[[#This Row],[DistanceFromHome]]&lt;=10,"6–10 miles",CleanEmployeeData[[#This Row],[DistanceFromHome]]&lt;=15,"11–15 miles",TRUE,"16+ miles")</f>
        <v>16+ miles</v>
      </c>
      <c r="AS19" t="str" cm="1">
        <f t="array" ref="AS19">_xlfn.IFS(CleanEmployeeData[[#This Row],[YearsAtCompany]]&lt;=1,"0–1 years",CleanEmployeeData[[#This Row],[YearsAtCompany]]&lt;=5,"2–5 years",CleanEmployeeData[[#This Row],[YearsAtCompany]]&lt;=10,"6–10 years",TRUE,"11+ years")</f>
        <v>0–1 years</v>
      </c>
    </row>
    <row r="20" spans="1:4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cm="1">
        <f t="array" ref="AJ20">_xlfn.SWITCH(CleanEmployeeData[[#This Row],[Education]],1,"Below College",2,"College",3,"Bachelor",4,"Master",5,"Doctor","Unknown")</f>
        <v>Master</v>
      </c>
      <c r="AK20" t="str" cm="1">
        <f t="array" ref="AK20">_xlfn.SWITCH(CleanEmployeeData[[#This Row],[EnvironmentSatisfaction]],1,"Low",2,"Medium",3,"High",4,"Very High","Unknown")</f>
        <v>Low</v>
      </c>
      <c r="AL20" t="str" cm="1">
        <f t="array" ref="AL20">_xlfn.SWITCH(CleanEmployeeData[[#This Row],[JobInvolvement]],1,"Low",2,"Medium",3,"High",4,"Very High","Unknown")</f>
        <v>Medium</v>
      </c>
      <c r="AM20" t="str" cm="1">
        <f t="array" ref="AM20">_xlfn.SWITCH(CleanEmployeeData[[#This Row],[JobSatisfaction]],1,"Low",2,"Medium",3,"High",4,"Very High","Unknown")</f>
        <v>Very High</v>
      </c>
      <c r="AN20" t="str" cm="1">
        <f t="array" ref="AN20">_xlfn.SWITCH(CleanEmployeeData[[#This Row],[PerformanceRating]],1,"Low",2,"Good",3,"Excellent",4,"Outstanding","Unknown")</f>
        <v>Excellent</v>
      </c>
      <c r="AO20" t="str" cm="1">
        <f t="array" ref="AO20">_xlfn.SWITCH(CleanEmployeeData[[#This Row],[WorkLifeBalance]],1,"Bad",2,"Good",3,"Better",4,"Best","Unknown")</f>
        <v>Better</v>
      </c>
      <c r="AP20">
        <f>IF(CleanEmployeeData[[#This Row],[Attrition]]="Yes",1,IF(CleanEmployeeData[[#This Row],[Attrition]]="No",0,""))</f>
        <v>0</v>
      </c>
      <c r="AQ20" t="str" cm="1">
        <f t="array" ref="AQ20">_xlfn.IFS(CleanEmployeeData[[#This Row],[MonthlyIncome]]&lt;=3000,"0–3,000",CleanEmployeeData[[#This Row],[MonthlyIncome]]&lt;=6000,"3,001–6,000",CleanEmployeeData[[#This Row],[MonthlyIncome]]&lt;=10000,"6,001–10,000",TRUE,"10,001+")</f>
        <v>10,001+</v>
      </c>
      <c r="AR20" t="str" cm="1">
        <f t="array" ref="AR20">_xlfn.IFS(CleanEmployeeData[[#This Row],[DistanceFromHome]]&lt;=5,"0–5 miles",CleanEmployeeData[[#This Row],[DistanceFromHome]]&lt;=10,"6–10 miles",CleanEmployeeData[[#This Row],[DistanceFromHome]]&lt;=15,"11–15 miles",TRUE,"16+ miles")</f>
        <v>0–5 miles</v>
      </c>
      <c r="AS20" t="str" cm="1">
        <f t="array" ref="AS20">_xlfn.IFS(CleanEmployeeData[[#This Row],[YearsAtCompany]]&lt;=1,"0–1 years",CleanEmployeeData[[#This Row],[YearsAtCompany]]&lt;=5,"2–5 years",CleanEmployeeData[[#This Row],[YearsAtCompany]]&lt;=10,"6–10 years",TRUE,"11+ years")</f>
        <v>11+ years</v>
      </c>
    </row>
    <row r="21" spans="1:4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cm="1">
        <f t="array" ref="AJ21">_xlfn.SWITCH(CleanEmployeeData[[#This Row],[Education]],1,"Below College",2,"College",3,"Bachelor",4,"Master",5,"Doctor","Unknown")</f>
        <v>Bachelor</v>
      </c>
      <c r="AK21" t="str" cm="1">
        <f t="array" ref="AK21">_xlfn.SWITCH(CleanEmployeeData[[#This Row],[EnvironmentSatisfaction]],1,"Low",2,"Medium",3,"High",4,"Very High","Unknown")</f>
        <v>Very High</v>
      </c>
      <c r="AL21" t="str" cm="1">
        <f t="array" ref="AL21">_xlfn.SWITCH(CleanEmployeeData[[#This Row],[JobInvolvement]],1,"Low",2,"Medium",3,"High",4,"Very High","Unknown")</f>
        <v>High</v>
      </c>
      <c r="AM21" t="str" cm="1">
        <f t="array" ref="AM21">_xlfn.SWITCH(CleanEmployeeData[[#This Row],[JobSatisfaction]],1,"Low",2,"Medium",3,"High",4,"Very High","Unknown")</f>
        <v>Very High</v>
      </c>
      <c r="AN21" t="str" cm="1">
        <f t="array" ref="AN21">_xlfn.SWITCH(CleanEmployeeData[[#This Row],[PerformanceRating]],1,"Low",2,"Good",3,"Excellent",4,"Outstanding","Unknown")</f>
        <v>Excellent</v>
      </c>
      <c r="AO21" t="str" cm="1">
        <f t="array" ref="AO21">_xlfn.SWITCH(CleanEmployeeData[[#This Row],[WorkLifeBalance]],1,"Bad",2,"Good",3,"Better",4,"Best","Unknown")</f>
        <v>Better</v>
      </c>
      <c r="AP21">
        <f>IF(CleanEmployeeData[[#This Row],[Attrition]]="Yes",1,IF(CleanEmployeeData[[#This Row],[Attrition]]="No",0,""))</f>
        <v>0</v>
      </c>
      <c r="AQ21" t="str" cm="1">
        <f t="array" ref="AQ21">_xlfn.IFS(CleanEmployeeData[[#This Row],[MonthlyIncome]]&lt;=3000,"0–3,000",CleanEmployeeData[[#This Row],[MonthlyIncome]]&lt;=6000,"3,001–6,000",CleanEmployeeData[[#This Row],[MonthlyIncome]]&lt;=10000,"6,001–10,000",TRUE,"10,001+")</f>
        <v>3,001–6,000</v>
      </c>
      <c r="AR21" t="str" cm="1">
        <f t="array" ref="AR21">_xlfn.IFS(CleanEmployeeData[[#This Row],[DistanceFromHome]]&lt;=5,"0–5 miles",CleanEmployeeData[[#This Row],[DistanceFromHome]]&lt;=10,"6–10 miles",CleanEmployeeData[[#This Row],[DistanceFromHome]]&lt;=15,"11–15 miles",TRUE,"16+ miles")</f>
        <v>0–5 miles</v>
      </c>
      <c r="AS21" t="str" cm="1">
        <f t="array" ref="AS21">_xlfn.IFS(CleanEmployeeData[[#This Row],[YearsAtCompany]]&lt;=1,"0–1 years",CleanEmployeeData[[#This Row],[YearsAtCompany]]&lt;=5,"2–5 years",CleanEmployeeData[[#This Row],[YearsAtCompany]]&lt;=10,"6–10 years",TRUE,"11+ years")</f>
        <v>2–5 years</v>
      </c>
    </row>
    <row r="22" spans="1:4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cm="1">
        <f t="array" ref="AJ22">_xlfn.SWITCH(CleanEmployeeData[[#This Row],[Education]],1,"Below College",2,"College",3,"Bachelor",4,"Master",5,"Doctor","Unknown")</f>
        <v>College</v>
      </c>
      <c r="AK22" t="str" cm="1">
        <f t="array" ref="AK22">_xlfn.SWITCH(CleanEmployeeData[[#This Row],[EnvironmentSatisfaction]],1,"Low",2,"Medium",3,"High",4,"Very High","Unknown")</f>
        <v>Low</v>
      </c>
      <c r="AL22" t="str" cm="1">
        <f t="array" ref="AL22">_xlfn.SWITCH(CleanEmployeeData[[#This Row],[JobInvolvement]],1,"Low",2,"Medium",3,"High",4,"Very High","Unknown")</f>
        <v>Very High</v>
      </c>
      <c r="AM22" t="str" cm="1">
        <f t="array" ref="AM22">_xlfn.SWITCH(CleanEmployeeData[[#This Row],[JobSatisfaction]],1,"Low",2,"Medium",3,"High",4,"Very High","Unknown")</f>
        <v>High</v>
      </c>
      <c r="AN22" t="str" cm="1">
        <f t="array" ref="AN22">_xlfn.SWITCH(CleanEmployeeData[[#This Row],[PerformanceRating]],1,"Low",2,"Good",3,"Excellent",4,"Outstanding","Unknown")</f>
        <v>Excellent</v>
      </c>
      <c r="AO22" t="str" cm="1">
        <f t="array" ref="AO22">_xlfn.SWITCH(CleanEmployeeData[[#This Row],[WorkLifeBalance]],1,"Bad",2,"Good",3,"Better",4,"Best","Unknown")</f>
        <v>Good</v>
      </c>
      <c r="AP22">
        <f>IF(CleanEmployeeData[[#This Row],[Attrition]]="Yes",1,IF(CleanEmployeeData[[#This Row],[Attrition]]="No",0,""))</f>
        <v>0</v>
      </c>
      <c r="AQ22" t="str" cm="1">
        <f t="array" ref="AQ22">_xlfn.IFS(CleanEmployeeData[[#This Row],[MonthlyIncome]]&lt;=3000,"0–3,000",CleanEmployeeData[[#This Row],[MonthlyIncome]]&lt;=6000,"3,001–6,000",CleanEmployeeData[[#This Row],[MonthlyIncome]]&lt;=10000,"6,001–10,000",TRUE,"10,001+")</f>
        <v>3,001–6,000</v>
      </c>
      <c r="AR22" t="str" cm="1">
        <f t="array" ref="AR22">_xlfn.IFS(CleanEmployeeData[[#This Row],[DistanceFromHome]]&lt;=5,"0–5 miles",CleanEmployeeData[[#This Row],[DistanceFromHome]]&lt;=10,"6–10 miles",CleanEmployeeData[[#This Row],[DistanceFromHome]]&lt;=15,"11–15 miles",TRUE,"16+ miles")</f>
        <v>11–15 miles</v>
      </c>
      <c r="AS22" t="str" cm="1">
        <f t="array" ref="AS22">_xlfn.IFS(CleanEmployeeData[[#This Row],[YearsAtCompany]]&lt;=1,"0–1 years",CleanEmployeeData[[#This Row],[YearsAtCompany]]&lt;=5,"2–5 years",CleanEmployeeData[[#This Row],[YearsAtCompany]]&lt;=10,"6–10 years",TRUE,"11+ years")</f>
        <v>2–5 years</v>
      </c>
    </row>
    <row r="23" spans="1:4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cm="1">
        <f t="array" ref="AJ23">_xlfn.SWITCH(CleanEmployeeData[[#This Row],[Education]],1,"Below College",2,"College",3,"Bachelor",4,"Master",5,"Doctor","Unknown")</f>
        <v>Master</v>
      </c>
      <c r="AK23" t="str" cm="1">
        <f t="array" ref="AK23">_xlfn.SWITCH(CleanEmployeeData[[#This Row],[EnvironmentSatisfaction]],1,"Low",2,"Medium",3,"High",4,"Very High","Unknown")</f>
        <v>High</v>
      </c>
      <c r="AL23" t="str" cm="1">
        <f t="array" ref="AL23">_xlfn.SWITCH(CleanEmployeeData[[#This Row],[JobInvolvement]],1,"Low",2,"Medium",3,"High",4,"Very High","Unknown")</f>
        <v>Medium</v>
      </c>
      <c r="AM23" t="str" cm="1">
        <f t="array" ref="AM23">_xlfn.SWITCH(CleanEmployeeData[[#This Row],[JobSatisfaction]],1,"Low",2,"Medium",3,"High",4,"Very High","Unknown")</f>
        <v>Low</v>
      </c>
      <c r="AN23" t="str" cm="1">
        <f t="array" ref="AN23">_xlfn.SWITCH(CleanEmployeeData[[#This Row],[PerformanceRating]],1,"Low",2,"Good",3,"Excellent",4,"Outstanding","Unknown")</f>
        <v>Outstanding</v>
      </c>
      <c r="AO23" t="str" cm="1">
        <f t="array" ref="AO23">_xlfn.SWITCH(CleanEmployeeData[[#This Row],[WorkLifeBalance]],1,"Bad",2,"Good",3,"Better",4,"Best","Unknown")</f>
        <v>Better</v>
      </c>
      <c r="AP23">
        <f>IF(CleanEmployeeData[[#This Row],[Attrition]]="Yes",1,IF(CleanEmployeeData[[#This Row],[Attrition]]="No",0,""))</f>
        <v>1</v>
      </c>
      <c r="AQ23" t="str" cm="1">
        <f t="array" ref="AQ23">_xlfn.IFS(CleanEmployeeData[[#This Row],[MonthlyIncome]]&lt;=3000,"0–3,000",CleanEmployeeData[[#This Row],[MonthlyIncome]]&lt;=6000,"3,001–6,000",CleanEmployeeData[[#This Row],[MonthlyIncome]]&lt;=10000,"6,001–10,000",TRUE,"10,001+")</f>
        <v>3,001–6,000</v>
      </c>
      <c r="AR23" t="str" cm="1">
        <f t="array" ref="AR23">_xlfn.IFS(CleanEmployeeData[[#This Row],[DistanceFromHome]]&lt;=5,"0–5 miles",CleanEmployeeData[[#This Row],[DistanceFromHome]]&lt;=10,"6–10 miles",CleanEmployeeData[[#This Row],[DistanceFromHome]]&lt;=15,"11–15 miles",TRUE,"16+ miles")</f>
        <v>6–10 miles</v>
      </c>
      <c r="AS23" t="str" cm="1">
        <f t="array" ref="AS23">_xlfn.IFS(CleanEmployeeData[[#This Row],[YearsAtCompany]]&lt;=1,"0–1 years",CleanEmployeeData[[#This Row],[YearsAtCompany]]&lt;=5,"2–5 years",CleanEmployeeData[[#This Row],[YearsAtCompany]]&lt;=10,"6–10 years",TRUE,"11+ years")</f>
        <v>2–5 years</v>
      </c>
    </row>
    <row r="24" spans="1:4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cm="1">
        <f t="array" ref="AJ24">_xlfn.SWITCH(CleanEmployeeData[[#This Row],[Education]],1,"Below College",2,"College",3,"Bachelor",4,"Master",5,"Doctor","Unknown")</f>
        <v>Master</v>
      </c>
      <c r="AK24" t="str" cm="1">
        <f t="array" ref="AK24">_xlfn.SWITCH(CleanEmployeeData[[#This Row],[EnvironmentSatisfaction]],1,"Low",2,"Medium",3,"High",4,"Very High","Unknown")</f>
        <v>Low</v>
      </c>
      <c r="AL24" t="str" cm="1">
        <f t="array" ref="AL24">_xlfn.SWITCH(CleanEmployeeData[[#This Row],[JobInvolvement]],1,"Low",2,"Medium",3,"High",4,"Very High","Unknown")</f>
        <v>High</v>
      </c>
      <c r="AM24" t="str" cm="1">
        <f t="array" ref="AM24">_xlfn.SWITCH(CleanEmployeeData[[#This Row],[JobSatisfaction]],1,"Low",2,"Medium",3,"High",4,"Very High","Unknown")</f>
        <v>Medium</v>
      </c>
      <c r="AN24" t="str" cm="1">
        <f t="array" ref="AN24">_xlfn.SWITCH(CleanEmployeeData[[#This Row],[PerformanceRating]],1,"Low",2,"Good",3,"Excellent",4,"Outstanding","Unknown")</f>
        <v>Excellent</v>
      </c>
      <c r="AO24" t="str" cm="1">
        <f t="array" ref="AO24">_xlfn.SWITCH(CleanEmployeeData[[#This Row],[WorkLifeBalance]],1,"Bad",2,"Good",3,"Better",4,"Best","Unknown")</f>
        <v>Better</v>
      </c>
      <c r="AP24">
        <f>IF(CleanEmployeeData[[#This Row],[Attrition]]="Yes",1,IF(CleanEmployeeData[[#This Row],[Attrition]]="No",0,""))</f>
        <v>0</v>
      </c>
      <c r="AQ24" t="str" cm="1">
        <f t="array" ref="AQ24">_xlfn.IFS(CleanEmployeeData[[#This Row],[MonthlyIncome]]&lt;=3000,"0–3,000",CleanEmployeeData[[#This Row],[MonthlyIncome]]&lt;=6000,"3,001–6,000",CleanEmployeeData[[#This Row],[MonthlyIncome]]&lt;=10000,"6,001–10,000",TRUE,"10,001+")</f>
        <v>10,001+</v>
      </c>
      <c r="AR24" t="str" cm="1">
        <f t="array" ref="AR24">_xlfn.IFS(CleanEmployeeData[[#This Row],[DistanceFromHome]]&lt;=5,"0–5 miles",CleanEmployeeData[[#This Row],[DistanceFromHome]]&lt;=10,"6–10 miles",CleanEmployeeData[[#This Row],[DistanceFromHome]]&lt;=15,"11–15 miles",TRUE,"16+ miles")</f>
        <v>6–10 miles</v>
      </c>
      <c r="AS24" t="str" cm="1">
        <f t="array" ref="AS24">_xlfn.IFS(CleanEmployeeData[[#This Row],[YearsAtCompany]]&lt;=1,"0–1 years",CleanEmployeeData[[#This Row],[YearsAtCompany]]&lt;=5,"2–5 years",CleanEmployeeData[[#This Row],[YearsAtCompany]]&lt;=10,"6–10 years",TRUE,"11+ years")</f>
        <v>11+ years</v>
      </c>
    </row>
    <row r="25" spans="1:4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cm="1">
        <f t="array" ref="AJ25">_xlfn.SWITCH(CleanEmployeeData[[#This Row],[Education]],1,"Below College",2,"College",3,"Bachelor",4,"Master",5,"Doctor","Unknown")</f>
        <v>College</v>
      </c>
      <c r="AK25" t="str" cm="1">
        <f t="array" ref="AK25">_xlfn.SWITCH(CleanEmployeeData[[#This Row],[EnvironmentSatisfaction]],1,"Low",2,"Medium",3,"High",4,"Very High","Unknown")</f>
        <v>High</v>
      </c>
      <c r="AL25" t="str" cm="1">
        <f t="array" ref="AL25">_xlfn.SWITCH(CleanEmployeeData[[#This Row],[JobInvolvement]],1,"Low",2,"Medium",3,"High",4,"Very High","Unknown")</f>
        <v>High</v>
      </c>
      <c r="AM25" t="str" cm="1">
        <f t="array" ref="AM25">_xlfn.SWITCH(CleanEmployeeData[[#This Row],[JobSatisfaction]],1,"Low",2,"Medium",3,"High",4,"Very High","Unknown")</f>
        <v>Very High</v>
      </c>
      <c r="AN25" t="str" cm="1">
        <f t="array" ref="AN25">_xlfn.SWITCH(CleanEmployeeData[[#This Row],[PerformanceRating]],1,"Low",2,"Good",3,"Excellent",4,"Outstanding","Unknown")</f>
        <v>Excellent</v>
      </c>
      <c r="AO25" t="str" cm="1">
        <f t="array" ref="AO25">_xlfn.SWITCH(CleanEmployeeData[[#This Row],[WorkLifeBalance]],1,"Bad",2,"Good",3,"Better",4,"Best","Unknown")</f>
        <v>Better</v>
      </c>
      <c r="AP25">
        <f>IF(CleanEmployeeData[[#This Row],[Attrition]]="Yes",1,IF(CleanEmployeeData[[#This Row],[Attrition]]="No",0,""))</f>
        <v>0</v>
      </c>
      <c r="AQ25" t="str" cm="1">
        <f t="array" ref="AQ25">_xlfn.IFS(CleanEmployeeData[[#This Row],[MonthlyIncome]]&lt;=3000,"0–3,000",CleanEmployeeData[[#This Row],[MonthlyIncome]]&lt;=6000,"3,001–6,000",CleanEmployeeData[[#This Row],[MonthlyIncome]]&lt;=10000,"6,001–10,000",TRUE,"10,001+")</f>
        <v>0–3,000</v>
      </c>
      <c r="AR25" t="str" cm="1">
        <f t="array" ref="AR25">_xlfn.IFS(CleanEmployeeData[[#This Row],[DistanceFromHome]]&lt;=5,"0–5 miles",CleanEmployeeData[[#This Row],[DistanceFromHome]]&lt;=10,"6–10 miles",CleanEmployeeData[[#This Row],[DistanceFromHome]]&lt;=15,"11–15 miles",TRUE,"16+ miles")</f>
        <v>11–15 miles</v>
      </c>
      <c r="AS25" t="str" cm="1">
        <f t="array" ref="AS25">_xlfn.IFS(CleanEmployeeData[[#This Row],[YearsAtCompany]]&lt;=1,"0–1 years",CleanEmployeeData[[#This Row],[YearsAtCompany]]&lt;=5,"2–5 years",CleanEmployeeData[[#This Row],[YearsAtCompany]]&lt;=10,"6–10 years",TRUE,"11+ years")</f>
        <v>0–1 years</v>
      </c>
    </row>
    <row r="26" spans="1:4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cm="1">
        <f t="array" ref="AJ26">_xlfn.SWITCH(CleanEmployeeData[[#This Row],[Education]],1,"Below College",2,"College",3,"Bachelor",4,"Master",5,"Doctor","Unknown")</f>
        <v>Below College</v>
      </c>
      <c r="AK26" t="str" cm="1">
        <f t="array" ref="AK26">_xlfn.SWITCH(CleanEmployeeData[[#This Row],[EnvironmentSatisfaction]],1,"Low",2,"Medium",3,"High",4,"Very High","Unknown")</f>
        <v>Medium</v>
      </c>
      <c r="AL26" t="str" cm="1">
        <f t="array" ref="AL26">_xlfn.SWITCH(CleanEmployeeData[[#This Row],[JobInvolvement]],1,"Low",2,"Medium",3,"High",4,"Very High","Unknown")</f>
        <v>High</v>
      </c>
      <c r="AM26" t="str" cm="1">
        <f t="array" ref="AM26">_xlfn.SWITCH(CleanEmployeeData[[#This Row],[JobSatisfaction]],1,"Low",2,"Medium",3,"High",4,"Very High","Unknown")</f>
        <v>Low</v>
      </c>
      <c r="AN26" t="str" cm="1">
        <f t="array" ref="AN26">_xlfn.SWITCH(CleanEmployeeData[[#This Row],[PerformanceRating]],1,"Low",2,"Good",3,"Excellent",4,"Outstanding","Unknown")</f>
        <v>Excellent</v>
      </c>
      <c r="AO26" t="str" cm="1">
        <f t="array" ref="AO26">_xlfn.SWITCH(CleanEmployeeData[[#This Row],[WorkLifeBalance]],1,"Bad",2,"Good",3,"Better",4,"Best","Unknown")</f>
        <v>Better</v>
      </c>
      <c r="AP26">
        <f>IF(CleanEmployeeData[[#This Row],[Attrition]]="Yes",1,IF(CleanEmployeeData[[#This Row],[Attrition]]="No",0,""))</f>
        <v>1</v>
      </c>
      <c r="AQ26" t="str" cm="1">
        <f t="array" ref="AQ26">_xlfn.IFS(CleanEmployeeData[[#This Row],[MonthlyIncome]]&lt;=3000,"0–3,000",CleanEmployeeData[[#This Row],[MonthlyIncome]]&lt;=6000,"3,001–6,000",CleanEmployeeData[[#This Row],[MonthlyIncome]]&lt;=10000,"6,001–10,000",TRUE,"10,001+")</f>
        <v>0–3,000</v>
      </c>
      <c r="AR26" t="str" cm="1">
        <f t="array" ref="AR26">_xlfn.IFS(CleanEmployeeData[[#This Row],[DistanceFromHome]]&lt;=5,"0–5 miles",CleanEmployeeData[[#This Row],[DistanceFromHome]]&lt;=10,"6–10 miles",CleanEmployeeData[[#This Row],[DistanceFromHome]]&lt;=15,"11–15 miles",TRUE,"16+ miles")</f>
        <v>6–10 miles</v>
      </c>
      <c r="AS26" t="str" cm="1">
        <f t="array" ref="AS26">_xlfn.IFS(CleanEmployeeData[[#This Row],[YearsAtCompany]]&lt;=1,"0–1 years",CleanEmployeeData[[#This Row],[YearsAtCompany]]&lt;=5,"2–5 years",CleanEmployeeData[[#This Row],[YearsAtCompany]]&lt;=10,"6–10 years",TRUE,"11+ years")</f>
        <v>2–5 years</v>
      </c>
    </row>
    <row r="27" spans="1:4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cm="1">
        <f t="array" ref="AJ27">_xlfn.SWITCH(CleanEmployeeData[[#This Row],[Education]],1,"Below College",2,"College",3,"Bachelor",4,"Master",5,"Doctor","Unknown")</f>
        <v>Bachelor</v>
      </c>
      <c r="AK27" t="str" cm="1">
        <f t="array" ref="AK27">_xlfn.SWITCH(CleanEmployeeData[[#This Row],[EnvironmentSatisfaction]],1,"Low",2,"Medium",3,"High",4,"Very High","Unknown")</f>
        <v>High</v>
      </c>
      <c r="AL27" t="str" cm="1">
        <f t="array" ref="AL27">_xlfn.SWITCH(CleanEmployeeData[[#This Row],[JobInvolvement]],1,"Low",2,"Medium",3,"High",4,"Very High","Unknown")</f>
        <v>High</v>
      </c>
      <c r="AM27" t="str" cm="1">
        <f t="array" ref="AM27">_xlfn.SWITCH(CleanEmployeeData[[#This Row],[JobSatisfaction]],1,"Low",2,"Medium",3,"High",4,"Very High","Unknown")</f>
        <v>High</v>
      </c>
      <c r="AN27" t="str" cm="1">
        <f t="array" ref="AN27">_xlfn.SWITCH(CleanEmployeeData[[#This Row],[PerformanceRating]],1,"Low",2,"Good",3,"Excellent",4,"Outstanding","Unknown")</f>
        <v>Excellent</v>
      </c>
      <c r="AO27" t="str" cm="1">
        <f t="array" ref="AO27">_xlfn.SWITCH(CleanEmployeeData[[#This Row],[WorkLifeBalance]],1,"Bad",2,"Good",3,"Better",4,"Best","Unknown")</f>
        <v>Good</v>
      </c>
      <c r="AP27">
        <f>IF(CleanEmployeeData[[#This Row],[Attrition]]="Yes",1,IF(CleanEmployeeData[[#This Row],[Attrition]]="No",0,""))</f>
        <v>0</v>
      </c>
      <c r="AQ27" t="str" cm="1">
        <f t="array" ref="AQ27">_xlfn.IFS(CleanEmployeeData[[#This Row],[MonthlyIncome]]&lt;=3000,"0–3,000",CleanEmployeeData[[#This Row],[MonthlyIncome]]&lt;=6000,"3,001–6,000",CleanEmployeeData[[#This Row],[MonthlyIncome]]&lt;=10000,"6,001–10,000",TRUE,"10,001+")</f>
        <v>10,001+</v>
      </c>
      <c r="AR27" t="str" cm="1">
        <f t="array" ref="AR27">_xlfn.IFS(CleanEmployeeData[[#This Row],[DistanceFromHome]]&lt;=5,"0–5 miles",CleanEmployeeData[[#This Row],[DistanceFromHome]]&lt;=10,"6–10 miles",CleanEmployeeData[[#This Row],[DistanceFromHome]]&lt;=15,"11–15 miles",TRUE,"16+ miles")</f>
        <v>0–5 miles</v>
      </c>
      <c r="AS27" t="str" cm="1">
        <f t="array" ref="AS27">_xlfn.IFS(CleanEmployeeData[[#This Row],[YearsAtCompany]]&lt;=1,"0–1 years",CleanEmployeeData[[#This Row],[YearsAtCompany]]&lt;=5,"2–5 years",CleanEmployeeData[[#This Row],[YearsAtCompany]]&lt;=10,"6–10 years",TRUE,"11+ years")</f>
        <v>11+ years</v>
      </c>
    </row>
    <row r="28" spans="1:4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cm="1">
        <f t="array" ref="AJ28">_xlfn.SWITCH(CleanEmployeeData[[#This Row],[Education]],1,"Below College",2,"College",3,"Bachelor",4,"Master",5,"Doctor","Unknown")</f>
        <v>Below College</v>
      </c>
      <c r="AK28" t="str" cm="1">
        <f t="array" ref="AK28">_xlfn.SWITCH(CleanEmployeeData[[#This Row],[EnvironmentSatisfaction]],1,"Low",2,"Medium",3,"High",4,"Very High","Unknown")</f>
        <v>Medium</v>
      </c>
      <c r="AL28" t="str" cm="1">
        <f t="array" ref="AL28">_xlfn.SWITCH(CleanEmployeeData[[#This Row],[JobInvolvement]],1,"Low",2,"Medium",3,"High",4,"Very High","Unknown")</f>
        <v>Low</v>
      </c>
      <c r="AM28" t="str" cm="1">
        <f t="array" ref="AM28">_xlfn.SWITCH(CleanEmployeeData[[#This Row],[JobSatisfaction]],1,"Low",2,"Medium",3,"High",4,"Very High","Unknown")</f>
        <v>Low</v>
      </c>
      <c r="AN28" t="str" cm="1">
        <f t="array" ref="AN28">_xlfn.SWITCH(CleanEmployeeData[[#This Row],[PerformanceRating]],1,"Low",2,"Good",3,"Excellent",4,"Outstanding","Unknown")</f>
        <v>Outstanding</v>
      </c>
      <c r="AO28" t="str" cm="1">
        <f t="array" ref="AO28">_xlfn.SWITCH(CleanEmployeeData[[#This Row],[WorkLifeBalance]],1,"Bad",2,"Good",3,"Better",4,"Best","Unknown")</f>
        <v>Better</v>
      </c>
      <c r="AP28">
        <f>IF(CleanEmployeeData[[#This Row],[Attrition]]="Yes",1,IF(CleanEmployeeData[[#This Row],[Attrition]]="No",0,""))</f>
        <v>1</v>
      </c>
      <c r="AQ28" t="str" cm="1">
        <f t="array" ref="AQ28">_xlfn.IFS(CleanEmployeeData[[#This Row],[MonthlyIncome]]&lt;=3000,"0–3,000",CleanEmployeeData[[#This Row],[MonthlyIncome]]&lt;=6000,"3,001–6,000",CleanEmployeeData[[#This Row],[MonthlyIncome]]&lt;=10000,"6,001–10,000",TRUE,"10,001+")</f>
        <v>3,001–6,000</v>
      </c>
      <c r="AR28" t="str" cm="1">
        <f t="array" ref="AR28">_xlfn.IFS(CleanEmployeeData[[#This Row],[DistanceFromHome]]&lt;=5,"0–5 miles",CleanEmployeeData[[#This Row],[DistanceFromHome]]&lt;=10,"6–10 miles",CleanEmployeeData[[#This Row],[DistanceFromHome]]&lt;=15,"11–15 miles",TRUE,"16+ miles")</f>
        <v>16+ miles</v>
      </c>
      <c r="AS28" t="str" cm="1">
        <f t="array" ref="AS28">_xlfn.IFS(CleanEmployeeData[[#This Row],[YearsAtCompany]]&lt;=1,"0–1 years",CleanEmployeeData[[#This Row],[YearsAtCompany]]&lt;=5,"2–5 years",CleanEmployeeData[[#This Row],[YearsAtCompany]]&lt;=10,"6–10 years",TRUE,"11+ years")</f>
        <v>6–10 years</v>
      </c>
    </row>
    <row r="29" spans="1:4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cm="1">
        <f t="array" ref="AJ29">_xlfn.SWITCH(CleanEmployeeData[[#This Row],[Education]],1,"Below College",2,"College",3,"Bachelor",4,"Master",5,"Doctor","Unknown")</f>
        <v>Master</v>
      </c>
      <c r="AK29" t="str" cm="1">
        <f t="array" ref="AK29">_xlfn.SWITCH(CleanEmployeeData[[#This Row],[EnvironmentSatisfaction]],1,"Low",2,"Medium",3,"High",4,"Very High","Unknown")</f>
        <v>High</v>
      </c>
      <c r="AL29" t="str" cm="1">
        <f t="array" ref="AL29">_xlfn.SWITCH(CleanEmployeeData[[#This Row],[JobInvolvement]],1,"Low",2,"Medium",3,"High",4,"Very High","Unknown")</f>
        <v>High</v>
      </c>
      <c r="AM29" t="str" cm="1">
        <f t="array" ref="AM29">_xlfn.SWITCH(CleanEmployeeData[[#This Row],[JobSatisfaction]],1,"Low",2,"Medium",3,"High",4,"Very High","Unknown")</f>
        <v>Medium</v>
      </c>
      <c r="AN29" t="str" cm="1">
        <f t="array" ref="AN29">_xlfn.SWITCH(CleanEmployeeData[[#This Row],[PerformanceRating]],1,"Low",2,"Good",3,"Excellent",4,"Outstanding","Unknown")</f>
        <v>Excellent</v>
      </c>
      <c r="AO29" t="str" cm="1">
        <f t="array" ref="AO29">_xlfn.SWITCH(CleanEmployeeData[[#This Row],[WorkLifeBalance]],1,"Bad",2,"Good",3,"Better",4,"Best","Unknown")</f>
        <v>Better</v>
      </c>
      <c r="AP29">
        <f>IF(CleanEmployeeData[[#This Row],[Attrition]]="Yes",1,IF(CleanEmployeeData[[#This Row],[Attrition]]="No",0,""))</f>
        <v>0</v>
      </c>
      <c r="AQ29" t="str" cm="1">
        <f t="array" ref="AQ29">_xlfn.IFS(CleanEmployeeData[[#This Row],[MonthlyIncome]]&lt;=3000,"0–3,000",CleanEmployeeData[[#This Row],[MonthlyIncome]]&lt;=6000,"3,001–6,000",CleanEmployeeData[[#This Row],[MonthlyIncome]]&lt;=10000,"6,001–10,000",TRUE,"10,001+")</f>
        <v>6,001–10,000</v>
      </c>
      <c r="AR29" t="str" cm="1">
        <f t="array" ref="AR29">_xlfn.IFS(CleanEmployeeData[[#This Row],[DistanceFromHome]]&lt;=5,"0–5 miles",CleanEmployeeData[[#This Row],[DistanceFromHome]]&lt;=10,"6–10 miles",CleanEmployeeData[[#This Row],[DistanceFromHome]]&lt;=15,"11–15 miles",TRUE,"16+ miles")</f>
        <v>6–10 miles</v>
      </c>
      <c r="AS29" t="str" cm="1">
        <f t="array" ref="AS29">_xlfn.IFS(CleanEmployeeData[[#This Row],[YearsAtCompany]]&lt;=1,"0–1 years",CleanEmployeeData[[#This Row],[YearsAtCompany]]&lt;=5,"2–5 years",CleanEmployeeData[[#This Row],[YearsAtCompany]]&lt;=10,"6–10 years",TRUE,"11+ years")</f>
        <v>6–10 years</v>
      </c>
    </row>
    <row r="30" spans="1:4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cm="1">
        <f t="array" ref="AJ30">_xlfn.SWITCH(CleanEmployeeData[[#This Row],[Education]],1,"Below College",2,"College",3,"Bachelor",4,"Master",5,"Doctor","Unknown")</f>
        <v>Master</v>
      </c>
      <c r="AK30" t="str" cm="1">
        <f t="array" ref="AK30">_xlfn.SWITCH(CleanEmployeeData[[#This Row],[EnvironmentSatisfaction]],1,"Low",2,"Medium",3,"High",4,"Very High","Unknown")</f>
        <v>Low</v>
      </c>
      <c r="AL30" t="str" cm="1">
        <f t="array" ref="AL30">_xlfn.SWITCH(CleanEmployeeData[[#This Row],[JobInvolvement]],1,"Low",2,"Medium",3,"High",4,"Very High","Unknown")</f>
        <v>Medium</v>
      </c>
      <c r="AM30" t="str" cm="1">
        <f t="array" ref="AM30">_xlfn.SWITCH(CleanEmployeeData[[#This Row],[JobSatisfaction]],1,"Low",2,"Medium",3,"High",4,"Very High","Unknown")</f>
        <v>Very High</v>
      </c>
      <c r="AN30" t="str" cm="1">
        <f t="array" ref="AN30">_xlfn.SWITCH(CleanEmployeeData[[#This Row],[PerformanceRating]],1,"Low",2,"Good",3,"Excellent",4,"Outstanding","Unknown")</f>
        <v>Excellent</v>
      </c>
      <c r="AO30" t="str" cm="1">
        <f t="array" ref="AO30">_xlfn.SWITCH(CleanEmployeeData[[#This Row],[WorkLifeBalance]],1,"Bad",2,"Good",3,"Better",4,"Best","Unknown")</f>
        <v>Better</v>
      </c>
      <c r="AP30">
        <f>IF(CleanEmployeeData[[#This Row],[Attrition]]="Yes",1,IF(CleanEmployeeData[[#This Row],[Attrition]]="No",0,""))</f>
        <v>0</v>
      </c>
      <c r="AQ30" t="str" cm="1">
        <f t="array" ref="AQ30">_xlfn.IFS(CleanEmployeeData[[#This Row],[MonthlyIncome]]&lt;=3000,"0–3,000",CleanEmployeeData[[#This Row],[MonthlyIncome]]&lt;=6000,"3,001–6,000",CleanEmployeeData[[#This Row],[MonthlyIncome]]&lt;=10000,"6,001–10,000",TRUE,"10,001+")</f>
        <v>10,001+</v>
      </c>
      <c r="AR30" t="str" cm="1">
        <f t="array" ref="AR30">_xlfn.IFS(CleanEmployeeData[[#This Row],[DistanceFromHome]]&lt;=5,"0–5 miles",CleanEmployeeData[[#This Row],[DistanceFromHome]]&lt;=10,"6–10 miles",CleanEmployeeData[[#This Row],[DistanceFromHome]]&lt;=15,"11–15 miles",TRUE,"16+ miles")</f>
        <v>6–10 miles</v>
      </c>
      <c r="AS30" t="str" cm="1">
        <f t="array" ref="AS30">_xlfn.IFS(CleanEmployeeData[[#This Row],[YearsAtCompany]]&lt;=1,"0–1 years",CleanEmployeeData[[#This Row],[YearsAtCompany]]&lt;=5,"2–5 years",CleanEmployeeData[[#This Row],[YearsAtCompany]]&lt;=10,"6–10 years",TRUE,"11+ years")</f>
        <v>11+ years</v>
      </c>
    </row>
    <row r="31" spans="1:4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cm="1">
        <f t="array" ref="AJ31">_xlfn.SWITCH(CleanEmployeeData[[#This Row],[Education]],1,"Below College",2,"College",3,"Bachelor",4,"Master",5,"Doctor","Unknown")</f>
        <v>Master</v>
      </c>
      <c r="AK31" t="str" cm="1">
        <f t="array" ref="AK31">_xlfn.SWITCH(CleanEmployeeData[[#This Row],[EnvironmentSatisfaction]],1,"Low",2,"Medium",3,"High",4,"Very High","Unknown")</f>
        <v>Medium</v>
      </c>
      <c r="AL31" t="str" cm="1">
        <f t="array" ref="AL31">_xlfn.SWITCH(CleanEmployeeData[[#This Row],[JobInvolvement]],1,"Low",2,"Medium",3,"High",4,"Very High","Unknown")</f>
        <v>High</v>
      </c>
      <c r="AM31" t="str" cm="1">
        <f t="array" ref="AM31">_xlfn.SWITCH(CleanEmployeeData[[#This Row],[JobSatisfaction]],1,"Low",2,"Medium",3,"High",4,"Very High","Unknown")</f>
        <v>Low</v>
      </c>
      <c r="AN31" t="str" cm="1">
        <f t="array" ref="AN31">_xlfn.SWITCH(CleanEmployeeData[[#This Row],[PerformanceRating]],1,"Low",2,"Good",3,"Excellent",4,"Outstanding","Unknown")</f>
        <v>Excellent</v>
      </c>
      <c r="AO31" t="str" cm="1">
        <f t="array" ref="AO31">_xlfn.SWITCH(CleanEmployeeData[[#This Row],[WorkLifeBalance]],1,"Bad",2,"Good",3,"Better",4,"Best","Unknown")</f>
        <v>Good</v>
      </c>
      <c r="AP31">
        <f>IF(CleanEmployeeData[[#This Row],[Attrition]]="Yes",1,IF(CleanEmployeeData[[#This Row],[Attrition]]="No",0,""))</f>
        <v>0</v>
      </c>
      <c r="AQ31" t="str" cm="1">
        <f t="array" ref="AQ31">_xlfn.IFS(CleanEmployeeData[[#This Row],[MonthlyIncome]]&lt;=3000,"0–3,000",CleanEmployeeData[[#This Row],[MonthlyIncome]]&lt;=6000,"3,001–6,000",CleanEmployeeData[[#This Row],[MonthlyIncome]]&lt;=10000,"6,001–10,000",TRUE,"10,001+")</f>
        <v>10,001+</v>
      </c>
      <c r="AR31" t="str" cm="1">
        <f t="array" ref="AR31">_xlfn.IFS(CleanEmployeeData[[#This Row],[DistanceFromHome]]&lt;=5,"0–5 miles",CleanEmployeeData[[#This Row],[DistanceFromHome]]&lt;=10,"6–10 miles",CleanEmployeeData[[#This Row],[DistanceFromHome]]&lt;=15,"11–15 miles",TRUE,"16+ miles")</f>
        <v>0–5 miles</v>
      </c>
      <c r="AS31" t="str" cm="1">
        <f t="array" ref="AS31">_xlfn.IFS(CleanEmployeeData[[#This Row],[YearsAtCompany]]&lt;=1,"0–1 years",CleanEmployeeData[[#This Row],[YearsAtCompany]]&lt;=5,"2–5 years",CleanEmployeeData[[#This Row],[YearsAtCompany]]&lt;=10,"6–10 years",TRUE,"11+ years")</f>
        <v>2–5 years</v>
      </c>
    </row>
    <row r="32" spans="1:4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cm="1">
        <f t="array" ref="AJ32">_xlfn.SWITCH(CleanEmployeeData[[#This Row],[Education]],1,"Below College",2,"College",3,"Bachelor",4,"Master",5,"Doctor","Unknown")</f>
        <v>Bachelor</v>
      </c>
      <c r="AK32" t="str" cm="1">
        <f t="array" ref="AK32">_xlfn.SWITCH(CleanEmployeeData[[#This Row],[EnvironmentSatisfaction]],1,"Low",2,"Medium",3,"High",4,"Very High","Unknown")</f>
        <v>High</v>
      </c>
      <c r="AL32" t="str" cm="1">
        <f t="array" ref="AL32">_xlfn.SWITCH(CleanEmployeeData[[#This Row],[JobInvolvement]],1,"Low",2,"Medium",3,"High",4,"Very High","Unknown")</f>
        <v>High</v>
      </c>
      <c r="AM32" t="str" cm="1">
        <f t="array" ref="AM32">_xlfn.SWITCH(CleanEmployeeData[[#This Row],[JobSatisfaction]],1,"Low",2,"Medium",3,"High",4,"Very High","Unknown")</f>
        <v>Very High</v>
      </c>
      <c r="AN32" t="str" cm="1">
        <f t="array" ref="AN32">_xlfn.SWITCH(CleanEmployeeData[[#This Row],[PerformanceRating]],1,"Low",2,"Good",3,"Excellent",4,"Outstanding","Unknown")</f>
        <v>Excellent</v>
      </c>
      <c r="AO32" t="str" cm="1">
        <f t="array" ref="AO32">_xlfn.SWITCH(CleanEmployeeData[[#This Row],[WorkLifeBalance]],1,"Bad",2,"Good",3,"Better",4,"Best","Unknown")</f>
        <v>Better</v>
      </c>
      <c r="AP32">
        <f>IF(CleanEmployeeData[[#This Row],[Attrition]]="Yes",1,IF(CleanEmployeeData[[#This Row],[Attrition]]="No",0,""))</f>
        <v>0</v>
      </c>
      <c r="AQ32" t="str" cm="1">
        <f t="array" ref="AQ32">_xlfn.IFS(CleanEmployeeData[[#This Row],[MonthlyIncome]]&lt;=3000,"0–3,000",CleanEmployeeData[[#This Row],[MonthlyIncome]]&lt;=6000,"3,001–6,000",CleanEmployeeData[[#This Row],[MonthlyIncome]]&lt;=10000,"6,001–10,000",TRUE,"10,001+")</f>
        <v>0–3,000</v>
      </c>
      <c r="AR32" t="str" cm="1">
        <f t="array" ref="AR32">_xlfn.IFS(CleanEmployeeData[[#This Row],[DistanceFromHome]]&lt;=5,"0–5 miles",CleanEmployeeData[[#This Row],[DistanceFromHome]]&lt;=10,"6–10 miles",CleanEmployeeData[[#This Row],[DistanceFromHome]]&lt;=15,"11–15 miles",TRUE,"16+ miles")</f>
        <v>0–5 miles</v>
      </c>
      <c r="AS32" t="str" cm="1">
        <f t="array" ref="AS32">_xlfn.IFS(CleanEmployeeData[[#This Row],[YearsAtCompany]]&lt;=1,"0–1 years",CleanEmployeeData[[#This Row],[YearsAtCompany]]&lt;=5,"2–5 years",CleanEmployeeData[[#This Row],[YearsAtCompany]]&lt;=10,"6–10 years",TRUE,"11+ years")</f>
        <v>0–1 years</v>
      </c>
    </row>
    <row r="33" spans="1:4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cm="1">
        <f t="array" ref="AJ33">_xlfn.SWITCH(CleanEmployeeData[[#This Row],[Education]],1,"Below College",2,"College",3,"Bachelor",4,"Master",5,"Doctor","Unknown")</f>
        <v>Master</v>
      </c>
      <c r="AK33" t="str" cm="1">
        <f t="array" ref="AK33">_xlfn.SWITCH(CleanEmployeeData[[#This Row],[EnvironmentSatisfaction]],1,"Low",2,"Medium",3,"High",4,"Very High","Unknown")</f>
        <v>Very High</v>
      </c>
      <c r="AL33" t="str" cm="1">
        <f t="array" ref="AL33">_xlfn.SWITCH(CleanEmployeeData[[#This Row],[JobInvolvement]],1,"Low",2,"Medium",3,"High",4,"Very High","Unknown")</f>
        <v>High</v>
      </c>
      <c r="AM33" t="str" cm="1">
        <f t="array" ref="AM33">_xlfn.SWITCH(CleanEmployeeData[[#This Row],[JobSatisfaction]],1,"Low",2,"Medium",3,"High",4,"Very High","Unknown")</f>
        <v>Very High</v>
      </c>
      <c r="AN33" t="str" cm="1">
        <f t="array" ref="AN33">_xlfn.SWITCH(CleanEmployeeData[[#This Row],[PerformanceRating]],1,"Low",2,"Good",3,"Excellent",4,"Outstanding","Unknown")</f>
        <v>Excellent</v>
      </c>
      <c r="AO33" t="str" cm="1">
        <f t="array" ref="AO33">_xlfn.SWITCH(CleanEmployeeData[[#This Row],[WorkLifeBalance]],1,"Bad",2,"Good",3,"Better",4,"Best","Unknown")</f>
        <v>Best</v>
      </c>
      <c r="AP33">
        <f>IF(CleanEmployeeData[[#This Row],[Attrition]]="Yes",1,IF(CleanEmployeeData[[#This Row],[Attrition]]="No",0,""))</f>
        <v>0</v>
      </c>
      <c r="AQ33" t="str" cm="1">
        <f t="array" ref="AQ33">_xlfn.IFS(CleanEmployeeData[[#This Row],[MonthlyIncome]]&lt;=3000,"0–3,000",CleanEmployeeData[[#This Row],[MonthlyIncome]]&lt;=6000,"3,001–6,000",CleanEmployeeData[[#This Row],[MonthlyIncome]]&lt;=10000,"6,001–10,000",TRUE,"10,001+")</f>
        <v>6,001–10,000</v>
      </c>
      <c r="AR33" t="str" cm="1">
        <f t="array" ref="AR33">_xlfn.IFS(CleanEmployeeData[[#This Row],[DistanceFromHome]]&lt;=5,"0–5 miles",CleanEmployeeData[[#This Row],[DistanceFromHome]]&lt;=10,"6–10 miles",CleanEmployeeData[[#This Row],[DistanceFromHome]]&lt;=15,"11–15 miles",TRUE,"16+ miles")</f>
        <v>6–10 miles</v>
      </c>
      <c r="AS33" t="str" cm="1">
        <f t="array" ref="AS33">_xlfn.IFS(CleanEmployeeData[[#This Row],[YearsAtCompany]]&lt;=1,"0–1 years",CleanEmployeeData[[#This Row],[YearsAtCompany]]&lt;=5,"2–5 years",CleanEmployeeData[[#This Row],[YearsAtCompany]]&lt;=10,"6–10 years",TRUE,"11+ years")</f>
        <v>2–5 years</v>
      </c>
    </row>
    <row r="34" spans="1:4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cm="1">
        <f t="array" ref="AJ34">_xlfn.SWITCH(CleanEmployeeData[[#This Row],[Education]],1,"Below College",2,"College",3,"Bachelor",4,"Master",5,"Doctor","Unknown")</f>
        <v>College</v>
      </c>
      <c r="AK34" t="str" cm="1">
        <f t="array" ref="AK34">_xlfn.SWITCH(CleanEmployeeData[[#This Row],[EnvironmentSatisfaction]],1,"Low",2,"Medium",3,"High",4,"Very High","Unknown")</f>
        <v>Very High</v>
      </c>
      <c r="AL34" t="str" cm="1">
        <f t="array" ref="AL34">_xlfn.SWITCH(CleanEmployeeData[[#This Row],[JobInvolvement]],1,"Low",2,"Medium",3,"High",4,"Very High","Unknown")</f>
        <v>Medium</v>
      </c>
      <c r="AM34" t="str" cm="1">
        <f t="array" ref="AM34">_xlfn.SWITCH(CleanEmployeeData[[#This Row],[JobSatisfaction]],1,"Low",2,"Medium",3,"High",4,"Very High","Unknown")</f>
        <v>High</v>
      </c>
      <c r="AN34" t="str" cm="1">
        <f t="array" ref="AN34">_xlfn.SWITCH(CleanEmployeeData[[#This Row],[PerformanceRating]],1,"Low",2,"Good",3,"Excellent",4,"Outstanding","Unknown")</f>
        <v>Excellent</v>
      </c>
      <c r="AO34" t="str" cm="1">
        <f t="array" ref="AO34">_xlfn.SWITCH(CleanEmployeeData[[#This Row],[WorkLifeBalance]],1,"Bad",2,"Good",3,"Better",4,"Best","Unknown")</f>
        <v>Better</v>
      </c>
      <c r="AP34">
        <f>IF(CleanEmployeeData[[#This Row],[Attrition]]="Yes",1,IF(CleanEmployeeData[[#This Row],[Attrition]]="No",0,""))</f>
        <v>0</v>
      </c>
      <c r="AQ34" t="str" cm="1">
        <f t="array" ref="AQ34">_xlfn.IFS(CleanEmployeeData[[#This Row],[MonthlyIncome]]&lt;=3000,"0–3,000",CleanEmployeeData[[#This Row],[MonthlyIncome]]&lt;=6000,"3,001–6,000",CleanEmployeeData[[#This Row],[MonthlyIncome]]&lt;=10000,"6,001–10,000",TRUE,"10,001+")</f>
        <v>0–3,000</v>
      </c>
      <c r="AR34" t="str" cm="1">
        <f t="array" ref="AR34">_xlfn.IFS(CleanEmployeeData[[#This Row],[DistanceFromHome]]&lt;=5,"0–5 miles",CleanEmployeeData[[#This Row],[DistanceFromHome]]&lt;=10,"6–10 miles",CleanEmployeeData[[#This Row],[DistanceFromHome]]&lt;=15,"11–15 miles",TRUE,"16+ miles")</f>
        <v>6–10 miles</v>
      </c>
      <c r="AS34" t="str" cm="1">
        <f t="array" ref="AS34">_xlfn.IFS(CleanEmployeeData[[#This Row],[YearsAtCompany]]&lt;=1,"0–1 years",CleanEmployeeData[[#This Row],[YearsAtCompany]]&lt;=5,"2–5 years",CleanEmployeeData[[#This Row],[YearsAtCompany]]&lt;=10,"6–10 years",TRUE,"11+ years")</f>
        <v>6–10 years</v>
      </c>
    </row>
    <row r="35" spans="1:4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cm="1">
        <f t="array" ref="AJ35">_xlfn.SWITCH(CleanEmployeeData[[#This Row],[Education]],1,"Below College",2,"College",3,"Bachelor",4,"Master",5,"Doctor","Unknown")</f>
        <v>Bachelor</v>
      </c>
      <c r="AK35" t="str" cm="1">
        <f t="array" ref="AK35">_xlfn.SWITCH(CleanEmployeeData[[#This Row],[EnvironmentSatisfaction]],1,"Low",2,"Medium",3,"High",4,"Very High","Unknown")</f>
        <v>Very High</v>
      </c>
      <c r="AL35" t="str" cm="1">
        <f t="array" ref="AL35">_xlfn.SWITCH(CleanEmployeeData[[#This Row],[JobInvolvement]],1,"Low",2,"Medium",3,"High",4,"Very High","Unknown")</f>
        <v>High</v>
      </c>
      <c r="AM35" t="str" cm="1">
        <f t="array" ref="AM35">_xlfn.SWITCH(CleanEmployeeData[[#This Row],[JobSatisfaction]],1,"Low",2,"Medium",3,"High",4,"Very High","Unknown")</f>
        <v>Very High</v>
      </c>
      <c r="AN35" t="str" cm="1">
        <f t="array" ref="AN35">_xlfn.SWITCH(CleanEmployeeData[[#This Row],[PerformanceRating]],1,"Low",2,"Good",3,"Excellent",4,"Outstanding","Unknown")</f>
        <v>Excellent</v>
      </c>
      <c r="AO35" t="str" cm="1">
        <f t="array" ref="AO35">_xlfn.SWITCH(CleanEmployeeData[[#This Row],[WorkLifeBalance]],1,"Bad",2,"Good",3,"Better",4,"Best","Unknown")</f>
        <v>Best</v>
      </c>
      <c r="AP35">
        <f>IF(CleanEmployeeData[[#This Row],[Attrition]]="Yes",1,IF(CleanEmployeeData[[#This Row],[Attrition]]="No",0,""))</f>
        <v>1</v>
      </c>
      <c r="AQ35" t="str" cm="1">
        <f t="array" ref="AQ35">_xlfn.IFS(CleanEmployeeData[[#This Row],[MonthlyIncome]]&lt;=3000,"0–3,000",CleanEmployeeData[[#This Row],[MonthlyIncome]]&lt;=6000,"3,001–6,000",CleanEmployeeData[[#This Row],[MonthlyIncome]]&lt;=10000,"6,001–10,000",TRUE,"10,001+")</f>
        <v>0–3,000</v>
      </c>
      <c r="AR35" t="str" cm="1">
        <f t="array" ref="AR35">_xlfn.IFS(CleanEmployeeData[[#This Row],[DistanceFromHome]]&lt;=5,"0–5 miles",CleanEmployeeData[[#This Row],[DistanceFromHome]]&lt;=10,"6–10 miles",CleanEmployeeData[[#This Row],[DistanceFromHome]]&lt;=15,"11–15 miles",TRUE,"16+ miles")</f>
        <v>0–5 miles</v>
      </c>
      <c r="AS35" t="str" cm="1">
        <f t="array" ref="AS35">_xlfn.IFS(CleanEmployeeData[[#This Row],[YearsAtCompany]]&lt;=1,"0–1 years",CleanEmployeeData[[#This Row],[YearsAtCompany]]&lt;=5,"2–5 years",CleanEmployeeData[[#This Row],[YearsAtCompany]]&lt;=10,"6–10 years",TRUE,"11+ years")</f>
        <v>0–1 years</v>
      </c>
    </row>
    <row r="36" spans="1:4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cm="1">
        <f t="array" ref="AJ36">_xlfn.SWITCH(CleanEmployeeData[[#This Row],[Education]],1,"Below College",2,"College",3,"Bachelor",4,"Master",5,"Doctor","Unknown")</f>
        <v>Bachelor</v>
      </c>
      <c r="AK36" t="str" cm="1">
        <f t="array" ref="AK36">_xlfn.SWITCH(CleanEmployeeData[[#This Row],[EnvironmentSatisfaction]],1,"Low",2,"Medium",3,"High",4,"Very High","Unknown")</f>
        <v>Medium</v>
      </c>
      <c r="AL36" t="str" cm="1">
        <f t="array" ref="AL36">_xlfn.SWITCH(CleanEmployeeData[[#This Row],[JobInvolvement]],1,"Low",2,"Medium",3,"High",4,"Very High","Unknown")</f>
        <v>High</v>
      </c>
      <c r="AM36" t="str" cm="1">
        <f t="array" ref="AM36">_xlfn.SWITCH(CleanEmployeeData[[#This Row],[JobSatisfaction]],1,"Low",2,"Medium",3,"High",4,"Very High","Unknown")</f>
        <v>Very High</v>
      </c>
      <c r="AN36" t="str" cm="1">
        <f t="array" ref="AN36">_xlfn.SWITCH(CleanEmployeeData[[#This Row],[PerformanceRating]],1,"Low",2,"Good",3,"Excellent",4,"Outstanding","Unknown")</f>
        <v>Excellent</v>
      </c>
      <c r="AO36" t="str" cm="1">
        <f t="array" ref="AO36">_xlfn.SWITCH(CleanEmployeeData[[#This Row],[WorkLifeBalance]],1,"Bad",2,"Good",3,"Better",4,"Best","Unknown")</f>
        <v>Good</v>
      </c>
      <c r="AP36">
        <f>IF(CleanEmployeeData[[#This Row],[Attrition]]="Yes",1,IF(CleanEmployeeData[[#This Row],[Attrition]]="No",0,""))</f>
        <v>1</v>
      </c>
      <c r="AQ36" t="str" cm="1">
        <f t="array" ref="AQ36">_xlfn.IFS(CleanEmployeeData[[#This Row],[MonthlyIncome]]&lt;=3000,"0–3,000",CleanEmployeeData[[#This Row],[MonthlyIncome]]&lt;=6000,"3,001–6,000",CleanEmployeeData[[#This Row],[MonthlyIncome]]&lt;=10000,"6,001–10,000",TRUE,"10,001+")</f>
        <v>0–3,000</v>
      </c>
      <c r="AR36" t="str" cm="1">
        <f t="array" ref="AR36">_xlfn.IFS(CleanEmployeeData[[#This Row],[DistanceFromHome]]&lt;=5,"0–5 miles",CleanEmployeeData[[#This Row],[DistanceFromHome]]&lt;=10,"6–10 miles",CleanEmployeeData[[#This Row],[DistanceFromHome]]&lt;=15,"11–15 miles",TRUE,"16+ miles")</f>
        <v>0–5 miles</v>
      </c>
      <c r="AS36" t="str" cm="1">
        <f t="array" ref="AS36">_xlfn.IFS(CleanEmployeeData[[#This Row],[YearsAtCompany]]&lt;=1,"0–1 years",CleanEmployeeData[[#This Row],[YearsAtCompany]]&lt;=5,"2–5 years",CleanEmployeeData[[#This Row],[YearsAtCompany]]&lt;=10,"6–10 years",TRUE,"11+ years")</f>
        <v>2–5 years</v>
      </c>
    </row>
    <row r="37" spans="1:4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cm="1">
        <f t="array" ref="AJ37">_xlfn.SWITCH(CleanEmployeeData[[#This Row],[Education]],1,"Below College",2,"College",3,"Bachelor",4,"Master",5,"Doctor","Unknown")</f>
        <v>College</v>
      </c>
      <c r="AK37" t="str" cm="1">
        <f t="array" ref="AK37">_xlfn.SWITCH(CleanEmployeeData[[#This Row],[EnvironmentSatisfaction]],1,"Low",2,"Medium",3,"High",4,"Very High","Unknown")</f>
        <v>Very High</v>
      </c>
      <c r="AL37" t="str" cm="1">
        <f t="array" ref="AL37">_xlfn.SWITCH(CleanEmployeeData[[#This Row],[JobInvolvement]],1,"Low",2,"Medium",3,"High",4,"Very High","Unknown")</f>
        <v>Very High</v>
      </c>
      <c r="AM37" t="str" cm="1">
        <f t="array" ref="AM37">_xlfn.SWITCH(CleanEmployeeData[[#This Row],[JobSatisfaction]],1,"Low",2,"Medium",3,"High",4,"Very High","Unknown")</f>
        <v>High</v>
      </c>
      <c r="AN37" t="str" cm="1">
        <f t="array" ref="AN37">_xlfn.SWITCH(CleanEmployeeData[[#This Row],[PerformanceRating]],1,"Low",2,"Good",3,"Excellent",4,"Outstanding","Unknown")</f>
        <v>Excellent</v>
      </c>
      <c r="AO37" t="str" cm="1">
        <f t="array" ref="AO37">_xlfn.SWITCH(CleanEmployeeData[[#This Row],[WorkLifeBalance]],1,"Bad",2,"Good",3,"Better",4,"Best","Unknown")</f>
        <v>Good</v>
      </c>
      <c r="AP37">
        <f>IF(CleanEmployeeData[[#This Row],[Attrition]]="Yes",1,IF(CleanEmployeeData[[#This Row],[Attrition]]="No",0,""))</f>
        <v>0</v>
      </c>
      <c r="AQ37" t="str" cm="1">
        <f t="array" ref="AQ37">_xlfn.IFS(CleanEmployeeData[[#This Row],[MonthlyIncome]]&lt;=3000,"0–3,000",CleanEmployeeData[[#This Row],[MonthlyIncome]]&lt;=6000,"3,001–6,000",CleanEmployeeData[[#This Row],[MonthlyIncome]]&lt;=10000,"6,001–10,000",TRUE,"10,001+")</f>
        <v>0–3,000</v>
      </c>
      <c r="AR37" t="str" cm="1">
        <f t="array" ref="AR37">_xlfn.IFS(CleanEmployeeData[[#This Row],[DistanceFromHome]]&lt;=5,"0–5 miles",CleanEmployeeData[[#This Row],[DistanceFromHome]]&lt;=10,"6–10 miles",CleanEmployeeData[[#This Row],[DistanceFromHome]]&lt;=15,"11–15 miles",TRUE,"16+ miles")</f>
        <v>0–5 miles</v>
      </c>
      <c r="AS37" t="str" cm="1">
        <f t="array" ref="AS37">_xlfn.IFS(CleanEmployeeData[[#This Row],[YearsAtCompany]]&lt;=1,"0–1 years",CleanEmployeeData[[#This Row],[YearsAtCompany]]&lt;=5,"2–5 years",CleanEmployeeData[[#This Row],[YearsAtCompany]]&lt;=10,"6–10 years",TRUE,"11+ years")</f>
        <v>2–5 years</v>
      </c>
    </row>
    <row r="38" spans="1:4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cm="1">
        <f t="array" ref="AJ38">_xlfn.SWITCH(CleanEmployeeData[[#This Row],[Education]],1,"Below College",2,"College",3,"Bachelor",4,"Master",5,"Doctor","Unknown")</f>
        <v>College</v>
      </c>
      <c r="AK38" t="str" cm="1">
        <f t="array" ref="AK38">_xlfn.SWITCH(CleanEmployeeData[[#This Row],[EnvironmentSatisfaction]],1,"Low",2,"Medium",3,"High",4,"Very High","Unknown")</f>
        <v>Low</v>
      </c>
      <c r="AL38" t="str" cm="1">
        <f t="array" ref="AL38">_xlfn.SWITCH(CleanEmployeeData[[#This Row],[JobInvolvement]],1,"Low",2,"Medium",3,"High",4,"Very High","Unknown")</f>
        <v>Medium</v>
      </c>
      <c r="AM38" t="str" cm="1">
        <f t="array" ref="AM38">_xlfn.SWITCH(CleanEmployeeData[[#This Row],[JobSatisfaction]],1,"Low",2,"Medium",3,"High",4,"Very High","Unknown")</f>
        <v>High</v>
      </c>
      <c r="AN38" t="str" cm="1">
        <f t="array" ref="AN38">_xlfn.SWITCH(CleanEmployeeData[[#This Row],[PerformanceRating]],1,"Low",2,"Good",3,"Excellent",4,"Outstanding","Unknown")</f>
        <v>Excellent</v>
      </c>
      <c r="AO38" t="str" cm="1">
        <f t="array" ref="AO38">_xlfn.SWITCH(CleanEmployeeData[[#This Row],[WorkLifeBalance]],1,"Bad",2,"Good",3,"Better",4,"Best","Unknown")</f>
        <v>Better</v>
      </c>
      <c r="AP38">
        <f>IF(CleanEmployeeData[[#This Row],[Attrition]]="Yes",1,IF(CleanEmployeeData[[#This Row],[Attrition]]="No",0,""))</f>
        <v>1</v>
      </c>
      <c r="AQ38" t="str" cm="1">
        <f t="array" ref="AQ38">_xlfn.IFS(CleanEmployeeData[[#This Row],[MonthlyIncome]]&lt;=3000,"0–3,000",CleanEmployeeData[[#This Row],[MonthlyIncome]]&lt;=6000,"3,001–6,000",CleanEmployeeData[[#This Row],[MonthlyIncome]]&lt;=10000,"6,001–10,000",TRUE,"10,001+")</f>
        <v>0–3,000</v>
      </c>
      <c r="AR38" t="str" cm="1">
        <f t="array" ref="AR38">_xlfn.IFS(CleanEmployeeData[[#This Row],[DistanceFromHome]]&lt;=5,"0–5 miles",CleanEmployeeData[[#This Row],[DistanceFromHome]]&lt;=10,"6–10 miles",CleanEmployeeData[[#This Row],[DistanceFromHome]]&lt;=15,"11–15 miles",TRUE,"16+ miles")</f>
        <v>0–5 miles</v>
      </c>
      <c r="AS38" t="str" cm="1">
        <f t="array" ref="AS38">_xlfn.IFS(CleanEmployeeData[[#This Row],[YearsAtCompany]]&lt;=1,"0–1 years",CleanEmployeeData[[#This Row],[YearsAtCompany]]&lt;=5,"2–5 years",CleanEmployeeData[[#This Row],[YearsAtCompany]]&lt;=10,"6–10 years",TRUE,"11+ years")</f>
        <v>2–5 years</v>
      </c>
    </row>
    <row r="39" spans="1:4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cm="1">
        <f t="array" ref="AJ39">_xlfn.SWITCH(CleanEmployeeData[[#This Row],[Education]],1,"Below College",2,"College",3,"Bachelor",4,"Master",5,"Doctor","Unknown")</f>
        <v>Bachelor</v>
      </c>
      <c r="AK39" t="str" cm="1">
        <f t="array" ref="AK39">_xlfn.SWITCH(CleanEmployeeData[[#This Row],[EnvironmentSatisfaction]],1,"Low",2,"Medium",3,"High",4,"Very High","Unknown")</f>
        <v>Very High</v>
      </c>
      <c r="AL39" t="str" cm="1">
        <f t="array" ref="AL39">_xlfn.SWITCH(CleanEmployeeData[[#This Row],[JobInvolvement]],1,"Low",2,"Medium",3,"High",4,"Very High","Unknown")</f>
        <v>High</v>
      </c>
      <c r="AM39" t="str" cm="1">
        <f t="array" ref="AM39">_xlfn.SWITCH(CleanEmployeeData[[#This Row],[JobSatisfaction]],1,"Low",2,"Medium",3,"High",4,"Very High","Unknown")</f>
        <v>Very High</v>
      </c>
      <c r="AN39" t="str" cm="1">
        <f t="array" ref="AN39">_xlfn.SWITCH(CleanEmployeeData[[#This Row],[PerformanceRating]],1,"Low",2,"Good",3,"Excellent",4,"Outstanding","Unknown")</f>
        <v>Excellent</v>
      </c>
      <c r="AO39" t="str" cm="1">
        <f t="array" ref="AO39">_xlfn.SWITCH(CleanEmployeeData[[#This Row],[WorkLifeBalance]],1,"Bad",2,"Good",3,"Better",4,"Best","Unknown")</f>
        <v>Better</v>
      </c>
      <c r="AP39">
        <f>IF(CleanEmployeeData[[#This Row],[Attrition]]="Yes",1,IF(CleanEmployeeData[[#This Row],[Attrition]]="No",0,""))</f>
        <v>0</v>
      </c>
      <c r="AQ39" t="str" cm="1">
        <f t="array" ref="AQ39">_xlfn.IFS(CleanEmployeeData[[#This Row],[MonthlyIncome]]&lt;=3000,"0–3,000",CleanEmployeeData[[#This Row],[MonthlyIncome]]&lt;=6000,"3,001–6,000",CleanEmployeeData[[#This Row],[MonthlyIncome]]&lt;=10000,"6,001–10,000",TRUE,"10,001+")</f>
        <v>0–3,000</v>
      </c>
      <c r="AR39" t="str" cm="1">
        <f t="array" ref="AR39">_xlfn.IFS(CleanEmployeeData[[#This Row],[DistanceFromHome]]&lt;=5,"0–5 miles",CleanEmployeeData[[#This Row],[DistanceFromHome]]&lt;=10,"6–10 miles",CleanEmployeeData[[#This Row],[DistanceFromHome]]&lt;=15,"11–15 miles",TRUE,"16+ miles")</f>
        <v>0–5 miles</v>
      </c>
      <c r="AS39" t="str" cm="1">
        <f t="array" ref="AS39">_xlfn.IFS(CleanEmployeeData[[#This Row],[YearsAtCompany]]&lt;=1,"0–1 years",CleanEmployeeData[[#This Row],[YearsAtCompany]]&lt;=5,"2–5 years",CleanEmployeeData[[#This Row],[YearsAtCompany]]&lt;=10,"6–10 years",TRUE,"11+ years")</f>
        <v>2–5 years</v>
      </c>
    </row>
    <row r="40" spans="1:4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cm="1">
        <f t="array" ref="AJ40">_xlfn.SWITCH(CleanEmployeeData[[#This Row],[Education]],1,"Below College",2,"College",3,"Bachelor",4,"Master",5,"Doctor","Unknown")</f>
        <v>Master</v>
      </c>
      <c r="AK40" t="str" cm="1">
        <f t="array" ref="AK40">_xlfn.SWITCH(CleanEmployeeData[[#This Row],[EnvironmentSatisfaction]],1,"Low",2,"Medium",3,"High",4,"Very High","Unknown")</f>
        <v>Medium</v>
      </c>
      <c r="AL40" t="str" cm="1">
        <f t="array" ref="AL40">_xlfn.SWITCH(CleanEmployeeData[[#This Row],[JobInvolvement]],1,"Low",2,"Medium",3,"High",4,"Very High","Unknown")</f>
        <v>Medium</v>
      </c>
      <c r="AM40" t="str" cm="1">
        <f t="array" ref="AM40">_xlfn.SWITCH(CleanEmployeeData[[#This Row],[JobSatisfaction]],1,"Low",2,"Medium",3,"High",4,"Very High","Unknown")</f>
        <v>Low</v>
      </c>
      <c r="AN40" t="str" cm="1">
        <f t="array" ref="AN40">_xlfn.SWITCH(CleanEmployeeData[[#This Row],[PerformanceRating]],1,"Low",2,"Good",3,"Excellent",4,"Outstanding","Unknown")</f>
        <v>Excellent</v>
      </c>
      <c r="AO40" t="str" cm="1">
        <f t="array" ref="AO40">_xlfn.SWITCH(CleanEmployeeData[[#This Row],[WorkLifeBalance]],1,"Bad",2,"Good",3,"Better",4,"Best","Unknown")</f>
        <v>Best</v>
      </c>
      <c r="AP40">
        <f>IF(CleanEmployeeData[[#This Row],[Attrition]]="Yes",1,IF(CleanEmployeeData[[#This Row],[Attrition]]="No",0,""))</f>
        <v>0</v>
      </c>
      <c r="AQ40" t="str" cm="1">
        <f t="array" ref="AQ40">_xlfn.IFS(CleanEmployeeData[[#This Row],[MonthlyIncome]]&lt;=3000,"0–3,000",CleanEmployeeData[[#This Row],[MonthlyIncome]]&lt;=6000,"3,001–6,000",CleanEmployeeData[[#This Row],[MonthlyIncome]]&lt;=10000,"6,001–10,000",TRUE,"10,001+")</f>
        <v>3,001–6,000</v>
      </c>
      <c r="AR40" t="str" cm="1">
        <f t="array" ref="AR40">_xlfn.IFS(CleanEmployeeData[[#This Row],[DistanceFromHome]]&lt;=5,"0–5 miles",CleanEmployeeData[[#This Row],[DistanceFromHome]]&lt;=10,"6–10 miles",CleanEmployeeData[[#This Row],[DistanceFromHome]]&lt;=15,"11–15 miles",TRUE,"16+ miles")</f>
        <v>0–5 miles</v>
      </c>
      <c r="AS40" t="str" cm="1">
        <f t="array" ref="AS40">_xlfn.IFS(CleanEmployeeData[[#This Row],[YearsAtCompany]]&lt;=1,"0–1 years",CleanEmployeeData[[#This Row],[YearsAtCompany]]&lt;=5,"2–5 years",CleanEmployeeData[[#This Row],[YearsAtCompany]]&lt;=10,"6–10 years",TRUE,"11+ years")</f>
        <v>0–1 years</v>
      </c>
    </row>
    <row r="41" spans="1:4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cm="1">
        <f t="array" ref="AJ41">_xlfn.SWITCH(CleanEmployeeData[[#This Row],[Education]],1,"Below College",2,"College",3,"Bachelor",4,"Master",5,"Doctor","Unknown")</f>
        <v>Bachelor</v>
      </c>
      <c r="AK41" t="str" cm="1">
        <f t="array" ref="AK41">_xlfn.SWITCH(CleanEmployeeData[[#This Row],[EnvironmentSatisfaction]],1,"Low",2,"Medium",3,"High",4,"Very High","Unknown")</f>
        <v>High</v>
      </c>
      <c r="AL41" t="str" cm="1">
        <f t="array" ref="AL41">_xlfn.SWITCH(CleanEmployeeData[[#This Row],[JobInvolvement]],1,"Low",2,"Medium",3,"High",4,"Very High","Unknown")</f>
        <v>Very High</v>
      </c>
      <c r="AM41" t="str" cm="1">
        <f t="array" ref="AM41">_xlfn.SWITCH(CleanEmployeeData[[#This Row],[JobSatisfaction]],1,"Low",2,"Medium",3,"High",4,"Very High","Unknown")</f>
        <v>Low</v>
      </c>
      <c r="AN41" t="str" cm="1">
        <f t="array" ref="AN41">_xlfn.SWITCH(CleanEmployeeData[[#This Row],[PerformanceRating]],1,"Low",2,"Good",3,"Excellent",4,"Outstanding","Unknown")</f>
        <v>Excellent</v>
      </c>
      <c r="AO41" t="str" cm="1">
        <f t="array" ref="AO41">_xlfn.SWITCH(CleanEmployeeData[[#This Row],[WorkLifeBalance]],1,"Bad",2,"Good",3,"Better",4,"Best","Unknown")</f>
        <v>Better</v>
      </c>
      <c r="AP41">
        <f>IF(CleanEmployeeData[[#This Row],[Attrition]]="Yes",1,IF(CleanEmployeeData[[#This Row],[Attrition]]="No",0,""))</f>
        <v>0</v>
      </c>
      <c r="AQ41" t="str" cm="1">
        <f t="array" ref="AQ41">_xlfn.IFS(CleanEmployeeData[[#This Row],[MonthlyIncome]]&lt;=3000,"0–3,000",CleanEmployeeData[[#This Row],[MonthlyIncome]]&lt;=6000,"3,001–6,000",CleanEmployeeData[[#This Row],[MonthlyIncome]]&lt;=10000,"6,001–10,000",TRUE,"10,001+")</f>
        <v>3,001–6,000</v>
      </c>
      <c r="AR41" t="str" cm="1">
        <f t="array" ref="AR41">_xlfn.IFS(CleanEmployeeData[[#This Row],[DistanceFromHome]]&lt;=5,"0–5 miles",CleanEmployeeData[[#This Row],[DistanceFromHome]]&lt;=10,"6–10 miles",CleanEmployeeData[[#This Row],[DistanceFromHome]]&lt;=15,"11–15 miles",TRUE,"16+ miles")</f>
        <v>0–5 miles</v>
      </c>
      <c r="AS41" t="str" cm="1">
        <f t="array" ref="AS41">_xlfn.IFS(CleanEmployeeData[[#This Row],[YearsAtCompany]]&lt;=1,"0–1 years",CleanEmployeeData[[#This Row],[YearsAtCompany]]&lt;=5,"2–5 years",CleanEmployeeData[[#This Row],[YearsAtCompany]]&lt;=10,"6–10 years",TRUE,"11+ years")</f>
        <v>2–5 years</v>
      </c>
    </row>
    <row r="42" spans="1:4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cm="1">
        <f t="array" ref="AJ42">_xlfn.SWITCH(CleanEmployeeData[[#This Row],[Education]],1,"Below College",2,"College",3,"Bachelor",4,"Master",5,"Doctor","Unknown")</f>
        <v>College</v>
      </c>
      <c r="AK42" t="str" cm="1">
        <f t="array" ref="AK42">_xlfn.SWITCH(CleanEmployeeData[[#This Row],[EnvironmentSatisfaction]],1,"Low",2,"Medium",3,"High",4,"Very High","Unknown")</f>
        <v>High</v>
      </c>
      <c r="AL42" t="str" cm="1">
        <f t="array" ref="AL42">_xlfn.SWITCH(CleanEmployeeData[[#This Row],[JobInvolvement]],1,"Low",2,"Medium",3,"High",4,"Very High","Unknown")</f>
        <v>High</v>
      </c>
      <c r="AM42" t="str" cm="1">
        <f t="array" ref="AM42">_xlfn.SWITCH(CleanEmployeeData[[#This Row],[JobSatisfaction]],1,"Low",2,"Medium",3,"High",4,"Very High","Unknown")</f>
        <v>Very High</v>
      </c>
      <c r="AN42" t="str" cm="1">
        <f t="array" ref="AN42">_xlfn.SWITCH(CleanEmployeeData[[#This Row],[PerformanceRating]],1,"Low",2,"Good",3,"Excellent",4,"Outstanding","Unknown")</f>
        <v>Excellent</v>
      </c>
      <c r="AO42" t="str" cm="1">
        <f t="array" ref="AO42">_xlfn.SWITCH(CleanEmployeeData[[#This Row],[WorkLifeBalance]],1,"Bad",2,"Good",3,"Better",4,"Best","Unknown")</f>
        <v>Better</v>
      </c>
      <c r="AP42">
        <f>IF(CleanEmployeeData[[#This Row],[Attrition]]="Yes",1,IF(CleanEmployeeData[[#This Row],[Attrition]]="No",0,""))</f>
        <v>0</v>
      </c>
      <c r="AQ42" t="str" cm="1">
        <f t="array" ref="AQ42">_xlfn.IFS(CleanEmployeeData[[#This Row],[MonthlyIncome]]&lt;=3000,"0–3,000",CleanEmployeeData[[#This Row],[MonthlyIncome]]&lt;=6000,"3,001–6,000",CleanEmployeeData[[#This Row],[MonthlyIncome]]&lt;=10000,"6,001–10,000",TRUE,"10,001+")</f>
        <v>0–3,000</v>
      </c>
      <c r="AR42" t="str" cm="1">
        <f t="array" ref="AR42">_xlfn.IFS(CleanEmployeeData[[#This Row],[DistanceFromHome]]&lt;=5,"0–5 miles",CleanEmployeeData[[#This Row],[DistanceFromHome]]&lt;=10,"6–10 miles",CleanEmployeeData[[#This Row],[DistanceFromHome]]&lt;=15,"11–15 miles",TRUE,"16+ miles")</f>
        <v>0–5 miles</v>
      </c>
      <c r="AS42" t="str" cm="1">
        <f t="array" ref="AS42">_xlfn.IFS(CleanEmployeeData[[#This Row],[YearsAtCompany]]&lt;=1,"0–1 years",CleanEmployeeData[[#This Row],[YearsAtCompany]]&lt;=5,"2–5 years",CleanEmployeeData[[#This Row],[YearsAtCompany]]&lt;=10,"6–10 years",TRUE,"11+ years")</f>
        <v>0–1 years</v>
      </c>
    </row>
    <row r="43" spans="1:4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cm="1">
        <f t="array" ref="AJ43">_xlfn.SWITCH(CleanEmployeeData[[#This Row],[Education]],1,"Below College",2,"College",3,"Bachelor",4,"Master",5,"Doctor","Unknown")</f>
        <v>Master</v>
      </c>
      <c r="AK43" t="str" cm="1">
        <f t="array" ref="AK43">_xlfn.SWITCH(CleanEmployeeData[[#This Row],[EnvironmentSatisfaction]],1,"Low",2,"Medium",3,"High",4,"Very High","Unknown")</f>
        <v>Very High</v>
      </c>
      <c r="AL43" t="str" cm="1">
        <f t="array" ref="AL43">_xlfn.SWITCH(CleanEmployeeData[[#This Row],[JobInvolvement]],1,"Low",2,"Medium",3,"High",4,"Very High","Unknown")</f>
        <v>High</v>
      </c>
      <c r="AM43" t="str" cm="1">
        <f t="array" ref="AM43">_xlfn.SWITCH(CleanEmployeeData[[#This Row],[JobSatisfaction]],1,"Low",2,"Medium",3,"High",4,"Very High","Unknown")</f>
        <v>Low</v>
      </c>
      <c r="AN43" t="str" cm="1">
        <f t="array" ref="AN43">_xlfn.SWITCH(CleanEmployeeData[[#This Row],[PerformanceRating]],1,"Low",2,"Good",3,"Excellent",4,"Outstanding","Unknown")</f>
        <v>Excellent</v>
      </c>
      <c r="AO43" t="str" cm="1">
        <f t="array" ref="AO43">_xlfn.SWITCH(CleanEmployeeData[[#This Row],[WorkLifeBalance]],1,"Bad",2,"Good",3,"Better",4,"Best","Unknown")</f>
        <v>Better</v>
      </c>
      <c r="AP43">
        <f>IF(CleanEmployeeData[[#This Row],[Attrition]]="Yes",1,IF(CleanEmployeeData[[#This Row],[Attrition]]="No",0,""))</f>
        <v>0</v>
      </c>
      <c r="AQ43" t="str" cm="1">
        <f t="array" ref="AQ43">_xlfn.IFS(CleanEmployeeData[[#This Row],[MonthlyIncome]]&lt;=3000,"0–3,000",CleanEmployeeData[[#This Row],[MonthlyIncome]]&lt;=6000,"3,001–6,000",CleanEmployeeData[[#This Row],[MonthlyIncome]]&lt;=10000,"6,001–10,000",TRUE,"10,001+")</f>
        <v>0–3,000</v>
      </c>
      <c r="AR43" t="str" cm="1">
        <f t="array" ref="AR43">_xlfn.IFS(CleanEmployeeData[[#This Row],[DistanceFromHome]]&lt;=5,"0–5 miles",CleanEmployeeData[[#This Row],[DistanceFromHome]]&lt;=10,"6–10 miles",CleanEmployeeData[[#This Row],[DistanceFromHome]]&lt;=15,"11–15 miles",TRUE,"16+ miles")</f>
        <v>0–5 miles</v>
      </c>
      <c r="AS43" t="str" cm="1">
        <f t="array" ref="AS43">_xlfn.IFS(CleanEmployeeData[[#This Row],[YearsAtCompany]]&lt;=1,"0–1 years",CleanEmployeeData[[#This Row],[YearsAtCompany]]&lt;=5,"2–5 years",CleanEmployeeData[[#This Row],[YearsAtCompany]]&lt;=10,"6–10 years",TRUE,"11+ years")</f>
        <v>0–1 years</v>
      </c>
    </row>
    <row r="44" spans="1:4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cm="1">
        <f t="array" ref="AJ44">_xlfn.SWITCH(CleanEmployeeData[[#This Row],[Education]],1,"Below College",2,"College",3,"Bachelor",4,"Master",5,"Doctor","Unknown")</f>
        <v>Bachelor</v>
      </c>
      <c r="AK44" t="str" cm="1">
        <f t="array" ref="AK44">_xlfn.SWITCH(CleanEmployeeData[[#This Row],[EnvironmentSatisfaction]],1,"Low",2,"Medium",3,"High",4,"Very High","Unknown")</f>
        <v>Low</v>
      </c>
      <c r="AL44" t="str" cm="1">
        <f t="array" ref="AL44">_xlfn.SWITCH(CleanEmployeeData[[#This Row],[JobInvolvement]],1,"Low",2,"Medium",3,"High",4,"Very High","Unknown")</f>
        <v>Low</v>
      </c>
      <c r="AM44" t="str" cm="1">
        <f t="array" ref="AM44">_xlfn.SWITCH(CleanEmployeeData[[#This Row],[JobSatisfaction]],1,"Low",2,"Medium",3,"High",4,"Very High","Unknown")</f>
        <v>High</v>
      </c>
      <c r="AN44" t="str" cm="1">
        <f t="array" ref="AN44">_xlfn.SWITCH(CleanEmployeeData[[#This Row],[PerformanceRating]],1,"Low",2,"Good",3,"Excellent",4,"Outstanding","Unknown")</f>
        <v>Excellent</v>
      </c>
      <c r="AO44" t="str" cm="1">
        <f t="array" ref="AO44">_xlfn.SWITCH(CleanEmployeeData[[#This Row],[WorkLifeBalance]],1,"Bad",2,"Good",3,"Better",4,"Best","Unknown")</f>
        <v>Good</v>
      </c>
      <c r="AP44">
        <f>IF(CleanEmployeeData[[#This Row],[Attrition]]="Yes",1,IF(CleanEmployeeData[[#This Row],[Attrition]]="No",0,""))</f>
        <v>1</v>
      </c>
      <c r="AQ44" t="str" cm="1">
        <f t="array" ref="AQ44">_xlfn.IFS(CleanEmployeeData[[#This Row],[MonthlyIncome]]&lt;=3000,"0–3,000",CleanEmployeeData[[#This Row],[MonthlyIncome]]&lt;=6000,"3,001–6,000",CleanEmployeeData[[#This Row],[MonthlyIncome]]&lt;=10000,"6,001–10,000",TRUE,"10,001+")</f>
        <v>0–3,000</v>
      </c>
      <c r="AR44" t="str" cm="1">
        <f t="array" ref="AR44">_xlfn.IFS(CleanEmployeeData[[#This Row],[DistanceFromHome]]&lt;=5,"0–5 miles",CleanEmployeeData[[#This Row],[DistanceFromHome]]&lt;=10,"6–10 miles",CleanEmployeeData[[#This Row],[DistanceFromHome]]&lt;=15,"11–15 miles",TRUE,"16+ miles")</f>
        <v>16+ miles</v>
      </c>
      <c r="AS44" t="str" cm="1">
        <f t="array" ref="AS44">_xlfn.IFS(CleanEmployeeData[[#This Row],[YearsAtCompany]]&lt;=1,"0–1 years",CleanEmployeeData[[#This Row],[YearsAtCompany]]&lt;=5,"2–5 years",CleanEmployeeData[[#This Row],[YearsAtCompany]]&lt;=10,"6–10 years",TRUE,"11+ years")</f>
        <v>0–1 years</v>
      </c>
    </row>
    <row r="45" spans="1:4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cm="1">
        <f t="array" ref="AJ45">_xlfn.SWITCH(CleanEmployeeData[[#This Row],[Education]],1,"Below College",2,"College",3,"Bachelor",4,"Master",5,"Doctor","Unknown")</f>
        <v>Bachelor</v>
      </c>
      <c r="AK45" t="str" cm="1">
        <f t="array" ref="AK45">_xlfn.SWITCH(CleanEmployeeData[[#This Row],[EnvironmentSatisfaction]],1,"Low",2,"Medium",3,"High",4,"Very High","Unknown")</f>
        <v>Very High</v>
      </c>
      <c r="AL45" t="str" cm="1">
        <f t="array" ref="AL45">_xlfn.SWITCH(CleanEmployeeData[[#This Row],[JobInvolvement]],1,"Low",2,"Medium",3,"High",4,"Very High","Unknown")</f>
        <v>High</v>
      </c>
      <c r="AM45" t="str" cm="1">
        <f t="array" ref="AM45">_xlfn.SWITCH(CleanEmployeeData[[#This Row],[JobSatisfaction]],1,"Low",2,"Medium",3,"High",4,"Very High","Unknown")</f>
        <v>High</v>
      </c>
      <c r="AN45" t="str" cm="1">
        <f t="array" ref="AN45">_xlfn.SWITCH(CleanEmployeeData[[#This Row],[PerformanceRating]],1,"Low",2,"Good",3,"Excellent",4,"Outstanding","Unknown")</f>
        <v>Excellent</v>
      </c>
      <c r="AO45" t="str" cm="1">
        <f t="array" ref="AO45">_xlfn.SWITCH(CleanEmployeeData[[#This Row],[WorkLifeBalance]],1,"Bad",2,"Good",3,"Better",4,"Best","Unknown")</f>
        <v>Better</v>
      </c>
      <c r="AP45">
        <f>IF(CleanEmployeeData[[#This Row],[Attrition]]="Yes",1,IF(CleanEmployeeData[[#This Row],[Attrition]]="No",0,""))</f>
        <v>0</v>
      </c>
      <c r="AQ45" t="str" cm="1">
        <f t="array" ref="AQ45">_xlfn.IFS(CleanEmployeeData[[#This Row],[MonthlyIncome]]&lt;=3000,"0–3,000",CleanEmployeeData[[#This Row],[MonthlyIncome]]&lt;=6000,"3,001–6,000",CleanEmployeeData[[#This Row],[MonthlyIncome]]&lt;=10000,"6,001–10,000",TRUE,"10,001+")</f>
        <v>6,001–10,000</v>
      </c>
      <c r="AR45" t="str" cm="1">
        <f t="array" ref="AR45">_xlfn.IFS(CleanEmployeeData[[#This Row],[DistanceFromHome]]&lt;=5,"0–5 miles",CleanEmployeeData[[#This Row],[DistanceFromHome]]&lt;=10,"6–10 miles",CleanEmployeeData[[#This Row],[DistanceFromHome]]&lt;=15,"11–15 miles",TRUE,"16+ miles")</f>
        <v>6–10 miles</v>
      </c>
      <c r="AS45" t="str" cm="1">
        <f t="array" ref="AS45">_xlfn.IFS(CleanEmployeeData[[#This Row],[YearsAtCompany]]&lt;=1,"0–1 years",CleanEmployeeData[[#This Row],[YearsAtCompany]]&lt;=5,"2–5 years",CleanEmployeeData[[#This Row],[YearsAtCompany]]&lt;=10,"6–10 years",TRUE,"11+ years")</f>
        <v>6–10 years</v>
      </c>
    </row>
    <row r="46" spans="1:4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cm="1">
        <f t="array" ref="AJ46">_xlfn.SWITCH(CleanEmployeeData[[#This Row],[Education]],1,"Below College",2,"College",3,"Bachelor",4,"Master",5,"Doctor","Unknown")</f>
        <v>College</v>
      </c>
      <c r="AK46" t="str" cm="1">
        <f t="array" ref="AK46">_xlfn.SWITCH(CleanEmployeeData[[#This Row],[EnvironmentSatisfaction]],1,"Low",2,"Medium",3,"High",4,"Very High","Unknown")</f>
        <v>High</v>
      </c>
      <c r="AL46" t="str" cm="1">
        <f t="array" ref="AL46">_xlfn.SWITCH(CleanEmployeeData[[#This Row],[JobInvolvement]],1,"Low",2,"Medium",3,"High",4,"Very High","Unknown")</f>
        <v>High</v>
      </c>
      <c r="AM46" t="str" cm="1">
        <f t="array" ref="AM46">_xlfn.SWITCH(CleanEmployeeData[[#This Row],[JobSatisfaction]],1,"Low",2,"Medium",3,"High",4,"Very High","Unknown")</f>
        <v>Very High</v>
      </c>
      <c r="AN46" t="str" cm="1">
        <f t="array" ref="AN46">_xlfn.SWITCH(CleanEmployeeData[[#This Row],[PerformanceRating]],1,"Low",2,"Good",3,"Excellent",4,"Outstanding","Unknown")</f>
        <v>Outstanding</v>
      </c>
      <c r="AO46" t="str" cm="1">
        <f t="array" ref="AO46">_xlfn.SWITCH(CleanEmployeeData[[#This Row],[WorkLifeBalance]],1,"Bad",2,"Good",3,"Better",4,"Best","Unknown")</f>
        <v>Better</v>
      </c>
      <c r="AP46">
        <f>IF(CleanEmployeeData[[#This Row],[Attrition]]="Yes",1,IF(CleanEmployeeData[[#This Row],[Attrition]]="No",0,""))</f>
        <v>0</v>
      </c>
      <c r="AQ46" t="str" cm="1">
        <f t="array" ref="AQ46">_xlfn.IFS(CleanEmployeeData[[#This Row],[MonthlyIncome]]&lt;=3000,"0–3,000",CleanEmployeeData[[#This Row],[MonthlyIncome]]&lt;=6000,"3,001–6,000",CleanEmployeeData[[#This Row],[MonthlyIncome]]&lt;=10000,"6,001–10,000",TRUE,"10,001+")</f>
        <v>3,001–6,000</v>
      </c>
      <c r="AR46" t="str" cm="1">
        <f t="array" ref="AR46">_xlfn.IFS(CleanEmployeeData[[#This Row],[DistanceFromHome]]&lt;=5,"0–5 miles",CleanEmployeeData[[#This Row],[DistanceFromHome]]&lt;=10,"6–10 miles",CleanEmployeeData[[#This Row],[DistanceFromHome]]&lt;=15,"11–15 miles",TRUE,"16+ miles")</f>
        <v>0–5 miles</v>
      </c>
      <c r="AS46" t="str" cm="1">
        <f t="array" ref="AS46">_xlfn.IFS(CleanEmployeeData[[#This Row],[YearsAtCompany]]&lt;=1,"0–1 years",CleanEmployeeData[[#This Row],[YearsAtCompany]]&lt;=5,"2–5 years",CleanEmployeeData[[#This Row],[YearsAtCompany]]&lt;=10,"6–10 years",TRUE,"11+ years")</f>
        <v>11+ years</v>
      </c>
    </row>
    <row r="47" spans="1:4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cm="1">
        <f t="array" ref="AJ47">_xlfn.SWITCH(CleanEmployeeData[[#This Row],[Education]],1,"Below College",2,"College",3,"Bachelor",4,"Master",5,"Doctor","Unknown")</f>
        <v>Bachelor</v>
      </c>
      <c r="AK47" t="str" cm="1">
        <f t="array" ref="AK47">_xlfn.SWITCH(CleanEmployeeData[[#This Row],[EnvironmentSatisfaction]],1,"Low",2,"Medium",3,"High",4,"Very High","Unknown")</f>
        <v>Medium</v>
      </c>
      <c r="AL47" t="str" cm="1">
        <f t="array" ref="AL47">_xlfn.SWITCH(CleanEmployeeData[[#This Row],[JobInvolvement]],1,"Low",2,"Medium",3,"High",4,"Very High","Unknown")</f>
        <v>High</v>
      </c>
      <c r="AM47" t="str" cm="1">
        <f t="array" ref="AM47">_xlfn.SWITCH(CleanEmployeeData[[#This Row],[JobSatisfaction]],1,"Low",2,"Medium",3,"High",4,"Very High","Unknown")</f>
        <v>High</v>
      </c>
      <c r="AN47" t="str" cm="1">
        <f t="array" ref="AN47">_xlfn.SWITCH(CleanEmployeeData[[#This Row],[PerformanceRating]],1,"Low",2,"Good",3,"Excellent",4,"Outstanding","Unknown")</f>
        <v>Excellent</v>
      </c>
      <c r="AO47" t="str" cm="1">
        <f t="array" ref="AO47">_xlfn.SWITCH(CleanEmployeeData[[#This Row],[WorkLifeBalance]],1,"Bad",2,"Good",3,"Better",4,"Best","Unknown")</f>
        <v>Better</v>
      </c>
      <c r="AP47">
        <f>IF(CleanEmployeeData[[#This Row],[Attrition]]="Yes",1,IF(CleanEmployeeData[[#This Row],[Attrition]]="No",0,""))</f>
        <v>1</v>
      </c>
      <c r="AQ47" t="str" cm="1">
        <f t="array" ref="AQ47">_xlfn.IFS(CleanEmployeeData[[#This Row],[MonthlyIncome]]&lt;=3000,"0–3,000",CleanEmployeeData[[#This Row],[MonthlyIncome]]&lt;=6000,"3,001–6,000",CleanEmployeeData[[#This Row],[MonthlyIncome]]&lt;=10000,"6,001–10,000",TRUE,"10,001+")</f>
        <v>10,001+</v>
      </c>
      <c r="AR47" t="str" cm="1">
        <f t="array" ref="AR47">_xlfn.IFS(CleanEmployeeData[[#This Row],[DistanceFromHome]]&lt;=5,"0–5 miles",CleanEmployeeData[[#This Row],[DistanceFromHome]]&lt;=10,"6–10 miles",CleanEmployeeData[[#This Row],[DistanceFromHome]]&lt;=15,"11–15 miles",TRUE,"16+ miles")</f>
        <v>11–15 miles</v>
      </c>
      <c r="AS47" t="str" cm="1">
        <f t="array" ref="AS47">_xlfn.IFS(CleanEmployeeData[[#This Row],[YearsAtCompany]]&lt;=1,"0–1 years",CleanEmployeeData[[#This Row],[YearsAtCompany]]&lt;=5,"2–5 years",CleanEmployeeData[[#This Row],[YearsAtCompany]]&lt;=10,"6–10 years",TRUE,"11+ years")</f>
        <v>11+ years</v>
      </c>
    </row>
    <row r="48" spans="1:4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cm="1">
        <f t="array" ref="AJ48">_xlfn.SWITCH(CleanEmployeeData[[#This Row],[Education]],1,"Below College",2,"College",3,"Bachelor",4,"Master",5,"Doctor","Unknown")</f>
        <v>Master</v>
      </c>
      <c r="AK48" t="str" cm="1">
        <f t="array" ref="AK48">_xlfn.SWITCH(CleanEmployeeData[[#This Row],[EnvironmentSatisfaction]],1,"Low",2,"Medium",3,"High",4,"Very High","Unknown")</f>
        <v>Medium</v>
      </c>
      <c r="AL48" t="str" cm="1">
        <f t="array" ref="AL48">_xlfn.SWITCH(CleanEmployeeData[[#This Row],[JobInvolvement]],1,"Low",2,"Medium",3,"High",4,"Very High","Unknown")</f>
        <v>High</v>
      </c>
      <c r="AM48" t="str" cm="1">
        <f t="array" ref="AM48">_xlfn.SWITCH(CleanEmployeeData[[#This Row],[JobSatisfaction]],1,"Low",2,"Medium",3,"High",4,"Very High","Unknown")</f>
        <v>High</v>
      </c>
      <c r="AN48" t="str" cm="1">
        <f t="array" ref="AN48">_xlfn.SWITCH(CleanEmployeeData[[#This Row],[PerformanceRating]],1,"Low",2,"Good",3,"Excellent",4,"Outstanding","Unknown")</f>
        <v>Outstanding</v>
      </c>
      <c r="AO48" t="str" cm="1">
        <f t="array" ref="AO48">_xlfn.SWITCH(CleanEmployeeData[[#This Row],[WorkLifeBalance]],1,"Bad",2,"Good",3,"Better",4,"Best","Unknown")</f>
        <v>Better</v>
      </c>
      <c r="AP48">
        <f>IF(CleanEmployeeData[[#This Row],[Attrition]]="Yes",1,IF(CleanEmployeeData[[#This Row],[Attrition]]="No",0,""))</f>
        <v>0</v>
      </c>
      <c r="AQ48" t="str" cm="1">
        <f t="array" ref="AQ48">_xlfn.IFS(CleanEmployeeData[[#This Row],[MonthlyIncome]]&lt;=3000,"0–3,000",CleanEmployeeData[[#This Row],[MonthlyIncome]]&lt;=6000,"3,001–6,000",CleanEmployeeData[[#This Row],[MonthlyIncome]]&lt;=10000,"6,001–10,000",TRUE,"10,001+")</f>
        <v>3,001–6,000</v>
      </c>
      <c r="AR48" t="str" cm="1">
        <f t="array" ref="AR48">_xlfn.IFS(CleanEmployeeData[[#This Row],[DistanceFromHome]]&lt;=5,"0–5 miles",CleanEmployeeData[[#This Row],[DistanceFromHome]]&lt;=10,"6–10 miles",CleanEmployeeData[[#This Row],[DistanceFromHome]]&lt;=15,"11–15 miles",TRUE,"16+ miles")</f>
        <v>16+ miles</v>
      </c>
      <c r="AS48" t="str" cm="1">
        <f t="array" ref="AS48">_xlfn.IFS(CleanEmployeeData[[#This Row],[YearsAtCompany]]&lt;=1,"0–1 years",CleanEmployeeData[[#This Row],[YearsAtCompany]]&lt;=5,"2–5 years",CleanEmployeeData[[#This Row],[YearsAtCompany]]&lt;=10,"6–10 years",TRUE,"11+ years")</f>
        <v>6–10 years</v>
      </c>
    </row>
    <row r="49" spans="1:4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cm="1">
        <f t="array" ref="AJ49">_xlfn.SWITCH(CleanEmployeeData[[#This Row],[Education]],1,"Below College",2,"College",3,"Bachelor",4,"Master",5,"Doctor","Unknown")</f>
        <v>College</v>
      </c>
      <c r="AK49" t="str" cm="1">
        <f t="array" ref="AK49">_xlfn.SWITCH(CleanEmployeeData[[#This Row],[EnvironmentSatisfaction]],1,"Low",2,"Medium",3,"High",4,"Very High","Unknown")</f>
        <v>Medium</v>
      </c>
      <c r="AL49" t="str" cm="1">
        <f t="array" ref="AL49">_xlfn.SWITCH(CleanEmployeeData[[#This Row],[JobInvolvement]],1,"Low",2,"Medium",3,"High",4,"Very High","Unknown")</f>
        <v>High</v>
      </c>
      <c r="AM49" t="str" cm="1">
        <f t="array" ref="AM49">_xlfn.SWITCH(CleanEmployeeData[[#This Row],[JobSatisfaction]],1,"Low",2,"Medium",3,"High",4,"Very High","Unknown")</f>
        <v>Medium</v>
      </c>
      <c r="AN49" t="str" cm="1">
        <f t="array" ref="AN49">_xlfn.SWITCH(CleanEmployeeData[[#This Row],[PerformanceRating]],1,"Low",2,"Good",3,"Excellent",4,"Outstanding","Unknown")</f>
        <v>Outstanding</v>
      </c>
      <c r="AO49" t="str" cm="1">
        <f t="array" ref="AO49">_xlfn.SWITCH(CleanEmployeeData[[#This Row],[WorkLifeBalance]],1,"Bad",2,"Good",3,"Better",4,"Best","Unknown")</f>
        <v>Better</v>
      </c>
      <c r="AP49">
        <f>IF(CleanEmployeeData[[#This Row],[Attrition]]="Yes",1,IF(CleanEmployeeData[[#This Row],[Attrition]]="No",0,""))</f>
        <v>0</v>
      </c>
      <c r="AQ49" t="str" cm="1">
        <f t="array" ref="AQ49">_xlfn.IFS(CleanEmployeeData[[#This Row],[MonthlyIncome]]&lt;=3000,"0–3,000",CleanEmployeeData[[#This Row],[MonthlyIncome]]&lt;=6000,"3,001–6,000",CleanEmployeeData[[#This Row],[MonthlyIncome]]&lt;=10000,"6,001–10,000",TRUE,"10,001+")</f>
        <v>3,001–6,000</v>
      </c>
      <c r="AR49" t="str" cm="1">
        <f t="array" ref="AR49">_xlfn.IFS(CleanEmployeeData[[#This Row],[DistanceFromHome]]&lt;=5,"0–5 miles",CleanEmployeeData[[#This Row],[DistanceFromHome]]&lt;=10,"6–10 miles",CleanEmployeeData[[#This Row],[DistanceFromHome]]&lt;=15,"11–15 miles",TRUE,"16+ miles")</f>
        <v>16+ miles</v>
      </c>
      <c r="AS49" t="str" cm="1">
        <f t="array" ref="AS49">_xlfn.IFS(CleanEmployeeData[[#This Row],[YearsAtCompany]]&lt;=1,"0–1 years",CleanEmployeeData[[#This Row],[YearsAtCompany]]&lt;=5,"2–5 years",CleanEmployeeData[[#This Row],[YearsAtCompany]]&lt;=10,"6–10 years",TRUE,"11+ years")</f>
        <v>0–1 years</v>
      </c>
    </row>
    <row r="50" spans="1:4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cm="1">
        <f t="array" ref="AJ50">_xlfn.SWITCH(CleanEmployeeData[[#This Row],[Education]],1,"Below College",2,"College",3,"Bachelor",4,"Master",5,"Doctor","Unknown")</f>
        <v>Master</v>
      </c>
      <c r="AK50" t="str" cm="1">
        <f t="array" ref="AK50">_xlfn.SWITCH(CleanEmployeeData[[#This Row],[EnvironmentSatisfaction]],1,"Low",2,"Medium",3,"High",4,"Very High","Unknown")</f>
        <v>Low</v>
      </c>
      <c r="AL50" t="str" cm="1">
        <f t="array" ref="AL50">_xlfn.SWITCH(CleanEmployeeData[[#This Row],[JobInvolvement]],1,"Low",2,"Medium",3,"High",4,"Very High","Unknown")</f>
        <v>High</v>
      </c>
      <c r="AM50" t="str" cm="1">
        <f t="array" ref="AM50">_xlfn.SWITCH(CleanEmployeeData[[#This Row],[JobSatisfaction]],1,"Low",2,"Medium",3,"High",4,"Very High","Unknown")</f>
        <v>Very High</v>
      </c>
      <c r="AN50" t="str" cm="1">
        <f t="array" ref="AN50">_xlfn.SWITCH(CleanEmployeeData[[#This Row],[PerformanceRating]],1,"Low",2,"Good",3,"Excellent",4,"Outstanding","Unknown")</f>
        <v>Outstanding</v>
      </c>
      <c r="AO50" t="str" cm="1">
        <f t="array" ref="AO50">_xlfn.SWITCH(CleanEmployeeData[[#This Row],[WorkLifeBalance]],1,"Bad",2,"Good",3,"Better",4,"Best","Unknown")</f>
        <v>Better</v>
      </c>
      <c r="AP50">
        <f>IF(CleanEmployeeData[[#This Row],[Attrition]]="Yes",1,IF(CleanEmployeeData[[#This Row],[Attrition]]="No",0,""))</f>
        <v>0</v>
      </c>
      <c r="AQ50" t="str" cm="1">
        <f t="array" ref="AQ50">_xlfn.IFS(CleanEmployeeData[[#This Row],[MonthlyIncome]]&lt;=3000,"0–3,000",CleanEmployeeData[[#This Row],[MonthlyIncome]]&lt;=6000,"3,001–6,000",CleanEmployeeData[[#This Row],[MonthlyIncome]]&lt;=10000,"6,001–10,000",TRUE,"10,001+")</f>
        <v>3,001–6,000</v>
      </c>
      <c r="AR50" t="str" cm="1">
        <f t="array" ref="AR50">_xlfn.IFS(CleanEmployeeData[[#This Row],[DistanceFromHome]]&lt;=5,"0–5 miles",CleanEmployeeData[[#This Row],[DistanceFromHome]]&lt;=10,"6–10 miles",CleanEmployeeData[[#This Row],[DistanceFromHome]]&lt;=15,"11–15 miles",TRUE,"16+ miles")</f>
        <v>0–5 miles</v>
      </c>
      <c r="AS50" t="str" cm="1">
        <f t="array" ref="AS50">_xlfn.IFS(CleanEmployeeData[[#This Row],[YearsAtCompany]]&lt;=1,"0–1 years",CleanEmployeeData[[#This Row],[YearsAtCompany]]&lt;=5,"2–5 years",CleanEmployeeData[[#This Row],[YearsAtCompany]]&lt;=10,"6–10 years",TRUE,"11+ years")</f>
        <v>6–10 years</v>
      </c>
    </row>
    <row r="51" spans="1:4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cm="1">
        <f t="array" ref="AJ51">_xlfn.SWITCH(CleanEmployeeData[[#This Row],[Education]],1,"Below College",2,"College",3,"Bachelor",4,"Master",5,"Doctor","Unknown")</f>
        <v>Below College</v>
      </c>
      <c r="AK51" t="str" cm="1">
        <f t="array" ref="AK51">_xlfn.SWITCH(CleanEmployeeData[[#This Row],[EnvironmentSatisfaction]],1,"Low",2,"Medium",3,"High",4,"Very High","Unknown")</f>
        <v>Very High</v>
      </c>
      <c r="AL51" t="str" cm="1">
        <f t="array" ref="AL51">_xlfn.SWITCH(CleanEmployeeData[[#This Row],[JobInvolvement]],1,"Low",2,"Medium",3,"High",4,"Very High","Unknown")</f>
        <v>Very High</v>
      </c>
      <c r="AM51" t="str" cm="1">
        <f t="array" ref="AM51">_xlfn.SWITCH(CleanEmployeeData[[#This Row],[JobSatisfaction]],1,"Low",2,"Medium",3,"High",4,"Very High","Unknown")</f>
        <v>Very High</v>
      </c>
      <c r="AN51" t="str" cm="1">
        <f t="array" ref="AN51">_xlfn.SWITCH(CleanEmployeeData[[#This Row],[PerformanceRating]],1,"Low",2,"Good",3,"Excellent",4,"Outstanding","Unknown")</f>
        <v>Excellent</v>
      </c>
      <c r="AO51" t="str" cm="1">
        <f t="array" ref="AO51">_xlfn.SWITCH(CleanEmployeeData[[#This Row],[WorkLifeBalance]],1,"Bad",2,"Good",3,"Better",4,"Best","Unknown")</f>
        <v>Better</v>
      </c>
      <c r="AP51">
        <f>IF(CleanEmployeeData[[#This Row],[Attrition]]="Yes",1,IF(CleanEmployeeData[[#This Row],[Attrition]]="No",0,""))</f>
        <v>0</v>
      </c>
      <c r="AQ51" t="str" cm="1">
        <f t="array" ref="AQ51">_xlfn.IFS(CleanEmployeeData[[#This Row],[MonthlyIncome]]&lt;=3000,"0–3,000",CleanEmployeeData[[#This Row],[MonthlyIncome]]&lt;=6000,"3,001–6,000",CleanEmployeeData[[#This Row],[MonthlyIncome]]&lt;=10000,"6,001–10,000",TRUE,"10,001+")</f>
        <v>0–3,000</v>
      </c>
      <c r="AR51" t="str" cm="1">
        <f t="array" ref="AR51">_xlfn.IFS(CleanEmployeeData[[#This Row],[DistanceFromHome]]&lt;=5,"0–5 miles",CleanEmployeeData[[#This Row],[DistanceFromHome]]&lt;=10,"6–10 miles",CleanEmployeeData[[#This Row],[DistanceFromHome]]&lt;=15,"11–15 miles",TRUE,"16+ miles")</f>
        <v>6–10 miles</v>
      </c>
      <c r="AS51" t="str" cm="1">
        <f t="array" ref="AS51">_xlfn.IFS(CleanEmployeeData[[#This Row],[YearsAtCompany]]&lt;=1,"0–1 years",CleanEmployeeData[[#This Row],[YearsAtCompany]]&lt;=5,"2–5 years",CleanEmployeeData[[#This Row],[YearsAtCompany]]&lt;=10,"6–10 years",TRUE,"11+ years")</f>
        <v>0–1 years</v>
      </c>
    </row>
    <row r="52" spans="1:4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cm="1">
        <f t="array" ref="AJ52">_xlfn.SWITCH(CleanEmployeeData[[#This Row],[Education]],1,"Below College",2,"College",3,"Bachelor",4,"Master",5,"Doctor","Unknown")</f>
        <v>College</v>
      </c>
      <c r="AK52" t="str" cm="1">
        <f t="array" ref="AK52">_xlfn.SWITCH(CleanEmployeeData[[#This Row],[EnvironmentSatisfaction]],1,"Low",2,"Medium",3,"High",4,"Very High","Unknown")</f>
        <v>Low</v>
      </c>
      <c r="AL52" t="str" cm="1">
        <f t="array" ref="AL52">_xlfn.SWITCH(CleanEmployeeData[[#This Row],[JobInvolvement]],1,"Low",2,"Medium",3,"High",4,"Very High","Unknown")</f>
        <v>Medium</v>
      </c>
      <c r="AM52" t="str" cm="1">
        <f t="array" ref="AM52">_xlfn.SWITCH(CleanEmployeeData[[#This Row],[JobSatisfaction]],1,"Low",2,"Medium",3,"High",4,"Very High","Unknown")</f>
        <v>High</v>
      </c>
      <c r="AN52" t="str" cm="1">
        <f t="array" ref="AN52">_xlfn.SWITCH(CleanEmployeeData[[#This Row],[PerformanceRating]],1,"Low",2,"Good",3,"Excellent",4,"Outstanding","Unknown")</f>
        <v>Excellent</v>
      </c>
      <c r="AO52" t="str" cm="1">
        <f t="array" ref="AO52">_xlfn.SWITCH(CleanEmployeeData[[#This Row],[WorkLifeBalance]],1,"Bad",2,"Good",3,"Better",4,"Best","Unknown")</f>
        <v>Better</v>
      </c>
      <c r="AP52">
        <f>IF(CleanEmployeeData[[#This Row],[Attrition]]="Yes",1,IF(CleanEmployeeData[[#This Row],[Attrition]]="No",0,""))</f>
        <v>1</v>
      </c>
      <c r="AQ52" t="str" cm="1">
        <f t="array" ref="AQ52">_xlfn.IFS(CleanEmployeeData[[#This Row],[MonthlyIncome]]&lt;=3000,"0–3,000",CleanEmployeeData[[#This Row],[MonthlyIncome]]&lt;=6000,"3,001–6,000",CleanEmployeeData[[#This Row],[MonthlyIncome]]&lt;=10000,"6,001–10,000",TRUE,"10,001+")</f>
        <v>3,001–6,000</v>
      </c>
      <c r="AR52" t="str" cm="1">
        <f t="array" ref="AR52">_xlfn.IFS(CleanEmployeeData[[#This Row],[DistanceFromHome]]&lt;=5,"0–5 miles",CleanEmployeeData[[#This Row],[DistanceFromHome]]&lt;=10,"6–10 miles",CleanEmployeeData[[#This Row],[DistanceFromHome]]&lt;=15,"11–15 miles",TRUE,"16+ miles")</f>
        <v>0–5 miles</v>
      </c>
      <c r="AS52" t="str" cm="1">
        <f t="array" ref="AS52">_xlfn.IFS(CleanEmployeeData[[#This Row],[YearsAtCompany]]&lt;=1,"0–1 years",CleanEmployeeData[[#This Row],[YearsAtCompany]]&lt;=5,"2–5 years",CleanEmployeeData[[#This Row],[YearsAtCompany]]&lt;=10,"6–10 years",TRUE,"11+ years")</f>
        <v>0–1 years</v>
      </c>
    </row>
    <row r="53" spans="1:4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cm="1">
        <f t="array" ref="AJ53">_xlfn.SWITCH(CleanEmployeeData[[#This Row],[Education]],1,"Below College",2,"College",3,"Bachelor",4,"Master",5,"Doctor","Unknown")</f>
        <v>Master</v>
      </c>
      <c r="AK53" t="str" cm="1">
        <f t="array" ref="AK53">_xlfn.SWITCH(CleanEmployeeData[[#This Row],[EnvironmentSatisfaction]],1,"Low",2,"Medium",3,"High",4,"Very High","Unknown")</f>
        <v>High</v>
      </c>
      <c r="AL53" t="str" cm="1">
        <f t="array" ref="AL53">_xlfn.SWITCH(CleanEmployeeData[[#This Row],[JobInvolvement]],1,"Low",2,"Medium",3,"High",4,"Very High","Unknown")</f>
        <v>High</v>
      </c>
      <c r="AM53" t="str" cm="1">
        <f t="array" ref="AM53">_xlfn.SWITCH(CleanEmployeeData[[#This Row],[JobSatisfaction]],1,"Low",2,"Medium",3,"High",4,"Very High","Unknown")</f>
        <v>High</v>
      </c>
      <c r="AN53" t="str" cm="1">
        <f t="array" ref="AN53">_xlfn.SWITCH(CleanEmployeeData[[#This Row],[PerformanceRating]],1,"Low",2,"Good",3,"Excellent",4,"Outstanding","Unknown")</f>
        <v>Excellent</v>
      </c>
      <c r="AO53" t="str" cm="1">
        <f t="array" ref="AO53">_xlfn.SWITCH(CleanEmployeeData[[#This Row],[WorkLifeBalance]],1,"Bad",2,"Good",3,"Better",4,"Best","Unknown")</f>
        <v>Good</v>
      </c>
      <c r="AP53">
        <f>IF(CleanEmployeeData[[#This Row],[Attrition]]="Yes",1,IF(CleanEmployeeData[[#This Row],[Attrition]]="No",0,""))</f>
        <v>1</v>
      </c>
      <c r="AQ53" t="str" cm="1">
        <f t="array" ref="AQ53">_xlfn.IFS(CleanEmployeeData[[#This Row],[MonthlyIncome]]&lt;=3000,"0–3,000",CleanEmployeeData[[#This Row],[MonthlyIncome]]&lt;=6000,"3,001–6,000",CleanEmployeeData[[#This Row],[MonthlyIncome]]&lt;=10000,"6,001–10,000",TRUE,"10,001+")</f>
        <v>3,001–6,000</v>
      </c>
      <c r="AR53" t="str" cm="1">
        <f t="array" ref="AR53">_xlfn.IFS(CleanEmployeeData[[#This Row],[DistanceFromHome]]&lt;=5,"0–5 miles",CleanEmployeeData[[#This Row],[DistanceFromHome]]&lt;=10,"6–10 miles",CleanEmployeeData[[#This Row],[DistanceFromHome]]&lt;=15,"11–15 miles",TRUE,"16+ miles")</f>
        <v>0–5 miles</v>
      </c>
      <c r="AS53" t="str" cm="1">
        <f t="array" ref="AS53">_xlfn.IFS(CleanEmployeeData[[#This Row],[YearsAtCompany]]&lt;=1,"0–1 years",CleanEmployeeData[[#This Row],[YearsAtCompany]]&lt;=5,"2–5 years",CleanEmployeeData[[#This Row],[YearsAtCompany]]&lt;=10,"6–10 years",TRUE,"11+ years")</f>
        <v>2–5 years</v>
      </c>
    </row>
    <row r="54" spans="1:4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cm="1">
        <f t="array" ref="AJ54">_xlfn.SWITCH(CleanEmployeeData[[#This Row],[Education]],1,"Below College",2,"College",3,"Bachelor",4,"Master",5,"Doctor","Unknown")</f>
        <v>Doctor</v>
      </c>
      <c r="AK54" t="str" cm="1">
        <f t="array" ref="AK54">_xlfn.SWITCH(CleanEmployeeData[[#This Row],[EnvironmentSatisfaction]],1,"Low",2,"Medium",3,"High",4,"Very High","Unknown")</f>
        <v>Medium</v>
      </c>
      <c r="AL54" t="str" cm="1">
        <f t="array" ref="AL54">_xlfn.SWITCH(CleanEmployeeData[[#This Row],[JobInvolvement]],1,"Low",2,"Medium",3,"High",4,"Very High","Unknown")</f>
        <v>High</v>
      </c>
      <c r="AM54" t="str" cm="1">
        <f t="array" ref="AM54">_xlfn.SWITCH(CleanEmployeeData[[#This Row],[JobSatisfaction]],1,"Low",2,"Medium",3,"High",4,"Very High","Unknown")</f>
        <v>Low</v>
      </c>
      <c r="AN54" t="str" cm="1">
        <f t="array" ref="AN54">_xlfn.SWITCH(CleanEmployeeData[[#This Row],[PerformanceRating]],1,"Low",2,"Good",3,"Excellent",4,"Outstanding","Unknown")</f>
        <v>Outstanding</v>
      </c>
      <c r="AO54" t="str" cm="1">
        <f t="array" ref="AO54">_xlfn.SWITCH(CleanEmployeeData[[#This Row],[WorkLifeBalance]],1,"Bad",2,"Good",3,"Better",4,"Best","Unknown")</f>
        <v>Good</v>
      </c>
      <c r="AP54">
        <f>IF(CleanEmployeeData[[#This Row],[Attrition]]="Yes",1,IF(CleanEmployeeData[[#This Row],[Attrition]]="No",0,""))</f>
        <v>0</v>
      </c>
      <c r="AQ54" t="str" cm="1">
        <f t="array" ref="AQ54">_xlfn.IFS(CleanEmployeeData[[#This Row],[MonthlyIncome]]&lt;=3000,"0–3,000",CleanEmployeeData[[#This Row],[MonthlyIncome]]&lt;=6000,"3,001–6,000",CleanEmployeeData[[#This Row],[MonthlyIncome]]&lt;=10000,"6,001–10,000",TRUE,"10,001+")</f>
        <v>3,001–6,000</v>
      </c>
      <c r="AR54" t="str" cm="1">
        <f t="array" ref="AR54">_xlfn.IFS(CleanEmployeeData[[#This Row],[DistanceFromHome]]&lt;=5,"0–5 miles",CleanEmployeeData[[#This Row],[DistanceFromHome]]&lt;=10,"6–10 miles",CleanEmployeeData[[#This Row],[DistanceFromHome]]&lt;=15,"11–15 miles",TRUE,"16+ miles")</f>
        <v>0–5 miles</v>
      </c>
      <c r="AS54" t="str" cm="1">
        <f t="array" ref="AS54">_xlfn.IFS(CleanEmployeeData[[#This Row],[YearsAtCompany]]&lt;=1,"0–1 years",CleanEmployeeData[[#This Row],[YearsAtCompany]]&lt;=5,"2–5 years",CleanEmployeeData[[#This Row],[YearsAtCompany]]&lt;=10,"6–10 years",TRUE,"11+ years")</f>
        <v>2–5 years</v>
      </c>
    </row>
    <row r="55" spans="1:4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cm="1">
        <f t="array" ref="AJ55">_xlfn.SWITCH(CleanEmployeeData[[#This Row],[Education]],1,"Below College",2,"College",3,"Bachelor",4,"Master",5,"Doctor","Unknown")</f>
        <v>College</v>
      </c>
      <c r="AK55" t="str" cm="1">
        <f t="array" ref="AK55">_xlfn.SWITCH(CleanEmployeeData[[#This Row],[EnvironmentSatisfaction]],1,"Low",2,"Medium",3,"High",4,"Very High","Unknown")</f>
        <v>High</v>
      </c>
      <c r="AL55" t="str" cm="1">
        <f t="array" ref="AL55">_xlfn.SWITCH(CleanEmployeeData[[#This Row],[JobInvolvement]],1,"Low",2,"Medium",3,"High",4,"Very High","Unknown")</f>
        <v>Medium</v>
      </c>
      <c r="AM55" t="str" cm="1">
        <f t="array" ref="AM55">_xlfn.SWITCH(CleanEmployeeData[[#This Row],[JobSatisfaction]],1,"Low",2,"Medium",3,"High",4,"Very High","Unknown")</f>
        <v>Low</v>
      </c>
      <c r="AN55" t="str" cm="1">
        <f t="array" ref="AN55">_xlfn.SWITCH(CleanEmployeeData[[#This Row],[PerformanceRating]],1,"Low",2,"Good",3,"Excellent",4,"Outstanding","Unknown")</f>
        <v>Excellent</v>
      </c>
      <c r="AO55" t="str" cm="1">
        <f t="array" ref="AO55">_xlfn.SWITCH(CleanEmployeeData[[#This Row],[WorkLifeBalance]],1,"Bad",2,"Good",3,"Better",4,"Best","Unknown")</f>
        <v>Better</v>
      </c>
      <c r="AP55">
        <f>IF(CleanEmployeeData[[#This Row],[Attrition]]="Yes",1,IF(CleanEmployeeData[[#This Row],[Attrition]]="No",0,""))</f>
        <v>0</v>
      </c>
      <c r="AQ55" t="str" cm="1">
        <f t="array" ref="AQ55">_xlfn.IFS(CleanEmployeeData[[#This Row],[MonthlyIncome]]&lt;=3000,"0–3,000",CleanEmployeeData[[#This Row],[MonthlyIncome]]&lt;=6000,"3,001–6,000",CleanEmployeeData[[#This Row],[MonthlyIncome]]&lt;=10000,"6,001–10,000",TRUE,"10,001+")</f>
        <v>6,001–10,000</v>
      </c>
      <c r="AR55" t="str" cm="1">
        <f t="array" ref="AR55">_xlfn.IFS(CleanEmployeeData[[#This Row],[DistanceFromHome]]&lt;=5,"0–5 miles",CleanEmployeeData[[#This Row],[DistanceFromHome]]&lt;=10,"6–10 miles",CleanEmployeeData[[#This Row],[DistanceFromHome]]&lt;=15,"11–15 miles",TRUE,"16+ miles")</f>
        <v>11–15 miles</v>
      </c>
      <c r="AS55" t="str" cm="1">
        <f t="array" ref="AS55">_xlfn.IFS(CleanEmployeeData[[#This Row],[YearsAtCompany]]&lt;=1,"0–1 years",CleanEmployeeData[[#This Row],[YearsAtCompany]]&lt;=5,"2–5 years",CleanEmployeeData[[#This Row],[YearsAtCompany]]&lt;=10,"6–10 years",TRUE,"11+ years")</f>
        <v>2–5 years</v>
      </c>
    </row>
    <row r="56" spans="1:4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cm="1">
        <f t="array" ref="AJ56">_xlfn.SWITCH(CleanEmployeeData[[#This Row],[Education]],1,"Below College",2,"College",3,"Bachelor",4,"Master",5,"Doctor","Unknown")</f>
        <v>Bachelor</v>
      </c>
      <c r="AK56" t="str" cm="1">
        <f t="array" ref="AK56">_xlfn.SWITCH(CleanEmployeeData[[#This Row],[EnvironmentSatisfaction]],1,"Low",2,"Medium",3,"High",4,"Very High","Unknown")</f>
        <v>High</v>
      </c>
      <c r="AL56" t="str" cm="1">
        <f t="array" ref="AL56">_xlfn.SWITCH(CleanEmployeeData[[#This Row],[JobInvolvement]],1,"Low",2,"Medium",3,"High",4,"Very High","Unknown")</f>
        <v>Medium</v>
      </c>
      <c r="AM56" t="str" cm="1">
        <f t="array" ref="AM56">_xlfn.SWITCH(CleanEmployeeData[[#This Row],[JobSatisfaction]],1,"Low",2,"Medium",3,"High",4,"Very High","Unknown")</f>
        <v>Very High</v>
      </c>
      <c r="AN56" t="str" cm="1">
        <f t="array" ref="AN56">_xlfn.SWITCH(CleanEmployeeData[[#This Row],[PerformanceRating]],1,"Low",2,"Good",3,"Excellent",4,"Outstanding","Unknown")</f>
        <v>Excellent</v>
      </c>
      <c r="AO56" t="str" cm="1">
        <f t="array" ref="AO56">_xlfn.SWITCH(CleanEmployeeData[[#This Row],[WorkLifeBalance]],1,"Bad",2,"Good",3,"Better",4,"Best","Unknown")</f>
        <v>Good</v>
      </c>
      <c r="AP56">
        <f>IF(CleanEmployeeData[[#This Row],[Attrition]]="Yes",1,IF(CleanEmployeeData[[#This Row],[Attrition]]="No",0,""))</f>
        <v>0</v>
      </c>
      <c r="AQ56" t="str" cm="1">
        <f t="array" ref="AQ56">_xlfn.IFS(CleanEmployeeData[[#This Row],[MonthlyIncome]]&lt;=3000,"0–3,000",CleanEmployeeData[[#This Row],[MonthlyIncome]]&lt;=6000,"3,001–6,000",CleanEmployeeData[[#This Row],[MonthlyIncome]]&lt;=10000,"6,001–10,000",TRUE,"10,001+")</f>
        <v>3,001–6,000</v>
      </c>
      <c r="AR56" t="str" cm="1">
        <f t="array" ref="AR56">_xlfn.IFS(CleanEmployeeData[[#This Row],[DistanceFromHome]]&lt;=5,"0–5 miles",CleanEmployeeData[[#This Row],[DistanceFromHome]]&lt;=10,"6–10 miles",CleanEmployeeData[[#This Row],[DistanceFromHome]]&lt;=15,"11–15 miles",TRUE,"16+ miles")</f>
        <v>16+ miles</v>
      </c>
      <c r="AS56" t="str" cm="1">
        <f t="array" ref="AS56">_xlfn.IFS(CleanEmployeeData[[#This Row],[YearsAtCompany]]&lt;=1,"0–1 years",CleanEmployeeData[[#This Row],[YearsAtCompany]]&lt;=5,"2–5 years",CleanEmployeeData[[#This Row],[YearsAtCompany]]&lt;=10,"6–10 years",TRUE,"11+ years")</f>
        <v>2–5 years</v>
      </c>
    </row>
    <row r="57" spans="1:4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cm="1">
        <f t="array" ref="AJ57">_xlfn.SWITCH(CleanEmployeeData[[#This Row],[Education]],1,"Below College",2,"College",3,"Bachelor",4,"Master",5,"Doctor","Unknown")</f>
        <v>College</v>
      </c>
      <c r="AK57" t="str" cm="1">
        <f t="array" ref="AK57">_xlfn.SWITCH(CleanEmployeeData[[#This Row],[EnvironmentSatisfaction]],1,"Low",2,"Medium",3,"High",4,"Very High","Unknown")</f>
        <v>Low</v>
      </c>
      <c r="AL57" t="str" cm="1">
        <f t="array" ref="AL57">_xlfn.SWITCH(CleanEmployeeData[[#This Row],[JobInvolvement]],1,"Low",2,"Medium",3,"High",4,"Very High","Unknown")</f>
        <v>High</v>
      </c>
      <c r="AM57" t="str" cm="1">
        <f t="array" ref="AM57">_xlfn.SWITCH(CleanEmployeeData[[#This Row],[JobSatisfaction]],1,"Low",2,"Medium",3,"High",4,"Very High","Unknown")</f>
        <v>Very High</v>
      </c>
      <c r="AN57" t="str" cm="1">
        <f t="array" ref="AN57">_xlfn.SWITCH(CleanEmployeeData[[#This Row],[PerformanceRating]],1,"Low",2,"Good",3,"Excellent",4,"Outstanding","Unknown")</f>
        <v>Excellent</v>
      </c>
      <c r="AO57" t="str" cm="1">
        <f t="array" ref="AO57">_xlfn.SWITCH(CleanEmployeeData[[#This Row],[WorkLifeBalance]],1,"Bad",2,"Good",3,"Better",4,"Best","Unknown")</f>
        <v>Better</v>
      </c>
      <c r="AP57">
        <f>IF(CleanEmployeeData[[#This Row],[Attrition]]="Yes",1,IF(CleanEmployeeData[[#This Row],[Attrition]]="No",0,""))</f>
        <v>0</v>
      </c>
      <c r="AQ57" t="str" cm="1">
        <f t="array" ref="AQ57">_xlfn.IFS(CleanEmployeeData[[#This Row],[MonthlyIncome]]&lt;=3000,"0–3,000",CleanEmployeeData[[#This Row],[MonthlyIncome]]&lt;=6000,"3,001–6,000",CleanEmployeeData[[#This Row],[MonthlyIncome]]&lt;=10000,"6,001–10,000",TRUE,"10,001+")</f>
        <v>10,001+</v>
      </c>
      <c r="AR57" t="str" cm="1">
        <f t="array" ref="AR57">_xlfn.IFS(CleanEmployeeData[[#This Row],[DistanceFromHome]]&lt;=5,"0–5 miles",CleanEmployeeData[[#This Row],[DistanceFromHome]]&lt;=10,"6–10 miles",CleanEmployeeData[[#This Row],[DistanceFromHome]]&lt;=15,"11–15 miles",TRUE,"16+ miles")</f>
        <v>0–5 miles</v>
      </c>
      <c r="AS57" t="str" cm="1">
        <f t="array" ref="AS57">_xlfn.IFS(CleanEmployeeData[[#This Row],[YearsAtCompany]]&lt;=1,"0–1 years",CleanEmployeeData[[#This Row],[YearsAtCompany]]&lt;=5,"2–5 years",CleanEmployeeData[[#This Row],[YearsAtCompany]]&lt;=10,"6–10 years",TRUE,"11+ years")</f>
        <v>11+ years</v>
      </c>
    </row>
    <row r="58" spans="1:4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cm="1">
        <f t="array" ref="AJ58">_xlfn.SWITCH(CleanEmployeeData[[#This Row],[Education]],1,"Below College",2,"College",3,"Bachelor",4,"Master",5,"Doctor","Unknown")</f>
        <v>Doctor</v>
      </c>
      <c r="AK58" t="str" cm="1">
        <f t="array" ref="AK58">_xlfn.SWITCH(CleanEmployeeData[[#This Row],[EnvironmentSatisfaction]],1,"Low",2,"Medium",3,"High",4,"Very High","Unknown")</f>
        <v>Medium</v>
      </c>
      <c r="AL58" t="str" cm="1">
        <f t="array" ref="AL58">_xlfn.SWITCH(CleanEmployeeData[[#This Row],[JobInvolvement]],1,"Low",2,"Medium",3,"High",4,"Very High","Unknown")</f>
        <v>High</v>
      </c>
      <c r="AM58" t="str" cm="1">
        <f t="array" ref="AM58">_xlfn.SWITCH(CleanEmployeeData[[#This Row],[JobSatisfaction]],1,"Low",2,"Medium",3,"High",4,"Very High","Unknown")</f>
        <v>Low</v>
      </c>
      <c r="AN58" t="str" cm="1">
        <f t="array" ref="AN58">_xlfn.SWITCH(CleanEmployeeData[[#This Row],[PerformanceRating]],1,"Low",2,"Good",3,"Excellent",4,"Outstanding","Unknown")</f>
        <v>Outstanding</v>
      </c>
      <c r="AO58" t="str" cm="1">
        <f t="array" ref="AO58">_xlfn.SWITCH(CleanEmployeeData[[#This Row],[WorkLifeBalance]],1,"Bad",2,"Good",3,"Better",4,"Best","Unknown")</f>
        <v>Good</v>
      </c>
      <c r="AP58">
        <f>IF(CleanEmployeeData[[#This Row],[Attrition]]="Yes",1,IF(CleanEmployeeData[[#This Row],[Attrition]]="No",0,""))</f>
        <v>0</v>
      </c>
      <c r="AQ58" t="str" cm="1">
        <f t="array" ref="AQ58">_xlfn.IFS(CleanEmployeeData[[#This Row],[MonthlyIncome]]&lt;=3000,"0–3,000",CleanEmployeeData[[#This Row],[MonthlyIncome]]&lt;=6000,"3,001–6,000",CleanEmployeeData[[#This Row],[MonthlyIncome]]&lt;=10000,"6,001–10,000",TRUE,"10,001+")</f>
        <v>6,001–10,000</v>
      </c>
      <c r="AR58" t="str" cm="1">
        <f t="array" ref="AR58">_xlfn.IFS(CleanEmployeeData[[#This Row],[DistanceFromHome]]&lt;=5,"0–5 miles",CleanEmployeeData[[#This Row],[DistanceFromHome]]&lt;=10,"6–10 miles",CleanEmployeeData[[#This Row],[DistanceFromHome]]&lt;=15,"11–15 miles",TRUE,"16+ miles")</f>
        <v>16+ miles</v>
      </c>
      <c r="AS58" t="str" cm="1">
        <f t="array" ref="AS58">_xlfn.IFS(CleanEmployeeData[[#This Row],[YearsAtCompany]]&lt;=1,"0–1 years",CleanEmployeeData[[#This Row],[YearsAtCompany]]&lt;=5,"2–5 years",CleanEmployeeData[[#This Row],[YearsAtCompany]]&lt;=10,"6–10 years",TRUE,"11+ years")</f>
        <v>6–10 years</v>
      </c>
    </row>
    <row r="59" spans="1:4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cm="1">
        <f t="array" ref="AJ59">_xlfn.SWITCH(CleanEmployeeData[[#This Row],[Education]],1,"Below College",2,"College",3,"Bachelor",4,"Master",5,"Doctor","Unknown")</f>
        <v>Master</v>
      </c>
      <c r="AK59" t="str" cm="1">
        <f t="array" ref="AK59">_xlfn.SWITCH(CleanEmployeeData[[#This Row],[EnvironmentSatisfaction]],1,"Low",2,"Medium",3,"High",4,"Very High","Unknown")</f>
        <v>High</v>
      </c>
      <c r="AL59" t="str" cm="1">
        <f t="array" ref="AL59">_xlfn.SWITCH(CleanEmployeeData[[#This Row],[JobInvolvement]],1,"Low",2,"Medium",3,"High",4,"Very High","Unknown")</f>
        <v>High</v>
      </c>
      <c r="AM59" t="str" cm="1">
        <f t="array" ref="AM59">_xlfn.SWITCH(CleanEmployeeData[[#This Row],[JobSatisfaction]],1,"Low",2,"Medium",3,"High",4,"Very High","Unknown")</f>
        <v>Low</v>
      </c>
      <c r="AN59" t="str" cm="1">
        <f t="array" ref="AN59">_xlfn.SWITCH(CleanEmployeeData[[#This Row],[PerformanceRating]],1,"Low",2,"Good",3,"Excellent",4,"Outstanding","Unknown")</f>
        <v>Excellent</v>
      </c>
      <c r="AO59" t="str" cm="1">
        <f t="array" ref="AO59">_xlfn.SWITCH(CleanEmployeeData[[#This Row],[WorkLifeBalance]],1,"Bad",2,"Good",3,"Better",4,"Best","Unknown")</f>
        <v>Better</v>
      </c>
      <c r="AP59">
        <f>IF(CleanEmployeeData[[#This Row],[Attrition]]="Yes",1,IF(CleanEmployeeData[[#This Row],[Attrition]]="No",0,""))</f>
        <v>0</v>
      </c>
      <c r="AQ59" t="str" cm="1">
        <f t="array" ref="AQ59">_xlfn.IFS(CleanEmployeeData[[#This Row],[MonthlyIncome]]&lt;=3000,"0–3,000",CleanEmployeeData[[#This Row],[MonthlyIncome]]&lt;=6000,"3,001–6,000",CleanEmployeeData[[#This Row],[MonthlyIncome]]&lt;=10000,"6,001–10,000",TRUE,"10,001+")</f>
        <v>3,001–6,000</v>
      </c>
      <c r="AR59" t="str" cm="1">
        <f t="array" ref="AR59">_xlfn.IFS(CleanEmployeeData[[#This Row],[DistanceFromHome]]&lt;=5,"0–5 miles",CleanEmployeeData[[#This Row],[DistanceFromHome]]&lt;=10,"6–10 miles",CleanEmployeeData[[#This Row],[DistanceFromHome]]&lt;=15,"11–15 miles",TRUE,"16+ miles")</f>
        <v>16+ miles</v>
      </c>
      <c r="AS59" t="str" cm="1">
        <f t="array" ref="AS59">_xlfn.IFS(CleanEmployeeData[[#This Row],[YearsAtCompany]]&lt;=1,"0–1 years",CleanEmployeeData[[#This Row],[YearsAtCompany]]&lt;=5,"2–5 years",CleanEmployeeData[[#This Row],[YearsAtCompany]]&lt;=10,"6–10 years",TRUE,"11+ years")</f>
        <v>2–5 years</v>
      </c>
    </row>
    <row r="60" spans="1:4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cm="1">
        <f t="array" ref="AJ60">_xlfn.SWITCH(CleanEmployeeData[[#This Row],[Education]],1,"Below College",2,"College",3,"Bachelor",4,"Master",5,"Doctor","Unknown")</f>
        <v>Master</v>
      </c>
      <c r="AK60" t="str" cm="1">
        <f t="array" ref="AK60">_xlfn.SWITCH(CleanEmployeeData[[#This Row],[EnvironmentSatisfaction]],1,"Low",2,"Medium",3,"High",4,"Very High","Unknown")</f>
        <v>Very High</v>
      </c>
      <c r="AL60" t="str" cm="1">
        <f t="array" ref="AL60">_xlfn.SWITCH(CleanEmployeeData[[#This Row],[JobInvolvement]],1,"Low",2,"Medium",3,"High",4,"Very High","Unknown")</f>
        <v>High</v>
      </c>
      <c r="AM60" t="str" cm="1">
        <f t="array" ref="AM60">_xlfn.SWITCH(CleanEmployeeData[[#This Row],[JobSatisfaction]],1,"Low",2,"Medium",3,"High",4,"Very High","Unknown")</f>
        <v>Very High</v>
      </c>
      <c r="AN60" t="str" cm="1">
        <f t="array" ref="AN60">_xlfn.SWITCH(CleanEmployeeData[[#This Row],[PerformanceRating]],1,"Low",2,"Good",3,"Excellent",4,"Outstanding","Unknown")</f>
        <v>Outstanding</v>
      </c>
      <c r="AO60" t="str" cm="1">
        <f t="array" ref="AO60">_xlfn.SWITCH(CleanEmployeeData[[#This Row],[WorkLifeBalance]],1,"Bad",2,"Good",3,"Better",4,"Best","Unknown")</f>
        <v>Good</v>
      </c>
      <c r="AP60">
        <f>IF(CleanEmployeeData[[#This Row],[Attrition]]="Yes",1,IF(CleanEmployeeData[[#This Row],[Attrition]]="No",0,""))</f>
        <v>0</v>
      </c>
      <c r="AQ60" t="str" cm="1">
        <f t="array" ref="AQ60">_xlfn.IFS(CleanEmployeeData[[#This Row],[MonthlyIncome]]&lt;=3000,"0–3,000",CleanEmployeeData[[#This Row],[MonthlyIncome]]&lt;=6000,"3,001–6,000",CleanEmployeeData[[#This Row],[MonthlyIncome]]&lt;=10000,"6,001–10,000",TRUE,"10,001+")</f>
        <v>3,001–6,000</v>
      </c>
      <c r="AR60" t="str" cm="1">
        <f t="array" ref="AR60">_xlfn.IFS(CleanEmployeeData[[#This Row],[DistanceFromHome]]&lt;=5,"0–5 miles",CleanEmployeeData[[#This Row],[DistanceFromHome]]&lt;=10,"6–10 miles",CleanEmployeeData[[#This Row],[DistanceFromHome]]&lt;=15,"11–15 miles",TRUE,"16+ miles")</f>
        <v>6–10 miles</v>
      </c>
      <c r="AS60" t="str" cm="1">
        <f t="array" ref="AS60">_xlfn.IFS(CleanEmployeeData[[#This Row],[YearsAtCompany]]&lt;=1,"0–1 years",CleanEmployeeData[[#This Row],[YearsAtCompany]]&lt;=5,"2–5 years",CleanEmployeeData[[#This Row],[YearsAtCompany]]&lt;=10,"6–10 years",TRUE,"11+ years")</f>
        <v>6–10 years</v>
      </c>
    </row>
    <row r="61" spans="1:4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cm="1">
        <f t="array" ref="AJ61">_xlfn.SWITCH(CleanEmployeeData[[#This Row],[Education]],1,"Below College",2,"College",3,"Bachelor",4,"Master",5,"Doctor","Unknown")</f>
        <v>Master</v>
      </c>
      <c r="AK61" t="str" cm="1">
        <f t="array" ref="AK61">_xlfn.SWITCH(CleanEmployeeData[[#This Row],[EnvironmentSatisfaction]],1,"Low",2,"Medium",3,"High",4,"Very High","Unknown")</f>
        <v>Low</v>
      </c>
      <c r="AL61" t="str" cm="1">
        <f t="array" ref="AL61">_xlfn.SWITCH(CleanEmployeeData[[#This Row],[JobInvolvement]],1,"Low",2,"Medium",3,"High",4,"Very High","Unknown")</f>
        <v>Medium</v>
      </c>
      <c r="AM61" t="str" cm="1">
        <f t="array" ref="AM61">_xlfn.SWITCH(CleanEmployeeData[[#This Row],[JobSatisfaction]],1,"Low",2,"Medium",3,"High",4,"Very High","Unknown")</f>
        <v>High</v>
      </c>
      <c r="AN61" t="str" cm="1">
        <f t="array" ref="AN61">_xlfn.SWITCH(CleanEmployeeData[[#This Row],[PerformanceRating]],1,"Low",2,"Good",3,"Excellent",4,"Outstanding","Unknown")</f>
        <v>Excellent</v>
      </c>
      <c r="AO61" t="str" cm="1">
        <f t="array" ref="AO61">_xlfn.SWITCH(CleanEmployeeData[[#This Row],[WorkLifeBalance]],1,"Bad",2,"Good",3,"Better",4,"Best","Unknown")</f>
        <v>Best</v>
      </c>
      <c r="AP61">
        <f>IF(CleanEmployeeData[[#This Row],[Attrition]]="Yes",1,IF(CleanEmployeeData[[#This Row],[Attrition]]="No",0,""))</f>
        <v>0</v>
      </c>
      <c r="AQ61" t="str" cm="1">
        <f t="array" ref="AQ61">_xlfn.IFS(CleanEmployeeData[[#This Row],[MonthlyIncome]]&lt;=3000,"0–3,000",CleanEmployeeData[[#This Row],[MonthlyIncome]]&lt;=6000,"3,001–6,000",CleanEmployeeData[[#This Row],[MonthlyIncome]]&lt;=10000,"6,001–10,000",TRUE,"10,001+")</f>
        <v>3,001–6,000</v>
      </c>
      <c r="AR61" t="str" cm="1">
        <f t="array" ref="AR61">_xlfn.IFS(CleanEmployeeData[[#This Row],[DistanceFromHome]]&lt;=5,"0–5 miles",CleanEmployeeData[[#This Row],[DistanceFromHome]]&lt;=10,"6–10 miles",CleanEmployeeData[[#This Row],[DistanceFromHome]]&lt;=15,"11–15 miles",TRUE,"16+ miles")</f>
        <v>0–5 miles</v>
      </c>
      <c r="AS61" t="str" cm="1">
        <f t="array" ref="AS61">_xlfn.IFS(CleanEmployeeData[[#This Row],[YearsAtCompany]]&lt;=1,"0–1 years",CleanEmployeeData[[#This Row],[YearsAtCompany]]&lt;=5,"2–5 years",CleanEmployeeData[[#This Row],[YearsAtCompany]]&lt;=10,"6–10 years",TRUE,"11+ years")</f>
        <v>6–10 years</v>
      </c>
    </row>
    <row r="62" spans="1:4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cm="1">
        <f t="array" ref="AJ62">_xlfn.SWITCH(CleanEmployeeData[[#This Row],[Education]],1,"Below College",2,"College",3,"Bachelor",4,"Master",5,"Doctor","Unknown")</f>
        <v>Bachelor</v>
      </c>
      <c r="AK62" t="str" cm="1">
        <f t="array" ref="AK62">_xlfn.SWITCH(CleanEmployeeData[[#This Row],[EnvironmentSatisfaction]],1,"Low",2,"Medium",3,"High",4,"Very High","Unknown")</f>
        <v>Low</v>
      </c>
      <c r="AL62" t="str" cm="1">
        <f t="array" ref="AL62">_xlfn.SWITCH(CleanEmployeeData[[#This Row],[JobInvolvement]],1,"Low",2,"Medium",3,"High",4,"Very High","Unknown")</f>
        <v>High</v>
      </c>
      <c r="AM62" t="str" cm="1">
        <f t="array" ref="AM62">_xlfn.SWITCH(CleanEmployeeData[[#This Row],[JobSatisfaction]],1,"Low",2,"Medium",3,"High",4,"Very High","Unknown")</f>
        <v>Very High</v>
      </c>
      <c r="AN62" t="str" cm="1">
        <f t="array" ref="AN62">_xlfn.SWITCH(CleanEmployeeData[[#This Row],[PerformanceRating]],1,"Low",2,"Good",3,"Excellent",4,"Outstanding","Unknown")</f>
        <v>Outstanding</v>
      </c>
      <c r="AO62" t="str" cm="1">
        <f t="array" ref="AO62">_xlfn.SWITCH(CleanEmployeeData[[#This Row],[WorkLifeBalance]],1,"Bad",2,"Good",3,"Better",4,"Best","Unknown")</f>
        <v>Better</v>
      </c>
      <c r="AP62">
        <f>IF(CleanEmployeeData[[#This Row],[Attrition]]="Yes",1,IF(CleanEmployeeData[[#This Row],[Attrition]]="No",0,""))</f>
        <v>0</v>
      </c>
      <c r="AQ62" t="str" cm="1">
        <f t="array" ref="AQ62">_xlfn.IFS(CleanEmployeeData[[#This Row],[MonthlyIncome]]&lt;=3000,"0–3,000",CleanEmployeeData[[#This Row],[MonthlyIncome]]&lt;=6000,"3,001–6,000",CleanEmployeeData[[#This Row],[MonthlyIncome]]&lt;=10000,"6,001–10,000",TRUE,"10,001+")</f>
        <v>6,001–10,000</v>
      </c>
      <c r="AR62" t="str" cm="1">
        <f t="array" ref="AR62">_xlfn.IFS(CleanEmployeeData[[#This Row],[DistanceFromHome]]&lt;=5,"0–5 miles",CleanEmployeeData[[#This Row],[DistanceFromHome]]&lt;=10,"6–10 miles",CleanEmployeeData[[#This Row],[DistanceFromHome]]&lt;=15,"11–15 miles",TRUE,"16+ miles")</f>
        <v>0–5 miles</v>
      </c>
      <c r="AS62" t="str" cm="1">
        <f t="array" ref="AS62">_xlfn.IFS(CleanEmployeeData[[#This Row],[YearsAtCompany]]&lt;=1,"0–1 years",CleanEmployeeData[[#This Row],[YearsAtCompany]]&lt;=5,"2–5 years",CleanEmployeeData[[#This Row],[YearsAtCompany]]&lt;=10,"6–10 years",TRUE,"11+ years")</f>
        <v>6–10 years</v>
      </c>
    </row>
    <row r="63" spans="1:4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cm="1">
        <f t="array" ref="AJ63">_xlfn.SWITCH(CleanEmployeeData[[#This Row],[Education]],1,"Below College",2,"College",3,"Bachelor",4,"Master",5,"Doctor","Unknown")</f>
        <v>Doctor</v>
      </c>
      <c r="AK63" t="str" cm="1">
        <f t="array" ref="AK63">_xlfn.SWITCH(CleanEmployeeData[[#This Row],[EnvironmentSatisfaction]],1,"Low",2,"Medium",3,"High",4,"Very High","Unknown")</f>
        <v>Very High</v>
      </c>
      <c r="AL63" t="str" cm="1">
        <f t="array" ref="AL63">_xlfn.SWITCH(CleanEmployeeData[[#This Row],[JobInvolvement]],1,"Low",2,"Medium",3,"High",4,"Very High","Unknown")</f>
        <v>High</v>
      </c>
      <c r="AM63" t="str" cm="1">
        <f t="array" ref="AM63">_xlfn.SWITCH(CleanEmployeeData[[#This Row],[JobSatisfaction]],1,"Low",2,"Medium",3,"High",4,"Very High","Unknown")</f>
        <v>Very High</v>
      </c>
      <c r="AN63" t="str" cm="1">
        <f t="array" ref="AN63">_xlfn.SWITCH(CleanEmployeeData[[#This Row],[PerformanceRating]],1,"Low",2,"Good",3,"Excellent",4,"Outstanding","Unknown")</f>
        <v>Excellent</v>
      </c>
      <c r="AO63" t="str" cm="1">
        <f t="array" ref="AO63">_xlfn.SWITCH(CleanEmployeeData[[#This Row],[WorkLifeBalance]],1,"Bad",2,"Good",3,"Better",4,"Best","Unknown")</f>
        <v>Better</v>
      </c>
      <c r="AP63">
        <f>IF(CleanEmployeeData[[#This Row],[Attrition]]="Yes",1,IF(CleanEmployeeData[[#This Row],[Attrition]]="No",0,""))</f>
        <v>0</v>
      </c>
      <c r="AQ63" t="str" cm="1">
        <f t="array" ref="AQ63">_xlfn.IFS(CleanEmployeeData[[#This Row],[MonthlyIncome]]&lt;=3000,"0–3,000",CleanEmployeeData[[#This Row],[MonthlyIncome]]&lt;=6000,"3,001–6,000",CleanEmployeeData[[#This Row],[MonthlyIncome]]&lt;=10000,"6,001–10,000",TRUE,"10,001+")</f>
        <v>0–3,000</v>
      </c>
      <c r="AR63" t="str" cm="1">
        <f t="array" ref="AR63">_xlfn.IFS(CleanEmployeeData[[#This Row],[DistanceFromHome]]&lt;=5,"0–5 miles",CleanEmployeeData[[#This Row],[DistanceFromHome]]&lt;=10,"6–10 miles",CleanEmployeeData[[#This Row],[DistanceFromHome]]&lt;=15,"11–15 miles",TRUE,"16+ miles")</f>
        <v>16+ miles</v>
      </c>
      <c r="AS63" t="str" cm="1">
        <f t="array" ref="AS63">_xlfn.IFS(CleanEmployeeData[[#This Row],[YearsAtCompany]]&lt;=1,"0–1 years",CleanEmployeeData[[#This Row],[YearsAtCompany]]&lt;=5,"2–5 years",CleanEmployeeData[[#This Row],[YearsAtCompany]]&lt;=10,"6–10 years",TRUE,"11+ years")</f>
        <v>6–10 years</v>
      </c>
    </row>
    <row r="64" spans="1:4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cm="1">
        <f t="array" ref="AJ64">_xlfn.SWITCH(CleanEmployeeData[[#This Row],[Education]],1,"Below College",2,"College",3,"Bachelor",4,"Master",5,"Doctor","Unknown")</f>
        <v>College</v>
      </c>
      <c r="AK64" t="str" cm="1">
        <f t="array" ref="AK64">_xlfn.SWITCH(CleanEmployeeData[[#This Row],[EnvironmentSatisfaction]],1,"Low",2,"Medium",3,"High",4,"Very High","Unknown")</f>
        <v>Medium</v>
      </c>
      <c r="AL64" t="str" cm="1">
        <f t="array" ref="AL64">_xlfn.SWITCH(CleanEmployeeData[[#This Row],[JobInvolvement]],1,"Low",2,"Medium",3,"High",4,"Very High","Unknown")</f>
        <v>Medium</v>
      </c>
      <c r="AM64" t="str" cm="1">
        <f t="array" ref="AM64">_xlfn.SWITCH(CleanEmployeeData[[#This Row],[JobSatisfaction]],1,"Low",2,"Medium",3,"High",4,"Very High","Unknown")</f>
        <v>High</v>
      </c>
      <c r="AN64" t="str" cm="1">
        <f t="array" ref="AN64">_xlfn.SWITCH(CleanEmployeeData[[#This Row],[PerformanceRating]],1,"Low",2,"Good",3,"Excellent",4,"Outstanding","Unknown")</f>
        <v>Excellent</v>
      </c>
      <c r="AO64" t="str" cm="1">
        <f t="array" ref="AO64">_xlfn.SWITCH(CleanEmployeeData[[#This Row],[WorkLifeBalance]],1,"Bad",2,"Good",3,"Better",4,"Best","Unknown")</f>
        <v>Good</v>
      </c>
      <c r="AP64">
        <f>IF(CleanEmployeeData[[#This Row],[Attrition]]="Yes",1,IF(CleanEmployeeData[[#This Row],[Attrition]]="No",0,""))</f>
        <v>0</v>
      </c>
      <c r="AQ64" t="str" cm="1">
        <f t="array" ref="AQ64">_xlfn.IFS(CleanEmployeeData[[#This Row],[MonthlyIncome]]&lt;=3000,"0–3,000",CleanEmployeeData[[#This Row],[MonthlyIncome]]&lt;=6000,"3,001–6,000",CleanEmployeeData[[#This Row],[MonthlyIncome]]&lt;=10000,"6,001–10,000",TRUE,"10,001+")</f>
        <v>10,001+</v>
      </c>
      <c r="AR64" t="str" cm="1">
        <f t="array" ref="AR64">_xlfn.IFS(CleanEmployeeData[[#This Row],[DistanceFromHome]]&lt;=5,"0–5 miles",CleanEmployeeData[[#This Row],[DistanceFromHome]]&lt;=10,"6–10 miles",CleanEmployeeData[[#This Row],[DistanceFromHome]]&lt;=15,"11–15 miles",TRUE,"16+ miles")</f>
        <v>6–10 miles</v>
      </c>
      <c r="AS64" t="str" cm="1">
        <f t="array" ref="AS64">_xlfn.IFS(CleanEmployeeData[[#This Row],[YearsAtCompany]]&lt;=1,"0–1 years",CleanEmployeeData[[#This Row],[YearsAtCompany]]&lt;=5,"2–5 years",CleanEmployeeData[[#This Row],[YearsAtCompany]]&lt;=10,"6–10 years",TRUE,"11+ years")</f>
        <v>11+ years</v>
      </c>
    </row>
    <row r="65" spans="1:4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cm="1">
        <f t="array" ref="AJ65">_xlfn.SWITCH(CleanEmployeeData[[#This Row],[Education]],1,"Below College",2,"College",3,"Bachelor",4,"Master",5,"Doctor","Unknown")</f>
        <v>Bachelor</v>
      </c>
      <c r="AK65" t="str" cm="1">
        <f t="array" ref="AK65">_xlfn.SWITCH(CleanEmployeeData[[#This Row],[EnvironmentSatisfaction]],1,"Low",2,"Medium",3,"High",4,"Very High","Unknown")</f>
        <v>Low</v>
      </c>
      <c r="AL65" t="str" cm="1">
        <f t="array" ref="AL65">_xlfn.SWITCH(CleanEmployeeData[[#This Row],[JobInvolvement]],1,"Low",2,"Medium",3,"High",4,"Very High","Unknown")</f>
        <v>High</v>
      </c>
      <c r="AM65" t="str" cm="1">
        <f t="array" ref="AM65">_xlfn.SWITCH(CleanEmployeeData[[#This Row],[JobSatisfaction]],1,"Low",2,"Medium",3,"High",4,"Very High","Unknown")</f>
        <v>Low</v>
      </c>
      <c r="AN65" t="str" cm="1">
        <f t="array" ref="AN65">_xlfn.SWITCH(CleanEmployeeData[[#This Row],[PerformanceRating]],1,"Low",2,"Good",3,"Excellent",4,"Outstanding","Unknown")</f>
        <v>Excellent</v>
      </c>
      <c r="AO65" t="str" cm="1">
        <f t="array" ref="AO65">_xlfn.SWITCH(CleanEmployeeData[[#This Row],[WorkLifeBalance]],1,"Bad",2,"Good",3,"Better",4,"Best","Unknown")</f>
        <v>Good</v>
      </c>
      <c r="AP65">
        <f>IF(CleanEmployeeData[[#This Row],[Attrition]]="Yes",1,IF(CleanEmployeeData[[#This Row],[Attrition]]="No",0,""))</f>
        <v>0</v>
      </c>
      <c r="AQ65" t="str" cm="1">
        <f t="array" ref="AQ65">_xlfn.IFS(CleanEmployeeData[[#This Row],[MonthlyIncome]]&lt;=3000,"0–3,000",CleanEmployeeData[[#This Row],[MonthlyIncome]]&lt;=6000,"3,001–6,000",CleanEmployeeData[[#This Row],[MonthlyIncome]]&lt;=10000,"6,001–10,000",TRUE,"10,001+")</f>
        <v>6,001–10,000</v>
      </c>
      <c r="AR65" t="str" cm="1">
        <f t="array" ref="AR65">_xlfn.IFS(CleanEmployeeData[[#This Row],[DistanceFromHome]]&lt;=5,"0–5 miles",CleanEmployeeData[[#This Row],[DistanceFromHome]]&lt;=10,"6–10 miles",CleanEmployeeData[[#This Row],[DistanceFromHome]]&lt;=15,"11–15 miles",TRUE,"16+ miles")</f>
        <v>16+ miles</v>
      </c>
      <c r="AS65" t="str" cm="1">
        <f t="array" ref="AS65">_xlfn.IFS(CleanEmployeeData[[#This Row],[YearsAtCompany]]&lt;=1,"0–1 years",CleanEmployeeData[[#This Row],[YearsAtCompany]]&lt;=5,"2–5 years",CleanEmployeeData[[#This Row],[YearsAtCompany]]&lt;=10,"6–10 years",TRUE,"11+ years")</f>
        <v>11+ years</v>
      </c>
    </row>
    <row r="66" spans="1:4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cm="1">
        <f t="array" ref="AJ66">_xlfn.SWITCH(CleanEmployeeData[[#This Row],[Education]],1,"Below College",2,"College",3,"Bachelor",4,"Master",5,"Doctor","Unknown")</f>
        <v>Bachelor</v>
      </c>
      <c r="AK66" t="str" cm="1">
        <f t="array" ref="AK66">_xlfn.SWITCH(CleanEmployeeData[[#This Row],[EnvironmentSatisfaction]],1,"Low",2,"Medium",3,"High",4,"Very High","Unknown")</f>
        <v>High</v>
      </c>
      <c r="AL66" t="str" cm="1">
        <f t="array" ref="AL66">_xlfn.SWITCH(CleanEmployeeData[[#This Row],[JobInvolvement]],1,"Low",2,"Medium",3,"High",4,"Very High","Unknown")</f>
        <v>High</v>
      </c>
      <c r="AM66" t="str" cm="1">
        <f t="array" ref="AM66">_xlfn.SWITCH(CleanEmployeeData[[#This Row],[JobSatisfaction]],1,"Low",2,"Medium",3,"High",4,"Very High","Unknown")</f>
        <v>High</v>
      </c>
      <c r="AN66" t="str" cm="1">
        <f t="array" ref="AN66">_xlfn.SWITCH(CleanEmployeeData[[#This Row],[PerformanceRating]],1,"Low",2,"Good",3,"Excellent",4,"Outstanding","Unknown")</f>
        <v>Excellent</v>
      </c>
      <c r="AO66" t="str" cm="1">
        <f t="array" ref="AO66">_xlfn.SWITCH(CleanEmployeeData[[#This Row],[WorkLifeBalance]],1,"Bad",2,"Good",3,"Better",4,"Best","Unknown")</f>
        <v>Better</v>
      </c>
      <c r="AP66">
        <f>IF(CleanEmployeeData[[#This Row],[Attrition]]="Yes",1,IF(CleanEmployeeData[[#This Row],[Attrition]]="No",0,""))</f>
        <v>0</v>
      </c>
      <c r="AQ66" t="str" cm="1">
        <f t="array" ref="AQ66">_xlfn.IFS(CleanEmployeeData[[#This Row],[MonthlyIncome]]&lt;=3000,"0–3,000",CleanEmployeeData[[#This Row],[MonthlyIncome]]&lt;=6000,"3,001–6,000",CleanEmployeeData[[#This Row],[MonthlyIncome]]&lt;=10000,"6,001–10,000",TRUE,"10,001+")</f>
        <v>10,001+</v>
      </c>
      <c r="AR66" t="str" cm="1">
        <f t="array" ref="AR66">_xlfn.IFS(CleanEmployeeData[[#This Row],[DistanceFromHome]]&lt;=5,"0–5 miles",CleanEmployeeData[[#This Row],[DistanceFromHome]]&lt;=10,"6–10 miles",CleanEmployeeData[[#This Row],[DistanceFromHome]]&lt;=15,"11–15 miles",TRUE,"16+ miles")</f>
        <v>6–10 miles</v>
      </c>
      <c r="AS66" t="str" cm="1">
        <f t="array" ref="AS66">_xlfn.IFS(CleanEmployeeData[[#This Row],[YearsAtCompany]]&lt;=1,"0–1 years",CleanEmployeeData[[#This Row],[YearsAtCompany]]&lt;=5,"2–5 years",CleanEmployeeData[[#This Row],[YearsAtCompany]]&lt;=10,"6–10 years",TRUE,"11+ years")</f>
        <v>11+ years</v>
      </c>
    </row>
    <row r="67" spans="1:4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cm="1">
        <f t="array" ref="AJ67">_xlfn.SWITCH(CleanEmployeeData[[#This Row],[Education]],1,"Below College",2,"College",3,"Bachelor",4,"Master",5,"Doctor","Unknown")</f>
        <v>Bachelor</v>
      </c>
      <c r="AK67" t="str" cm="1">
        <f t="array" ref="AK67">_xlfn.SWITCH(CleanEmployeeData[[#This Row],[EnvironmentSatisfaction]],1,"Low",2,"Medium",3,"High",4,"Very High","Unknown")</f>
        <v>Very High</v>
      </c>
      <c r="AL67" t="str" cm="1">
        <f t="array" ref="AL67">_xlfn.SWITCH(CleanEmployeeData[[#This Row],[JobInvolvement]],1,"Low",2,"Medium",3,"High",4,"Very High","Unknown")</f>
        <v>High</v>
      </c>
      <c r="AM67" t="str" cm="1">
        <f t="array" ref="AM67">_xlfn.SWITCH(CleanEmployeeData[[#This Row],[JobSatisfaction]],1,"Low",2,"Medium",3,"High",4,"Very High","Unknown")</f>
        <v>High</v>
      </c>
      <c r="AN67" t="str" cm="1">
        <f t="array" ref="AN67">_xlfn.SWITCH(CleanEmployeeData[[#This Row],[PerformanceRating]],1,"Low",2,"Good",3,"Excellent",4,"Outstanding","Unknown")</f>
        <v>Excellent</v>
      </c>
      <c r="AO67" t="str" cm="1">
        <f t="array" ref="AO67">_xlfn.SWITCH(CleanEmployeeData[[#This Row],[WorkLifeBalance]],1,"Bad",2,"Good",3,"Better",4,"Best","Unknown")</f>
        <v>Better</v>
      </c>
      <c r="AP67">
        <f>IF(CleanEmployeeData[[#This Row],[Attrition]]="Yes",1,IF(CleanEmployeeData[[#This Row],[Attrition]]="No",0,""))</f>
        <v>0</v>
      </c>
      <c r="AQ67" t="str" cm="1">
        <f t="array" ref="AQ67">_xlfn.IFS(CleanEmployeeData[[#This Row],[MonthlyIncome]]&lt;=3000,"0–3,000",CleanEmployeeData[[#This Row],[MonthlyIncome]]&lt;=6000,"3,001–6,000",CleanEmployeeData[[#This Row],[MonthlyIncome]]&lt;=10000,"6,001–10,000",TRUE,"10,001+")</f>
        <v>10,001+</v>
      </c>
      <c r="AR67" t="str" cm="1">
        <f t="array" ref="AR67">_xlfn.IFS(CleanEmployeeData[[#This Row],[DistanceFromHome]]&lt;=5,"0–5 miles",CleanEmployeeData[[#This Row],[DistanceFromHome]]&lt;=10,"6–10 miles",CleanEmployeeData[[#This Row],[DistanceFromHome]]&lt;=15,"11–15 miles",TRUE,"16+ miles")</f>
        <v>6–10 miles</v>
      </c>
      <c r="AS67" t="str" cm="1">
        <f t="array" ref="AS67">_xlfn.IFS(CleanEmployeeData[[#This Row],[YearsAtCompany]]&lt;=1,"0–1 years",CleanEmployeeData[[#This Row],[YearsAtCompany]]&lt;=5,"2–5 years",CleanEmployeeData[[#This Row],[YearsAtCompany]]&lt;=10,"6–10 years",TRUE,"11+ years")</f>
        <v>2–5 years</v>
      </c>
    </row>
    <row r="68" spans="1:4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cm="1">
        <f t="array" ref="AJ68">_xlfn.SWITCH(CleanEmployeeData[[#This Row],[Education]],1,"Below College",2,"College",3,"Bachelor",4,"Master",5,"Doctor","Unknown")</f>
        <v>Bachelor</v>
      </c>
      <c r="AK68" t="str" cm="1">
        <f t="array" ref="AK68">_xlfn.SWITCH(CleanEmployeeData[[#This Row],[EnvironmentSatisfaction]],1,"Low",2,"Medium",3,"High",4,"Very High","Unknown")</f>
        <v>Medium</v>
      </c>
      <c r="AL68" t="str" cm="1">
        <f t="array" ref="AL68">_xlfn.SWITCH(CleanEmployeeData[[#This Row],[JobInvolvement]],1,"Low",2,"Medium",3,"High",4,"Very High","Unknown")</f>
        <v>Medium</v>
      </c>
      <c r="AM68" t="str" cm="1">
        <f t="array" ref="AM68">_xlfn.SWITCH(CleanEmployeeData[[#This Row],[JobSatisfaction]],1,"Low",2,"Medium",3,"High",4,"Very High","Unknown")</f>
        <v>Medium</v>
      </c>
      <c r="AN68" t="str" cm="1">
        <f t="array" ref="AN68">_xlfn.SWITCH(CleanEmployeeData[[#This Row],[PerformanceRating]],1,"Low",2,"Good",3,"Excellent",4,"Outstanding","Unknown")</f>
        <v>Excellent</v>
      </c>
      <c r="AO68" t="str" cm="1">
        <f t="array" ref="AO68">_xlfn.SWITCH(CleanEmployeeData[[#This Row],[WorkLifeBalance]],1,"Bad",2,"Good",3,"Better",4,"Best","Unknown")</f>
        <v>Better</v>
      </c>
      <c r="AP68">
        <f>IF(CleanEmployeeData[[#This Row],[Attrition]]="Yes",1,IF(CleanEmployeeData[[#This Row],[Attrition]]="No",0,""))</f>
        <v>0</v>
      </c>
      <c r="AQ68" t="str" cm="1">
        <f t="array" ref="AQ68">_xlfn.IFS(CleanEmployeeData[[#This Row],[MonthlyIncome]]&lt;=3000,"0–3,000",CleanEmployeeData[[#This Row],[MonthlyIncome]]&lt;=6000,"3,001–6,000",CleanEmployeeData[[#This Row],[MonthlyIncome]]&lt;=10000,"6,001–10,000",TRUE,"10,001+")</f>
        <v>6,001–10,000</v>
      </c>
      <c r="AR68" t="str" cm="1">
        <f t="array" ref="AR68">_xlfn.IFS(CleanEmployeeData[[#This Row],[DistanceFromHome]]&lt;=5,"0–5 miles",CleanEmployeeData[[#This Row],[DistanceFromHome]]&lt;=10,"6–10 miles",CleanEmployeeData[[#This Row],[DistanceFromHome]]&lt;=15,"11–15 miles",TRUE,"16+ miles")</f>
        <v>11–15 miles</v>
      </c>
      <c r="AS68" t="str" cm="1">
        <f t="array" ref="AS68">_xlfn.IFS(CleanEmployeeData[[#This Row],[YearsAtCompany]]&lt;=1,"0–1 years",CleanEmployeeData[[#This Row],[YearsAtCompany]]&lt;=5,"2–5 years",CleanEmployeeData[[#This Row],[YearsAtCompany]]&lt;=10,"6–10 years",TRUE,"11+ years")</f>
        <v>6–10 years</v>
      </c>
    </row>
    <row r="69" spans="1:4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cm="1">
        <f t="array" ref="AJ69">_xlfn.SWITCH(CleanEmployeeData[[#This Row],[Education]],1,"Below College",2,"College",3,"Bachelor",4,"Master",5,"Doctor","Unknown")</f>
        <v>Bachelor</v>
      </c>
      <c r="AK69" t="str" cm="1">
        <f t="array" ref="AK69">_xlfn.SWITCH(CleanEmployeeData[[#This Row],[EnvironmentSatisfaction]],1,"Low",2,"Medium",3,"High",4,"Very High","Unknown")</f>
        <v>Medium</v>
      </c>
      <c r="AL69" t="str" cm="1">
        <f t="array" ref="AL69">_xlfn.SWITCH(CleanEmployeeData[[#This Row],[JobInvolvement]],1,"Low",2,"Medium",3,"High",4,"Very High","Unknown")</f>
        <v>High</v>
      </c>
      <c r="AM69" t="str" cm="1">
        <f t="array" ref="AM69">_xlfn.SWITCH(CleanEmployeeData[[#This Row],[JobSatisfaction]],1,"Low",2,"Medium",3,"High",4,"Very High","Unknown")</f>
        <v>Low</v>
      </c>
      <c r="AN69" t="str" cm="1">
        <f t="array" ref="AN69">_xlfn.SWITCH(CleanEmployeeData[[#This Row],[PerformanceRating]],1,"Low",2,"Good",3,"Excellent",4,"Outstanding","Unknown")</f>
        <v>Excellent</v>
      </c>
      <c r="AO69" t="str" cm="1">
        <f t="array" ref="AO69">_xlfn.SWITCH(CleanEmployeeData[[#This Row],[WorkLifeBalance]],1,"Bad",2,"Good",3,"Better",4,"Best","Unknown")</f>
        <v>Better</v>
      </c>
      <c r="AP69">
        <f>IF(CleanEmployeeData[[#This Row],[Attrition]]="Yes",1,IF(CleanEmployeeData[[#This Row],[Attrition]]="No",0,""))</f>
        <v>0</v>
      </c>
      <c r="AQ69" t="str" cm="1">
        <f t="array" ref="AQ69">_xlfn.IFS(CleanEmployeeData[[#This Row],[MonthlyIncome]]&lt;=3000,"0–3,000",CleanEmployeeData[[#This Row],[MonthlyIncome]]&lt;=6000,"3,001–6,000",CleanEmployeeData[[#This Row],[MonthlyIncome]]&lt;=10000,"6,001–10,000",TRUE,"10,001+")</f>
        <v>6,001–10,000</v>
      </c>
      <c r="AR69" t="str" cm="1">
        <f t="array" ref="AR69">_xlfn.IFS(CleanEmployeeData[[#This Row],[DistanceFromHome]]&lt;=5,"0–5 miles",CleanEmployeeData[[#This Row],[DistanceFromHome]]&lt;=10,"6–10 miles",CleanEmployeeData[[#This Row],[DistanceFromHome]]&lt;=15,"11–15 miles",TRUE,"16+ miles")</f>
        <v>6–10 miles</v>
      </c>
      <c r="AS69" t="str" cm="1">
        <f t="array" ref="AS69">_xlfn.IFS(CleanEmployeeData[[#This Row],[YearsAtCompany]]&lt;=1,"0–1 years",CleanEmployeeData[[#This Row],[YearsAtCompany]]&lt;=5,"2–5 years",CleanEmployeeData[[#This Row],[YearsAtCompany]]&lt;=10,"6–10 years",TRUE,"11+ years")</f>
        <v>0–1 years</v>
      </c>
    </row>
    <row r="70" spans="1:4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cm="1">
        <f t="array" ref="AJ70">_xlfn.SWITCH(CleanEmployeeData[[#This Row],[Education]],1,"Below College",2,"College",3,"Bachelor",4,"Master",5,"Doctor","Unknown")</f>
        <v>Bachelor</v>
      </c>
      <c r="AK70" t="str" cm="1">
        <f t="array" ref="AK70">_xlfn.SWITCH(CleanEmployeeData[[#This Row],[EnvironmentSatisfaction]],1,"Low",2,"Medium",3,"High",4,"Very High","Unknown")</f>
        <v>Medium</v>
      </c>
      <c r="AL70" t="str" cm="1">
        <f t="array" ref="AL70">_xlfn.SWITCH(CleanEmployeeData[[#This Row],[JobInvolvement]],1,"Low",2,"Medium",3,"High",4,"Very High","Unknown")</f>
        <v>High</v>
      </c>
      <c r="AM70" t="str" cm="1">
        <f t="array" ref="AM70">_xlfn.SWITCH(CleanEmployeeData[[#This Row],[JobSatisfaction]],1,"Low",2,"Medium",3,"High",4,"Very High","Unknown")</f>
        <v>Low</v>
      </c>
      <c r="AN70" t="str" cm="1">
        <f t="array" ref="AN70">_xlfn.SWITCH(CleanEmployeeData[[#This Row],[PerformanceRating]],1,"Low",2,"Good",3,"Excellent",4,"Outstanding","Unknown")</f>
        <v>Excellent</v>
      </c>
      <c r="AO70" t="str" cm="1">
        <f t="array" ref="AO70">_xlfn.SWITCH(CleanEmployeeData[[#This Row],[WorkLifeBalance]],1,"Bad",2,"Good",3,"Better",4,"Best","Unknown")</f>
        <v>Good</v>
      </c>
      <c r="AP70">
        <f>IF(CleanEmployeeData[[#This Row],[Attrition]]="Yes",1,IF(CleanEmployeeData[[#This Row],[Attrition]]="No",0,""))</f>
        <v>0</v>
      </c>
      <c r="AQ70" t="str" cm="1">
        <f t="array" ref="AQ70">_xlfn.IFS(CleanEmployeeData[[#This Row],[MonthlyIncome]]&lt;=3000,"0–3,000",CleanEmployeeData[[#This Row],[MonthlyIncome]]&lt;=6000,"3,001–6,000",CleanEmployeeData[[#This Row],[MonthlyIncome]]&lt;=10000,"6,001–10,000",TRUE,"10,001+")</f>
        <v>0–3,000</v>
      </c>
      <c r="AR70" t="str" cm="1">
        <f t="array" ref="AR70">_xlfn.IFS(CleanEmployeeData[[#This Row],[DistanceFromHome]]&lt;=5,"0–5 miles",CleanEmployeeData[[#This Row],[DistanceFromHome]]&lt;=10,"6–10 miles",CleanEmployeeData[[#This Row],[DistanceFromHome]]&lt;=15,"11–15 miles",TRUE,"16+ miles")</f>
        <v>0–5 miles</v>
      </c>
      <c r="AS70" t="str" cm="1">
        <f t="array" ref="AS70">_xlfn.IFS(CleanEmployeeData[[#This Row],[YearsAtCompany]]&lt;=1,"0–1 years",CleanEmployeeData[[#This Row],[YearsAtCompany]]&lt;=5,"2–5 years",CleanEmployeeData[[#This Row],[YearsAtCompany]]&lt;=10,"6–10 years",TRUE,"11+ years")</f>
        <v>2–5 years</v>
      </c>
    </row>
    <row r="71" spans="1:4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cm="1">
        <f t="array" ref="AJ71">_xlfn.SWITCH(CleanEmployeeData[[#This Row],[Education]],1,"Below College",2,"College",3,"Bachelor",4,"Master",5,"Doctor","Unknown")</f>
        <v>Bachelor</v>
      </c>
      <c r="AK71" t="str" cm="1">
        <f t="array" ref="AK71">_xlfn.SWITCH(CleanEmployeeData[[#This Row],[EnvironmentSatisfaction]],1,"Low",2,"Medium",3,"High",4,"Very High","Unknown")</f>
        <v>Very High</v>
      </c>
      <c r="AL71" t="str" cm="1">
        <f t="array" ref="AL71">_xlfn.SWITCH(CleanEmployeeData[[#This Row],[JobInvolvement]],1,"Low",2,"Medium",3,"High",4,"Very High","Unknown")</f>
        <v>Medium</v>
      </c>
      <c r="AM71" t="str" cm="1">
        <f t="array" ref="AM71">_xlfn.SWITCH(CleanEmployeeData[[#This Row],[JobSatisfaction]],1,"Low",2,"Medium",3,"High",4,"Very High","Unknown")</f>
        <v>High</v>
      </c>
      <c r="AN71" t="str" cm="1">
        <f t="array" ref="AN71">_xlfn.SWITCH(CleanEmployeeData[[#This Row],[PerformanceRating]],1,"Low",2,"Good",3,"Excellent",4,"Outstanding","Unknown")</f>
        <v>Excellent</v>
      </c>
      <c r="AO71" t="str" cm="1">
        <f t="array" ref="AO71">_xlfn.SWITCH(CleanEmployeeData[[#This Row],[WorkLifeBalance]],1,"Bad",2,"Good",3,"Better",4,"Best","Unknown")</f>
        <v>Good</v>
      </c>
      <c r="AP71">
        <f>IF(CleanEmployeeData[[#This Row],[Attrition]]="Yes",1,IF(CleanEmployeeData[[#This Row],[Attrition]]="No",0,""))</f>
        <v>1</v>
      </c>
      <c r="AQ71" t="str" cm="1">
        <f t="array" ref="AQ71">_xlfn.IFS(CleanEmployeeData[[#This Row],[MonthlyIncome]]&lt;=3000,"0–3,000",CleanEmployeeData[[#This Row],[MonthlyIncome]]&lt;=6000,"3,001–6,000",CleanEmployeeData[[#This Row],[MonthlyIncome]]&lt;=10000,"6,001–10,000",TRUE,"10,001+")</f>
        <v>3,001–6,000</v>
      </c>
      <c r="AR71" t="str" cm="1">
        <f t="array" ref="AR71">_xlfn.IFS(CleanEmployeeData[[#This Row],[DistanceFromHome]]&lt;=5,"0–5 miles",CleanEmployeeData[[#This Row],[DistanceFromHome]]&lt;=10,"6–10 miles",CleanEmployeeData[[#This Row],[DistanceFromHome]]&lt;=15,"11–15 miles",TRUE,"16+ miles")</f>
        <v>6–10 miles</v>
      </c>
      <c r="AS71" t="str" cm="1">
        <f t="array" ref="AS71">_xlfn.IFS(CleanEmployeeData[[#This Row],[YearsAtCompany]]&lt;=1,"0–1 years",CleanEmployeeData[[#This Row],[YearsAtCompany]]&lt;=5,"2–5 years",CleanEmployeeData[[#This Row],[YearsAtCompany]]&lt;=10,"6–10 years",TRUE,"11+ years")</f>
        <v>0–1 years</v>
      </c>
    </row>
    <row r="72" spans="1:4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cm="1">
        <f t="array" ref="AJ72">_xlfn.SWITCH(CleanEmployeeData[[#This Row],[Education]],1,"Below College",2,"College",3,"Bachelor",4,"Master",5,"Doctor","Unknown")</f>
        <v>Below College</v>
      </c>
      <c r="AK72" t="str" cm="1">
        <f t="array" ref="AK72">_xlfn.SWITCH(CleanEmployeeData[[#This Row],[EnvironmentSatisfaction]],1,"Low",2,"Medium",3,"High",4,"Very High","Unknown")</f>
        <v>Low</v>
      </c>
      <c r="AL72" t="str" cm="1">
        <f t="array" ref="AL72">_xlfn.SWITCH(CleanEmployeeData[[#This Row],[JobInvolvement]],1,"Low",2,"Medium",3,"High",4,"Very High","Unknown")</f>
        <v>Medium</v>
      </c>
      <c r="AM72" t="str" cm="1">
        <f t="array" ref="AM72">_xlfn.SWITCH(CleanEmployeeData[[#This Row],[JobSatisfaction]],1,"Low",2,"Medium",3,"High",4,"Very High","Unknown")</f>
        <v>High</v>
      </c>
      <c r="AN72" t="str" cm="1">
        <f t="array" ref="AN72">_xlfn.SWITCH(CleanEmployeeData[[#This Row],[PerformanceRating]],1,"Low",2,"Good",3,"Excellent",4,"Outstanding","Unknown")</f>
        <v>Excellent</v>
      </c>
      <c r="AO72" t="str" cm="1">
        <f t="array" ref="AO72">_xlfn.SWITCH(CleanEmployeeData[[#This Row],[WorkLifeBalance]],1,"Bad",2,"Good",3,"Better",4,"Best","Unknown")</f>
        <v>Good</v>
      </c>
      <c r="AP72">
        <f>IF(CleanEmployeeData[[#This Row],[Attrition]]="Yes",1,IF(CleanEmployeeData[[#This Row],[Attrition]]="No",0,""))</f>
        <v>0</v>
      </c>
      <c r="AQ72" t="str" cm="1">
        <f t="array" ref="AQ72">_xlfn.IFS(CleanEmployeeData[[#This Row],[MonthlyIncome]]&lt;=3000,"0–3,000",CleanEmployeeData[[#This Row],[MonthlyIncome]]&lt;=6000,"3,001–6,000",CleanEmployeeData[[#This Row],[MonthlyIncome]]&lt;=10000,"6,001–10,000",TRUE,"10,001+")</f>
        <v>3,001–6,000</v>
      </c>
      <c r="AR72" t="str" cm="1">
        <f t="array" ref="AR72">_xlfn.IFS(CleanEmployeeData[[#This Row],[DistanceFromHome]]&lt;=5,"0–5 miles",CleanEmployeeData[[#This Row],[DistanceFromHome]]&lt;=10,"6–10 miles",CleanEmployeeData[[#This Row],[DistanceFromHome]]&lt;=15,"11–15 miles",TRUE,"16+ miles")</f>
        <v>0–5 miles</v>
      </c>
      <c r="AS72" t="str" cm="1">
        <f t="array" ref="AS72">_xlfn.IFS(CleanEmployeeData[[#This Row],[YearsAtCompany]]&lt;=1,"0–1 years",CleanEmployeeData[[#This Row],[YearsAtCompany]]&lt;=5,"2–5 years",CleanEmployeeData[[#This Row],[YearsAtCompany]]&lt;=10,"6–10 years",TRUE,"11+ years")</f>
        <v>2–5 years</v>
      </c>
    </row>
    <row r="73" spans="1:4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cm="1">
        <f t="array" ref="AJ73">_xlfn.SWITCH(CleanEmployeeData[[#This Row],[Education]],1,"Below College",2,"College",3,"Bachelor",4,"Master",5,"Doctor","Unknown")</f>
        <v>Bachelor</v>
      </c>
      <c r="AK73" t="str" cm="1">
        <f t="array" ref="AK73">_xlfn.SWITCH(CleanEmployeeData[[#This Row],[EnvironmentSatisfaction]],1,"Low",2,"Medium",3,"High",4,"Very High","Unknown")</f>
        <v>High</v>
      </c>
      <c r="AL73" t="str" cm="1">
        <f t="array" ref="AL73">_xlfn.SWITCH(CleanEmployeeData[[#This Row],[JobInvolvement]],1,"Low",2,"Medium",3,"High",4,"Very High","Unknown")</f>
        <v>High</v>
      </c>
      <c r="AM73" t="str" cm="1">
        <f t="array" ref="AM73">_xlfn.SWITCH(CleanEmployeeData[[#This Row],[JobSatisfaction]],1,"Low",2,"Medium",3,"High",4,"Very High","Unknown")</f>
        <v>Medium</v>
      </c>
      <c r="AN73" t="str" cm="1">
        <f t="array" ref="AN73">_xlfn.SWITCH(CleanEmployeeData[[#This Row],[PerformanceRating]],1,"Low",2,"Good",3,"Excellent",4,"Outstanding","Unknown")</f>
        <v>Outstanding</v>
      </c>
      <c r="AO73" t="str" cm="1">
        <f t="array" ref="AO73">_xlfn.SWITCH(CleanEmployeeData[[#This Row],[WorkLifeBalance]],1,"Bad",2,"Good",3,"Better",4,"Best","Unknown")</f>
        <v>Better</v>
      </c>
      <c r="AP73">
        <f>IF(CleanEmployeeData[[#This Row],[Attrition]]="Yes",1,IF(CleanEmployeeData[[#This Row],[Attrition]]="No",0,""))</f>
        <v>0</v>
      </c>
      <c r="AQ73" t="str" cm="1">
        <f t="array" ref="AQ73">_xlfn.IFS(CleanEmployeeData[[#This Row],[MonthlyIncome]]&lt;=3000,"0–3,000",CleanEmployeeData[[#This Row],[MonthlyIncome]]&lt;=6000,"3,001–6,000",CleanEmployeeData[[#This Row],[MonthlyIncome]]&lt;=10000,"6,001–10,000",TRUE,"10,001+")</f>
        <v>0–3,000</v>
      </c>
      <c r="AR73" t="str" cm="1">
        <f t="array" ref="AR73">_xlfn.IFS(CleanEmployeeData[[#This Row],[DistanceFromHome]]&lt;=5,"0–5 miles",CleanEmployeeData[[#This Row],[DistanceFromHome]]&lt;=10,"6–10 miles",CleanEmployeeData[[#This Row],[DistanceFromHome]]&lt;=15,"11–15 miles",TRUE,"16+ miles")</f>
        <v>0–5 miles</v>
      </c>
      <c r="AS73" t="str" cm="1">
        <f t="array" ref="AS73">_xlfn.IFS(CleanEmployeeData[[#This Row],[YearsAtCompany]]&lt;=1,"0–1 years",CleanEmployeeData[[#This Row],[YearsAtCompany]]&lt;=5,"2–5 years",CleanEmployeeData[[#This Row],[YearsAtCompany]]&lt;=10,"6–10 years",TRUE,"11+ years")</f>
        <v>2–5 years</v>
      </c>
    </row>
    <row r="74" spans="1:4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cm="1">
        <f t="array" ref="AJ74">_xlfn.SWITCH(CleanEmployeeData[[#This Row],[Education]],1,"Below College",2,"College",3,"Bachelor",4,"Master",5,"Doctor","Unknown")</f>
        <v>Master</v>
      </c>
      <c r="AK74" t="str" cm="1">
        <f t="array" ref="AK74">_xlfn.SWITCH(CleanEmployeeData[[#This Row],[EnvironmentSatisfaction]],1,"Low",2,"Medium",3,"High",4,"Very High","Unknown")</f>
        <v>High</v>
      </c>
      <c r="AL74" t="str" cm="1">
        <f t="array" ref="AL74">_xlfn.SWITCH(CleanEmployeeData[[#This Row],[JobInvolvement]],1,"Low",2,"Medium",3,"High",4,"Very High","Unknown")</f>
        <v>High</v>
      </c>
      <c r="AM74" t="str" cm="1">
        <f t="array" ref="AM74">_xlfn.SWITCH(CleanEmployeeData[[#This Row],[JobSatisfaction]],1,"Low",2,"Medium",3,"High",4,"Very High","Unknown")</f>
        <v>Medium</v>
      </c>
      <c r="AN74" t="str" cm="1">
        <f t="array" ref="AN74">_xlfn.SWITCH(CleanEmployeeData[[#This Row],[PerformanceRating]],1,"Low",2,"Good",3,"Excellent",4,"Outstanding","Unknown")</f>
        <v>Excellent</v>
      </c>
      <c r="AO74" t="str" cm="1">
        <f t="array" ref="AO74">_xlfn.SWITCH(CleanEmployeeData[[#This Row],[WorkLifeBalance]],1,"Bad",2,"Good",3,"Better",4,"Best","Unknown")</f>
        <v>Better</v>
      </c>
      <c r="AP74">
        <f>IF(CleanEmployeeData[[#This Row],[Attrition]]="Yes",1,IF(CleanEmployeeData[[#This Row],[Attrition]]="No",0,""))</f>
        <v>0</v>
      </c>
      <c r="AQ74" t="str" cm="1">
        <f t="array" ref="AQ74">_xlfn.IFS(CleanEmployeeData[[#This Row],[MonthlyIncome]]&lt;=3000,"0–3,000",CleanEmployeeData[[#This Row],[MonthlyIncome]]&lt;=6000,"3,001–6,000",CleanEmployeeData[[#This Row],[MonthlyIncome]]&lt;=10000,"6,001–10,000",TRUE,"10,001+")</f>
        <v>0–3,000</v>
      </c>
      <c r="AR74" t="str" cm="1">
        <f t="array" ref="AR74">_xlfn.IFS(CleanEmployeeData[[#This Row],[DistanceFromHome]]&lt;=5,"0–5 miles",CleanEmployeeData[[#This Row],[DistanceFromHome]]&lt;=10,"6–10 miles",CleanEmployeeData[[#This Row],[DistanceFromHome]]&lt;=15,"11–15 miles",TRUE,"16+ miles")</f>
        <v>0–5 miles</v>
      </c>
      <c r="AS74" t="str" cm="1">
        <f t="array" ref="AS74">_xlfn.IFS(CleanEmployeeData[[#This Row],[YearsAtCompany]]&lt;=1,"0–1 years",CleanEmployeeData[[#This Row],[YearsAtCompany]]&lt;=5,"2–5 years",CleanEmployeeData[[#This Row],[YearsAtCompany]]&lt;=10,"6–10 years",TRUE,"11+ years")</f>
        <v>0–1 years</v>
      </c>
    </row>
    <row r="75" spans="1:4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cm="1">
        <f t="array" ref="AJ75">_xlfn.SWITCH(CleanEmployeeData[[#This Row],[Education]],1,"Below College",2,"College",3,"Bachelor",4,"Master",5,"Doctor","Unknown")</f>
        <v>Bachelor</v>
      </c>
      <c r="AK75" t="str" cm="1">
        <f t="array" ref="AK75">_xlfn.SWITCH(CleanEmployeeData[[#This Row],[EnvironmentSatisfaction]],1,"Low",2,"Medium",3,"High",4,"Very High","Unknown")</f>
        <v>Medium</v>
      </c>
      <c r="AL75" t="str" cm="1">
        <f t="array" ref="AL75">_xlfn.SWITCH(CleanEmployeeData[[#This Row],[JobInvolvement]],1,"Low",2,"Medium",3,"High",4,"Very High","Unknown")</f>
        <v>High</v>
      </c>
      <c r="AM75" t="str" cm="1">
        <f t="array" ref="AM75">_xlfn.SWITCH(CleanEmployeeData[[#This Row],[JobSatisfaction]],1,"Low",2,"Medium",3,"High",4,"Very High","Unknown")</f>
        <v>Medium</v>
      </c>
      <c r="AN75" t="str" cm="1">
        <f t="array" ref="AN75">_xlfn.SWITCH(CleanEmployeeData[[#This Row],[PerformanceRating]],1,"Low",2,"Good",3,"Excellent",4,"Outstanding","Unknown")</f>
        <v>Excellent</v>
      </c>
      <c r="AO75" t="str" cm="1">
        <f t="array" ref="AO75">_xlfn.SWITCH(CleanEmployeeData[[#This Row],[WorkLifeBalance]],1,"Bad",2,"Good",3,"Better",4,"Best","Unknown")</f>
        <v>Better</v>
      </c>
      <c r="AP75">
        <f>IF(CleanEmployeeData[[#This Row],[Attrition]]="Yes",1,IF(CleanEmployeeData[[#This Row],[Attrition]]="No",0,""))</f>
        <v>0</v>
      </c>
      <c r="AQ75" t="str" cm="1">
        <f t="array" ref="AQ75">_xlfn.IFS(CleanEmployeeData[[#This Row],[MonthlyIncome]]&lt;=3000,"0–3,000",CleanEmployeeData[[#This Row],[MonthlyIncome]]&lt;=6000,"3,001–6,000",CleanEmployeeData[[#This Row],[MonthlyIncome]]&lt;=10000,"6,001–10,000",TRUE,"10,001+")</f>
        <v>6,001–10,000</v>
      </c>
      <c r="AR75" t="str" cm="1">
        <f t="array" ref="AR75">_xlfn.IFS(CleanEmployeeData[[#This Row],[DistanceFromHome]]&lt;=5,"0–5 miles",CleanEmployeeData[[#This Row],[DistanceFromHome]]&lt;=10,"6–10 miles",CleanEmployeeData[[#This Row],[DistanceFromHome]]&lt;=15,"11–15 miles",TRUE,"16+ miles")</f>
        <v>0–5 miles</v>
      </c>
      <c r="AS75" t="str" cm="1">
        <f t="array" ref="AS75">_xlfn.IFS(CleanEmployeeData[[#This Row],[YearsAtCompany]]&lt;=1,"0–1 years",CleanEmployeeData[[#This Row],[YearsAtCompany]]&lt;=5,"2–5 years",CleanEmployeeData[[#This Row],[YearsAtCompany]]&lt;=10,"6–10 years",TRUE,"11+ years")</f>
        <v>6–10 years</v>
      </c>
    </row>
    <row r="76" spans="1:4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cm="1">
        <f t="array" ref="AJ76">_xlfn.SWITCH(CleanEmployeeData[[#This Row],[Education]],1,"Below College",2,"College",3,"Bachelor",4,"Master",5,"Doctor","Unknown")</f>
        <v>Bachelor</v>
      </c>
      <c r="AK76" t="str" cm="1">
        <f t="array" ref="AK76">_xlfn.SWITCH(CleanEmployeeData[[#This Row],[EnvironmentSatisfaction]],1,"Low",2,"Medium",3,"High",4,"Very High","Unknown")</f>
        <v>Medium</v>
      </c>
      <c r="AL76" t="str" cm="1">
        <f t="array" ref="AL76">_xlfn.SWITCH(CleanEmployeeData[[#This Row],[JobInvolvement]],1,"Low",2,"Medium",3,"High",4,"Very High","Unknown")</f>
        <v>Very High</v>
      </c>
      <c r="AM76" t="str" cm="1">
        <f t="array" ref="AM76">_xlfn.SWITCH(CleanEmployeeData[[#This Row],[JobSatisfaction]],1,"Low",2,"Medium",3,"High",4,"Very High","Unknown")</f>
        <v>Very High</v>
      </c>
      <c r="AN76" t="str" cm="1">
        <f t="array" ref="AN76">_xlfn.SWITCH(CleanEmployeeData[[#This Row],[PerformanceRating]],1,"Low",2,"Good",3,"Excellent",4,"Outstanding","Unknown")</f>
        <v>Excellent</v>
      </c>
      <c r="AO76" t="str" cm="1">
        <f t="array" ref="AO76">_xlfn.SWITCH(CleanEmployeeData[[#This Row],[WorkLifeBalance]],1,"Bad",2,"Good",3,"Better",4,"Best","Unknown")</f>
        <v>Better</v>
      </c>
      <c r="AP76">
        <f>IF(CleanEmployeeData[[#This Row],[Attrition]]="Yes",1,IF(CleanEmployeeData[[#This Row],[Attrition]]="No",0,""))</f>
        <v>0</v>
      </c>
      <c r="AQ76" t="str" cm="1">
        <f t="array" ref="AQ76">_xlfn.IFS(CleanEmployeeData[[#This Row],[MonthlyIncome]]&lt;=3000,"0–3,000",CleanEmployeeData[[#This Row],[MonthlyIncome]]&lt;=6000,"3,001–6,000",CleanEmployeeData[[#This Row],[MonthlyIncome]]&lt;=10000,"6,001–10,000",TRUE,"10,001+")</f>
        <v>3,001–6,000</v>
      </c>
      <c r="AR76" t="str" cm="1">
        <f t="array" ref="AR76">_xlfn.IFS(CleanEmployeeData[[#This Row],[DistanceFromHome]]&lt;=5,"0–5 miles",CleanEmployeeData[[#This Row],[DistanceFromHome]]&lt;=10,"6–10 miles",CleanEmployeeData[[#This Row],[DistanceFromHome]]&lt;=15,"11–15 miles",TRUE,"16+ miles")</f>
        <v>6–10 miles</v>
      </c>
      <c r="AS76" t="str" cm="1">
        <f t="array" ref="AS76">_xlfn.IFS(CleanEmployeeData[[#This Row],[YearsAtCompany]]&lt;=1,"0–1 years",CleanEmployeeData[[#This Row],[YearsAtCompany]]&lt;=5,"2–5 years",CleanEmployeeData[[#This Row],[YearsAtCompany]]&lt;=10,"6–10 years",TRUE,"11+ years")</f>
        <v>0–1 years</v>
      </c>
    </row>
    <row r="77" spans="1:4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cm="1">
        <f t="array" ref="AJ77">_xlfn.SWITCH(CleanEmployeeData[[#This Row],[Education]],1,"Below College",2,"College",3,"Bachelor",4,"Master",5,"Doctor","Unknown")</f>
        <v>Master</v>
      </c>
      <c r="AK77" t="str" cm="1">
        <f t="array" ref="AK77">_xlfn.SWITCH(CleanEmployeeData[[#This Row],[EnvironmentSatisfaction]],1,"Low",2,"Medium",3,"High",4,"Very High","Unknown")</f>
        <v>High</v>
      </c>
      <c r="AL77" t="str" cm="1">
        <f t="array" ref="AL77">_xlfn.SWITCH(CleanEmployeeData[[#This Row],[JobInvolvement]],1,"Low",2,"Medium",3,"High",4,"Very High","Unknown")</f>
        <v>High</v>
      </c>
      <c r="AM77" t="str" cm="1">
        <f t="array" ref="AM77">_xlfn.SWITCH(CleanEmployeeData[[#This Row],[JobSatisfaction]],1,"Low",2,"Medium",3,"High",4,"Very High","Unknown")</f>
        <v>Very High</v>
      </c>
      <c r="AN77" t="str" cm="1">
        <f t="array" ref="AN77">_xlfn.SWITCH(CleanEmployeeData[[#This Row],[PerformanceRating]],1,"Low",2,"Good",3,"Excellent",4,"Outstanding","Unknown")</f>
        <v>Outstanding</v>
      </c>
      <c r="AO77" t="str" cm="1">
        <f t="array" ref="AO77">_xlfn.SWITCH(CleanEmployeeData[[#This Row],[WorkLifeBalance]],1,"Bad",2,"Good",3,"Better",4,"Best","Unknown")</f>
        <v>Better</v>
      </c>
      <c r="AP77">
        <f>IF(CleanEmployeeData[[#This Row],[Attrition]]="Yes",1,IF(CleanEmployeeData[[#This Row],[Attrition]]="No",0,""))</f>
        <v>0</v>
      </c>
      <c r="AQ77" t="str" cm="1">
        <f t="array" ref="AQ77">_xlfn.IFS(CleanEmployeeData[[#This Row],[MonthlyIncome]]&lt;=3000,"0–3,000",CleanEmployeeData[[#This Row],[MonthlyIncome]]&lt;=6000,"3,001–6,000",CleanEmployeeData[[#This Row],[MonthlyIncome]]&lt;=10000,"6,001–10,000",TRUE,"10,001+")</f>
        <v>3,001–6,000</v>
      </c>
      <c r="AR77" t="str" cm="1">
        <f t="array" ref="AR77">_xlfn.IFS(CleanEmployeeData[[#This Row],[DistanceFromHome]]&lt;=5,"0–5 miles",CleanEmployeeData[[#This Row],[DistanceFromHome]]&lt;=10,"6–10 miles",CleanEmployeeData[[#This Row],[DistanceFromHome]]&lt;=15,"11–15 miles",TRUE,"16+ miles")</f>
        <v>6–10 miles</v>
      </c>
      <c r="AS77" t="str" cm="1">
        <f t="array" ref="AS77">_xlfn.IFS(CleanEmployeeData[[#This Row],[YearsAtCompany]]&lt;=1,"0–1 years",CleanEmployeeData[[#This Row],[YearsAtCompany]]&lt;=5,"2–5 years",CleanEmployeeData[[#This Row],[YearsAtCompany]]&lt;=10,"6–10 years",TRUE,"11+ years")</f>
        <v>11+ years</v>
      </c>
    </row>
    <row r="78" spans="1:4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cm="1">
        <f t="array" ref="AJ78">_xlfn.SWITCH(CleanEmployeeData[[#This Row],[Education]],1,"Below College",2,"College",3,"Bachelor",4,"Master",5,"Doctor","Unknown")</f>
        <v>Master</v>
      </c>
      <c r="AK78" t="str" cm="1">
        <f t="array" ref="AK78">_xlfn.SWITCH(CleanEmployeeData[[#This Row],[EnvironmentSatisfaction]],1,"Low",2,"Medium",3,"High",4,"Very High","Unknown")</f>
        <v>High</v>
      </c>
      <c r="AL78" t="str" cm="1">
        <f t="array" ref="AL78">_xlfn.SWITCH(CleanEmployeeData[[#This Row],[JobInvolvement]],1,"Low",2,"Medium",3,"High",4,"Very High","Unknown")</f>
        <v>Medium</v>
      </c>
      <c r="AM78" t="str" cm="1">
        <f t="array" ref="AM78">_xlfn.SWITCH(CleanEmployeeData[[#This Row],[JobSatisfaction]],1,"Low",2,"Medium",3,"High",4,"Very High","Unknown")</f>
        <v>Low</v>
      </c>
      <c r="AN78" t="str" cm="1">
        <f t="array" ref="AN78">_xlfn.SWITCH(CleanEmployeeData[[#This Row],[PerformanceRating]],1,"Low",2,"Good",3,"Excellent",4,"Outstanding","Unknown")</f>
        <v>Excellent</v>
      </c>
      <c r="AO78" t="str" cm="1">
        <f t="array" ref="AO78">_xlfn.SWITCH(CleanEmployeeData[[#This Row],[WorkLifeBalance]],1,"Bad",2,"Good",3,"Better",4,"Best","Unknown")</f>
        <v>Better</v>
      </c>
      <c r="AP78">
        <f>IF(CleanEmployeeData[[#This Row],[Attrition]]="Yes",1,IF(CleanEmployeeData[[#This Row],[Attrition]]="No",0,""))</f>
        <v>0</v>
      </c>
      <c r="AQ78" t="str" cm="1">
        <f t="array" ref="AQ78">_xlfn.IFS(CleanEmployeeData[[#This Row],[MonthlyIncome]]&lt;=3000,"0–3,000",CleanEmployeeData[[#This Row],[MonthlyIncome]]&lt;=6000,"3,001–6,000",CleanEmployeeData[[#This Row],[MonthlyIncome]]&lt;=10000,"6,001–10,000",TRUE,"10,001+")</f>
        <v>3,001–6,000</v>
      </c>
      <c r="AR78" t="str" cm="1">
        <f t="array" ref="AR78">_xlfn.IFS(CleanEmployeeData[[#This Row],[DistanceFromHome]]&lt;=5,"0–5 miles",CleanEmployeeData[[#This Row],[DistanceFromHome]]&lt;=10,"6–10 miles",CleanEmployeeData[[#This Row],[DistanceFromHome]]&lt;=15,"11–15 miles",TRUE,"16+ miles")</f>
        <v>0–5 miles</v>
      </c>
      <c r="AS78" t="str" cm="1">
        <f t="array" ref="AS78">_xlfn.IFS(CleanEmployeeData[[#This Row],[YearsAtCompany]]&lt;=1,"0–1 years",CleanEmployeeData[[#This Row],[YearsAtCompany]]&lt;=5,"2–5 years",CleanEmployeeData[[#This Row],[YearsAtCompany]]&lt;=10,"6–10 years",TRUE,"11+ years")</f>
        <v>11+ years</v>
      </c>
    </row>
    <row r="79" spans="1:4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cm="1">
        <f t="array" ref="AJ79">_xlfn.SWITCH(CleanEmployeeData[[#This Row],[Education]],1,"Below College",2,"College",3,"Bachelor",4,"Master",5,"Doctor","Unknown")</f>
        <v>Master</v>
      </c>
      <c r="AK79" t="str" cm="1">
        <f t="array" ref="AK79">_xlfn.SWITCH(CleanEmployeeData[[#This Row],[EnvironmentSatisfaction]],1,"Low",2,"Medium",3,"High",4,"Very High","Unknown")</f>
        <v>Very High</v>
      </c>
      <c r="AL79" t="str" cm="1">
        <f t="array" ref="AL79">_xlfn.SWITCH(CleanEmployeeData[[#This Row],[JobInvolvement]],1,"Low",2,"Medium",3,"High",4,"Very High","Unknown")</f>
        <v>High</v>
      </c>
      <c r="AM79" t="str" cm="1">
        <f t="array" ref="AM79">_xlfn.SWITCH(CleanEmployeeData[[#This Row],[JobSatisfaction]],1,"Low",2,"Medium",3,"High",4,"Very High","Unknown")</f>
        <v>Low</v>
      </c>
      <c r="AN79" t="str" cm="1">
        <f t="array" ref="AN79">_xlfn.SWITCH(CleanEmployeeData[[#This Row],[PerformanceRating]],1,"Low",2,"Good",3,"Excellent",4,"Outstanding","Unknown")</f>
        <v>Excellent</v>
      </c>
      <c r="AO79" t="str" cm="1">
        <f t="array" ref="AO79">_xlfn.SWITCH(CleanEmployeeData[[#This Row],[WorkLifeBalance]],1,"Bad",2,"Good",3,"Better",4,"Best","Unknown")</f>
        <v>Best</v>
      </c>
      <c r="AP79">
        <f>IF(CleanEmployeeData[[#This Row],[Attrition]]="Yes",1,IF(CleanEmployeeData[[#This Row],[Attrition]]="No",0,""))</f>
        <v>0</v>
      </c>
      <c r="AQ79" t="str" cm="1">
        <f t="array" ref="AQ79">_xlfn.IFS(CleanEmployeeData[[#This Row],[MonthlyIncome]]&lt;=3000,"0–3,000",CleanEmployeeData[[#This Row],[MonthlyIncome]]&lt;=6000,"3,001–6,000",CleanEmployeeData[[#This Row],[MonthlyIncome]]&lt;=10000,"6,001–10,000",TRUE,"10,001+")</f>
        <v>10,001+</v>
      </c>
      <c r="AR79" t="str" cm="1">
        <f t="array" ref="AR79">_xlfn.IFS(CleanEmployeeData[[#This Row],[DistanceFromHome]]&lt;=5,"0–5 miles",CleanEmployeeData[[#This Row],[DistanceFromHome]]&lt;=10,"6–10 miles",CleanEmployeeData[[#This Row],[DistanceFromHome]]&lt;=15,"11–15 miles",TRUE,"16+ miles")</f>
        <v>6–10 miles</v>
      </c>
      <c r="AS79" t="str" cm="1">
        <f t="array" ref="AS79">_xlfn.IFS(CleanEmployeeData[[#This Row],[YearsAtCompany]]&lt;=1,"0–1 years",CleanEmployeeData[[#This Row],[YearsAtCompany]]&lt;=5,"2–5 years",CleanEmployeeData[[#This Row],[YearsAtCompany]]&lt;=10,"6–10 years",TRUE,"11+ years")</f>
        <v>0–1 years</v>
      </c>
    </row>
    <row r="80" spans="1:4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cm="1">
        <f t="array" ref="AJ80">_xlfn.SWITCH(CleanEmployeeData[[#This Row],[Education]],1,"Below College",2,"College",3,"Bachelor",4,"Master",5,"Doctor","Unknown")</f>
        <v>Master</v>
      </c>
      <c r="AK80" t="str" cm="1">
        <f t="array" ref="AK80">_xlfn.SWITCH(CleanEmployeeData[[#This Row],[EnvironmentSatisfaction]],1,"Low",2,"Medium",3,"High",4,"Very High","Unknown")</f>
        <v>Low</v>
      </c>
      <c r="AL80" t="str" cm="1">
        <f t="array" ref="AL80">_xlfn.SWITCH(CleanEmployeeData[[#This Row],[JobInvolvement]],1,"Low",2,"Medium",3,"High",4,"Very High","Unknown")</f>
        <v>High</v>
      </c>
      <c r="AM80" t="str" cm="1">
        <f t="array" ref="AM80">_xlfn.SWITCH(CleanEmployeeData[[#This Row],[JobSatisfaction]],1,"Low",2,"Medium",3,"High",4,"Very High","Unknown")</f>
        <v>High</v>
      </c>
      <c r="AN80" t="str" cm="1">
        <f t="array" ref="AN80">_xlfn.SWITCH(CleanEmployeeData[[#This Row],[PerformanceRating]],1,"Low",2,"Good",3,"Excellent",4,"Outstanding","Unknown")</f>
        <v>Excellent</v>
      </c>
      <c r="AO80" t="str" cm="1">
        <f t="array" ref="AO80">_xlfn.SWITCH(CleanEmployeeData[[#This Row],[WorkLifeBalance]],1,"Bad",2,"Good",3,"Better",4,"Best","Unknown")</f>
        <v>Best</v>
      </c>
      <c r="AP80">
        <f>IF(CleanEmployeeData[[#This Row],[Attrition]]="Yes",1,IF(CleanEmployeeData[[#This Row],[Attrition]]="No",0,""))</f>
        <v>0</v>
      </c>
      <c r="AQ80" t="str" cm="1">
        <f t="array" ref="AQ80">_xlfn.IFS(CleanEmployeeData[[#This Row],[MonthlyIncome]]&lt;=3000,"0–3,000",CleanEmployeeData[[#This Row],[MonthlyIncome]]&lt;=6000,"3,001–6,000",CleanEmployeeData[[#This Row],[MonthlyIncome]]&lt;=10000,"6,001–10,000",TRUE,"10,001+")</f>
        <v>10,001+</v>
      </c>
      <c r="AR80" t="str" cm="1">
        <f t="array" ref="AR80">_xlfn.IFS(CleanEmployeeData[[#This Row],[DistanceFromHome]]&lt;=5,"0–5 miles",CleanEmployeeData[[#This Row],[DistanceFromHome]]&lt;=10,"6–10 miles",CleanEmployeeData[[#This Row],[DistanceFromHome]]&lt;=15,"11–15 miles",TRUE,"16+ miles")</f>
        <v>6–10 miles</v>
      </c>
      <c r="AS80" t="str" cm="1">
        <f t="array" ref="AS80">_xlfn.IFS(CleanEmployeeData[[#This Row],[YearsAtCompany]]&lt;=1,"0–1 years",CleanEmployeeData[[#This Row],[YearsAtCompany]]&lt;=5,"2–5 years",CleanEmployeeData[[#This Row],[YearsAtCompany]]&lt;=10,"6–10 years",TRUE,"11+ years")</f>
        <v>2–5 years</v>
      </c>
    </row>
    <row r="81" spans="1:4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cm="1">
        <f t="array" ref="AJ81">_xlfn.SWITCH(CleanEmployeeData[[#This Row],[Education]],1,"Below College",2,"College",3,"Bachelor",4,"Master",5,"Doctor","Unknown")</f>
        <v>College</v>
      </c>
      <c r="AK81" t="str" cm="1">
        <f t="array" ref="AK81">_xlfn.SWITCH(CleanEmployeeData[[#This Row],[EnvironmentSatisfaction]],1,"Low",2,"Medium",3,"High",4,"Very High","Unknown")</f>
        <v>Medium</v>
      </c>
      <c r="AL81" t="str" cm="1">
        <f t="array" ref="AL81">_xlfn.SWITCH(CleanEmployeeData[[#This Row],[JobInvolvement]],1,"Low",2,"Medium",3,"High",4,"Very High","Unknown")</f>
        <v>High</v>
      </c>
      <c r="AM81" t="str" cm="1">
        <f t="array" ref="AM81">_xlfn.SWITCH(CleanEmployeeData[[#This Row],[JobSatisfaction]],1,"Low",2,"Medium",3,"High",4,"Very High","Unknown")</f>
        <v>Medium</v>
      </c>
      <c r="AN81" t="str" cm="1">
        <f t="array" ref="AN81">_xlfn.SWITCH(CleanEmployeeData[[#This Row],[PerformanceRating]],1,"Low",2,"Good",3,"Excellent",4,"Outstanding","Unknown")</f>
        <v>Outstanding</v>
      </c>
      <c r="AO81" t="str" cm="1">
        <f t="array" ref="AO81">_xlfn.SWITCH(CleanEmployeeData[[#This Row],[WorkLifeBalance]],1,"Bad",2,"Good",3,"Better",4,"Best","Unknown")</f>
        <v>Better</v>
      </c>
      <c r="AP81">
        <f>IF(CleanEmployeeData[[#This Row],[Attrition]]="Yes",1,IF(CleanEmployeeData[[#This Row],[Attrition]]="No",0,""))</f>
        <v>0</v>
      </c>
      <c r="AQ81" t="str" cm="1">
        <f t="array" ref="AQ81">_xlfn.IFS(CleanEmployeeData[[#This Row],[MonthlyIncome]]&lt;=3000,"0–3,000",CleanEmployeeData[[#This Row],[MonthlyIncome]]&lt;=6000,"3,001–6,000",CleanEmployeeData[[#This Row],[MonthlyIncome]]&lt;=10000,"6,001–10,000",TRUE,"10,001+")</f>
        <v>3,001–6,000</v>
      </c>
      <c r="AR81" t="str" cm="1">
        <f t="array" ref="AR81">_xlfn.IFS(CleanEmployeeData[[#This Row],[DistanceFromHome]]&lt;=5,"0–5 miles",CleanEmployeeData[[#This Row],[DistanceFromHome]]&lt;=10,"6–10 miles",CleanEmployeeData[[#This Row],[DistanceFromHome]]&lt;=15,"11–15 miles",TRUE,"16+ miles")</f>
        <v>0–5 miles</v>
      </c>
      <c r="AS81" t="str" cm="1">
        <f t="array" ref="AS81">_xlfn.IFS(CleanEmployeeData[[#This Row],[YearsAtCompany]]&lt;=1,"0–1 years",CleanEmployeeData[[#This Row],[YearsAtCompany]]&lt;=5,"2–5 years",CleanEmployeeData[[#This Row],[YearsAtCompany]]&lt;=10,"6–10 years",TRUE,"11+ years")</f>
        <v>2–5 years</v>
      </c>
    </row>
    <row r="82" spans="1:4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cm="1">
        <f t="array" ref="AJ82">_xlfn.SWITCH(CleanEmployeeData[[#This Row],[Education]],1,"Below College",2,"College",3,"Bachelor",4,"Master",5,"Doctor","Unknown")</f>
        <v>Below College</v>
      </c>
      <c r="AK82" t="str" cm="1">
        <f t="array" ref="AK82">_xlfn.SWITCH(CleanEmployeeData[[#This Row],[EnvironmentSatisfaction]],1,"Low",2,"Medium",3,"High",4,"Very High","Unknown")</f>
        <v>Very High</v>
      </c>
      <c r="AL82" t="str" cm="1">
        <f t="array" ref="AL82">_xlfn.SWITCH(CleanEmployeeData[[#This Row],[JobInvolvement]],1,"Low",2,"Medium",3,"High",4,"Very High","Unknown")</f>
        <v>Medium</v>
      </c>
      <c r="AM82" t="str" cm="1">
        <f t="array" ref="AM82">_xlfn.SWITCH(CleanEmployeeData[[#This Row],[JobSatisfaction]],1,"Low",2,"Medium",3,"High",4,"Very High","Unknown")</f>
        <v>Very High</v>
      </c>
      <c r="AN82" t="str" cm="1">
        <f t="array" ref="AN82">_xlfn.SWITCH(CleanEmployeeData[[#This Row],[PerformanceRating]],1,"Low",2,"Good",3,"Excellent",4,"Outstanding","Unknown")</f>
        <v>Excellent</v>
      </c>
      <c r="AO82" t="str" cm="1">
        <f t="array" ref="AO82">_xlfn.SWITCH(CleanEmployeeData[[#This Row],[WorkLifeBalance]],1,"Bad",2,"Good",3,"Better",4,"Best","Unknown")</f>
        <v>Good</v>
      </c>
      <c r="AP82">
        <f>IF(CleanEmployeeData[[#This Row],[Attrition]]="Yes",1,IF(CleanEmployeeData[[#This Row],[Attrition]]="No",0,""))</f>
        <v>0</v>
      </c>
      <c r="AQ82" t="str" cm="1">
        <f t="array" ref="AQ82">_xlfn.IFS(CleanEmployeeData[[#This Row],[MonthlyIncome]]&lt;=3000,"0–3,000",CleanEmployeeData[[#This Row],[MonthlyIncome]]&lt;=6000,"3,001–6,000",CleanEmployeeData[[#This Row],[MonthlyIncome]]&lt;=10000,"6,001–10,000",TRUE,"10,001+")</f>
        <v>3,001–6,000</v>
      </c>
      <c r="AR82" t="str" cm="1">
        <f t="array" ref="AR82">_xlfn.IFS(CleanEmployeeData[[#This Row],[DistanceFromHome]]&lt;=5,"0–5 miles",CleanEmployeeData[[#This Row],[DistanceFromHome]]&lt;=10,"6–10 miles",CleanEmployeeData[[#This Row],[DistanceFromHome]]&lt;=15,"11–15 miles",TRUE,"16+ miles")</f>
        <v>0–5 miles</v>
      </c>
      <c r="AS82" t="str" cm="1">
        <f t="array" ref="AS82">_xlfn.IFS(CleanEmployeeData[[#This Row],[YearsAtCompany]]&lt;=1,"0–1 years",CleanEmployeeData[[#This Row],[YearsAtCompany]]&lt;=5,"2–5 years",CleanEmployeeData[[#This Row],[YearsAtCompany]]&lt;=10,"6–10 years",TRUE,"11+ years")</f>
        <v>6–10 years</v>
      </c>
    </row>
    <row r="83" spans="1:4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cm="1">
        <f t="array" ref="AJ83">_xlfn.SWITCH(CleanEmployeeData[[#This Row],[Education]],1,"Below College",2,"College",3,"Bachelor",4,"Master",5,"Doctor","Unknown")</f>
        <v>Bachelor</v>
      </c>
      <c r="AK83" t="str" cm="1">
        <f t="array" ref="AK83">_xlfn.SWITCH(CleanEmployeeData[[#This Row],[EnvironmentSatisfaction]],1,"Low",2,"Medium",3,"High",4,"Very High","Unknown")</f>
        <v>Medium</v>
      </c>
      <c r="AL83" t="str" cm="1">
        <f t="array" ref="AL83">_xlfn.SWITCH(CleanEmployeeData[[#This Row],[JobInvolvement]],1,"Low",2,"Medium",3,"High",4,"Very High","Unknown")</f>
        <v>Medium</v>
      </c>
      <c r="AM83" t="str" cm="1">
        <f t="array" ref="AM83">_xlfn.SWITCH(CleanEmployeeData[[#This Row],[JobSatisfaction]],1,"Low",2,"Medium",3,"High",4,"Very High","Unknown")</f>
        <v>High</v>
      </c>
      <c r="AN83" t="str" cm="1">
        <f t="array" ref="AN83">_xlfn.SWITCH(CleanEmployeeData[[#This Row],[PerformanceRating]],1,"Low",2,"Good",3,"Excellent",4,"Outstanding","Unknown")</f>
        <v>Excellent</v>
      </c>
      <c r="AO83" t="str" cm="1">
        <f t="array" ref="AO83">_xlfn.SWITCH(CleanEmployeeData[[#This Row],[WorkLifeBalance]],1,"Bad",2,"Good",3,"Better",4,"Best","Unknown")</f>
        <v>Better</v>
      </c>
      <c r="AP83">
        <f>IF(CleanEmployeeData[[#This Row],[Attrition]]="Yes",1,IF(CleanEmployeeData[[#This Row],[Attrition]]="No",0,""))</f>
        <v>0</v>
      </c>
      <c r="AQ83" t="str" cm="1">
        <f t="array" ref="AQ83">_xlfn.IFS(CleanEmployeeData[[#This Row],[MonthlyIncome]]&lt;=3000,"0–3,000",CleanEmployeeData[[#This Row],[MonthlyIncome]]&lt;=6000,"3,001–6,000",CleanEmployeeData[[#This Row],[MonthlyIncome]]&lt;=10000,"6,001–10,000",TRUE,"10,001+")</f>
        <v>0–3,000</v>
      </c>
      <c r="AR83" t="str" cm="1">
        <f t="array" ref="AR83">_xlfn.IFS(CleanEmployeeData[[#This Row],[DistanceFromHome]]&lt;=5,"0–5 miles",CleanEmployeeData[[#This Row],[DistanceFromHome]]&lt;=10,"6–10 miles",CleanEmployeeData[[#This Row],[DistanceFromHome]]&lt;=15,"11–15 miles",TRUE,"16+ miles")</f>
        <v>0–5 miles</v>
      </c>
      <c r="AS83" t="str" cm="1">
        <f t="array" ref="AS83">_xlfn.IFS(CleanEmployeeData[[#This Row],[YearsAtCompany]]&lt;=1,"0–1 years",CleanEmployeeData[[#This Row],[YearsAtCompany]]&lt;=5,"2–5 years",CleanEmployeeData[[#This Row],[YearsAtCompany]]&lt;=10,"6–10 years",TRUE,"11+ years")</f>
        <v>6–10 years</v>
      </c>
    </row>
    <row r="84" spans="1:4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cm="1">
        <f t="array" ref="AJ84">_xlfn.SWITCH(CleanEmployeeData[[#This Row],[Education]],1,"Below College",2,"College",3,"Bachelor",4,"Master",5,"Doctor","Unknown")</f>
        <v>College</v>
      </c>
      <c r="AK84" t="str" cm="1">
        <f t="array" ref="AK84">_xlfn.SWITCH(CleanEmployeeData[[#This Row],[EnvironmentSatisfaction]],1,"Low",2,"Medium",3,"High",4,"Very High","Unknown")</f>
        <v>Low</v>
      </c>
      <c r="AL84" t="str" cm="1">
        <f t="array" ref="AL84">_xlfn.SWITCH(CleanEmployeeData[[#This Row],[JobInvolvement]],1,"Low",2,"Medium",3,"High",4,"Very High","Unknown")</f>
        <v>High</v>
      </c>
      <c r="AM84" t="str" cm="1">
        <f t="array" ref="AM84">_xlfn.SWITCH(CleanEmployeeData[[#This Row],[JobSatisfaction]],1,"Low",2,"Medium",3,"High",4,"Very High","Unknown")</f>
        <v>Very High</v>
      </c>
      <c r="AN84" t="str" cm="1">
        <f t="array" ref="AN84">_xlfn.SWITCH(CleanEmployeeData[[#This Row],[PerformanceRating]],1,"Low",2,"Good",3,"Excellent",4,"Outstanding","Unknown")</f>
        <v>Excellent</v>
      </c>
      <c r="AO84" t="str" cm="1">
        <f t="array" ref="AO84">_xlfn.SWITCH(CleanEmployeeData[[#This Row],[WorkLifeBalance]],1,"Bad",2,"Good",3,"Better",4,"Best","Unknown")</f>
        <v>Better</v>
      </c>
      <c r="AP84">
        <f>IF(CleanEmployeeData[[#This Row],[Attrition]]="Yes",1,IF(CleanEmployeeData[[#This Row],[Attrition]]="No",0,""))</f>
        <v>0</v>
      </c>
      <c r="AQ84" t="str" cm="1">
        <f t="array" ref="AQ84">_xlfn.IFS(CleanEmployeeData[[#This Row],[MonthlyIncome]]&lt;=3000,"0–3,000",CleanEmployeeData[[#This Row],[MonthlyIncome]]&lt;=6000,"3,001–6,000",CleanEmployeeData[[#This Row],[MonthlyIncome]]&lt;=10000,"6,001–10,000",TRUE,"10,001+")</f>
        <v>10,001+</v>
      </c>
      <c r="AR84" t="str" cm="1">
        <f t="array" ref="AR84">_xlfn.IFS(CleanEmployeeData[[#This Row],[DistanceFromHome]]&lt;=5,"0–5 miles",CleanEmployeeData[[#This Row],[DistanceFromHome]]&lt;=10,"6–10 miles",CleanEmployeeData[[#This Row],[DistanceFromHome]]&lt;=15,"11–15 miles",TRUE,"16+ miles")</f>
        <v>0–5 miles</v>
      </c>
      <c r="AS84" t="str" cm="1">
        <f t="array" ref="AS84">_xlfn.IFS(CleanEmployeeData[[#This Row],[YearsAtCompany]]&lt;=1,"0–1 years",CleanEmployeeData[[#This Row],[YearsAtCompany]]&lt;=5,"2–5 years",CleanEmployeeData[[#This Row],[YearsAtCompany]]&lt;=10,"6–10 years",TRUE,"11+ years")</f>
        <v>0–1 years</v>
      </c>
    </row>
    <row r="85" spans="1:4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cm="1">
        <f t="array" ref="AJ85">_xlfn.SWITCH(CleanEmployeeData[[#This Row],[Education]],1,"Below College",2,"College",3,"Bachelor",4,"Master",5,"Doctor","Unknown")</f>
        <v>Bachelor</v>
      </c>
      <c r="AK85" t="str" cm="1">
        <f t="array" ref="AK85">_xlfn.SWITCH(CleanEmployeeData[[#This Row],[EnvironmentSatisfaction]],1,"Low",2,"Medium",3,"High",4,"Very High","Unknown")</f>
        <v>Medium</v>
      </c>
      <c r="AL85" t="str" cm="1">
        <f t="array" ref="AL85">_xlfn.SWITCH(CleanEmployeeData[[#This Row],[JobInvolvement]],1,"Low",2,"Medium",3,"High",4,"Very High","Unknown")</f>
        <v>Low</v>
      </c>
      <c r="AM85" t="str" cm="1">
        <f t="array" ref="AM85">_xlfn.SWITCH(CleanEmployeeData[[#This Row],[JobSatisfaction]],1,"Low",2,"Medium",3,"High",4,"Very High","Unknown")</f>
        <v>Very High</v>
      </c>
      <c r="AN85" t="str" cm="1">
        <f t="array" ref="AN85">_xlfn.SWITCH(CleanEmployeeData[[#This Row],[PerformanceRating]],1,"Low",2,"Good",3,"Excellent",4,"Outstanding","Unknown")</f>
        <v>Excellent</v>
      </c>
      <c r="AO85" t="str" cm="1">
        <f t="array" ref="AO85">_xlfn.SWITCH(CleanEmployeeData[[#This Row],[WorkLifeBalance]],1,"Bad",2,"Good",3,"Better",4,"Best","Unknown")</f>
        <v>Better</v>
      </c>
      <c r="AP85">
        <f>IF(CleanEmployeeData[[#This Row],[Attrition]]="Yes",1,IF(CleanEmployeeData[[#This Row],[Attrition]]="No",0,""))</f>
        <v>0</v>
      </c>
      <c r="AQ85" t="str" cm="1">
        <f t="array" ref="AQ85">_xlfn.IFS(CleanEmployeeData[[#This Row],[MonthlyIncome]]&lt;=3000,"0–3,000",CleanEmployeeData[[#This Row],[MonthlyIncome]]&lt;=6000,"3,001–6,000",CleanEmployeeData[[#This Row],[MonthlyIncome]]&lt;=10000,"6,001–10,000",TRUE,"10,001+")</f>
        <v>3,001–6,000</v>
      </c>
      <c r="AR85" t="str" cm="1">
        <f t="array" ref="AR85">_xlfn.IFS(CleanEmployeeData[[#This Row],[DistanceFromHome]]&lt;=5,"0–5 miles",CleanEmployeeData[[#This Row],[DistanceFromHome]]&lt;=10,"6–10 miles",CleanEmployeeData[[#This Row],[DistanceFromHome]]&lt;=15,"11–15 miles",TRUE,"16+ miles")</f>
        <v>6–10 miles</v>
      </c>
      <c r="AS85" t="str" cm="1">
        <f t="array" ref="AS85">_xlfn.IFS(CleanEmployeeData[[#This Row],[YearsAtCompany]]&lt;=1,"0–1 years",CleanEmployeeData[[#This Row],[YearsAtCompany]]&lt;=5,"2–5 years",CleanEmployeeData[[#This Row],[YearsAtCompany]]&lt;=10,"6–10 years",TRUE,"11+ years")</f>
        <v>11+ years</v>
      </c>
    </row>
    <row r="86" spans="1:4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cm="1">
        <f t="array" ref="AJ86">_xlfn.SWITCH(CleanEmployeeData[[#This Row],[Education]],1,"Below College",2,"College",3,"Bachelor",4,"Master",5,"Doctor","Unknown")</f>
        <v>College</v>
      </c>
      <c r="AK86" t="str" cm="1">
        <f t="array" ref="AK86">_xlfn.SWITCH(CleanEmployeeData[[#This Row],[EnvironmentSatisfaction]],1,"Low",2,"Medium",3,"High",4,"Very High","Unknown")</f>
        <v>Low</v>
      </c>
      <c r="AL86" t="str" cm="1">
        <f t="array" ref="AL86">_xlfn.SWITCH(CleanEmployeeData[[#This Row],[JobInvolvement]],1,"Low",2,"Medium",3,"High",4,"Very High","Unknown")</f>
        <v>High</v>
      </c>
      <c r="AM86" t="str" cm="1">
        <f t="array" ref="AM86">_xlfn.SWITCH(CleanEmployeeData[[#This Row],[JobSatisfaction]],1,"Low",2,"Medium",3,"High",4,"Very High","Unknown")</f>
        <v>Medium</v>
      </c>
      <c r="AN86" t="str" cm="1">
        <f t="array" ref="AN86">_xlfn.SWITCH(CleanEmployeeData[[#This Row],[PerformanceRating]],1,"Low",2,"Good",3,"Excellent",4,"Outstanding","Unknown")</f>
        <v>Excellent</v>
      </c>
      <c r="AO86" t="str" cm="1">
        <f t="array" ref="AO86">_xlfn.SWITCH(CleanEmployeeData[[#This Row],[WorkLifeBalance]],1,"Bad",2,"Good",3,"Better",4,"Best","Unknown")</f>
        <v>Better</v>
      </c>
      <c r="AP86">
        <f>IF(CleanEmployeeData[[#This Row],[Attrition]]="Yes",1,IF(CleanEmployeeData[[#This Row],[Attrition]]="No",0,""))</f>
        <v>0</v>
      </c>
      <c r="AQ86" t="str" cm="1">
        <f t="array" ref="AQ86">_xlfn.IFS(CleanEmployeeData[[#This Row],[MonthlyIncome]]&lt;=3000,"0–3,000",CleanEmployeeData[[#This Row],[MonthlyIncome]]&lt;=6000,"3,001–6,000",CleanEmployeeData[[#This Row],[MonthlyIncome]]&lt;=10000,"6,001–10,000",TRUE,"10,001+")</f>
        <v>3,001–6,000</v>
      </c>
      <c r="AR86" t="str" cm="1">
        <f t="array" ref="AR86">_xlfn.IFS(CleanEmployeeData[[#This Row],[DistanceFromHome]]&lt;=5,"0–5 miles",CleanEmployeeData[[#This Row],[DistanceFromHome]]&lt;=10,"6–10 miles",CleanEmployeeData[[#This Row],[DistanceFromHome]]&lt;=15,"11–15 miles",TRUE,"16+ miles")</f>
        <v>0–5 miles</v>
      </c>
      <c r="AS86" t="str" cm="1">
        <f t="array" ref="AS86">_xlfn.IFS(CleanEmployeeData[[#This Row],[YearsAtCompany]]&lt;=1,"0–1 years",CleanEmployeeData[[#This Row],[YearsAtCompany]]&lt;=5,"2–5 years",CleanEmployeeData[[#This Row],[YearsAtCompany]]&lt;=10,"6–10 years",TRUE,"11+ years")</f>
        <v>2–5 years</v>
      </c>
    </row>
    <row r="87" spans="1:4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cm="1">
        <f t="array" ref="AJ87">_xlfn.SWITCH(CleanEmployeeData[[#This Row],[Education]],1,"Below College",2,"College",3,"Bachelor",4,"Master",5,"Doctor","Unknown")</f>
        <v>Bachelor</v>
      </c>
      <c r="AK87" t="str" cm="1">
        <f t="array" ref="AK87">_xlfn.SWITCH(CleanEmployeeData[[#This Row],[EnvironmentSatisfaction]],1,"Low",2,"Medium",3,"High",4,"Very High","Unknown")</f>
        <v>Very High</v>
      </c>
      <c r="AL87" t="str" cm="1">
        <f t="array" ref="AL87">_xlfn.SWITCH(CleanEmployeeData[[#This Row],[JobInvolvement]],1,"Low",2,"Medium",3,"High",4,"Very High","Unknown")</f>
        <v>Low</v>
      </c>
      <c r="AM87" t="str" cm="1">
        <f t="array" ref="AM87">_xlfn.SWITCH(CleanEmployeeData[[#This Row],[JobSatisfaction]],1,"Low",2,"Medium",3,"High",4,"Very High","Unknown")</f>
        <v>Very High</v>
      </c>
      <c r="AN87" t="str" cm="1">
        <f t="array" ref="AN87">_xlfn.SWITCH(CleanEmployeeData[[#This Row],[PerformanceRating]],1,"Low",2,"Good",3,"Excellent",4,"Outstanding","Unknown")</f>
        <v>Excellent</v>
      </c>
      <c r="AO87" t="str" cm="1">
        <f t="array" ref="AO87">_xlfn.SWITCH(CleanEmployeeData[[#This Row],[WorkLifeBalance]],1,"Bad",2,"Good",3,"Better",4,"Best","Unknown")</f>
        <v>Good</v>
      </c>
      <c r="AP87">
        <f>IF(CleanEmployeeData[[#This Row],[Attrition]]="Yes",1,IF(CleanEmployeeData[[#This Row],[Attrition]]="No",0,""))</f>
        <v>0</v>
      </c>
      <c r="AQ87" t="str" cm="1">
        <f t="array" ref="AQ87">_xlfn.IFS(CleanEmployeeData[[#This Row],[MonthlyIncome]]&lt;=3000,"0–3,000",CleanEmployeeData[[#This Row],[MonthlyIncome]]&lt;=6000,"3,001–6,000",CleanEmployeeData[[#This Row],[MonthlyIncome]]&lt;=10000,"6,001–10,000",TRUE,"10,001+")</f>
        <v>6,001–10,000</v>
      </c>
      <c r="AR87" t="str" cm="1">
        <f t="array" ref="AR87">_xlfn.IFS(CleanEmployeeData[[#This Row],[DistanceFromHome]]&lt;=5,"0–5 miles",CleanEmployeeData[[#This Row],[DistanceFromHome]]&lt;=10,"6–10 miles",CleanEmployeeData[[#This Row],[DistanceFromHome]]&lt;=15,"11–15 miles",TRUE,"16+ miles")</f>
        <v>6–10 miles</v>
      </c>
      <c r="AS87" t="str" cm="1">
        <f t="array" ref="AS87">_xlfn.IFS(CleanEmployeeData[[#This Row],[YearsAtCompany]]&lt;=1,"0–1 years",CleanEmployeeData[[#This Row],[YearsAtCompany]]&lt;=5,"2–5 years",CleanEmployeeData[[#This Row],[YearsAtCompany]]&lt;=10,"6–10 years",TRUE,"11+ years")</f>
        <v>6–10 years</v>
      </c>
    </row>
    <row r="88" spans="1:4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cm="1">
        <f t="array" ref="AJ88">_xlfn.SWITCH(CleanEmployeeData[[#This Row],[Education]],1,"Below College",2,"College",3,"Bachelor",4,"Master",5,"Doctor","Unknown")</f>
        <v>Below College</v>
      </c>
      <c r="AK88" t="str" cm="1">
        <f t="array" ref="AK88">_xlfn.SWITCH(CleanEmployeeData[[#This Row],[EnvironmentSatisfaction]],1,"Low",2,"Medium",3,"High",4,"Very High","Unknown")</f>
        <v>High</v>
      </c>
      <c r="AL88" t="str" cm="1">
        <f t="array" ref="AL88">_xlfn.SWITCH(CleanEmployeeData[[#This Row],[JobInvolvement]],1,"Low",2,"Medium",3,"High",4,"Very High","Unknown")</f>
        <v>High</v>
      </c>
      <c r="AM88" t="str" cm="1">
        <f t="array" ref="AM88">_xlfn.SWITCH(CleanEmployeeData[[#This Row],[JobSatisfaction]],1,"Low",2,"Medium",3,"High",4,"Very High","Unknown")</f>
        <v>Low</v>
      </c>
      <c r="AN88" t="str" cm="1">
        <f t="array" ref="AN88">_xlfn.SWITCH(CleanEmployeeData[[#This Row],[PerformanceRating]],1,"Low",2,"Good",3,"Excellent",4,"Outstanding","Unknown")</f>
        <v>Excellent</v>
      </c>
      <c r="AO88" t="str" cm="1">
        <f t="array" ref="AO88">_xlfn.SWITCH(CleanEmployeeData[[#This Row],[WorkLifeBalance]],1,"Bad",2,"Good",3,"Better",4,"Best","Unknown")</f>
        <v>Better</v>
      </c>
      <c r="AP88">
        <f>IF(CleanEmployeeData[[#This Row],[Attrition]]="Yes",1,IF(CleanEmployeeData[[#This Row],[Attrition]]="No",0,""))</f>
        <v>0</v>
      </c>
      <c r="AQ88" t="str" cm="1">
        <f t="array" ref="AQ88">_xlfn.IFS(CleanEmployeeData[[#This Row],[MonthlyIncome]]&lt;=3000,"0–3,000",CleanEmployeeData[[#This Row],[MonthlyIncome]]&lt;=6000,"3,001–6,000",CleanEmployeeData[[#This Row],[MonthlyIncome]]&lt;=10000,"6,001–10,000",TRUE,"10,001+")</f>
        <v>0–3,000</v>
      </c>
      <c r="AR88" t="str" cm="1">
        <f t="array" ref="AR88">_xlfn.IFS(CleanEmployeeData[[#This Row],[DistanceFromHome]]&lt;=5,"0–5 miles",CleanEmployeeData[[#This Row],[DistanceFromHome]]&lt;=10,"6–10 miles",CleanEmployeeData[[#This Row],[DistanceFromHome]]&lt;=15,"11–15 miles",TRUE,"16+ miles")</f>
        <v>0–5 miles</v>
      </c>
      <c r="AS88" t="str" cm="1">
        <f t="array" ref="AS88">_xlfn.IFS(CleanEmployeeData[[#This Row],[YearsAtCompany]]&lt;=1,"0–1 years",CleanEmployeeData[[#This Row],[YearsAtCompany]]&lt;=5,"2–5 years",CleanEmployeeData[[#This Row],[YearsAtCompany]]&lt;=10,"6–10 years",TRUE,"11+ years")</f>
        <v>0–1 years</v>
      </c>
    </row>
    <row r="89" spans="1:4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cm="1">
        <f t="array" ref="AJ89">_xlfn.SWITCH(CleanEmployeeData[[#This Row],[Education]],1,"Below College",2,"College",3,"Bachelor",4,"Master",5,"Doctor","Unknown")</f>
        <v>Master</v>
      </c>
      <c r="AK89" t="str" cm="1">
        <f t="array" ref="AK89">_xlfn.SWITCH(CleanEmployeeData[[#This Row],[EnvironmentSatisfaction]],1,"Low",2,"Medium",3,"High",4,"Very High","Unknown")</f>
        <v>Very High</v>
      </c>
      <c r="AL89" t="str" cm="1">
        <f t="array" ref="AL89">_xlfn.SWITCH(CleanEmployeeData[[#This Row],[JobInvolvement]],1,"Low",2,"Medium",3,"High",4,"Very High","Unknown")</f>
        <v>High</v>
      </c>
      <c r="AM89" t="str" cm="1">
        <f t="array" ref="AM89">_xlfn.SWITCH(CleanEmployeeData[[#This Row],[JobSatisfaction]],1,"Low",2,"Medium",3,"High",4,"Very High","Unknown")</f>
        <v>Very High</v>
      </c>
      <c r="AN89" t="str" cm="1">
        <f t="array" ref="AN89">_xlfn.SWITCH(CleanEmployeeData[[#This Row],[PerformanceRating]],1,"Low",2,"Good",3,"Excellent",4,"Outstanding","Unknown")</f>
        <v>Outstanding</v>
      </c>
      <c r="AO89" t="str" cm="1">
        <f t="array" ref="AO89">_xlfn.SWITCH(CleanEmployeeData[[#This Row],[WorkLifeBalance]],1,"Bad",2,"Good",3,"Better",4,"Best","Unknown")</f>
        <v>Better</v>
      </c>
      <c r="AP89">
        <f>IF(CleanEmployeeData[[#This Row],[Attrition]]="Yes",1,IF(CleanEmployeeData[[#This Row],[Attrition]]="No",0,""))</f>
        <v>0</v>
      </c>
      <c r="AQ89" t="str" cm="1">
        <f t="array" ref="AQ89">_xlfn.IFS(CleanEmployeeData[[#This Row],[MonthlyIncome]]&lt;=3000,"0–3,000",CleanEmployeeData[[#This Row],[MonthlyIncome]]&lt;=6000,"3,001–6,000",CleanEmployeeData[[#This Row],[MonthlyIncome]]&lt;=10000,"6,001–10,000",TRUE,"10,001+")</f>
        <v>0–3,000</v>
      </c>
      <c r="AR89" t="str" cm="1">
        <f t="array" ref="AR89">_xlfn.IFS(CleanEmployeeData[[#This Row],[DistanceFromHome]]&lt;=5,"0–5 miles",CleanEmployeeData[[#This Row],[DistanceFromHome]]&lt;=10,"6–10 miles",CleanEmployeeData[[#This Row],[DistanceFromHome]]&lt;=15,"11–15 miles",TRUE,"16+ miles")</f>
        <v>6–10 miles</v>
      </c>
      <c r="AS89" t="str" cm="1">
        <f t="array" ref="AS89">_xlfn.IFS(CleanEmployeeData[[#This Row],[YearsAtCompany]]&lt;=1,"0–1 years",CleanEmployeeData[[#This Row],[YearsAtCompany]]&lt;=5,"2–5 years",CleanEmployeeData[[#This Row],[YearsAtCompany]]&lt;=10,"6–10 years",TRUE,"11+ years")</f>
        <v>2–5 years</v>
      </c>
    </row>
    <row r="90" spans="1:4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cm="1">
        <f t="array" ref="AJ90">_xlfn.SWITCH(CleanEmployeeData[[#This Row],[Education]],1,"Below College",2,"College",3,"Bachelor",4,"Master",5,"Doctor","Unknown")</f>
        <v>Bachelor</v>
      </c>
      <c r="AK90" t="str" cm="1">
        <f t="array" ref="AK90">_xlfn.SWITCH(CleanEmployeeData[[#This Row],[EnvironmentSatisfaction]],1,"Low",2,"Medium",3,"High",4,"Very High","Unknown")</f>
        <v>High</v>
      </c>
      <c r="AL90" t="str" cm="1">
        <f t="array" ref="AL90">_xlfn.SWITCH(CleanEmployeeData[[#This Row],[JobInvolvement]],1,"Low",2,"Medium",3,"High",4,"Very High","Unknown")</f>
        <v>Medium</v>
      </c>
      <c r="AM90" t="str" cm="1">
        <f t="array" ref="AM90">_xlfn.SWITCH(CleanEmployeeData[[#This Row],[JobSatisfaction]],1,"Low",2,"Medium",3,"High",4,"Very High","Unknown")</f>
        <v>Very High</v>
      </c>
      <c r="AN90" t="str" cm="1">
        <f t="array" ref="AN90">_xlfn.SWITCH(CleanEmployeeData[[#This Row],[PerformanceRating]],1,"Low",2,"Good",3,"Excellent",4,"Outstanding","Unknown")</f>
        <v>Excellent</v>
      </c>
      <c r="AO90" t="str" cm="1">
        <f t="array" ref="AO90">_xlfn.SWITCH(CleanEmployeeData[[#This Row],[WorkLifeBalance]],1,"Bad",2,"Good",3,"Better",4,"Best","Unknown")</f>
        <v>Better</v>
      </c>
      <c r="AP90">
        <f>IF(CleanEmployeeData[[#This Row],[Attrition]]="Yes",1,IF(CleanEmployeeData[[#This Row],[Attrition]]="No",0,""))</f>
        <v>0</v>
      </c>
      <c r="AQ90" t="str" cm="1">
        <f t="array" ref="AQ90">_xlfn.IFS(CleanEmployeeData[[#This Row],[MonthlyIncome]]&lt;=3000,"0–3,000",CleanEmployeeData[[#This Row],[MonthlyIncome]]&lt;=6000,"3,001–6,000",CleanEmployeeData[[#This Row],[MonthlyIncome]]&lt;=10000,"6,001–10,000",TRUE,"10,001+")</f>
        <v>3,001–6,000</v>
      </c>
      <c r="AR90" t="str" cm="1">
        <f t="array" ref="AR90">_xlfn.IFS(CleanEmployeeData[[#This Row],[DistanceFromHome]]&lt;=5,"0–5 miles",CleanEmployeeData[[#This Row],[DistanceFromHome]]&lt;=10,"6–10 miles",CleanEmployeeData[[#This Row],[DistanceFromHome]]&lt;=15,"11–15 miles",TRUE,"16+ miles")</f>
        <v>0–5 miles</v>
      </c>
      <c r="AS90" t="str" cm="1">
        <f t="array" ref="AS90">_xlfn.IFS(CleanEmployeeData[[#This Row],[YearsAtCompany]]&lt;=1,"0–1 years",CleanEmployeeData[[#This Row],[YearsAtCompany]]&lt;=5,"2–5 years",CleanEmployeeData[[#This Row],[YearsAtCompany]]&lt;=10,"6–10 years",TRUE,"11+ years")</f>
        <v>11+ years</v>
      </c>
    </row>
    <row r="91" spans="1:4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cm="1">
        <f t="array" ref="AJ91">_xlfn.SWITCH(CleanEmployeeData[[#This Row],[Education]],1,"Below College",2,"College",3,"Bachelor",4,"Master",5,"Doctor","Unknown")</f>
        <v>College</v>
      </c>
      <c r="AK91" t="str" cm="1">
        <f t="array" ref="AK91">_xlfn.SWITCH(CleanEmployeeData[[#This Row],[EnvironmentSatisfaction]],1,"Low",2,"Medium",3,"High",4,"Very High","Unknown")</f>
        <v>High</v>
      </c>
      <c r="AL91" t="str" cm="1">
        <f t="array" ref="AL91">_xlfn.SWITCH(CleanEmployeeData[[#This Row],[JobInvolvement]],1,"Low",2,"Medium",3,"High",4,"Very High","Unknown")</f>
        <v>Medium</v>
      </c>
      <c r="AM91" t="str" cm="1">
        <f t="array" ref="AM91">_xlfn.SWITCH(CleanEmployeeData[[#This Row],[JobSatisfaction]],1,"Low",2,"Medium",3,"High",4,"Very High","Unknown")</f>
        <v>Very High</v>
      </c>
      <c r="AN91" t="str" cm="1">
        <f t="array" ref="AN91">_xlfn.SWITCH(CleanEmployeeData[[#This Row],[PerformanceRating]],1,"Low",2,"Good",3,"Excellent",4,"Outstanding","Unknown")</f>
        <v>Excellent</v>
      </c>
      <c r="AO91" t="str" cm="1">
        <f t="array" ref="AO91">_xlfn.SWITCH(CleanEmployeeData[[#This Row],[WorkLifeBalance]],1,"Bad",2,"Good",3,"Better",4,"Best","Unknown")</f>
        <v>Better</v>
      </c>
      <c r="AP91">
        <f>IF(CleanEmployeeData[[#This Row],[Attrition]]="Yes",1,IF(CleanEmployeeData[[#This Row],[Attrition]]="No",0,""))</f>
        <v>1</v>
      </c>
      <c r="AQ91" t="str" cm="1">
        <f t="array" ref="AQ91">_xlfn.IFS(CleanEmployeeData[[#This Row],[MonthlyIncome]]&lt;=3000,"0–3,000",CleanEmployeeData[[#This Row],[MonthlyIncome]]&lt;=6000,"3,001–6,000",CleanEmployeeData[[#This Row],[MonthlyIncome]]&lt;=10000,"6,001–10,000",TRUE,"10,001+")</f>
        <v>6,001–10,000</v>
      </c>
      <c r="AR91" t="str" cm="1">
        <f t="array" ref="AR91">_xlfn.IFS(CleanEmployeeData[[#This Row],[DistanceFromHome]]&lt;=5,"0–5 miles",CleanEmployeeData[[#This Row],[DistanceFromHome]]&lt;=10,"6–10 miles",CleanEmployeeData[[#This Row],[DistanceFromHome]]&lt;=15,"11–15 miles",TRUE,"16+ miles")</f>
        <v>6–10 miles</v>
      </c>
      <c r="AS91" t="str" cm="1">
        <f t="array" ref="AS91">_xlfn.IFS(CleanEmployeeData[[#This Row],[YearsAtCompany]]&lt;=1,"0–1 years",CleanEmployeeData[[#This Row],[YearsAtCompany]]&lt;=5,"2–5 years",CleanEmployeeData[[#This Row],[YearsAtCompany]]&lt;=10,"6–10 years",TRUE,"11+ years")</f>
        <v>6–10 years</v>
      </c>
    </row>
    <row r="92" spans="1:4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cm="1">
        <f t="array" ref="AJ92">_xlfn.SWITCH(CleanEmployeeData[[#This Row],[Education]],1,"Below College",2,"College",3,"Bachelor",4,"Master",5,"Doctor","Unknown")</f>
        <v>Master</v>
      </c>
      <c r="AK92" t="str" cm="1">
        <f t="array" ref="AK92">_xlfn.SWITCH(CleanEmployeeData[[#This Row],[EnvironmentSatisfaction]],1,"Low",2,"Medium",3,"High",4,"Very High","Unknown")</f>
        <v>High</v>
      </c>
      <c r="AL92" t="str" cm="1">
        <f t="array" ref="AL92">_xlfn.SWITCH(CleanEmployeeData[[#This Row],[JobInvolvement]],1,"Low",2,"Medium",3,"High",4,"Very High","Unknown")</f>
        <v>Medium</v>
      </c>
      <c r="AM92" t="str" cm="1">
        <f t="array" ref="AM92">_xlfn.SWITCH(CleanEmployeeData[[#This Row],[JobSatisfaction]],1,"Low",2,"Medium",3,"High",4,"Very High","Unknown")</f>
        <v>Medium</v>
      </c>
      <c r="AN92" t="str" cm="1">
        <f t="array" ref="AN92">_xlfn.SWITCH(CleanEmployeeData[[#This Row],[PerformanceRating]],1,"Low",2,"Good",3,"Excellent",4,"Outstanding","Unknown")</f>
        <v>Outstanding</v>
      </c>
      <c r="AO92" t="str" cm="1">
        <f t="array" ref="AO92">_xlfn.SWITCH(CleanEmployeeData[[#This Row],[WorkLifeBalance]],1,"Bad",2,"Good",3,"Better",4,"Best","Unknown")</f>
        <v>Good</v>
      </c>
      <c r="AP92">
        <f>IF(CleanEmployeeData[[#This Row],[Attrition]]="Yes",1,IF(CleanEmployeeData[[#This Row],[Attrition]]="No",0,""))</f>
        <v>0</v>
      </c>
      <c r="AQ92" t="str" cm="1">
        <f t="array" ref="AQ92">_xlfn.IFS(CleanEmployeeData[[#This Row],[MonthlyIncome]]&lt;=3000,"0–3,000",CleanEmployeeData[[#This Row],[MonthlyIncome]]&lt;=6000,"3,001–6,000",CleanEmployeeData[[#This Row],[MonthlyIncome]]&lt;=10000,"6,001–10,000",TRUE,"10,001+")</f>
        <v>10,001+</v>
      </c>
      <c r="AR92" t="str" cm="1">
        <f t="array" ref="AR92">_xlfn.IFS(CleanEmployeeData[[#This Row],[DistanceFromHome]]&lt;=5,"0–5 miles",CleanEmployeeData[[#This Row],[DistanceFromHome]]&lt;=10,"6–10 miles",CleanEmployeeData[[#This Row],[DistanceFromHome]]&lt;=15,"11–15 miles",TRUE,"16+ miles")</f>
        <v>0–5 miles</v>
      </c>
      <c r="AS92" t="str" cm="1">
        <f t="array" ref="AS92">_xlfn.IFS(CleanEmployeeData[[#This Row],[YearsAtCompany]]&lt;=1,"0–1 years",CleanEmployeeData[[#This Row],[YearsAtCompany]]&lt;=5,"2–5 years",CleanEmployeeData[[#This Row],[YearsAtCompany]]&lt;=10,"6–10 years",TRUE,"11+ years")</f>
        <v>11+ years</v>
      </c>
    </row>
    <row r="93" spans="1:4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cm="1">
        <f t="array" ref="AJ93">_xlfn.SWITCH(CleanEmployeeData[[#This Row],[Education]],1,"Below College",2,"College",3,"Bachelor",4,"Master",5,"Doctor","Unknown")</f>
        <v>Master</v>
      </c>
      <c r="AK93" t="str" cm="1">
        <f t="array" ref="AK93">_xlfn.SWITCH(CleanEmployeeData[[#This Row],[EnvironmentSatisfaction]],1,"Low",2,"Medium",3,"High",4,"Very High","Unknown")</f>
        <v>High</v>
      </c>
      <c r="AL93" t="str" cm="1">
        <f t="array" ref="AL93">_xlfn.SWITCH(CleanEmployeeData[[#This Row],[JobInvolvement]],1,"Low",2,"Medium",3,"High",4,"Very High","Unknown")</f>
        <v>High</v>
      </c>
      <c r="AM93" t="str" cm="1">
        <f t="array" ref="AM93">_xlfn.SWITCH(CleanEmployeeData[[#This Row],[JobSatisfaction]],1,"Low",2,"Medium",3,"High",4,"Very High","Unknown")</f>
        <v>Very High</v>
      </c>
      <c r="AN93" t="str" cm="1">
        <f t="array" ref="AN93">_xlfn.SWITCH(CleanEmployeeData[[#This Row],[PerformanceRating]],1,"Low",2,"Good",3,"Excellent",4,"Outstanding","Unknown")</f>
        <v>Outstanding</v>
      </c>
      <c r="AO93" t="str" cm="1">
        <f t="array" ref="AO93">_xlfn.SWITCH(CleanEmployeeData[[#This Row],[WorkLifeBalance]],1,"Bad",2,"Good",3,"Better",4,"Best","Unknown")</f>
        <v>Bad</v>
      </c>
      <c r="AP93">
        <f>IF(CleanEmployeeData[[#This Row],[Attrition]]="Yes",1,IF(CleanEmployeeData[[#This Row],[Attrition]]="No",0,""))</f>
        <v>0</v>
      </c>
      <c r="AQ93" t="str" cm="1">
        <f t="array" ref="AQ93">_xlfn.IFS(CleanEmployeeData[[#This Row],[MonthlyIncome]]&lt;=3000,"0–3,000",CleanEmployeeData[[#This Row],[MonthlyIncome]]&lt;=6000,"3,001–6,000",CleanEmployeeData[[#This Row],[MonthlyIncome]]&lt;=10000,"6,001–10,000",TRUE,"10,001+")</f>
        <v>3,001–6,000</v>
      </c>
      <c r="AR93" t="str" cm="1">
        <f t="array" ref="AR93">_xlfn.IFS(CleanEmployeeData[[#This Row],[DistanceFromHome]]&lt;=5,"0–5 miles",CleanEmployeeData[[#This Row],[DistanceFromHome]]&lt;=10,"6–10 miles",CleanEmployeeData[[#This Row],[DistanceFromHome]]&lt;=15,"11–15 miles",TRUE,"16+ miles")</f>
        <v>16+ miles</v>
      </c>
      <c r="AS93" t="str" cm="1">
        <f t="array" ref="AS93">_xlfn.IFS(CleanEmployeeData[[#This Row],[YearsAtCompany]]&lt;=1,"0–1 years",CleanEmployeeData[[#This Row],[YearsAtCompany]]&lt;=5,"2–5 years",CleanEmployeeData[[#This Row],[YearsAtCompany]]&lt;=10,"6–10 years",TRUE,"11+ years")</f>
        <v>6–10 years</v>
      </c>
    </row>
    <row r="94" spans="1:4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cm="1">
        <f t="array" ref="AJ94">_xlfn.SWITCH(CleanEmployeeData[[#This Row],[Education]],1,"Below College",2,"College",3,"Bachelor",4,"Master",5,"Doctor","Unknown")</f>
        <v>College</v>
      </c>
      <c r="AK94" t="str" cm="1">
        <f t="array" ref="AK94">_xlfn.SWITCH(CleanEmployeeData[[#This Row],[EnvironmentSatisfaction]],1,"Low",2,"Medium",3,"High",4,"Very High","Unknown")</f>
        <v>High</v>
      </c>
      <c r="AL94" t="str" cm="1">
        <f t="array" ref="AL94">_xlfn.SWITCH(CleanEmployeeData[[#This Row],[JobInvolvement]],1,"Low",2,"Medium",3,"High",4,"Very High","Unknown")</f>
        <v>Medium</v>
      </c>
      <c r="AM94" t="str" cm="1">
        <f t="array" ref="AM94">_xlfn.SWITCH(CleanEmployeeData[[#This Row],[JobSatisfaction]],1,"Low",2,"Medium",3,"High",4,"Very High","Unknown")</f>
        <v>Medium</v>
      </c>
      <c r="AN94" t="str" cm="1">
        <f t="array" ref="AN94">_xlfn.SWITCH(CleanEmployeeData[[#This Row],[PerformanceRating]],1,"Low",2,"Good",3,"Excellent",4,"Outstanding","Unknown")</f>
        <v>Excellent</v>
      </c>
      <c r="AO94" t="str" cm="1">
        <f t="array" ref="AO94">_xlfn.SWITCH(CleanEmployeeData[[#This Row],[WorkLifeBalance]],1,"Bad",2,"Good",3,"Better",4,"Best","Unknown")</f>
        <v>Good</v>
      </c>
      <c r="AP94">
        <f>IF(CleanEmployeeData[[#This Row],[Attrition]]="Yes",1,IF(CleanEmployeeData[[#This Row],[Attrition]]="No",0,""))</f>
        <v>0</v>
      </c>
      <c r="AQ94" t="str" cm="1">
        <f t="array" ref="AQ94">_xlfn.IFS(CleanEmployeeData[[#This Row],[MonthlyIncome]]&lt;=3000,"0–3,000",CleanEmployeeData[[#This Row],[MonthlyIncome]]&lt;=6000,"3,001–6,000",CleanEmployeeData[[#This Row],[MonthlyIncome]]&lt;=10000,"6,001–10,000",TRUE,"10,001+")</f>
        <v>3,001–6,000</v>
      </c>
      <c r="AR94" t="str" cm="1">
        <f t="array" ref="AR94">_xlfn.IFS(CleanEmployeeData[[#This Row],[DistanceFromHome]]&lt;=5,"0–5 miles",CleanEmployeeData[[#This Row],[DistanceFromHome]]&lt;=10,"6–10 miles",CleanEmployeeData[[#This Row],[DistanceFromHome]]&lt;=15,"11–15 miles",TRUE,"16+ miles")</f>
        <v>0–5 miles</v>
      </c>
      <c r="AS94" t="str" cm="1">
        <f t="array" ref="AS94">_xlfn.IFS(CleanEmployeeData[[#This Row],[YearsAtCompany]]&lt;=1,"0–1 years",CleanEmployeeData[[#This Row],[YearsAtCompany]]&lt;=5,"2–5 years",CleanEmployeeData[[#This Row],[YearsAtCompany]]&lt;=10,"6–10 years",TRUE,"11+ years")</f>
        <v>11+ years</v>
      </c>
    </row>
    <row r="95" spans="1:4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cm="1">
        <f t="array" ref="AJ95">_xlfn.SWITCH(CleanEmployeeData[[#This Row],[Education]],1,"Below College",2,"College",3,"Bachelor",4,"Master",5,"Doctor","Unknown")</f>
        <v>Bachelor</v>
      </c>
      <c r="AK95" t="str" cm="1">
        <f t="array" ref="AK95">_xlfn.SWITCH(CleanEmployeeData[[#This Row],[EnvironmentSatisfaction]],1,"Low",2,"Medium",3,"High",4,"Very High","Unknown")</f>
        <v>High</v>
      </c>
      <c r="AL95" t="str" cm="1">
        <f t="array" ref="AL95">_xlfn.SWITCH(CleanEmployeeData[[#This Row],[JobInvolvement]],1,"Low",2,"Medium",3,"High",4,"Very High","Unknown")</f>
        <v>Medium</v>
      </c>
      <c r="AM95" t="str" cm="1">
        <f t="array" ref="AM95">_xlfn.SWITCH(CleanEmployeeData[[#This Row],[JobSatisfaction]],1,"Low",2,"Medium",3,"High",4,"Very High","Unknown")</f>
        <v>Low</v>
      </c>
      <c r="AN95" t="str" cm="1">
        <f t="array" ref="AN95">_xlfn.SWITCH(CleanEmployeeData[[#This Row],[PerformanceRating]],1,"Low",2,"Good",3,"Excellent",4,"Outstanding","Unknown")</f>
        <v>Excellent</v>
      </c>
      <c r="AO95" t="str" cm="1">
        <f t="array" ref="AO95">_xlfn.SWITCH(CleanEmployeeData[[#This Row],[WorkLifeBalance]],1,"Bad",2,"Good",3,"Better",4,"Best","Unknown")</f>
        <v>Good</v>
      </c>
      <c r="AP95">
        <f>IF(CleanEmployeeData[[#This Row],[Attrition]]="Yes",1,IF(CleanEmployeeData[[#This Row],[Attrition]]="No",0,""))</f>
        <v>0</v>
      </c>
      <c r="AQ95" t="str" cm="1">
        <f t="array" ref="AQ95">_xlfn.IFS(CleanEmployeeData[[#This Row],[MonthlyIncome]]&lt;=3000,"0–3,000",CleanEmployeeData[[#This Row],[MonthlyIncome]]&lt;=6000,"3,001–6,000",CleanEmployeeData[[#This Row],[MonthlyIncome]]&lt;=10000,"6,001–10,000",TRUE,"10,001+")</f>
        <v>10,001+</v>
      </c>
      <c r="AR95" t="str" cm="1">
        <f t="array" ref="AR95">_xlfn.IFS(CleanEmployeeData[[#This Row],[DistanceFromHome]]&lt;=5,"0–5 miles",CleanEmployeeData[[#This Row],[DistanceFromHome]]&lt;=10,"6–10 miles",CleanEmployeeData[[#This Row],[DistanceFromHome]]&lt;=15,"11–15 miles",TRUE,"16+ miles")</f>
        <v>0–5 miles</v>
      </c>
      <c r="AS95" t="str" cm="1">
        <f t="array" ref="AS95">_xlfn.IFS(CleanEmployeeData[[#This Row],[YearsAtCompany]]&lt;=1,"0–1 years",CleanEmployeeData[[#This Row],[YearsAtCompany]]&lt;=5,"2–5 years",CleanEmployeeData[[#This Row],[YearsAtCompany]]&lt;=10,"6–10 years",TRUE,"11+ years")</f>
        <v>6–10 years</v>
      </c>
    </row>
    <row r="96" spans="1:4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cm="1">
        <f t="array" ref="AJ96">_xlfn.SWITCH(CleanEmployeeData[[#This Row],[Education]],1,"Below College",2,"College",3,"Bachelor",4,"Master",5,"Doctor","Unknown")</f>
        <v>Master</v>
      </c>
      <c r="AK96" t="str" cm="1">
        <f t="array" ref="AK96">_xlfn.SWITCH(CleanEmployeeData[[#This Row],[EnvironmentSatisfaction]],1,"Low",2,"Medium",3,"High",4,"Very High","Unknown")</f>
        <v>Medium</v>
      </c>
      <c r="AL96" t="str" cm="1">
        <f t="array" ref="AL96">_xlfn.SWITCH(CleanEmployeeData[[#This Row],[JobInvolvement]],1,"Low",2,"Medium",3,"High",4,"Very High","Unknown")</f>
        <v>High</v>
      </c>
      <c r="AM96" t="str" cm="1">
        <f t="array" ref="AM96">_xlfn.SWITCH(CleanEmployeeData[[#This Row],[JobSatisfaction]],1,"Low",2,"Medium",3,"High",4,"Very High","Unknown")</f>
        <v>High</v>
      </c>
      <c r="AN96" t="str" cm="1">
        <f t="array" ref="AN96">_xlfn.SWITCH(CleanEmployeeData[[#This Row],[PerformanceRating]],1,"Low",2,"Good",3,"Excellent",4,"Outstanding","Unknown")</f>
        <v>Excellent</v>
      </c>
      <c r="AO96" t="str" cm="1">
        <f t="array" ref="AO96">_xlfn.SWITCH(CleanEmployeeData[[#This Row],[WorkLifeBalance]],1,"Bad",2,"Good",3,"Better",4,"Best","Unknown")</f>
        <v>Better</v>
      </c>
      <c r="AP96">
        <f>IF(CleanEmployeeData[[#This Row],[Attrition]]="Yes",1,IF(CleanEmployeeData[[#This Row],[Attrition]]="No",0,""))</f>
        <v>0</v>
      </c>
      <c r="AQ96" t="str" cm="1">
        <f t="array" ref="AQ96">_xlfn.IFS(CleanEmployeeData[[#This Row],[MonthlyIncome]]&lt;=3000,"0–3,000",CleanEmployeeData[[#This Row],[MonthlyIncome]]&lt;=6000,"3,001–6,000",CleanEmployeeData[[#This Row],[MonthlyIncome]]&lt;=10000,"6,001–10,000",TRUE,"10,001+")</f>
        <v>3,001–6,000</v>
      </c>
      <c r="AR96" t="str" cm="1">
        <f t="array" ref="AR96">_xlfn.IFS(CleanEmployeeData[[#This Row],[DistanceFromHome]]&lt;=5,"0–5 miles",CleanEmployeeData[[#This Row],[DistanceFromHome]]&lt;=10,"6–10 miles",CleanEmployeeData[[#This Row],[DistanceFromHome]]&lt;=15,"11–15 miles",TRUE,"16+ miles")</f>
        <v>6–10 miles</v>
      </c>
      <c r="AS96" t="str" cm="1">
        <f t="array" ref="AS96">_xlfn.IFS(CleanEmployeeData[[#This Row],[YearsAtCompany]]&lt;=1,"0–1 years",CleanEmployeeData[[#This Row],[YearsAtCompany]]&lt;=5,"2–5 years",CleanEmployeeData[[#This Row],[YearsAtCompany]]&lt;=10,"6–10 years",TRUE,"11+ years")</f>
        <v>11+ years</v>
      </c>
    </row>
    <row r="97" spans="1:4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cm="1">
        <f t="array" ref="AJ97">_xlfn.SWITCH(CleanEmployeeData[[#This Row],[Education]],1,"Below College",2,"College",3,"Bachelor",4,"Master",5,"Doctor","Unknown")</f>
        <v>Master</v>
      </c>
      <c r="AK97" t="str" cm="1">
        <f t="array" ref="AK97">_xlfn.SWITCH(CleanEmployeeData[[#This Row],[EnvironmentSatisfaction]],1,"Low",2,"Medium",3,"High",4,"Very High","Unknown")</f>
        <v>Low</v>
      </c>
      <c r="AL97" t="str" cm="1">
        <f t="array" ref="AL97">_xlfn.SWITCH(CleanEmployeeData[[#This Row],[JobInvolvement]],1,"Low",2,"Medium",3,"High",4,"Very High","Unknown")</f>
        <v>High</v>
      </c>
      <c r="AM97" t="str" cm="1">
        <f t="array" ref="AM97">_xlfn.SWITCH(CleanEmployeeData[[#This Row],[JobSatisfaction]],1,"Low",2,"Medium",3,"High",4,"Very High","Unknown")</f>
        <v>High</v>
      </c>
      <c r="AN97" t="str" cm="1">
        <f t="array" ref="AN97">_xlfn.SWITCH(CleanEmployeeData[[#This Row],[PerformanceRating]],1,"Low",2,"Good",3,"Excellent",4,"Outstanding","Unknown")</f>
        <v>Excellent</v>
      </c>
      <c r="AO97" t="str" cm="1">
        <f t="array" ref="AO97">_xlfn.SWITCH(CleanEmployeeData[[#This Row],[WorkLifeBalance]],1,"Bad",2,"Good",3,"Better",4,"Best","Unknown")</f>
        <v>Bad</v>
      </c>
      <c r="AP97">
        <f>IF(CleanEmployeeData[[#This Row],[Attrition]]="Yes",1,IF(CleanEmployeeData[[#This Row],[Attrition]]="No",0,""))</f>
        <v>0</v>
      </c>
      <c r="AQ97" t="str" cm="1">
        <f t="array" ref="AQ97">_xlfn.IFS(CleanEmployeeData[[#This Row],[MonthlyIncome]]&lt;=3000,"0–3,000",CleanEmployeeData[[#This Row],[MonthlyIncome]]&lt;=6000,"3,001–6,000",CleanEmployeeData[[#This Row],[MonthlyIncome]]&lt;=10000,"6,001–10,000",TRUE,"10,001+")</f>
        <v>10,001+</v>
      </c>
      <c r="AR97" t="str" cm="1">
        <f t="array" ref="AR97">_xlfn.IFS(CleanEmployeeData[[#This Row],[DistanceFromHome]]&lt;=5,"0–5 miles",CleanEmployeeData[[#This Row],[DistanceFromHome]]&lt;=10,"6–10 miles",CleanEmployeeData[[#This Row],[DistanceFromHome]]&lt;=15,"11–15 miles",TRUE,"16+ miles")</f>
        <v>0–5 miles</v>
      </c>
      <c r="AS97" t="str" cm="1">
        <f t="array" ref="AS97">_xlfn.IFS(CleanEmployeeData[[#This Row],[YearsAtCompany]]&lt;=1,"0–1 years",CleanEmployeeData[[#This Row],[YearsAtCompany]]&lt;=5,"2–5 years",CleanEmployeeData[[#This Row],[YearsAtCompany]]&lt;=10,"6–10 years",TRUE,"11+ years")</f>
        <v>2–5 years</v>
      </c>
    </row>
    <row r="98" spans="1:4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cm="1">
        <f t="array" ref="AJ98">_xlfn.SWITCH(CleanEmployeeData[[#This Row],[Education]],1,"Below College",2,"College",3,"Bachelor",4,"Master",5,"Doctor","Unknown")</f>
        <v>College</v>
      </c>
      <c r="AK98" t="str" cm="1">
        <f t="array" ref="AK98">_xlfn.SWITCH(CleanEmployeeData[[#This Row],[EnvironmentSatisfaction]],1,"Low",2,"Medium",3,"High",4,"Very High","Unknown")</f>
        <v>Low</v>
      </c>
      <c r="AL98" t="str" cm="1">
        <f t="array" ref="AL98">_xlfn.SWITCH(CleanEmployeeData[[#This Row],[JobInvolvement]],1,"Low",2,"Medium",3,"High",4,"Very High","Unknown")</f>
        <v>High</v>
      </c>
      <c r="AM98" t="str" cm="1">
        <f t="array" ref="AM98">_xlfn.SWITCH(CleanEmployeeData[[#This Row],[JobSatisfaction]],1,"Low",2,"Medium",3,"High",4,"Very High","Unknown")</f>
        <v>High</v>
      </c>
      <c r="AN98" t="str" cm="1">
        <f t="array" ref="AN98">_xlfn.SWITCH(CleanEmployeeData[[#This Row],[PerformanceRating]],1,"Low",2,"Good",3,"Excellent",4,"Outstanding","Unknown")</f>
        <v>Outstanding</v>
      </c>
      <c r="AO98" t="str" cm="1">
        <f t="array" ref="AO98">_xlfn.SWITCH(CleanEmployeeData[[#This Row],[WorkLifeBalance]],1,"Bad",2,"Good",3,"Better",4,"Best","Unknown")</f>
        <v>Good</v>
      </c>
      <c r="AP98">
        <f>IF(CleanEmployeeData[[#This Row],[Attrition]]="Yes",1,IF(CleanEmployeeData[[#This Row],[Attrition]]="No",0,""))</f>
        <v>0</v>
      </c>
      <c r="AQ98" t="str" cm="1">
        <f t="array" ref="AQ98">_xlfn.IFS(CleanEmployeeData[[#This Row],[MonthlyIncome]]&lt;=3000,"0–3,000",CleanEmployeeData[[#This Row],[MonthlyIncome]]&lt;=6000,"3,001–6,000",CleanEmployeeData[[#This Row],[MonthlyIncome]]&lt;=10000,"6,001–10,000",TRUE,"10,001+")</f>
        <v>3,001–6,000</v>
      </c>
      <c r="AR98" t="str" cm="1">
        <f t="array" ref="AR98">_xlfn.IFS(CleanEmployeeData[[#This Row],[DistanceFromHome]]&lt;=5,"0–5 miles",CleanEmployeeData[[#This Row],[DistanceFromHome]]&lt;=10,"6–10 miles",CleanEmployeeData[[#This Row],[DistanceFromHome]]&lt;=15,"11–15 miles",TRUE,"16+ miles")</f>
        <v>0–5 miles</v>
      </c>
      <c r="AS98" t="str" cm="1">
        <f t="array" ref="AS98">_xlfn.IFS(CleanEmployeeData[[#This Row],[YearsAtCompany]]&lt;=1,"0–1 years",CleanEmployeeData[[#This Row],[YearsAtCompany]]&lt;=5,"2–5 years",CleanEmployeeData[[#This Row],[YearsAtCompany]]&lt;=10,"6–10 years",TRUE,"11+ years")</f>
        <v>2–5 years</v>
      </c>
    </row>
    <row r="99" spans="1:4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cm="1">
        <f t="array" ref="AJ99">_xlfn.SWITCH(CleanEmployeeData[[#This Row],[Education]],1,"Below College",2,"College",3,"Bachelor",4,"Master",5,"Doctor","Unknown")</f>
        <v>Bachelor</v>
      </c>
      <c r="AK99" t="str" cm="1">
        <f t="array" ref="AK99">_xlfn.SWITCH(CleanEmployeeData[[#This Row],[EnvironmentSatisfaction]],1,"Low",2,"Medium",3,"High",4,"Very High","Unknown")</f>
        <v>Medium</v>
      </c>
      <c r="AL99" t="str" cm="1">
        <f t="array" ref="AL99">_xlfn.SWITCH(CleanEmployeeData[[#This Row],[JobInvolvement]],1,"Low",2,"Medium",3,"High",4,"Very High","Unknown")</f>
        <v>High</v>
      </c>
      <c r="AM99" t="str" cm="1">
        <f t="array" ref="AM99">_xlfn.SWITCH(CleanEmployeeData[[#This Row],[JobSatisfaction]],1,"Low",2,"Medium",3,"High",4,"Very High","Unknown")</f>
        <v>High</v>
      </c>
      <c r="AN99" t="str" cm="1">
        <f t="array" ref="AN99">_xlfn.SWITCH(CleanEmployeeData[[#This Row],[PerformanceRating]],1,"Low",2,"Good",3,"Excellent",4,"Outstanding","Unknown")</f>
        <v>Excellent</v>
      </c>
      <c r="AO99" t="str" cm="1">
        <f t="array" ref="AO99">_xlfn.SWITCH(CleanEmployeeData[[#This Row],[WorkLifeBalance]],1,"Bad",2,"Good",3,"Better",4,"Best","Unknown")</f>
        <v>Best</v>
      </c>
      <c r="AP99">
        <f>IF(CleanEmployeeData[[#This Row],[Attrition]]="Yes",1,IF(CleanEmployeeData[[#This Row],[Attrition]]="No",0,""))</f>
        <v>0</v>
      </c>
      <c r="AQ99" t="str" cm="1">
        <f t="array" ref="AQ99">_xlfn.IFS(CleanEmployeeData[[#This Row],[MonthlyIncome]]&lt;=3000,"0–3,000",CleanEmployeeData[[#This Row],[MonthlyIncome]]&lt;=6000,"3,001–6,000",CleanEmployeeData[[#This Row],[MonthlyIncome]]&lt;=10000,"6,001–10,000",TRUE,"10,001+")</f>
        <v>3,001–6,000</v>
      </c>
      <c r="AR99" t="str" cm="1">
        <f t="array" ref="AR99">_xlfn.IFS(CleanEmployeeData[[#This Row],[DistanceFromHome]]&lt;=5,"0–5 miles",CleanEmployeeData[[#This Row],[DistanceFromHome]]&lt;=10,"6–10 miles",CleanEmployeeData[[#This Row],[DistanceFromHome]]&lt;=15,"11–15 miles",TRUE,"16+ miles")</f>
        <v>0–5 miles</v>
      </c>
      <c r="AS99" t="str" cm="1">
        <f t="array" ref="AS99">_xlfn.IFS(CleanEmployeeData[[#This Row],[YearsAtCompany]]&lt;=1,"0–1 years",CleanEmployeeData[[#This Row],[YearsAtCompany]]&lt;=5,"2–5 years",CleanEmployeeData[[#This Row],[YearsAtCompany]]&lt;=10,"6–10 years",TRUE,"11+ years")</f>
        <v>2–5 years</v>
      </c>
    </row>
    <row r="100" spans="1:4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cm="1">
        <f t="array" ref="AJ100">_xlfn.SWITCH(CleanEmployeeData[[#This Row],[Education]],1,"Below College",2,"College",3,"Bachelor",4,"Master",5,"Doctor","Unknown")</f>
        <v>Master</v>
      </c>
      <c r="AK100" t="str" cm="1">
        <f t="array" ref="AK100">_xlfn.SWITCH(CleanEmployeeData[[#This Row],[EnvironmentSatisfaction]],1,"Low",2,"Medium",3,"High",4,"Very High","Unknown")</f>
        <v>Very High</v>
      </c>
      <c r="AL100" t="str" cm="1">
        <f t="array" ref="AL100">_xlfn.SWITCH(CleanEmployeeData[[#This Row],[JobInvolvement]],1,"Low",2,"Medium",3,"High",4,"Very High","Unknown")</f>
        <v>High</v>
      </c>
      <c r="AM100" t="str" cm="1">
        <f t="array" ref="AM100">_xlfn.SWITCH(CleanEmployeeData[[#This Row],[JobSatisfaction]],1,"Low",2,"Medium",3,"High",4,"Very High","Unknown")</f>
        <v>High</v>
      </c>
      <c r="AN100" t="str" cm="1">
        <f t="array" ref="AN100">_xlfn.SWITCH(CleanEmployeeData[[#This Row],[PerformanceRating]],1,"Low",2,"Good",3,"Excellent",4,"Outstanding","Unknown")</f>
        <v>Excellent</v>
      </c>
      <c r="AO100" t="str" cm="1">
        <f t="array" ref="AO100">_xlfn.SWITCH(CleanEmployeeData[[#This Row],[WorkLifeBalance]],1,"Bad",2,"Good",3,"Better",4,"Best","Unknown")</f>
        <v>Good</v>
      </c>
      <c r="AP100">
        <f>IF(CleanEmployeeData[[#This Row],[Attrition]]="Yes",1,IF(CleanEmployeeData[[#This Row],[Attrition]]="No",0,""))</f>
        <v>0</v>
      </c>
      <c r="AQ100" t="str" cm="1">
        <f t="array" ref="AQ100">_xlfn.IFS(CleanEmployeeData[[#This Row],[MonthlyIncome]]&lt;=3000,"0–3,000",CleanEmployeeData[[#This Row],[MonthlyIncome]]&lt;=6000,"3,001–6,000",CleanEmployeeData[[#This Row],[MonthlyIncome]]&lt;=10000,"6,001–10,000",TRUE,"10,001+")</f>
        <v>10,001+</v>
      </c>
      <c r="AR100" t="str" cm="1">
        <f t="array" ref="AR100">_xlfn.IFS(CleanEmployeeData[[#This Row],[DistanceFromHome]]&lt;=5,"0–5 miles",CleanEmployeeData[[#This Row],[DistanceFromHome]]&lt;=10,"6–10 miles",CleanEmployeeData[[#This Row],[DistanceFromHome]]&lt;=15,"11–15 miles",TRUE,"16+ miles")</f>
        <v>6–10 miles</v>
      </c>
      <c r="AS100" t="str" cm="1">
        <f t="array" ref="AS100">_xlfn.IFS(CleanEmployeeData[[#This Row],[YearsAtCompany]]&lt;=1,"0–1 years",CleanEmployeeData[[#This Row],[YearsAtCompany]]&lt;=5,"2–5 years",CleanEmployeeData[[#This Row],[YearsAtCompany]]&lt;=10,"6–10 years",TRUE,"11+ years")</f>
        <v>11+ years</v>
      </c>
    </row>
    <row r="101" spans="1:4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cm="1">
        <f t="array" ref="AJ101">_xlfn.SWITCH(CleanEmployeeData[[#This Row],[Education]],1,"Below College",2,"College",3,"Bachelor",4,"Master",5,"Doctor","Unknown")</f>
        <v>Bachelor</v>
      </c>
      <c r="AK101" t="str" cm="1">
        <f t="array" ref="AK101">_xlfn.SWITCH(CleanEmployeeData[[#This Row],[EnvironmentSatisfaction]],1,"Low",2,"Medium",3,"High",4,"Very High","Unknown")</f>
        <v>Medium</v>
      </c>
      <c r="AL101" t="str" cm="1">
        <f t="array" ref="AL101">_xlfn.SWITCH(CleanEmployeeData[[#This Row],[JobInvolvement]],1,"Low",2,"Medium",3,"High",4,"Very High","Unknown")</f>
        <v>High</v>
      </c>
      <c r="AM101" t="str" cm="1">
        <f t="array" ref="AM101">_xlfn.SWITCH(CleanEmployeeData[[#This Row],[JobSatisfaction]],1,"Low",2,"Medium",3,"High",4,"Very High","Unknown")</f>
        <v>Medium</v>
      </c>
      <c r="AN101" t="str" cm="1">
        <f t="array" ref="AN101">_xlfn.SWITCH(CleanEmployeeData[[#This Row],[PerformanceRating]],1,"Low",2,"Good",3,"Excellent",4,"Outstanding","Unknown")</f>
        <v>Excellent</v>
      </c>
      <c r="AO101" t="str" cm="1">
        <f t="array" ref="AO101">_xlfn.SWITCH(CleanEmployeeData[[#This Row],[WorkLifeBalance]],1,"Bad",2,"Good",3,"Better",4,"Best","Unknown")</f>
        <v>Best</v>
      </c>
      <c r="AP101">
        <f>IF(CleanEmployeeData[[#This Row],[Attrition]]="Yes",1,IF(CleanEmployeeData[[#This Row],[Attrition]]="No",0,""))</f>
        <v>0</v>
      </c>
      <c r="AQ101" t="str" cm="1">
        <f t="array" ref="AQ101">_xlfn.IFS(CleanEmployeeData[[#This Row],[MonthlyIncome]]&lt;=3000,"0–3,000",CleanEmployeeData[[#This Row],[MonthlyIncome]]&lt;=6000,"3,001–6,000",CleanEmployeeData[[#This Row],[MonthlyIncome]]&lt;=10000,"6,001–10,000",TRUE,"10,001+")</f>
        <v>0–3,000</v>
      </c>
      <c r="AR101" t="str" cm="1">
        <f t="array" ref="AR101">_xlfn.IFS(CleanEmployeeData[[#This Row],[DistanceFromHome]]&lt;=5,"0–5 miles",CleanEmployeeData[[#This Row],[DistanceFromHome]]&lt;=10,"6–10 miles",CleanEmployeeData[[#This Row],[DistanceFromHome]]&lt;=15,"11–15 miles",TRUE,"16+ miles")</f>
        <v>16+ miles</v>
      </c>
      <c r="AS101" t="str" cm="1">
        <f t="array" ref="AS101">_xlfn.IFS(CleanEmployeeData[[#This Row],[YearsAtCompany]]&lt;=1,"0–1 years",CleanEmployeeData[[#This Row],[YearsAtCompany]]&lt;=5,"2–5 years",CleanEmployeeData[[#This Row],[YearsAtCompany]]&lt;=10,"6–10 years",TRUE,"11+ years")</f>
        <v>2–5 years</v>
      </c>
    </row>
    <row r="102" spans="1:4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cm="1">
        <f t="array" ref="AJ102">_xlfn.SWITCH(CleanEmployeeData[[#This Row],[Education]],1,"Below College",2,"College",3,"Bachelor",4,"Master",5,"Doctor","Unknown")</f>
        <v>Master</v>
      </c>
      <c r="AK102" t="str" cm="1">
        <f t="array" ref="AK102">_xlfn.SWITCH(CleanEmployeeData[[#This Row],[EnvironmentSatisfaction]],1,"Low",2,"Medium",3,"High",4,"Very High","Unknown")</f>
        <v>High</v>
      </c>
      <c r="AL102" t="str" cm="1">
        <f t="array" ref="AL102">_xlfn.SWITCH(CleanEmployeeData[[#This Row],[JobInvolvement]],1,"Low",2,"Medium",3,"High",4,"Very High","Unknown")</f>
        <v>High</v>
      </c>
      <c r="AM102" t="str" cm="1">
        <f t="array" ref="AM102">_xlfn.SWITCH(CleanEmployeeData[[#This Row],[JobSatisfaction]],1,"Low",2,"Medium",3,"High",4,"Very High","Unknown")</f>
        <v>Low</v>
      </c>
      <c r="AN102" t="str" cm="1">
        <f t="array" ref="AN102">_xlfn.SWITCH(CleanEmployeeData[[#This Row],[PerformanceRating]],1,"Low",2,"Good",3,"Excellent",4,"Outstanding","Unknown")</f>
        <v>Outstanding</v>
      </c>
      <c r="AO102" t="str" cm="1">
        <f t="array" ref="AO102">_xlfn.SWITCH(CleanEmployeeData[[#This Row],[WorkLifeBalance]],1,"Bad",2,"Good",3,"Better",4,"Best","Unknown")</f>
        <v>Better</v>
      </c>
      <c r="AP102">
        <f>IF(CleanEmployeeData[[#This Row],[Attrition]]="Yes",1,IF(CleanEmployeeData[[#This Row],[Attrition]]="No",0,""))</f>
        <v>1</v>
      </c>
      <c r="AQ102" t="str" cm="1">
        <f t="array" ref="AQ102">_xlfn.IFS(CleanEmployeeData[[#This Row],[MonthlyIncome]]&lt;=3000,"0–3,000",CleanEmployeeData[[#This Row],[MonthlyIncome]]&lt;=6000,"3,001–6,000",CleanEmployeeData[[#This Row],[MonthlyIncome]]&lt;=10000,"6,001–10,000",TRUE,"10,001+")</f>
        <v>0–3,000</v>
      </c>
      <c r="AR102" t="str" cm="1">
        <f t="array" ref="AR102">_xlfn.IFS(CleanEmployeeData[[#This Row],[DistanceFromHome]]&lt;=5,"0–5 miles",CleanEmployeeData[[#This Row],[DistanceFromHome]]&lt;=10,"6–10 miles",CleanEmployeeData[[#This Row],[DistanceFromHome]]&lt;=15,"11–15 miles",TRUE,"16+ miles")</f>
        <v>6–10 miles</v>
      </c>
      <c r="AS102" t="str" cm="1">
        <f t="array" ref="AS102">_xlfn.IFS(CleanEmployeeData[[#This Row],[YearsAtCompany]]&lt;=1,"0–1 years",CleanEmployeeData[[#This Row],[YearsAtCompany]]&lt;=5,"2–5 years",CleanEmployeeData[[#This Row],[YearsAtCompany]]&lt;=10,"6–10 years",TRUE,"11+ years")</f>
        <v>2–5 years</v>
      </c>
    </row>
    <row r="103" spans="1:4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cm="1">
        <f t="array" ref="AJ103">_xlfn.SWITCH(CleanEmployeeData[[#This Row],[Education]],1,"Below College",2,"College",3,"Bachelor",4,"Master",5,"Doctor","Unknown")</f>
        <v>Below College</v>
      </c>
      <c r="AK103" t="str" cm="1">
        <f t="array" ref="AK103">_xlfn.SWITCH(CleanEmployeeData[[#This Row],[EnvironmentSatisfaction]],1,"Low",2,"Medium",3,"High",4,"Very High","Unknown")</f>
        <v>Very High</v>
      </c>
      <c r="AL103" t="str" cm="1">
        <f t="array" ref="AL103">_xlfn.SWITCH(CleanEmployeeData[[#This Row],[JobInvolvement]],1,"Low",2,"Medium",3,"High",4,"Very High","Unknown")</f>
        <v>High</v>
      </c>
      <c r="AM103" t="str" cm="1">
        <f t="array" ref="AM103">_xlfn.SWITCH(CleanEmployeeData[[#This Row],[JobSatisfaction]],1,"Low",2,"Medium",3,"High",4,"Very High","Unknown")</f>
        <v>Low</v>
      </c>
      <c r="AN103" t="str" cm="1">
        <f t="array" ref="AN103">_xlfn.SWITCH(CleanEmployeeData[[#This Row],[PerformanceRating]],1,"Low",2,"Good",3,"Excellent",4,"Outstanding","Unknown")</f>
        <v>Excellent</v>
      </c>
      <c r="AO103" t="str" cm="1">
        <f t="array" ref="AO103">_xlfn.SWITCH(CleanEmployeeData[[#This Row],[WorkLifeBalance]],1,"Bad",2,"Good",3,"Better",4,"Best","Unknown")</f>
        <v>Better</v>
      </c>
      <c r="AP103">
        <f>IF(CleanEmployeeData[[#This Row],[Attrition]]="Yes",1,IF(CleanEmployeeData[[#This Row],[Attrition]]="No",0,""))</f>
        <v>0</v>
      </c>
      <c r="AQ103" t="str" cm="1">
        <f t="array" ref="AQ103">_xlfn.IFS(CleanEmployeeData[[#This Row],[MonthlyIncome]]&lt;=3000,"0–3,000",CleanEmployeeData[[#This Row],[MonthlyIncome]]&lt;=6000,"3,001–6,000",CleanEmployeeData[[#This Row],[MonthlyIncome]]&lt;=10000,"6,001–10,000",TRUE,"10,001+")</f>
        <v>0–3,000</v>
      </c>
      <c r="AR103" t="str" cm="1">
        <f t="array" ref="AR103">_xlfn.IFS(CleanEmployeeData[[#This Row],[DistanceFromHome]]&lt;=5,"0–5 miles",CleanEmployeeData[[#This Row],[DistanceFromHome]]&lt;=10,"6–10 miles",CleanEmployeeData[[#This Row],[DistanceFromHome]]&lt;=15,"11–15 miles",TRUE,"16+ miles")</f>
        <v>0–5 miles</v>
      </c>
      <c r="AS103" t="str" cm="1">
        <f t="array" ref="AS103">_xlfn.IFS(CleanEmployeeData[[#This Row],[YearsAtCompany]]&lt;=1,"0–1 years",CleanEmployeeData[[#This Row],[YearsAtCompany]]&lt;=5,"2–5 years",CleanEmployeeData[[#This Row],[YearsAtCompany]]&lt;=10,"6–10 years",TRUE,"11+ years")</f>
        <v>0–1 years</v>
      </c>
    </row>
    <row r="104" spans="1:4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cm="1">
        <f t="array" ref="AJ104">_xlfn.SWITCH(CleanEmployeeData[[#This Row],[Education]],1,"Below College",2,"College",3,"Bachelor",4,"Master",5,"Doctor","Unknown")</f>
        <v>Bachelor</v>
      </c>
      <c r="AK104" t="str" cm="1">
        <f t="array" ref="AK104">_xlfn.SWITCH(CleanEmployeeData[[#This Row],[EnvironmentSatisfaction]],1,"Low",2,"Medium",3,"High",4,"Very High","Unknown")</f>
        <v>Very High</v>
      </c>
      <c r="AL104" t="str" cm="1">
        <f t="array" ref="AL104">_xlfn.SWITCH(CleanEmployeeData[[#This Row],[JobInvolvement]],1,"Low",2,"Medium",3,"High",4,"Very High","Unknown")</f>
        <v>Medium</v>
      </c>
      <c r="AM104" t="str" cm="1">
        <f t="array" ref="AM104">_xlfn.SWITCH(CleanEmployeeData[[#This Row],[JobSatisfaction]],1,"Low",2,"Medium",3,"High",4,"Very High","Unknown")</f>
        <v>Very High</v>
      </c>
      <c r="AN104" t="str" cm="1">
        <f t="array" ref="AN104">_xlfn.SWITCH(CleanEmployeeData[[#This Row],[PerformanceRating]],1,"Low",2,"Good",3,"Excellent",4,"Outstanding","Unknown")</f>
        <v>Excellent</v>
      </c>
      <c r="AO104" t="str" cm="1">
        <f t="array" ref="AO104">_xlfn.SWITCH(CleanEmployeeData[[#This Row],[WorkLifeBalance]],1,"Bad",2,"Good",3,"Better",4,"Best","Unknown")</f>
        <v>Better</v>
      </c>
      <c r="AP104">
        <f>IF(CleanEmployeeData[[#This Row],[Attrition]]="Yes",1,IF(CleanEmployeeData[[#This Row],[Attrition]]="No",0,""))</f>
        <v>1</v>
      </c>
      <c r="AQ104" t="str" cm="1">
        <f t="array" ref="AQ104">_xlfn.IFS(CleanEmployeeData[[#This Row],[MonthlyIncome]]&lt;=3000,"0–3,000",CleanEmployeeData[[#This Row],[MonthlyIncome]]&lt;=6000,"3,001–6,000",CleanEmployeeData[[#This Row],[MonthlyIncome]]&lt;=10000,"6,001–10,000",TRUE,"10,001+")</f>
        <v>0–3,000</v>
      </c>
      <c r="AR104" t="str" cm="1">
        <f t="array" ref="AR104">_xlfn.IFS(CleanEmployeeData[[#This Row],[DistanceFromHome]]&lt;=5,"0–5 miles",CleanEmployeeData[[#This Row],[DistanceFromHome]]&lt;=10,"6–10 miles",CleanEmployeeData[[#This Row],[DistanceFromHome]]&lt;=15,"11–15 miles",TRUE,"16+ miles")</f>
        <v>6–10 miles</v>
      </c>
      <c r="AS104" t="str" cm="1">
        <f t="array" ref="AS104">_xlfn.IFS(CleanEmployeeData[[#This Row],[YearsAtCompany]]&lt;=1,"0–1 years",CleanEmployeeData[[#This Row],[YearsAtCompany]]&lt;=5,"2–5 years",CleanEmployeeData[[#This Row],[YearsAtCompany]]&lt;=10,"6–10 years",TRUE,"11+ years")</f>
        <v>0–1 years</v>
      </c>
    </row>
    <row r="105" spans="1:4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cm="1">
        <f t="array" ref="AJ105">_xlfn.SWITCH(CleanEmployeeData[[#This Row],[Education]],1,"Below College",2,"College",3,"Bachelor",4,"Master",5,"Doctor","Unknown")</f>
        <v>Master</v>
      </c>
      <c r="AK105" t="str" cm="1">
        <f t="array" ref="AK105">_xlfn.SWITCH(CleanEmployeeData[[#This Row],[EnvironmentSatisfaction]],1,"Low",2,"Medium",3,"High",4,"Very High","Unknown")</f>
        <v>Low</v>
      </c>
      <c r="AL105" t="str" cm="1">
        <f t="array" ref="AL105">_xlfn.SWITCH(CleanEmployeeData[[#This Row],[JobInvolvement]],1,"Low",2,"Medium",3,"High",4,"Very High","Unknown")</f>
        <v>High</v>
      </c>
      <c r="AM105" t="str" cm="1">
        <f t="array" ref="AM105">_xlfn.SWITCH(CleanEmployeeData[[#This Row],[JobSatisfaction]],1,"Low",2,"Medium",3,"High",4,"Very High","Unknown")</f>
        <v>High</v>
      </c>
      <c r="AN105" t="str" cm="1">
        <f t="array" ref="AN105">_xlfn.SWITCH(CleanEmployeeData[[#This Row],[PerformanceRating]],1,"Low",2,"Good",3,"Excellent",4,"Outstanding","Unknown")</f>
        <v>Excellent</v>
      </c>
      <c r="AO105" t="str" cm="1">
        <f t="array" ref="AO105">_xlfn.SWITCH(CleanEmployeeData[[#This Row],[WorkLifeBalance]],1,"Bad",2,"Good",3,"Better",4,"Best","Unknown")</f>
        <v>Better</v>
      </c>
      <c r="AP105">
        <f>IF(CleanEmployeeData[[#This Row],[Attrition]]="Yes",1,IF(CleanEmployeeData[[#This Row],[Attrition]]="No",0,""))</f>
        <v>0</v>
      </c>
      <c r="AQ105" t="str" cm="1">
        <f t="array" ref="AQ105">_xlfn.IFS(CleanEmployeeData[[#This Row],[MonthlyIncome]]&lt;=3000,"0–3,000",CleanEmployeeData[[#This Row],[MonthlyIncome]]&lt;=6000,"3,001–6,000",CleanEmployeeData[[#This Row],[MonthlyIncome]]&lt;=10000,"6,001–10,000",TRUE,"10,001+")</f>
        <v>3,001–6,000</v>
      </c>
      <c r="AR105" t="str" cm="1">
        <f t="array" ref="AR105">_xlfn.IFS(CleanEmployeeData[[#This Row],[DistanceFromHome]]&lt;=5,"0–5 miles",CleanEmployeeData[[#This Row],[DistanceFromHome]]&lt;=10,"6–10 miles",CleanEmployeeData[[#This Row],[DistanceFromHome]]&lt;=15,"11–15 miles",TRUE,"16+ miles")</f>
        <v>6–10 miles</v>
      </c>
      <c r="AS105" t="str" cm="1">
        <f t="array" ref="AS105">_xlfn.IFS(CleanEmployeeData[[#This Row],[YearsAtCompany]]&lt;=1,"0–1 years",CleanEmployeeData[[#This Row],[YearsAtCompany]]&lt;=5,"2–5 years",CleanEmployeeData[[#This Row],[YearsAtCompany]]&lt;=10,"6–10 years",TRUE,"11+ years")</f>
        <v>11+ years</v>
      </c>
    </row>
    <row r="106" spans="1:4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cm="1">
        <f t="array" ref="AJ106">_xlfn.SWITCH(CleanEmployeeData[[#This Row],[Education]],1,"Below College",2,"College",3,"Bachelor",4,"Master",5,"Doctor","Unknown")</f>
        <v>College</v>
      </c>
      <c r="AK106" t="str" cm="1">
        <f t="array" ref="AK106">_xlfn.SWITCH(CleanEmployeeData[[#This Row],[EnvironmentSatisfaction]],1,"Low",2,"Medium",3,"High",4,"Very High","Unknown")</f>
        <v>High</v>
      </c>
      <c r="AL106" t="str" cm="1">
        <f t="array" ref="AL106">_xlfn.SWITCH(CleanEmployeeData[[#This Row],[JobInvolvement]],1,"Low",2,"Medium",3,"High",4,"Very High","Unknown")</f>
        <v>Medium</v>
      </c>
      <c r="AM106" t="str" cm="1">
        <f t="array" ref="AM106">_xlfn.SWITCH(CleanEmployeeData[[#This Row],[JobSatisfaction]],1,"Low",2,"Medium",3,"High",4,"Very High","Unknown")</f>
        <v>Very High</v>
      </c>
      <c r="AN106" t="str" cm="1">
        <f t="array" ref="AN106">_xlfn.SWITCH(CleanEmployeeData[[#This Row],[PerformanceRating]],1,"Low",2,"Good",3,"Excellent",4,"Outstanding","Unknown")</f>
        <v>Excellent</v>
      </c>
      <c r="AO106" t="str" cm="1">
        <f t="array" ref="AO106">_xlfn.SWITCH(CleanEmployeeData[[#This Row],[WorkLifeBalance]],1,"Bad",2,"Good",3,"Better",4,"Best","Unknown")</f>
        <v>Best</v>
      </c>
      <c r="AP106">
        <f>IF(CleanEmployeeData[[#This Row],[Attrition]]="Yes",1,IF(CleanEmployeeData[[#This Row],[Attrition]]="No",0,""))</f>
        <v>0</v>
      </c>
      <c r="AQ106" t="str" cm="1">
        <f t="array" ref="AQ106">_xlfn.IFS(CleanEmployeeData[[#This Row],[MonthlyIncome]]&lt;=3000,"0–3,000",CleanEmployeeData[[#This Row],[MonthlyIncome]]&lt;=6000,"3,001–6,000",CleanEmployeeData[[#This Row],[MonthlyIncome]]&lt;=10000,"6,001–10,000",TRUE,"10,001+")</f>
        <v>3,001–6,000</v>
      </c>
      <c r="AR106" t="str" cm="1">
        <f t="array" ref="AR106">_xlfn.IFS(CleanEmployeeData[[#This Row],[DistanceFromHome]]&lt;=5,"0–5 miles",CleanEmployeeData[[#This Row],[DistanceFromHome]]&lt;=10,"6–10 miles",CleanEmployeeData[[#This Row],[DistanceFromHome]]&lt;=15,"11–15 miles",TRUE,"16+ miles")</f>
        <v>0–5 miles</v>
      </c>
      <c r="AS106" t="str" cm="1">
        <f t="array" ref="AS106">_xlfn.IFS(CleanEmployeeData[[#This Row],[YearsAtCompany]]&lt;=1,"0–1 years",CleanEmployeeData[[#This Row],[YearsAtCompany]]&lt;=5,"2–5 years",CleanEmployeeData[[#This Row],[YearsAtCompany]]&lt;=10,"6–10 years",TRUE,"11+ years")</f>
        <v>0–1 years</v>
      </c>
    </row>
    <row r="107" spans="1:4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cm="1">
        <f t="array" ref="AJ107">_xlfn.SWITCH(CleanEmployeeData[[#This Row],[Education]],1,"Below College",2,"College",3,"Bachelor",4,"Master",5,"Doctor","Unknown")</f>
        <v>Master</v>
      </c>
      <c r="AK107" t="str" cm="1">
        <f t="array" ref="AK107">_xlfn.SWITCH(CleanEmployeeData[[#This Row],[EnvironmentSatisfaction]],1,"Low",2,"Medium",3,"High",4,"Very High","Unknown")</f>
        <v>High</v>
      </c>
      <c r="AL107" t="str" cm="1">
        <f t="array" ref="AL107">_xlfn.SWITCH(CleanEmployeeData[[#This Row],[JobInvolvement]],1,"Low",2,"Medium",3,"High",4,"Very High","Unknown")</f>
        <v>Medium</v>
      </c>
      <c r="AM107" t="str" cm="1">
        <f t="array" ref="AM107">_xlfn.SWITCH(CleanEmployeeData[[#This Row],[JobSatisfaction]],1,"Low",2,"Medium",3,"High",4,"Very High","Unknown")</f>
        <v>Very High</v>
      </c>
      <c r="AN107" t="str" cm="1">
        <f t="array" ref="AN107">_xlfn.SWITCH(CleanEmployeeData[[#This Row],[PerformanceRating]],1,"Low",2,"Good",3,"Excellent",4,"Outstanding","Unknown")</f>
        <v>Outstanding</v>
      </c>
      <c r="AO107" t="str" cm="1">
        <f t="array" ref="AO107">_xlfn.SWITCH(CleanEmployeeData[[#This Row],[WorkLifeBalance]],1,"Bad",2,"Good",3,"Better",4,"Best","Unknown")</f>
        <v>Better</v>
      </c>
      <c r="AP107">
        <f>IF(CleanEmployeeData[[#This Row],[Attrition]]="Yes",1,IF(CleanEmployeeData[[#This Row],[Attrition]]="No",0,""))</f>
        <v>0</v>
      </c>
      <c r="AQ107" t="str" cm="1">
        <f t="array" ref="AQ107">_xlfn.IFS(CleanEmployeeData[[#This Row],[MonthlyIncome]]&lt;=3000,"0–3,000",CleanEmployeeData[[#This Row],[MonthlyIncome]]&lt;=6000,"3,001–6,000",CleanEmployeeData[[#This Row],[MonthlyIncome]]&lt;=10000,"6,001–10,000",TRUE,"10,001+")</f>
        <v>10,001+</v>
      </c>
      <c r="AR107" t="str" cm="1">
        <f t="array" ref="AR107">_xlfn.IFS(CleanEmployeeData[[#This Row],[DistanceFromHome]]&lt;=5,"0–5 miles",CleanEmployeeData[[#This Row],[DistanceFromHome]]&lt;=10,"6–10 miles",CleanEmployeeData[[#This Row],[DistanceFromHome]]&lt;=15,"11–15 miles",TRUE,"16+ miles")</f>
        <v>0–5 miles</v>
      </c>
      <c r="AS107" t="str" cm="1">
        <f t="array" ref="AS107">_xlfn.IFS(CleanEmployeeData[[#This Row],[YearsAtCompany]]&lt;=1,"0–1 years",CleanEmployeeData[[#This Row],[YearsAtCompany]]&lt;=5,"2–5 years",CleanEmployeeData[[#This Row],[YearsAtCompany]]&lt;=10,"6–10 years",TRUE,"11+ years")</f>
        <v>2–5 years</v>
      </c>
    </row>
    <row r="108" spans="1:4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cm="1">
        <f t="array" ref="AJ108">_xlfn.SWITCH(CleanEmployeeData[[#This Row],[Education]],1,"Below College",2,"College",3,"Bachelor",4,"Master",5,"Doctor","Unknown")</f>
        <v>Bachelor</v>
      </c>
      <c r="AK108" t="str" cm="1">
        <f t="array" ref="AK108">_xlfn.SWITCH(CleanEmployeeData[[#This Row],[EnvironmentSatisfaction]],1,"Low",2,"Medium",3,"High",4,"Very High","Unknown")</f>
        <v>Low</v>
      </c>
      <c r="AL108" t="str" cm="1">
        <f t="array" ref="AL108">_xlfn.SWITCH(CleanEmployeeData[[#This Row],[JobInvolvement]],1,"Low",2,"Medium",3,"High",4,"Very High","Unknown")</f>
        <v>High</v>
      </c>
      <c r="AM108" t="str" cm="1">
        <f t="array" ref="AM108">_xlfn.SWITCH(CleanEmployeeData[[#This Row],[JobSatisfaction]],1,"Low",2,"Medium",3,"High",4,"Very High","Unknown")</f>
        <v>Medium</v>
      </c>
      <c r="AN108" t="str" cm="1">
        <f t="array" ref="AN108">_xlfn.SWITCH(CleanEmployeeData[[#This Row],[PerformanceRating]],1,"Low",2,"Good",3,"Excellent",4,"Outstanding","Unknown")</f>
        <v>Excellent</v>
      </c>
      <c r="AO108" t="str" cm="1">
        <f t="array" ref="AO108">_xlfn.SWITCH(CleanEmployeeData[[#This Row],[WorkLifeBalance]],1,"Bad",2,"Good",3,"Better",4,"Best","Unknown")</f>
        <v>Good</v>
      </c>
      <c r="AP108">
        <f>IF(CleanEmployeeData[[#This Row],[Attrition]]="Yes",1,IF(CleanEmployeeData[[#This Row],[Attrition]]="No",0,""))</f>
        <v>0</v>
      </c>
      <c r="AQ108" t="str" cm="1">
        <f t="array" ref="AQ108">_xlfn.IFS(CleanEmployeeData[[#This Row],[MonthlyIncome]]&lt;=3000,"0–3,000",CleanEmployeeData[[#This Row],[MonthlyIncome]]&lt;=6000,"3,001–6,000",CleanEmployeeData[[#This Row],[MonthlyIncome]]&lt;=10000,"6,001–10,000",TRUE,"10,001+")</f>
        <v>10,001+</v>
      </c>
      <c r="AR108" t="str" cm="1">
        <f t="array" ref="AR108">_xlfn.IFS(CleanEmployeeData[[#This Row],[DistanceFromHome]]&lt;=5,"0–5 miles",CleanEmployeeData[[#This Row],[DistanceFromHome]]&lt;=10,"6–10 miles",CleanEmployeeData[[#This Row],[DistanceFromHome]]&lt;=15,"11–15 miles",TRUE,"16+ miles")</f>
        <v>0–5 miles</v>
      </c>
      <c r="AS108" t="str" cm="1">
        <f t="array" ref="AS108">_xlfn.IFS(CleanEmployeeData[[#This Row],[YearsAtCompany]]&lt;=1,"0–1 years",CleanEmployeeData[[#This Row],[YearsAtCompany]]&lt;=5,"2–5 years",CleanEmployeeData[[#This Row],[YearsAtCompany]]&lt;=10,"6–10 years",TRUE,"11+ years")</f>
        <v>6–10 years</v>
      </c>
    </row>
    <row r="109" spans="1:4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cm="1">
        <f t="array" ref="AJ109">_xlfn.SWITCH(CleanEmployeeData[[#This Row],[Education]],1,"Below College",2,"College",3,"Bachelor",4,"Master",5,"Doctor","Unknown")</f>
        <v>Bachelor</v>
      </c>
      <c r="AK109" t="str" cm="1">
        <f t="array" ref="AK109">_xlfn.SWITCH(CleanEmployeeData[[#This Row],[EnvironmentSatisfaction]],1,"Low",2,"Medium",3,"High",4,"Very High","Unknown")</f>
        <v>High</v>
      </c>
      <c r="AL109" t="str" cm="1">
        <f t="array" ref="AL109">_xlfn.SWITCH(CleanEmployeeData[[#This Row],[JobInvolvement]],1,"Low",2,"Medium",3,"High",4,"Very High","Unknown")</f>
        <v>Medium</v>
      </c>
      <c r="AM109" t="str" cm="1">
        <f t="array" ref="AM109">_xlfn.SWITCH(CleanEmployeeData[[#This Row],[JobSatisfaction]],1,"Low",2,"Medium",3,"High",4,"Very High","Unknown")</f>
        <v>High</v>
      </c>
      <c r="AN109" t="str" cm="1">
        <f t="array" ref="AN109">_xlfn.SWITCH(CleanEmployeeData[[#This Row],[PerformanceRating]],1,"Low",2,"Good",3,"Excellent",4,"Outstanding","Unknown")</f>
        <v>Excellent</v>
      </c>
      <c r="AO109" t="str" cm="1">
        <f t="array" ref="AO109">_xlfn.SWITCH(CleanEmployeeData[[#This Row],[WorkLifeBalance]],1,"Bad",2,"Good",3,"Better",4,"Best","Unknown")</f>
        <v>Better</v>
      </c>
      <c r="AP109">
        <f>IF(CleanEmployeeData[[#This Row],[Attrition]]="Yes",1,IF(CleanEmployeeData[[#This Row],[Attrition]]="No",0,""))</f>
        <v>1</v>
      </c>
      <c r="AQ109" t="str" cm="1">
        <f t="array" ref="AQ109">_xlfn.IFS(CleanEmployeeData[[#This Row],[MonthlyIncome]]&lt;=3000,"0–3,000",CleanEmployeeData[[#This Row],[MonthlyIncome]]&lt;=6000,"3,001–6,000",CleanEmployeeData[[#This Row],[MonthlyIncome]]&lt;=10000,"6,001–10,000",TRUE,"10,001+")</f>
        <v>3,001–6,000</v>
      </c>
      <c r="AR109" t="str" cm="1">
        <f t="array" ref="AR109">_xlfn.IFS(CleanEmployeeData[[#This Row],[DistanceFromHome]]&lt;=5,"0–5 miles",CleanEmployeeData[[#This Row],[DistanceFromHome]]&lt;=10,"6–10 miles",CleanEmployeeData[[#This Row],[DistanceFromHome]]&lt;=15,"11–15 miles",TRUE,"16+ miles")</f>
        <v>0–5 miles</v>
      </c>
      <c r="AS109" t="str" cm="1">
        <f t="array" ref="AS109">_xlfn.IFS(CleanEmployeeData[[#This Row],[YearsAtCompany]]&lt;=1,"0–1 years",CleanEmployeeData[[#This Row],[YearsAtCompany]]&lt;=5,"2–5 years",CleanEmployeeData[[#This Row],[YearsAtCompany]]&lt;=10,"6–10 years",TRUE,"11+ years")</f>
        <v>6–10 years</v>
      </c>
    </row>
    <row r="110" spans="1:4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cm="1">
        <f t="array" ref="AJ110">_xlfn.SWITCH(CleanEmployeeData[[#This Row],[Education]],1,"Below College",2,"College",3,"Bachelor",4,"Master",5,"Doctor","Unknown")</f>
        <v>Below College</v>
      </c>
      <c r="AK110" t="str" cm="1">
        <f t="array" ref="AK110">_xlfn.SWITCH(CleanEmployeeData[[#This Row],[EnvironmentSatisfaction]],1,"Low",2,"Medium",3,"High",4,"Very High","Unknown")</f>
        <v>Very High</v>
      </c>
      <c r="AL110" t="str" cm="1">
        <f t="array" ref="AL110">_xlfn.SWITCH(CleanEmployeeData[[#This Row],[JobInvolvement]],1,"Low",2,"Medium",3,"High",4,"Very High","Unknown")</f>
        <v>Medium</v>
      </c>
      <c r="AM110" t="str" cm="1">
        <f t="array" ref="AM110">_xlfn.SWITCH(CleanEmployeeData[[#This Row],[JobSatisfaction]],1,"Low",2,"Medium",3,"High",4,"Very High","Unknown")</f>
        <v>Very High</v>
      </c>
      <c r="AN110" t="str" cm="1">
        <f t="array" ref="AN110">_xlfn.SWITCH(CleanEmployeeData[[#This Row],[PerformanceRating]],1,"Low",2,"Good",3,"Excellent",4,"Outstanding","Unknown")</f>
        <v>Excellent</v>
      </c>
      <c r="AO110" t="str" cm="1">
        <f t="array" ref="AO110">_xlfn.SWITCH(CleanEmployeeData[[#This Row],[WorkLifeBalance]],1,"Bad",2,"Good",3,"Better",4,"Best","Unknown")</f>
        <v>Better</v>
      </c>
      <c r="AP110">
        <f>IF(CleanEmployeeData[[#This Row],[Attrition]]="Yes",1,IF(CleanEmployeeData[[#This Row],[Attrition]]="No",0,""))</f>
        <v>0</v>
      </c>
      <c r="AQ110" t="str" cm="1">
        <f t="array" ref="AQ110">_xlfn.IFS(CleanEmployeeData[[#This Row],[MonthlyIncome]]&lt;=3000,"0–3,000",CleanEmployeeData[[#This Row],[MonthlyIncome]]&lt;=6000,"3,001–6,000",CleanEmployeeData[[#This Row],[MonthlyIncome]]&lt;=10000,"6,001–10,000",TRUE,"10,001+")</f>
        <v>0–3,000</v>
      </c>
      <c r="AR110" t="str" cm="1">
        <f t="array" ref="AR110">_xlfn.IFS(CleanEmployeeData[[#This Row],[DistanceFromHome]]&lt;=5,"0–5 miles",CleanEmployeeData[[#This Row],[DistanceFromHome]]&lt;=10,"6–10 miles",CleanEmployeeData[[#This Row],[DistanceFromHome]]&lt;=15,"11–15 miles",TRUE,"16+ miles")</f>
        <v>6–10 miles</v>
      </c>
      <c r="AS110" t="str" cm="1">
        <f t="array" ref="AS110">_xlfn.IFS(CleanEmployeeData[[#This Row],[YearsAtCompany]]&lt;=1,"0–1 years",CleanEmployeeData[[#This Row],[YearsAtCompany]]&lt;=5,"2–5 years",CleanEmployeeData[[#This Row],[YearsAtCompany]]&lt;=10,"6–10 years",TRUE,"11+ years")</f>
        <v>2–5 years</v>
      </c>
    </row>
    <row r="111" spans="1:4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cm="1">
        <f t="array" ref="AJ111">_xlfn.SWITCH(CleanEmployeeData[[#This Row],[Education]],1,"Below College",2,"College",3,"Bachelor",4,"Master",5,"Doctor","Unknown")</f>
        <v>Bachelor</v>
      </c>
      <c r="AK111" t="str" cm="1">
        <f t="array" ref="AK111">_xlfn.SWITCH(CleanEmployeeData[[#This Row],[EnvironmentSatisfaction]],1,"Low",2,"Medium",3,"High",4,"Very High","Unknown")</f>
        <v>Medium</v>
      </c>
      <c r="AL111" t="str" cm="1">
        <f t="array" ref="AL111">_xlfn.SWITCH(CleanEmployeeData[[#This Row],[JobInvolvement]],1,"Low",2,"Medium",3,"High",4,"Very High","Unknown")</f>
        <v>High</v>
      </c>
      <c r="AM111" t="str" cm="1">
        <f t="array" ref="AM111">_xlfn.SWITCH(CleanEmployeeData[[#This Row],[JobSatisfaction]],1,"Low",2,"Medium",3,"High",4,"Very High","Unknown")</f>
        <v>Very High</v>
      </c>
      <c r="AN111" t="str" cm="1">
        <f t="array" ref="AN111">_xlfn.SWITCH(CleanEmployeeData[[#This Row],[PerformanceRating]],1,"Low",2,"Good",3,"Excellent",4,"Outstanding","Unknown")</f>
        <v>Excellent</v>
      </c>
      <c r="AO111" t="str" cm="1">
        <f t="array" ref="AO111">_xlfn.SWITCH(CleanEmployeeData[[#This Row],[WorkLifeBalance]],1,"Bad",2,"Good",3,"Better",4,"Best","Unknown")</f>
        <v>Better</v>
      </c>
      <c r="AP111">
        <f>IF(CleanEmployeeData[[#This Row],[Attrition]]="Yes",1,IF(CleanEmployeeData[[#This Row],[Attrition]]="No",0,""))</f>
        <v>0</v>
      </c>
      <c r="AQ111" t="str" cm="1">
        <f t="array" ref="AQ111">_xlfn.IFS(CleanEmployeeData[[#This Row],[MonthlyIncome]]&lt;=3000,"0–3,000",CleanEmployeeData[[#This Row],[MonthlyIncome]]&lt;=6000,"3,001–6,000",CleanEmployeeData[[#This Row],[MonthlyIncome]]&lt;=10000,"6,001–10,000",TRUE,"10,001+")</f>
        <v>0–3,000</v>
      </c>
      <c r="AR111" t="str" cm="1">
        <f t="array" ref="AR111">_xlfn.IFS(CleanEmployeeData[[#This Row],[DistanceFromHome]]&lt;=5,"0–5 miles",CleanEmployeeData[[#This Row],[DistanceFromHome]]&lt;=10,"6–10 miles",CleanEmployeeData[[#This Row],[DistanceFromHome]]&lt;=15,"11–15 miles",TRUE,"16+ miles")</f>
        <v>11–15 miles</v>
      </c>
      <c r="AS111" t="str" cm="1">
        <f t="array" ref="AS111">_xlfn.IFS(CleanEmployeeData[[#This Row],[YearsAtCompany]]&lt;=1,"0–1 years",CleanEmployeeData[[#This Row],[YearsAtCompany]]&lt;=5,"2–5 years",CleanEmployeeData[[#This Row],[YearsAtCompany]]&lt;=10,"6–10 years",TRUE,"11+ years")</f>
        <v>0–1 years</v>
      </c>
    </row>
    <row r="112" spans="1:4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cm="1">
        <f t="array" ref="AJ112">_xlfn.SWITCH(CleanEmployeeData[[#This Row],[Education]],1,"Below College",2,"College",3,"Bachelor",4,"Master",5,"Doctor","Unknown")</f>
        <v>Master</v>
      </c>
      <c r="AK112" t="str" cm="1">
        <f t="array" ref="AK112">_xlfn.SWITCH(CleanEmployeeData[[#This Row],[EnvironmentSatisfaction]],1,"Low",2,"Medium",3,"High",4,"Very High","Unknown")</f>
        <v>Low</v>
      </c>
      <c r="AL112" t="str" cm="1">
        <f t="array" ref="AL112">_xlfn.SWITCH(CleanEmployeeData[[#This Row],[JobInvolvement]],1,"Low",2,"Medium",3,"High",4,"Very High","Unknown")</f>
        <v>Medium</v>
      </c>
      <c r="AM112" t="str" cm="1">
        <f t="array" ref="AM112">_xlfn.SWITCH(CleanEmployeeData[[#This Row],[JobSatisfaction]],1,"Low",2,"Medium",3,"High",4,"Very High","Unknown")</f>
        <v>Low</v>
      </c>
      <c r="AN112" t="str" cm="1">
        <f t="array" ref="AN112">_xlfn.SWITCH(CleanEmployeeData[[#This Row],[PerformanceRating]],1,"Low",2,"Good",3,"Excellent",4,"Outstanding","Unknown")</f>
        <v>Outstanding</v>
      </c>
      <c r="AO112" t="str" cm="1">
        <f t="array" ref="AO112">_xlfn.SWITCH(CleanEmployeeData[[#This Row],[WorkLifeBalance]],1,"Bad",2,"Good",3,"Better",4,"Best","Unknown")</f>
        <v>Good</v>
      </c>
      <c r="AP112">
        <f>IF(CleanEmployeeData[[#This Row],[Attrition]]="Yes",1,IF(CleanEmployeeData[[#This Row],[Attrition]]="No",0,""))</f>
        <v>0</v>
      </c>
      <c r="AQ112" t="str" cm="1">
        <f t="array" ref="AQ112">_xlfn.IFS(CleanEmployeeData[[#This Row],[MonthlyIncome]]&lt;=3000,"0–3,000",CleanEmployeeData[[#This Row],[MonthlyIncome]]&lt;=6000,"3,001–6,000",CleanEmployeeData[[#This Row],[MonthlyIncome]]&lt;=10000,"6,001–10,000",TRUE,"10,001+")</f>
        <v>6,001–10,000</v>
      </c>
      <c r="AR112" t="str" cm="1">
        <f t="array" ref="AR112">_xlfn.IFS(CleanEmployeeData[[#This Row],[DistanceFromHome]]&lt;=5,"0–5 miles",CleanEmployeeData[[#This Row],[DistanceFromHome]]&lt;=10,"6–10 miles",CleanEmployeeData[[#This Row],[DistanceFromHome]]&lt;=15,"11–15 miles",TRUE,"16+ miles")</f>
        <v>0–5 miles</v>
      </c>
      <c r="AS112" t="str" cm="1">
        <f t="array" ref="AS112">_xlfn.IFS(CleanEmployeeData[[#This Row],[YearsAtCompany]]&lt;=1,"0–1 years",CleanEmployeeData[[#This Row],[YearsAtCompany]]&lt;=5,"2–5 years",CleanEmployeeData[[#This Row],[YearsAtCompany]]&lt;=10,"6–10 years",TRUE,"11+ years")</f>
        <v>11+ years</v>
      </c>
    </row>
    <row r="113" spans="1:4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cm="1">
        <f t="array" ref="AJ113">_xlfn.SWITCH(CleanEmployeeData[[#This Row],[Education]],1,"Below College",2,"College",3,"Bachelor",4,"Master",5,"Doctor","Unknown")</f>
        <v>Bachelor</v>
      </c>
      <c r="AK113" t="str" cm="1">
        <f t="array" ref="AK113">_xlfn.SWITCH(CleanEmployeeData[[#This Row],[EnvironmentSatisfaction]],1,"Low",2,"Medium",3,"High",4,"Very High","Unknown")</f>
        <v>Low</v>
      </c>
      <c r="AL113" t="str" cm="1">
        <f t="array" ref="AL113">_xlfn.SWITCH(CleanEmployeeData[[#This Row],[JobInvolvement]],1,"Low",2,"Medium",3,"High",4,"Very High","Unknown")</f>
        <v>Low</v>
      </c>
      <c r="AM113" t="str" cm="1">
        <f t="array" ref="AM113">_xlfn.SWITCH(CleanEmployeeData[[#This Row],[JobSatisfaction]],1,"Low",2,"Medium",3,"High",4,"Very High","Unknown")</f>
        <v>High</v>
      </c>
      <c r="AN113" t="str" cm="1">
        <f t="array" ref="AN113">_xlfn.SWITCH(CleanEmployeeData[[#This Row],[PerformanceRating]],1,"Low",2,"Good",3,"Excellent",4,"Outstanding","Unknown")</f>
        <v>Outstanding</v>
      </c>
      <c r="AO113" t="str" cm="1">
        <f t="array" ref="AO113">_xlfn.SWITCH(CleanEmployeeData[[#This Row],[WorkLifeBalance]],1,"Bad",2,"Good",3,"Better",4,"Best","Unknown")</f>
        <v>Better</v>
      </c>
      <c r="AP113">
        <f>IF(CleanEmployeeData[[#This Row],[Attrition]]="Yes",1,IF(CleanEmployeeData[[#This Row],[Attrition]]="No",0,""))</f>
        <v>1</v>
      </c>
      <c r="AQ113" t="str" cm="1">
        <f t="array" ref="AQ113">_xlfn.IFS(CleanEmployeeData[[#This Row],[MonthlyIncome]]&lt;=3000,"0–3,000",CleanEmployeeData[[#This Row],[MonthlyIncome]]&lt;=6000,"3,001–6,000",CleanEmployeeData[[#This Row],[MonthlyIncome]]&lt;=10000,"6,001–10,000",TRUE,"10,001+")</f>
        <v>6,001–10,000</v>
      </c>
      <c r="AR113" t="str" cm="1">
        <f t="array" ref="AR113">_xlfn.IFS(CleanEmployeeData[[#This Row],[DistanceFromHome]]&lt;=5,"0–5 miles",CleanEmployeeData[[#This Row],[DistanceFromHome]]&lt;=10,"6–10 miles",CleanEmployeeData[[#This Row],[DistanceFromHome]]&lt;=15,"11–15 miles",TRUE,"16+ miles")</f>
        <v>6–10 miles</v>
      </c>
      <c r="AS113" t="str" cm="1">
        <f t="array" ref="AS113">_xlfn.IFS(CleanEmployeeData[[#This Row],[YearsAtCompany]]&lt;=1,"0–1 years",CleanEmployeeData[[#This Row],[YearsAtCompany]]&lt;=5,"2–5 years",CleanEmployeeData[[#This Row],[YearsAtCompany]]&lt;=10,"6–10 years",TRUE,"11+ years")</f>
        <v>6–10 years</v>
      </c>
    </row>
    <row r="114" spans="1:4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cm="1">
        <f t="array" ref="AJ114">_xlfn.SWITCH(CleanEmployeeData[[#This Row],[Education]],1,"Below College",2,"College",3,"Bachelor",4,"Master",5,"Doctor","Unknown")</f>
        <v>Bachelor</v>
      </c>
      <c r="AK114" t="str" cm="1">
        <f t="array" ref="AK114">_xlfn.SWITCH(CleanEmployeeData[[#This Row],[EnvironmentSatisfaction]],1,"Low",2,"Medium",3,"High",4,"Very High","Unknown")</f>
        <v>Very High</v>
      </c>
      <c r="AL114" t="str" cm="1">
        <f t="array" ref="AL114">_xlfn.SWITCH(CleanEmployeeData[[#This Row],[JobInvolvement]],1,"Low",2,"Medium",3,"High",4,"Very High","Unknown")</f>
        <v>Very High</v>
      </c>
      <c r="AM114" t="str" cm="1">
        <f t="array" ref="AM114">_xlfn.SWITCH(CleanEmployeeData[[#This Row],[JobSatisfaction]],1,"Low",2,"Medium",3,"High",4,"Very High","Unknown")</f>
        <v>Very High</v>
      </c>
      <c r="AN114" t="str" cm="1">
        <f t="array" ref="AN114">_xlfn.SWITCH(CleanEmployeeData[[#This Row],[PerformanceRating]],1,"Low",2,"Good",3,"Excellent",4,"Outstanding","Unknown")</f>
        <v>Excellent</v>
      </c>
      <c r="AO114" t="str" cm="1">
        <f t="array" ref="AO114">_xlfn.SWITCH(CleanEmployeeData[[#This Row],[WorkLifeBalance]],1,"Bad",2,"Good",3,"Better",4,"Best","Unknown")</f>
        <v>Better</v>
      </c>
      <c r="AP114">
        <f>IF(CleanEmployeeData[[#This Row],[Attrition]]="Yes",1,IF(CleanEmployeeData[[#This Row],[Attrition]]="No",0,""))</f>
        <v>0</v>
      </c>
      <c r="AQ114" t="str" cm="1">
        <f t="array" ref="AQ114">_xlfn.IFS(CleanEmployeeData[[#This Row],[MonthlyIncome]]&lt;=3000,"0–3,000",CleanEmployeeData[[#This Row],[MonthlyIncome]]&lt;=6000,"3,001–6,000",CleanEmployeeData[[#This Row],[MonthlyIncome]]&lt;=10000,"6,001–10,000",TRUE,"10,001+")</f>
        <v>10,001+</v>
      </c>
      <c r="AR114" t="str" cm="1">
        <f t="array" ref="AR114">_xlfn.IFS(CleanEmployeeData[[#This Row],[DistanceFromHome]]&lt;=5,"0–5 miles",CleanEmployeeData[[#This Row],[DistanceFromHome]]&lt;=10,"6–10 miles",CleanEmployeeData[[#This Row],[DistanceFromHome]]&lt;=15,"11–15 miles",TRUE,"16+ miles")</f>
        <v>16+ miles</v>
      </c>
      <c r="AS114" t="str" cm="1">
        <f t="array" ref="AS114">_xlfn.IFS(CleanEmployeeData[[#This Row],[YearsAtCompany]]&lt;=1,"0–1 years",CleanEmployeeData[[#This Row],[YearsAtCompany]]&lt;=5,"2–5 years",CleanEmployeeData[[#This Row],[YearsAtCompany]]&lt;=10,"6–10 years",TRUE,"11+ years")</f>
        <v>2–5 years</v>
      </c>
    </row>
    <row r="115" spans="1:4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cm="1">
        <f t="array" ref="AJ115">_xlfn.SWITCH(CleanEmployeeData[[#This Row],[Education]],1,"Below College",2,"College",3,"Bachelor",4,"Master",5,"Doctor","Unknown")</f>
        <v>Below College</v>
      </c>
      <c r="AK115" t="str" cm="1">
        <f t="array" ref="AK115">_xlfn.SWITCH(CleanEmployeeData[[#This Row],[EnvironmentSatisfaction]],1,"Low",2,"Medium",3,"High",4,"Very High","Unknown")</f>
        <v>Medium</v>
      </c>
      <c r="AL115" t="str" cm="1">
        <f t="array" ref="AL115">_xlfn.SWITCH(CleanEmployeeData[[#This Row],[JobInvolvement]],1,"Low",2,"Medium",3,"High",4,"Very High","Unknown")</f>
        <v>High</v>
      </c>
      <c r="AM115" t="str" cm="1">
        <f t="array" ref="AM115">_xlfn.SWITCH(CleanEmployeeData[[#This Row],[JobSatisfaction]],1,"Low",2,"Medium",3,"High",4,"Very High","Unknown")</f>
        <v>High</v>
      </c>
      <c r="AN115" t="str" cm="1">
        <f t="array" ref="AN115">_xlfn.SWITCH(CleanEmployeeData[[#This Row],[PerformanceRating]],1,"Low",2,"Good",3,"Excellent",4,"Outstanding","Unknown")</f>
        <v>Excellent</v>
      </c>
      <c r="AO115" t="str" cm="1">
        <f t="array" ref="AO115">_xlfn.SWITCH(CleanEmployeeData[[#This Row],[WorkLifeBalance]],1,"Bad",2,"Good",3,"Better",4,"Best","Unknown")</f>
        <v>Better</v>
      </c>
      <c r="AP115">
        <f>IF(CleanEmployeeData[[#This Row],[Attrition]]="Yes",1,IF(CleanEmployeeData[[#This Row],[Attrition]]="No",0,""))</f>
        <v>0</v>
      </c>
      <c r="AQ115" t="str" cm="1">
        <f t="array" ref="AQ115">_xlfn.IFS(CleanEmployeeData[[#This Row],[MonthlyIncome]]&lt;=3000,"0–3,000",CleanEmployeeData[[#This Row],[MonthlyIncome]]&lt;=6000,"3,001–6,000",CleanEmployeeData[[#This Row],[MonthlyIncome]]&lt;=10000,"6,001–10,000",TRUE,"10,001+")</f>
        <v>0–3,000</v>
      </c>
      <c r="AR115" t="str" cm="1">
        <f t="array" ref="AR115">_xlfn.IFS(CleanEmployeeData[[#This Row],[DistanceFromHome]]&lt;=5,"0–5 miles",CleanEmployeeData[[#This Row],[DistanceFromHome]]&lt;=10,"6–10 miles",CleanEmployeeData[[#This Row],[DistanceFromHome]]&lt;=15,"11–15 miles",TRUE,"16+ miles")</f>
        <v>16+ miles</v>
      </c>
      <c r="AS115" t="str" cm="1">
        <f t="array" ref="AS115">_xlfn.IFS(CleanEmployeeData[[#This Row],[YearsAtCompany]]&lt;=1,"0–1 years",CleanEmployeeData[[#This Row],[YearsAtCompany]]&lt;=5,"2–5 years",CleanEmployeeData[[#This Row],[YearsAtCompany]]&lt;=10,"6–10 years",TRUE,"11+ years")</f>
        <v>2–5 years</v>
      </c>
    </row>
    <row r="116" spans="1:4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cm="1">
        <f t="array" ref="AJ116">_xlfn.SWITCH(CleanEmployeeData[[#This Row],[Education]],1,"Below College",2,"College",3,"Bachelor",4,"Master",5,"Doctor","Unknown")</f>
        <v>Master</v>
      </c>
      <c r="AK116" t="str" cm="1">
        <f t="array" ref="AK116">_xlfn.SWITCH(CleanEmployeeData[[#This Row],[EnvironmentSatisfaction]],1,"Low",2,"Medium",3,"High",4,"Very High","Unknown")</f>
        <v>High</v>
      </c>
      <c r="AL116" t="str" cm="1">
        <f t="array" ref="AL116">_xlfn.SWITCH(CleanEmployeeData[[#This Row],[JobInvolvement]],1,"Low",2,"Medium",3,"High",4,"Very High","Unknown")</f>
        <v>Medium</v>
      </c>
      <c r="AM116" t="str" cm="1">
        <f t="array" ref="AM116">_xlfn.SWITCH(CleanEmployeeData[[#This Row],[JobSatisfaction]],1,"Low",2,"Medium",3,"High",4,"Very High","Unknown")</f>
        <v>Medium</v>
      </c>
      <c r="AN116" t="str" cm="1">
        <f t="array" ref="AN116">_xlfn.SWITCH(CleanEmployeeData[[#This Row],[PerformanceRating]],1,"Low",2,"Good",3,"Excellent",4,"Outstanding","Unknown")</f>
        <v>Excellent</v>
      </c>
      <c r="AO116" t="str" cm="1">
        <f t="array" ref="AO116">_xlfn.SWITCH(CleanEmployeeData[[#This Row],[WorkLifeBalance]],1,"Bad",2,"Good",3,"Better",4,"Best","Unknown")</f>
        <v>Better</v>
      </c>
      <c r="AP116">
        <f>IF(CleanEmployeeData[[#This Row],[Attrition]]="Yes",1,IF(CleanEmployeeData[[#This Row],[Attrition]]="No",0,""))</f>
        <v>0</v>
      </c>
      <c r="AQ116" t="str" cm="1">
        <f t="array" ref="AQ116">_xlfn.IFS(CleanEmployeeData[[#This Row],[MonthlyIncome]]&lt;=3000,"0–3,000",CleanEmployeeData[[#This Row],[MonthlyIncome]]&lt;=6000,"3,001–6,000",CleanEmployeeData[[#This Row],[MonthlyIncome]]&lt;=10000,"6,001–10,000",TRUE,"10,001+")</f>
        <v>3,001–6,000</v>
      </c>
      <c r="AR116" t="str" cm="1">
        <f t="array" ref="AR116">_xlfn.IFS(CleanEmployeeData[[#This Row],[DistanceFromHome]]&lt;=5,"0–5 miles",CleanEmployeeData[[#This Row],[DistanceFromHome]]&lt;=10,"6–10 miles",CleanEmployeeData[[#This Row],[DistanceFromHome]]&lt;=15,"11–15 miles",TRUE,"16+ miles")</f>
        <v>6–10 miles</v>
      </c>
      <c r="AS116" t="str" cm="1">
        <f t="array" ref="AS116">_xlfn.IFS(CleanEmployeeData[[#This Row],[YearsAtCompany]]&lt;=1,"0–1 years",CleanEmployeeData[[#This Row],[YearsAtCompany]]&lt;=5,"2–5 years",CleanEmployeeData[[#This Row],[YearsAtCompany]]&lt;=10,"6–10 years",TRUE,"11+ years")</f>
        <v>0–1 years</v>
      </c>
    </row>
    <row r="117" spans="1:4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cm="1">
        <f t="array" ref="AJ117">_xlfn.SWITCH(CleanEmployeeData[[#This Row],[Education]],1,"Below College",2,"College",3,"Bachelor",4,"Master",5,"Doctor","Unknown")</f>
        <v>Bachelor</v>
      </c>
      <c r="AK117" t="str" cm="1">
        <f t="array" ref="AK117">_xlfn.SWITCH(CleanEmployeeData[[#This Row],[EnvironmentSatisfaction]],1,"Low",2,"Medium",3,"High",4,"Very High","Unknown")</f>
        <v>High</v>
      </c>
      <c r="AL117" t="str" cm="1">
        <f t="array" ref="AL117">_xlfn.SWITCH(CleanEmployeeData[[#This Row],[JobInvolvement]],1,"Low",2,"Medium",3,"High",4,"Very High","Unknown")</f>
        <v>High</v>
      </c>
      <c r="AM117" t="str" cm="1">
        <f t="array" ref="AM117">_xlfn.SWITCH(CleanEmployeeData[[#This Row],[JobSatisfaction]],1,"Low",2,"Medium",3,"High",4,"Very High","Unknown")</f>
        <v>Very High</v>
      </c>
      <c r="AN117" t="str" cm="1">
        <f t="array" ref="AN117">_xlfn.SWITCH(CleanEmployeeData[[#This Row],[PerformanceRating]],1,"Low",2,"Good",3,"Excellent",4,"Outstanding","Unknown")</f>
        <v>Excellent</v>
      </c>
      <c r="AO117" t="str" cm="1">
        <f t="array" ref="AO117">_xlfn.SWITCH(CleanEmployeeData[[#This Row],[WorkLifeBalance]],1,"Bad",2,"Good",3,"Better",4,"Best","Unknown")</f>
        <v>Better</v>
      </c>
      <c r="AP117">
        <f>IF(CleanEmployeeData[[#This Row],[Attrition]]="Yes",1,IF(CleanEmployeeData[[#This Row],[Attrition]]="No",0,""))</f>
        <v>0</v>
      </c>
      <c r="AQ117" t="str" cm="1">
        <f t="array" ref="AQ117">_xlfn.IFS(CleanEmployeeData[[#This Row],[MonthlyIncome]]&lt;=3000,"0–3,000",CleanEmployeeData[[#This Row],[MonthlyIncome]]&lt;=6000,"3,001–6,000",CleanEmployeeData[[#This Row],[MonthlyIncome]]&lt;=10000,"6,001–10,000",TRUE,"10,001+")</f>
        <v>6,001–10,000</v>
      </c>
      <c r="AR117" t="str" cm="1">
        <f t="array" ref="AR117">_xlfn.IFS(CleanEmployeeData[[#This Row],[DistanceFromHome]]&lt;=5,"0–5 miles",CleanEmployeeData[[#This Row],[DistanceFromHome]]&lt;=10,"6–10 miles",CleanEmployeeData[[#This Row],[DistanceFromHome]]&lt;=15,"11–15 miles",TRUE,"16+ miles")</f>
        <v>0–5 miles</v>
      </c>
      <c r="AS117" t="str" cm="1">
        <f t="array" ref="AS117">_xlfn.IFS(CleanEmployeeData[[#This Row],[YearsAtCompany]]&lt;=1,"0–1 years",CleanEmployeeData[[#This Row],[YearsAtCompany]]&lt;=5,"2–5 years",CleanEmployeeData[[#This Row],[YearsAtCompany]]&lt;=10,"6–10 years",TRUE,"11+ years")</f>
        <v>2–5 years</v>
      </c>
    </row>
    <row r="118" spans="1:4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cm="1">
        <f t="array" ref="AJ118">_xlfn.SWITCH(CleanEmployeeData[[#This Row],[Education]],1,"Below College",2,"College",3,"Bachelor",4,"Master",5,"Doctor","Unknown")</f>
        <v>Bachelor</v>
      </c>
      <c r="AK118" t="str" cm="1">
        <f t="array" ref="AK118">_xlfn.SWITCH(CleanEmployeeData[[#This Row],[EnvironmentSatisfaction]],1,"Low",2,"Medium",3,"High",4,"Very High","Unknown")</f>
        <v>High</v>
      </c>
      <c r="AL118" t="str" cm="1">
        <f t="array" ref="AL118">_xlfn.SWITCH(CleanEmployeeData[[#This Row],[JobInvolvement]],1,"Low",2,"Medium",3,"High",4,"Very High","Unknown")</f>
        <v>Medium</v>
      </c>
      <c r="AM118" t="str" cm="1">
        <f t="array" ref="AM118">_xlfn.SWITCH(CleanEmployeeData[[#This Row],[JobSatisfaction]],1,"Low",2,"Medium",3,"High",4,"Very High","Unknown")</f>
        <v>Low</v>
      </c>
      <c r="AN118" t="str" cm="1">
        <f t="array" ref="AN118">_xlfn.SWITCH(CleanEmployeeData[[#This Row],[PerformanceRating]],1,"Low",2,"Good",3,"Excellent",4,"Outstanding","Unknown")</f>
        <v>Excellent</v>
      </c>
      <c r="AO118" t="str" cm="1">
        <f t="array" ref="AO118">_xlfn.SWITCH(CleanEmployeeData[[#This Row],[WorkLifeBalance]],1,"Bad",2,"Good",3,"Better",4,"Best","Unknown")</f>
        <v>Better</v>
      </c>
      <c r="AP118">
        <f>IF(CleanEmployeeData[[#This Row],[Attrition]]="Yes",1,IF(CleanEmployeeData[[#This Row],[Attrition]]="No",0,""))</f>
        <v>0</v>
      </c>
      <c r="AQ118" t="str" cm="1">
        <f t="array" ref="AQ118">_xlfn.IFS(CleanEmployeeData[[#This Row],[MonthlyIncome]]&lt;=3000,"0–3,000",CleanEmployeeData[[#This Row],[MonthlyIncome]]&lt;=6000,"3,001–6,000",CleanEmployeeData[[#This Row],[MonthlyIncome]]&lt;=10000,"6,001–10,000",TRUE,"10,001+")</f>
        <v>10,001+</v>
      </c>
      <c r="AR118" t="str" cm="1">
        <f t="array" ref="AR118">_xlfn.IFS(CleanEmployeeData[[#This Row],[DistanceFromHome]]&lt;=5,"0–5 miles",CleanEmployeeData[[#This Row],[DistanceFromHome]]&lt;=10,"6–10 miles",CleanEmployeeData[[#This Row],[DistanceFromHome]]&lt;=15,"11–15 miles",TRUE,"16+ miles")</f>
        <v>0–5 miles</v>
      </c>
      <c r="AS118" t="str" cm="1">
        <f t="array" ref="AS118">_xlfn.IFS(CleanEmployeeData[[#This Row],[YearsAtCompany]]&lt;=1,"0–1 years",CleanEmployeeData[[#This Row],[YearsAtCompany]]&lt;=5,"2–5 years",CleanEmployeeData[[#This Row],[YearsAtCompany]]&lt;=10,"6–10 years",TRUE,"11+ years")</f>
        <v>11+ years</v>
      </c>
    </row>
    <row r="119" spans="1:4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cm="1">
        <f t="array" ref="AJ119">_xlfn.SWITCH(CleanEmployeeData[[#This Row],[Education]],1,"Below College",2,"College",3,"Bachelor",4,"Master",5,"Doctor","Unknown")</f>
        <v>College</v>
      </c>
      <c r="AK119" t="str" cm="1">
        <f t="array" ref="AK119">_xlfn.SWITCH(CleanEmployeeData[[#This Row],[EnvironmentSatisfaction]],1,"Low",2,"Medium",3,"High",4,"Very High","Unknown")</f>
        <v>Medium</v>
      </c>
      <c r="AL119" t="str" cm="1">
        <f t="array" ref="AL119">_xlfn.SWITCH(CleanEmployeeData[[#This Row],[JobInvolvement]],1,"Low",2,"Medium",3,"High",4,"Very High","Unknown")</f>
        <v>High</v>
      </c>
      <c r="AM119" t="str" cm="1">
        <f t="array" ref="AM119">_xlfn.SWITCH(CleanEmployeeData[[#This Row],[JobSatisfaction]],1,"Low",2,"Medium",3,"High",4,"Very High","Unknown")</f>
        <v>Very High</v>
      </c>
      <c r="AN119" t="str" cm="1">
        <f t="array" ref="AN119">_xlfn.SWITCH(CleanEmployeeData[[#This Row],[PerformanceRating]],1,"Low",2,"Good",3,"Excellent",4,"Outstanding","Unknown")</f>
        <v>Excellent</v>
      </c>
      <c r="AO119" t="str" cm="1">
        <f t="array" ref="AO119">_xlfn.SWITCH(CleanEmployeeData[[#This Row],[WorkLifeBalance]],1,"Bad",2,"Good",3,"Better",4,"Best","Unknown")</f>
        <v>Better</v>
      </c>
      <c r="AP119">
        <f>IF(CleanEmployeeData[[#This Row],[Attrition]]="Yes",1,IF(CleanEmployeeData[[#This Row],[Attrition]]="No",0,""))</f>
        <v>0</v>
      </c>
      <c r="AQ119" t="str" cm="1">
        <f t="array" ref="AQ119">_xlfn.IFS(CleanEmployeeData[[#This Row],[MonthlyIncome]]&lt;=3000,"0–3,000",CleanEmployeeData[[#This Row],[MonthlyIncome]]&lt;=6000,"3,001–6,000",CleanEmployeeData[[#This Row],[MonthlyIncome]]&lt;=10000,"6,001–10,000",TRUE,"10,001+")</f>
        <v>6,001–10,000</v>
      </c>
      <c r="AR119" t="str" cm="1">
        <f t="array" ref="AR119">_xlfn.IFS(CleanEmployeeData[[#This Row],[DistanceFromHome]]&lt;=5,"0–5 miles",CleanEmployeeData[[#This Row],[DistanceFromHome]]&lt;=10,"6–10 miles",CleanEmployeeData[[#This Row],[DistanceFromHome]]&lt;=15,"11–15 miles",TRUE,"16+ miles")</f>
        <v>11–15 miles</v>
      </c>
      <c r="AS119" t="str" cm="1">
        <f t="array" ref="AS119">_xlfn.IFS(CleanEmployeeData[[#This Row],[YearsAtCompany]]&lt;=1,"0–1 years",CleanEmployeeData[[#This Row],[YearsAtCompany]]&lt;=5,"2–5 years",CleanEmployeeData[[#This Row],[YearsAtCompany]]&lt;=10,"6–10 years",TRUE,"11+ years")</f>
        <v>6–10 years</v>
      </c>
    </row>
    <row r="120" spans="1:4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cm="1">
        <f t="array" ref="AJ120">_xlfn.SWITCH(CleanEmployeeData[[#This Row],[Education]],1,"Below College",2,"College",3,"Bachelor",4,"Master",5,"Doctor","Unknown")</f>
        <v>College</v>
      </c>
      <c r="AK120" t="str" cm="1">
        <f t="array" ref="AK120">_xlfn.SWITCH(CleanEmployeeData[[#This Row],[EnvironmentSatisfaction]],1,"Low",2,"Medium",3,"High",4,"Very High","Unknown")</f>
        <v>Low</v>
      </c>
      <c r="AL120" t="str" cm="1">
        <f t="array" ref="AL120">_xlfn.SWITCH(CleanEmployeeData[[#This Row],[JobInvolvement]],1,"Low",2,"Medium",3,"High",4,"Very High","Unknown")</f>
        <v>High</v>
      </c>
      <c r="AM120" t="str" cm="1">
        <f t="array" ref="AM120">_xlfn.SWITCH(CleanEmployeeData[[#This Row],[JobSatisfaction]],1,"Low",2,"Medium",3,"High",4,"Very High","Unknown")</f>
        <v>Very High</v>
      </c>
      <c r="AN120" t="str" cm="1">
        <f t="array" ref="AN120">_xlfn.SWITCH(CleanEmployeeData[[#This Row],[PerformanceRating]],1,"Low",2,"Good",3,"Excellent",4,"Outstanding","Unknown")</f>
        <v>Outstanding</v>
      </c>
      <c r="AO120" t="str" cm="1">
        <f t="array" ref="AO120">_xlfn.SWITCH(CleanEmployeeData[[#This Row],[WorkLifeBalance]],1,"Bad",2,"Good",3,"Better",4,"Best","Unknown")</f>
        <v>Better</v>
      </c>
      <c r="AP120">
        <f>IF(CleanEmployeeData[[#This Row],[Attrition]]="Yes",1,IF(CleanEmployeeData[[#This Row],[Attrition]]="No",0,""))</f>
        <v>0</v>
      </c>
      <c r="AQ120" t="str" cm="1">
        <f t="array" ref="AQ120">_xlfn.IFS(CleanEmployeeData[[#This Row],[MonthlyIncome]]&lt;=3000,"0–3,000",CleanEmployeeData[[#This Row],[MonthlyIncome]]&lt;=6000,"3,001–6,000",CleanEmployeeData[[#This Row],[MonthlyIncome]]&lt;=10000,"6,001–10,000",TRUE,"10,001+")</f>
        <v>0–3,000</v>
      </c>
      <c r="AR120" t="str" cm="1">
        <f t="array" ref="AR120">_xlfn.IFS(CleanEmployeeData[[#This Row],[DistanceFromHome]]&lt;=5,"0–5 miles",CleanEmployeeData[[#This Row],[DistanceFromHome]]&lt;=10,"6–10 miles",CleanEmployeeData[[#This Row],[DistanceFromHome]]&lt;=15,"11–15 miles",TRUE,"16+ miles")</f>
        <v>0–5 miles</v>
      </c>
      <c r="AS120" t="str" cm="1">
        <f t="array" ref="AS120">_xlfn.IFS(CleanEmployeeData[[#This Row],[YearsAtCompany]]&lt;=1,"0–1 years",CleanEmployeeData[[#This Row],[YearsAtCompany]]&lt;=5,"2–5 years",CleanEmployeeData[[#This Row],[YearsAtCompany]]&lt;=10,"6–10 years",TRUE,"11+ years")</f>
        <v>0–1 years</v>
      </c>
    </row>
    <row r="121" spans="1:4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cm="1">
        <f t="array" ref="AJ121">_xlfn.SWITCH(CleanEmployeeData[[#This Row],[Education]],1,"Below College",2,"College",3,"Bachelor",4,"Master",5,"Doctor","Unknown")</f>
        <v>College</v>
      </c>
      <c r="AK121" t="str" cm="1">
        <f t="array" ref="AK121">_xlfn.SWITCH(CleanEmployeeData[[#This Row],[EnvironmentSatisfaction]],1,"Low",2,"Medium",3,"High",4,"Very High","Unknown")</f>
        <v>High</v>
      </c>
      <c r="AL121" t="str" cm="1">
        <f t="array" ref="AL121">_xlfn.SWITCH(CleanEmployeeData[[#This Row],[JobInvolvement]],1,"Low",2,"Medium",3,"High",4,"Very High","Unknown")</f>
        <v>High</v>
      </c>
      <c r="AM121" t="str" cm="1">
        <f t="array" ref="AM121">_xlfn.SWITCH(CleanEmployeeData[[#This Row],[JobSatisfaction]],1,"Low",2,"Medium",3,"High",4,"Very High","Unknown")</f>
        <v>Very High</v>
      </c>
      <c r="AN121" t="str" cm="1">
        <f t="array" ref="AN121">_xlfn.SWITCH(CleanEmployeeData[[#This Row],[PerformanceRating]],1,"Low",2,"Good",3,"Excellent",4,"Outstanding","Unknown")</f>
        <v>Excellent</v>
      </c>
      <c r="AO121" t="str" cm="1">
        <f t="array" ref="AO121">_xlfn.SWITCH(CleanEmployeeData[[#This Row],[WorkLifeBalance]],1,"Bad",2,"Good",3,"Better",4,"Best","Unknown")</f>
        <v>Best</v>
      </c>
      <c r="AP121">
        <f>IF(CleanEmployeeData[[#This Row],[Attrition]]="Yes",1,IF(CleanEmployeeData[[#This Row],[Attrition]]="No",0,""))</f>
        <v>0</v>
      </c>
      <c r="AQ121" t="str" cm="1">
        <f t="array" ref="AQ121">_xlfn.IFS(CleanEmployeeData[[#This Row],[MonthlyIncome]]&lt;=3000,"0–3,000",CleanEmployeeData[[#This Row],[MonthlyIncome]]&lt;=6000,"3,001–6,000",CleanEmployeeData[[#This Row],[MonthlyIncome]]&lt;=10000,"6,001–10,000",TRUE,"10,001+")</f>
        <v>10,001+</v>
      </c>
      <c r="AR121" t="str" cm="1">
        <f t="array" ref="AR121">_xlfn.IFS(CleanEmployeeData[[#This Row],[DistanceFromHome]]&lt;=5,"0–5 miles",CleanEmployeeData[[#This Row],[DistanceFromHome]]&lt;=10,"6–10 miles",CleanEmployeeData[[#This Row],[DistanceFromHome]]&lt;=15,"11–15 miles",TRUE,"16+ miles")</f>
        <v>16+ miles</v>
      </c>
      <c r="AS121" t="str" cm="1">
        <f t="array" ref="AS121">_xlfn.IFS(CleanEmployeeData[[#This Row],[YearsAtCompany]]&lt;=1,"0–1 years",CleanEmployeeData[[#This Row],[YearsAtCompany]]&lt;=5,"2–5 years",CleanEmployeeData[[#This Row],[YearsAtCompany]]&lt;=10,"6–10 years",TRUE,"11+ years")</f>
        <v>11+ years</v>
      </c>
    </row>
    <row r="122" spans="1:4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cm="1">
        <f t="array" ref="AJ122">_xlfn.SWITCH(CleanEmployeeData[[#This Row],[Education]],1,"Below College",2,"College",3,"Bachelor",4,"Master",5,"Doctor","Unknown")</f>
        <v>Bachelor</v>
      </c>
      <c r="AK122" t="str" cm="1">
        <f t="array" ref="AK122">_xlfn.SWITCH(CleanEmployeeData[[#This Row],[EnvironmentSatisfaction]],1,"Low",2,"Medium",3,"High",4,"Very High","Unknown")</f>
        <v>Low</v>
      </c>
      <c r="AL122" t="str" cm="1">
        <f t="array" ref="AL122">_xlfn.SWITCH(CleanEmployeeData[[#This Row],[JobInvolvement]],1,"Low",2,"Medium",3,"High",4,"Very High","Unknown")</f>
        <v>Low</v>
      </c>
      <c r="AM122" t="str" cm="1">
        <f t="array" ref="AM122">_xlfn.SWITCH(CleanEmployeeData[[#This Row],[JobSatisfaction]],1,"Low",2,"Medium",3,"High",4,"Very High","Unknown")</f>
        <v>High</v>
      </c>
      <c r="AN122" t="str" cm="1">
        <f t="array" ref="AN122">_xlfn.SWITCH(CleanEmployeeData[[#This Row],[PerformanceRating]],1,"Low",2,"Good",3,"Excellent",4,"Outstanding","Unknown")</f>
        <v>Outstanding</v>
      </c>
      <c r="AO122" t="str" cm="1">
        <f t="array" ref="AO122">_xlfn.SWITCH(CleanEmployeeData[[#This Row],[WorkLifeBalance]],1,"Bad",2,"Good",3,"Better",4,"Best","Unknown")</f>
        <v>Good</v>
      </c>
      <c r="AP122">
        <f>IF(CleanEmployeeData[[#This Row],[Attrition]]="Yes",1,IF(CleanEmployeeData[[#This Row],[Attrition]]="No",0,""))</f>
        <v>0</v>
      </c>
      <c r="AQ122" t="str" cm="1">
        <f t="array" ref="AQ122">_xlfn.IFS(CleanEmployeeData[[#This Row],[MonthlyIncome]]&lt;=3000,"0–3,000",CleanEmployeeData[[#This Row],[MonthlyIncome]]&lt;=6000,"3,001–6,000",CleanEmployeeData[[#This Row],[MonthlyIncome]]&lt;=10000,"6,001–10,000",TRUE,"10,001+")</f>
        <v>0–3,000</v>
      </c>
      <c r="AR122" t="str" cm="1">
        <f t="array" ref="AR122">_xlfn.IFS(CleanEmployeeData[[#This Row],[DistanceFromHome]]&lt;=5,"0–5 miles",CleanEmployeeData[[#This Row],[DistanceFromHome]]&lt;=10,"6–10 miles",CleanEmployeeData[[#This Row],[DistanceFromHome]]&lt;=15,"11–15 miles",TRUE,"16+ miles")</f>
        <v>16+ miles</v>
      </c>
      <c r="AS122" t="str" cm="1">
        <f t="array" ref="AS122">_xlfn.IFS(CleanEmployeeData[[#This Row],[YearsAtCompany]]&lt;=1,"0–1 years",CleanEmployeeData[[#This Row],[YearsAtCompany]]&lt;=5,"2–5 years",CleanEmployeeData[[#This Row],[YearsAtCompany]]&lt;=10,"6–10 years",TRUE,"11+ years")</f>
        <v>6–10 years</v>
      </c>
    </row>
    <row r="123" spans="1:4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cm="1">
        <f t="array" ref="AJ123">_xlfn.SWITCH(CleanEmployeeData[[#This Row],[Education]],1,"Below College",2,"College",3,"Bachelor",4,"Master",5,"Doctor","Unknown")</f>
        <v>College</v>
      </c>
      <c r="AK123" t="str" cm="1">
        <f t="array" ref="AK123">_xlfn.SWITCH(CleanEmployeeData[[#This Row],[EnvironmentSatisfaction]],1,"Low",2,"Medium",3,"High",4,"Very High","Unknown")</f>
        <v>High</v>
      </c>
      <c r="AL123" t="str" cm="1">
        <f t="array" ref="AL123">_xlfn.SWITCH(CleanEmployeeData[[#This Row],[JobInvolvement]],1,"Low",2,"Medium",3,"High",4,"Very High","Unknown")</f>
        <v>High</v>
      </c>
      <c r="AM123" t="str" cm="1">
        <f t="array" ref="AM123">_xlfn.SWITCH(CleanEmployeeData[[#This Row],[JobSatisfaction]],1,"Low",2,"Medium",3,"High",4,"Very High","Unknown")</f>
        <v>Medium</v>
      </c>
      <c r="AN123" t="str" cm="1">
        <f t="array" ref="AN123">_xlfn.SWITCH(CleanEmployeeData[[#This Row],[PerformanceRating]],1,"Low",2,"Good",3,"Excellent",4,"Outstanding","Unknown")</f>
        <v>Excellent</v>
      </c>
      <c r="AO123" t="str" cm="1">
        <f t="array" ref="AO123">_xlfn.SWITCH(CleanEmployeeData[[#This Row],[WorkLifeBalance]],1,"Bad",2,"Good",3,"Better",4,"Best","Unknown")</f>
        <v>Best</v>
      </c>
      <c r="AP123">
        <f>IF(CleanEmployeeData[[#This Row],[Attrition]]="Yes",1,IF(CleanEmployeeData[[#This Row],[Attrition]]="No",0,""))</f>
        <v>0</v>
      </c>
      <c r="AQ123" t="str" cm="1">
        <f t="array" ref="AQ123">_xlfn.IFS(CleanEmployeeData[[#This Row],[MonthlyIncome]]&lt;=3000,"0–3,000",CleanEmployeeData[[#This Row],[MonthlyIncome]]&lt;=6000,"3,001–6,000",CleanEmployeeData[[#This Row],[MonthlyIncome]]&lt;=10000,"6,001–10,000",TRUE,"10,001+")</f>
        <v>6,001–10,000</v>
      </c>
      <c r="AR123" t="str" cm="1">
        <f t="array" ref="AR123">_xlfn.IFS(CleanEmployeeData[[#This Row],[DistanceFromHome]]&lt;=5,"0–5 miles",CleanEmployeeData[[#This Row],[DistanceFromHome]]&lt;=10,"6–10 miles",CleanEmployeeData[[#This Row],[DistanceFromHome]]&lt;=15,"11–15 miles",TRUE,"16+ miles")</f>
        <v>16+ miles</v>
      </c>
      <c r="AS123" t="str" cm="1">
        <f t="array" ref="AS123">_xlfn.IFS(CleanEmployeeData[[#This Row],[YearsAtCompany]]&lt;=1,"0–1 years",CleanEmployeeData[[#This Row],[YearsAtCompany]]&lt;=5,"2–5 years",CleanEmployeeData[[#This Row],[YearsAtCompany]]&lt;=10,"6–10 years",TRUE,"11+ years")</f>
        <v>6–10 years</v>
      </c>
    </row>
    <row r="124" spans="1:4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cm="1">
        <f t="array" ref="AJ124">_xlfn.SWITCH(CleanEmployeeData[[#This Row],[Education]],1,"Below College",2,"College",3,"Bachelor",4,"Master",5,"Doctor","Unknown")</f>
        <v>Master</v>
      </c>
      <c r="AK124" t="str" cm="1">
        <f t="array" ref="AK124">_xlfn.SWITCH(CleanEmployeeData[[#This Row],[EnvironmentSatisfaction]],1,"Low",2,"Medium",3,"High",4,"Very High","Unknown")</f>
        <v>Medium</v>
      </c>
      <c r="AL124" t="str" cm="1">
        <f t="array" ref="AL124">_xlfn.SWITCH(CleanEmployeeData[[#This Row],[JobInvolvement]],1,"Low",2,"Medium",3,"High",4,"Very High","Unknown")</f>
        <v>High</v>
      </c>
      <c r="AM124" t="str" cm="1">
        <f t="array" ref="AM124">_xlfn.SWITCH(CleanEmployeeData[[#This Row],[JobSatisfaction]],1,"Low",2,"Medium",3,"High",4,"Very High","Unknown")</f>
        <v>Medium</v>
      </c>
      <c r="AN124" t="str" cm="1">
        <f t="array" ref="AN124">_xlfn.SWITCH(CleanEmployeeData[[#This Row],[PerformanceRating]],1,"Low",2,"Good",3,"Excellent",4,"Outstanding","Unknown")</f>
        <v>Excellent</v>
      </c>
      <c r="AO124" t="str" cm="1">
        <f t="array" ref="AO124">_xlfn.SWITCH(CleanEmployeeData[[#This Row],[WorkLifeBalance]],1,"Bad",2,"Good",3,"Better",4,"Best","Unknown")</f>
        <v>Better</v>
      </c>
      <c r="AP124">
        <f>IF(CleanEmployeeData[[#This Row],[Attrition]]="Yes",1,IF(CleanEmployeeData[[#This Row],[Attrition]]="No",0,""))</f>
        <v>1</v>
      </c>
      <c r="AQ124" t="str" cm="1">
        <f t="array" ref="AQ124">_xlfn.IFS(CleanEmployeeData[[#This Row],[MonthlyIncome]]&lt;=3000,"0–3,000",CleanEmployeeData[[#This Row],[MonthlyIncome]]&lt;=6000,"3,001–6,000",CleanEmployeeData[[#This Row],[MonthlyIncome]]&lt;=10000,"6,001–10,000",TRUE,"10,001+")</f>
        <v>3,001–6,000</v>
      </c>
      <c r="AR124" t="str" cm="1">
        <f t="array" ref="AR124">_xlfn.IFS(CleanEmployeeData[[#This Row],[DistanceFromHome]]&lt;=5,"0–5 miles",CleanEmployeeData[[#This Row],[DistanceFromHome]]&lt;=10,"6–10 miles",CleanEmployeeData[[#This Row],[DistanceFromHome]]&lt;=15,"11–15 miles",TRUE,"16+ miles")</f>
        <v>11–15 miles</v>
      </c>
      <c r="AS124" t="str" cm="1">
        <f t="array" ref="AS124">_xlfn.IFS(CleanEmployeeData[[#This Row],[YearsAtCompany]]&lt;=1,"0–1 years",CleanEmployeeData[[#This Row],[YearsAtCompany]]&lt;=5,"2–5 years",CleanEmployeeData[[#This Row],[YearsAtCompany]]&lt;=10,"6–10 years",TRUE,"11+ years")</f>
        <v>2–5 years</v>
      </c>
    </row>
    <row r="125" spans="1:4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cm="1">
        <f t="array" ref="AJ125">_xlfn.SWITCH(CleanEmployeeData[[#This Row],[Education]],1,"Below College",2,"College",3,"Bachelor",4,"Master",5,"Doctor","Unknown")</f>
        <v>Bachelor</v>
      </c>
      <c r="AK125" t="str" cm="1">
        <f t="array" ref="AK125">_xlfn.SWITCH(CleanEmployeeData[[#This Row],[EnvironmentSatisfaction]],1,"Low",2,"Medium",3,"High",4,"Very High","Unknown")</f>
        <v>Low</v>
      </c>
      <c r="AL125" t="str" cm="1">
        <f t="array" ref="AL125">_xlfn.SWITCH(CleanEmployeeData[[#This Row],[JobInvolvement]],1,"Low",2,"Medium",3,"High",4,"Very High","Unknown")</f>
        <v>High</v>
      </c>
      <c r="AM125" t="str" cm="1">
        <f t="array" ref="AM125">_xlfn.SWITCH(CleanEmployeeData[[#This Row],[JobSatisfaction]],1,"Low",2,"Medium",3,"High",4,"Very High","Unknown")</f>
        <v>High</v>
      </c>
      <c r="AN125" t="str" cm="1">
        <f t="array" ref="AN125">_xlfn.SWITCH(CleanEmployeeData[[#This Row],[PerformanceRating]],1,"Low",2,"Good",3,"Excellent",4,"Outstanding","Unknown")</f>
        <v>Excellent</v>
      </c>
      <c r="AO125" t="str" cm="1">
        <f t="array" ref="AO125">_xlfn.SWITCH(CleanEmployeeData[[#This Row],[WorkLifeBalance]],1,"Bad",2,"Good",3,"Better",4,"Best","Unknown")</f>
        <v>Better</v>
      </c>
      <c r="AP125">
        <f>IF(CleanEmployeeData[[#This Row],[Attrition]]="Yes",1,IF(CleanEmployeeData[[#This Row],[Attrition]]="No",0,""))</f>
        <v>0</v>
      </c>
      <c r="AQ125" t="str" cm="1">
        <f t="array" ref="AQ125">_xlfn.IFS(CleanEmployeeData[[#This Row],[MonthlyIncome]]&lt;=3000,"0–3,000",CleanEmployeeData[[#This Row],[MonthlyIncome]]&lt;=6000,"3,001–6,000",CleanEmployeeData[[#This Row],[MonthlyIncome]]&lt;=10000,"6,001–10,000",TRUE,"10,001+")</f>
        <v>10,001+</v>
      </c>
      <c r="AR125" t="str" cm="1">
        <f t="array" ref="AR125">_xlfn.IFS(CleanEmployeeData[[#This Row],[DistanceFromHome]]&lt;=5,"0–5 miles",CleanEmployeeData[[#This Row],[DistanceFromHome]]&lt;=10,"6–10 miles",CleanEmployeeData[[#This Row],[DistanceFromHome]]&lt;=15,"11–15 miles",TRUE,"16+ miles")</f>
        <v>6–10 miles</v>
      </c>
      <c r="AS125" t="str" cm="1">
        <f t="array" ref="AS125">_xlfn.IFS(CleanEmployeeData[[#This Row],[YearsAtCompany]]&lt;=1,"0–1 years",CleanEmployeeData[[#This Row],[YearsAtCompany]]&lt;=5,"2–5 years",CleanEmployeeData[[#This Row],[YearsAtCompany]]&lt;=10,"6–10 years",TRUE,"11+ years")</f>
        <v>11+ years</v>
      </c>
    </row>
    <row r="126" spans="1:4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cm="1">
        <f t="array" ref="AJ126">_xlfn.SWITCH(CleanEmployeeData[[#This Row],[Education]],1,"Below College",2,"College",3,"Bachelor",4,"Master",5,"Doctor","Unknown")</f>
        <v>Master</v>
      </c>
      <c r="AK126" t="str" cm="1">
        <f t="array" ref="AK126">_xlfn.SWITCH(CleanEmployeeData[[#This Row],[EnvironmentSatisfaction]],1,"Low",2,"Medium",3,"High",4,"Very High","Unknown")</f>
        <v>Medium</v>
      </c>
      <c r="AL126" t="str" cm="1">
        <f t="array" ref="AL126">_xlfn.SWITCH(CleanEmployeeData[[#This Row],[JobInvolvement]],1,"Low",2,"Medium",3,"High",4,"Very High","Unknown")</f>
        <v>Low</v>
      </c>
      <c r="AM126" t="str" cm="1">
        <f t="array" ref="AM126">_xlfn.SWITCH(CleanEmployeeData[[#This Row],[JobSatisfaction]],1,"Low",2,"Medium",3,"High",4,"Very High","Unknown")</f>
        <v>High</v>
      </c>
      <c r="AN126" t="str" cm="1">
        <f t="array" ref="AN126">_xlfn.SWITCH(CleanEmployeeData[[#This Row],[PerformanceRating]],1,"Low",2,"Good",3,"Excellent",4,"Outstanding","Unknown")</f>
        <v>Excellent</v>
      </c>
      <c r="AO126" t="str" cm="1">
        <f t="array" ref="AO126">_xlfn.SWITCH(CleanEmployeeData[[#This Row],[WorkLifeBalance]],1,"Bad",2,"Good",3,"Better",4,"Best","Unknown")</f>
        <v>Good</v>
      </c>
      <c r="AP126">
        <f>IF(CleanEmployeeData[[#This Row],[Attrition]]="Yes",1,IF(CleanEmployeeData[[#This Row],[Attrition]]="No",0,""))</f>
        <v>1</v>
      </c>
      <c r="AQ126" t="str" cm="1">
        <f t="array" ref="AQ126">_xlfn.IFS(CleanEmployeeData[[#This Row],[MonthlyIncome]]&lt;=3000,"0–3,000",CleanEmployeeData[[#This Row],[MonthlyIncome]]&lt;=6000,"3,001–6,000",CleanEmployeeData[[#This Row],[MonthlyIncome]]&lt;=10000,"6,001–10,000",TRUE,"10,001+")</f>
        <v>6,001–10,000</v>
      </c>
      <c r="AR126" t="str" cm="1">
        <f t="array" ref="AR126">_xlfn.IFS(CleanEmployeeData[[#This Row],[DistanceFromHome]]&lt;=5,"0–5 miles",CleanEmployeeData[[#This Row],[DistanceFromHome]]&lt;=10,"6–10 miles",CleanEmployeeData[[#This Row],[DistanceFromHome]]&lt;=15,"11–15 miles",TRUE,"16+ miles")</f>
        <v>6–10 miles</v>
      </c>
      <c r="AS126" t="str" cm="1">
        <f t="array" ref="AS126">_xlfn.IFS(CleanEmployeeData[[#This Row],[YearsAtCompany]]&lt;=1,"0–1 years",CleanEmployeeData[[#This Row],[YearsAtCompany]]&lt;=5,"2–5 years",CleanEmployeeData[[#This Row],[YearsAtCompany]]&lt;=10,"6–10 years",TRUE,"11+ years")</f>
        <v>6–10 years</v>
      </c>
    </row>
    <row r="127" spans="1:4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cm="1">
        <f t="array" ref="AJ127">_xlfn.SWITCH(CleanEmployeeData[[#This Row],[Education]],1,"Below College",2,"College",3,"Bachelor",4,"Master",5,"Doctor","Unknown")</f>
        <v>Bachelor</v>
      </c>
      <c r="AK127" t="str" cm="1">
        <f t="array" ref="AK127">_xlfn.SWITCH(CleanEmployeeData[[#This Row],[EnvironmentSatisfaction]],1,"Low",2,"Medium",3,"High",4,"Very High","Unknown")</f>
        <v>High</v>
      </c>
      <c r="AL127" t="str" cm="1">
        <f t="array" ref="AL127">_xlfn.SWITCH(CleanEmployeeData[[#This Row],[JobInvolvement]],1,"Low",2,"Medium",3,"High",4,"Very High","Unknown")</f>
        <v>Medium</v>
      </c>
      <c r="AM127" t="str" cm="1">
        <f t="array" ref="AM127">_xlfn.SWITCH(CleanEmployeeData[[#This Row],[JobSatisfaction]],1,"Low",2,"Medium",3,"High",4,"Very High","Unknown")</f>
        <v>Medium</v>
      </c>
      <c r="AN127" t="str" cm="1">
        <f t="array" ref="AN127">_xlfn.SWITCH(CleanEmployeeData[[#This Row],[PerformanceRating]],1,"Low",2,"Good",3,"Excellent",4,"Outstanding","Unknown")</f>
        <v>Excellent</v>
      </c>
      <c r="AO127" t="str" cm="1">
        <f t="array" ref="AO127">_xlfn.SWITCH(CleanEmployeeData[[#This Row],[WorkLifeBalance]],1,"Bad",2,"Good",3,"Better",4,"Best","Unknown")</f>
        <v>Good</v>
      </c>
      <c r="AP127">
        <f>IF(CleanEmployeeData[[#This Row],[Attrition]]="Yes",1,IF(CleanEmployeeData[[#This Row],[Attrition]]="No",0,""))</f>
        <v>0</v>
      </c>
      <c r="AQ127" t="str" cm="1">
        <f t="array" ref="AQ127">_xlfn.IFS(CleanEmployeeData[[#This Row],[MonthlyIncome]]&lt;=3000,"0–3,000",CleanEmployeeData[[#This Row],[MonthlyIncome]]&lt;=6000,"3,001–6,000",CleanEmployeeData[[#This Row],[MonthlyIncome]]&lt;=10000,"6,001–10,000",TRUE,"10,001+")</f>
        <v>0–3,000</v>
      </c>
      <c r="AR127" t="str" cm="1">
        <f t="array" ref="AR127">_xlfn.IFS(CleanEmployeeData[[#This Row],[DistanceFromHome]]&lt;=5,"0–5 miles",CleanEmployeeData[[#This Row],[DistanceFromHome]]&lt;=10,"6–10 miles",CleanEmployeeData[[#This Row],[DistanceFromHome]]&lt;=15,"11–15 miles",TRUE,"16+ miles")</f>
        <v>6–10 miles</v>
      </c>
      <c r="AS127" t="str" cm="1">
        <f t="array" ref="AS127">_xlfn.IFS(CleanEmployeeData[[#This Row],[YearsAtCompany]]&lt;=1,"0–1 years",CleanEmployeeData[[#This Row],[YearsAtCompany]]&lt;=5,"2–5 years",CleanEmployeeData[[#This Row],[YearsAtCompany]]&lt;=10,"6–10 years",TRUE,"11+ years")</f>
        <v>2–5 years</v>
      </c>
    </row>
    <row r="128" spans="1:4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cm="1">
        <f t="array" ref="AJ128">_xlfn.SWITCH(CleanEmployeeData[[#This Row],[Education]],1,"Below College",2,"College",3,"Bachelor",4,"Master",5,"Doctor","Unknown")</f>
        <v>Master</v>
      </c>
      <c r="AK128" t="str" cm="1">
        <f t="array" ref="AK128">_xlfn.SWITCH(CleanEmployeeData[[#This Row],[EnvironmentSatisfaction]],1,"Low",2,"Medium",3,"High",4,"Very High","Unknown")</f>
        <v>Very High</v>
      </c>
      <c r="AL128" t="str" cm="1">
        <f t="array" ref="AL128">_xlfn.SWITCH(CleanEmployeeData[[#This Row],[JobInvolvement]],1,"Low",2,"Medium",3,"High",4,"Very High","Unknown")</f>
        <v>High</v>
      </c>
      <c r="AM128" t="str" cm="1">
        <f t="array" ref="AM128">_xlfn.SWITCH(CleanEmployeeData[[#This Row],[JobSatisfaction]],1,"Low",2,"Medium",3,"High",4,"Very High","Unknown")</f>
        <v>Very High</v>
      </c>
      <c r="AN128" t="str" cm="1">
        <f t="array" ref="AN128">_xlfn.SWITCH(CleanEmployeeData[[#This Row],[PerformanceRating]],1,"Low",2,"Good",3,"Excellent",4,"Outstanding","Unknown")</f>
        <v>Excellent</v>
      </c>
      <c r="AO128" t="str" cm="1">
        <f t="array" ref="AO128">_xlfn.SWITCH(CleanEmployeeData[[#This Row],[WorkLifeBalance]],1,"Bad",2,"Good",3,"Better",4,"Best","Unknown")</f>
        <v>Good</v>
      </c>
      <c r="AP128">
        <f>IF(CleanEmployeeData[[#This Row],[Attrition]]="Yes",1,IF(CleanEmployeeData[[#This Row],[Attrition]]="No",0,""))</f>
        <v>1</v>
      </c>
      <c r="AQ128" t="str" cm="1">
        <f t="array" ref="AQ128">_xlfn.IFS(CleanEmployeeData[[#This Row],[MonthlyIncome]]&lt;=3000,"0–3,000",CleanEmployeeData[[#This Row],[MonthlyIncome]]&lt;=6000,"3,001–6,000",CleanEmployeeData[[#This Row],[MonthlyIncome]]&lt;=10000,"6,001–10,000",TRUE,"10,001+")</f>
        <v>10,001+</v>
      </c>
      <c r="AR128" t="str" cm="1">
        <f t="array" ref="AR128">_xlfn.IFS(CleanEmployeeData[[#This Row],[DistanceFromHome]]&lt;=5,"0–5 miles",CleanEmployeeData[[#This Row],[DistanceFromHome]]&lt;=10,"6–10 miles",CleanEmployeeData[[#This Row],[DistanceFromHome]]&lt;=15,"11–15 miles",TRUE,"16+ miles")</f>
        <v>16+ miles</v>
      </c>
      <c r="AS128" t="str" cm="1">
        <f t="array" ref="AS128">_xlfn.IFS(CleanEmployeeData[[#This Row],[YearsAtCompany]]&lt;=1,"0–1 years",CleanEmployeeData[[#This Row],[YearsAtCompany]]&lt;=5,"2–5 years",CleanEmployeeData[[#This Row],[YearsAtCompany]]&lt;=10,"6–10 years",TRUE,"11+ years")</f>
        <v>11+ years</v>
      </c>
    </row>
    <row r="129" spans="1:4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cm="1">
        <f t="array" ref="AJ129">_xlfn.SWITCH(CleanEmployeeData[[#This Row],[Education]],1,"Below College",2,"College",3,"Bachelor",4,"Master",5,"Doctor","Unknown")</f>
        <v>Below College</v>
      </c>
      <c r="AK129" t="str" cm="1">
        <f t="array" ref="AK129">_xlfn.SWITCH(CleanEmployeeData[[#This Row],[EnvironmentSatisfaction]],1,"Low",2,"Medium",3,"High",4,"Very High","Unknown")</f>
        <v>Very High</v>
      </c>
      <c r="AL129" t="str" cm="1">
        <f t="array" ref="AL129">_xlfn.SWITCH(CleanEmployeeData[[#This Row],[JobInvolvement]],1,"Low",2,"Medium",3,"High",4,"Very High","Unknown")</f>
        <v>High</v>
      </c>
      <c r="AM129" t="str" cm="1">
        <f t="array" ref="AM129">_xlfn.SWITCH(CleanEmployeeData[[#This Row],[JobSatisfaction]],1,"Low",2,"Medium",3,"High",4,"Very High","Unknown")</f>
        <v>High</v>
      </c>
      <c r="AN129" t="str" cm="1">
        <f t="array" ref="AN129">_xlfn.SWITCH(CleanEmployeeData[[#This Row],[PerformanceRating]],1,"Low",2,"Good",3,"Excellent",4,"Outstanding","Unknown")</f>
        <v>Excellent</v>
      </c>
      <c r="AO129" t="str" cm="1">
        <f t="array" ref="AO129">_xlfn.SWITCH(CleanEmployeeData[[#This Row],[WorkLifeBalance]],1,"Bad",2,"Good",3,"Better",4,"Best","Unknown")</f>
        <v>Good</v>
      </c>
      <c r="AP129">
        <f>IF(CleanEmployeeData[[#This Row],[Attrition]]="Yes",1,IF(CleanEmployeeData[[#This Row],[Attrition]]="No",0,""))</f>
        <v>1</v>
      </c>
      <c r="AQ129" t="str" cm="1">
        <f t="array" ref="AQ129">_xlfn.IFS(CleanEmployeeData[[#This Row],[MonthlyIncome]]&lt;=3000,"0–3,000",CleanEmployeeData[[#This Row],[MonthlyIncome]]&lt;=6000,"3,001–6,000",CleanEmployeeData[[#This Row],[MonthlyIncome]]&lt;=10000,"6,001–10,000",TRUE,"10,001+")</f>
        <v>0–3,000</v>
      </c>
      <c r="AR129" t="str" cm="1">
        <f t="array" ref="AR129">_xlfn.IFS(CleanEmployeeData[[#This Row],[DistanceFromHome]]&lt;=5,"0–5 miles",CleanEmployeeData[[#This Row],[DistanceFromHome]]&lt;=10,"6–10 miles",CleanEmployeeData[[#This Row],[DistanceFromHome]]&lt;=15,"11–15 miles",TRUE,"16+ miles")</f>
        <v>16+ miles</v>
      </c>
      <c r="AS129" t="str" cm="1">
        <f t="array" ref="AS129">_xlfn.IFS(CleanEmployeeData[[#This Row],[YearsAtCompany]]&lt;=1,"0–1 years",CleanEmployeeData[[#This Row],[YearsAtCompany]]&lt;=5,"2–5 years",CleanEmployeeData[[#This Row],[YearsAtCompany]]&lt;=10,"6–10 years",TRUE,"11+ years")</f>
        <v>0–1 years</v>
      </c>
    </row>
    <row r="130" spans="1:4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cm="1">
        <f t="array" ref="AJ130">_xlfn.SWITCH(CleanEmployeeData[[#This Row],[Education]],1,"Below College",2,"College",3,"Bachelor",4,"Master",5,"Doctor","Unknown")</f>
        <v>Below College</v>
      </c>
      <c r="AK130" t="str" cm="1">
        <f t="array" ref="AK130">_xlfn.SWITCH(CleanEmployeeData[[#This Row],[EnvironmentSatisfaction]],1,"Low",2,"Medium",3,"High",4,"Very High","Unknown")</f>
        <v>High</v>
      </c>
      <c r="AL130" t="str" cm="1">
        <f t="array" ref="AL130">_xlfn.SWITCH(CleanEmployeeData[[#This Row],[JobInvolvement]],1,"Low",2,"Medium",3,"High",4,"Very High","Unknown")</f>
        <v>High</v>
      </c>
      <c r="AM130" t="str" cm="1">
        <f t="array" ref="AM130">_xlfn.SWITCH(CleanEmployeeData[[#This Row],[JobSatisfaction]],1,"Low",2,"Medium",3,"High",4,"Very High","Unknown")</f>
        <v>Very High</v>
      </c>
      <c r="AN130" t="str" cm="1">
        <f t="array" ref="AN130">_xlfn.SWITCH(CleanEmployeeData[[#This Row],[PerformanceRating]],1,"Low",2,"Good",3,"Excellent",4,"Outstanding","Unknown")</f>
        <v>Excellent</v>
      </c>
      <c r="AO130" t="str" cm="1">
        <f t="array" ref="AO130">_xlfn.SWITCH(CleanEmployeeData[[#This Row],[WorkLifeBalance]],1,"Bad",2,"Good",3,"Better",4,"Best","Unknown")</f>
        <v>Better</v>
      </c>
      <c r="AP130">
        <f>IF(CleanEmployeeData[[#This Row],[Attrition]]="Yes",1,IF(CleanEmployeeData[[#This Row],[Attrition]]="No",0,""))</f>
        <v>0</v>
      </c>
      <c r="AQ130" t="str" cm="1">
        <f t="array" ref="AQ130">_xlfn.IFS(CleanEmployeeData[[#This Row],[MonthlyIncome]]&lt;=3000,"0–3,000",CleanEmployeeData[[#This Row],[MonthlyIncome]]&lt;=6000,"3,001–6,000",CleanEmployeeData[[#This Row],[MonthlyIncome]]&lt;=10000,"6,001–10,000",TRUE,"10,001+")</f>
        <v>0–3,000</v>
      </c>
      <c r="AR130" t="str" cm="1">
        <f t="array" ref="AR130">_xlfn.IFS(CleanEmployeeData[[#This Row],[DistanceFromHome]]&lt;=5,"0–5 miles",CleanEmployeeData[[#This Row],[DistanceFromHome]]&lt;=10,"6–10 miles",CleanEmployeeData[[#This Row],[DistanceFromHome]]&lt;=15,"11–15 miles",TRUE,"16+ miles")</f>
        <v>0–5 miles</v>
      </c>
      <c r="AS130" t="str" cm="1">
        <f t="array" ref="AS130">_xlfn.IFS(CleanEmployeeData[[#This Row],[YearsAtCompany]]&lt;=1,"0–1 years",CleanEmployeeData[[#This Row],[YearsAtCompany]]&lt;=5,"2–5 years",CleanEmployeeData[[#This Row],[YearsAtCompany]]&lt;=10,"6–10 years",TRUE,"11+ years")</f>
        <v>2–5 years</v>
      </c>
    </row>
    <row r="131" spans="1:4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cm="1">
        <f t="array" ref="AJ131">_xlfn.SWITCH(CleanEmployeeData[[#This Row],[Education]],1,"Below College",2,"College",3,"Bachelor",4,"Master",5,"Doctor","Unknown")</f>
        <v>Master</v>
      </c>
      <c r="AK131" t="str" cm="1">
        <f t="array" ref="AK131">_xlfn.SWITCH(CleanEmployeeData[[#This Row],[EnvironmentSatisfaction]],1,"Low",2,"Medium",3,"High",4,"Very High","Unknown")</f>
        <v>High</v>
      </c>
      <c r="AL131" t="str" cm="1">
        <f t="array" ref="AL131">_xlfn.SWITCH(CleanEmployeeData[[#This Row],[JobInvolvement]],1,"Low",2,"Medium",3,"High",4,"Very High","Unknown")</f>
        <v>High</v>
      </c>
      <c r="AM131" t="str" cm="1">
        <f t="array" ref="AM131">_xlfn.SWITCH(CleanEmployeeData[[#This Row],[JobSatisfaction]],1,"Low",2,"Medium",3,"High",4,"Very High","Unknown")</f>
        <v>Low</v>
      </c>
      <c r="AN131" t="str" cm="1">
        <f t="array" ref="AN131">_xlfn.SWITCH(CleanEmployeeData[[#This Row],[PerformanceRating]],1,"Low",2,"Good",3,"Excellent",4,"Outstanding","Unknown")</f>
        <v>Excellent</v>
      </c>
      <c r="AO131" t="str" cm="1">
        <f t="array" ref="AO131">_xlfn.SWITCH(CleanEmployeeData[[#This Row],[WorkLifeBalance]],1,"Bad",2,"Good",3,"Better",4,"Best","Unknown")</f>
        <v>Good</v>
      </c>
      <c r="AP131">
        <f>IF(CleanEmployeeData[[#This Row],[Attrition]]="Yes",1,IF(CleanEmployeeData[[#This Row],[Attrition]]="No",0,""))</f>
        <v>0</v>
      </c>
      <c r="AQ131" t="str" cm="1">
        <f t="array" ref="AQ131">_xlfn.IFS(CleanEmployeeData[[#This Row],[MonthlyIncome]]&lt;=3000,"0–3,000",CleanEmployeeData[[#This Row],[MonthlyIncome]]&lt;=6000,"3,001–6,000",CleanEmployeeData[[#This Row],[MonthlyIncome]]&lt;=10000,"6,001–10,000",TRUE,"10,001+")</f>
        <v>6,001–10,000</v>
      </c>
      <c r="AR131" t="str" cm="1">
        <f t="array" ref="AR131">_xlfn.IFS(CleanEmployeeData[[#This Row],[DistanceFromHome]]&lt;=5,"0–5 miles",CleanEmployeeData[[#This Row],[DistanceFromHome]]&lt;=10,"6–10 miles",CleanEmployeeData[[#This Row],[DistanceFromHome]]&lt;=15,"11–15 miles",TRUE,"16+ miles")</f>
        <v>16+ miles</v>
      </c>
      <c r="AS131" t="str" cm="1">
        <f t="array" ref="AS131">_xlfn.IFS(CleanEmployeeData[[#This Row],[YearsAtCompany]]&lt;=1,"0–1 years",CleanEmployeeData[[#This Row],[YearsAtCompany]]&lt;=5,"2–5 years",CleanEmployeeData[[#This Row],[YearsAtCompany]]&lt;=10,"6–10 years",TRUE,"11+ years")</f>
        <v>11+ years</v>
      </c>
    </row>
    <row r="132" spans="1:4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cm="1">
        <f t="array" ref="AJ132">_xlfn.SWITCH(CleanEmployeeData[[#This Row],[Education]],1,"Below College",2,"College",3,"Bachelor",4,"Master",5,"Doctor","Unknown")</f>
        <v>Bachelor</v>
      </c>
      <c r="AK132" t="str" cm="1">
        <f t="array" ref="AK132">_xlfn.SWITCH(CleanEmployeeData[[#This Row],[EnvironmentSatisfaction]],1,"Low",2,"Medium",3,"High",4,"Very High","Unknown")</f>
        <v>Medium</v>
      </c>
      <c r="AL132" t="str" cm="1">
        <f t="array" ref="AL132">_xlfn.SWITCH(CleanEmployeeData[[#This Row],[JobInvolvement]],1,"Low",2,"Medium",3,"High",4,"Very High","Unknown")</f>
        <v>Very High</v>
      </c>
      <c r="AM132" t="str" cm="1">
        <f t="array" ref="AM132">_xlfn.SWITCH(CleanEmployeeData[[#This Row],[JobSatisfaction]],1,"Low",2,"Medium",3,"High",4,"Very High","Unknown")</f>
        <v>High</v>
      </c>
      <c r="AN132" t="str" cm="1">
        <f t="array" ref="AN132">_xlfn.SWITCH(CleanEmployeeData[[#This Row],[PerformanceRating]],1,"Low",2,"Good",3,"Excellent",4,"Outstanding","Unknown")</f>
        <v>Excellent</v>
      </c>
      <c r="AO132" t="str" cm="1">
        <f t="array" ref="AO132">_xlfn.SWITCH(CleanEmployeeData[[#This Row],[WorkLifeBalance]],1,"Bad",2,"Good",3,"Better",4,"Best","Unknown")</f>
        <v>Better</v>
      </c>
      <c r="AP132">
        <f>IF(CleanEmployeeData[[#This Row],[Attrition]]="Yes",1,IF(CleanEmployeeData[[#This Row],[Attrition]]="No",0,""))</f>
        <v>0</v>
      </c>
      <c r="AQ132" t="str" cm="1">
        <f t="array" ref="AQ132">_xlfn.IFS(CleanEmployeeData[[#This Row],[MonthlyIncome]]&lt;=3000,"0–3,000",CleanEmployeeData[[#This Row],[MonthlyIncome]]&lt;=6000,"3,001–6,000",CleanEmployeeData[[#This Row],[MonthlyIncome]]&lt;=10000,"6,001–10,000",TRUE,"10,001+")</f>
        <v>3,001–6,000</v>
      </c>
      <c r="AR132" t="str" cm="1">
        <f t="array" ref="AR132">_xlfn.IFS(CleanEmployeeData[[#This Row],[DistanceFromHome]]&lt;=5,"0–5 miles",CleanEmployeeData[[#This Row],[DistanceFromHome]]&lt;=10,"6–10 miles",CleanEmployeeData[[#This Row],[DistanceFromHome]]&lt;=15,"11–15 miles",TRUE,"16+ miles")</f>
        <v>16+ miles</v>
      </c>
      <c r="AS132" t="str" cm="1">
        <f t="array" ref="AS132">_xlfn.IFS(CleanEmployeeData[[#This Row],[YearsAtCompany]]&lt;=1,"0–1 years",CleanEmployeeData[[#This Row],[YearsAtCompany]]&lt;=5,"2–5 years",CleanEmployeeData[[#This Row],[YearsAtCompany]]&lt;=10,"6–10 years",TRUE,"11+ years")</f>
        <v>2–5 years</v>
      </c>
    </row>
    <row r="133" spans="1:4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cm="1">
        <f t="array" ref="AJ133">_xlfn.SWITCH(CleanEmployeeData[[#This Row],[Education]],1,"Below College",2,"College",3,"Bachelor",4,"Master",5,"Doctor","Unknown")</f>
        <v>Bachelor</v>
      </c>
      <c r="AK133" t="str" cm="1">
        <f t="array" ref="AK133">_xlfn.SWITCH(CleanEmployeeData[[#This Row],[EnvironmentSatisfaction]],1,"Low",2,"Medium",3,"High",4,"Very High","Unknown")</f>
        <v>High</v>
      </c>
      <c r="AL133" t="str" cm="1">
        <f t="array" ref="AL133">_xlfn.SWITCH(CleanEmployeeData[[#This Row],[JobInvolvement]],1,"Low",2,"Medium",3,"High",4,"Very High","Unknown")</f>
        <v>High</v>
      </c>
      <c r="AM133" t="str" cm="1">
        <f t="array" ref="AM133">_xlfn.SWITCH(CleanEmployeeData[[#This Row],[JobSatisfaction]],1,"Low",2,"Medium",3,"High",4,"Very High","Unknown")</f>
        <v>Very High</v>
      </c>
      <c r="AN133" t="str" cm="1">
        <f t="array" ref="AN133">_xlfn.SWITCH(CleanEmployeeData[[#This Row],[PerformanceRating]],1,"Low",2,"Good",3,"Excellent",4,"Outstanding","Unknown")</f>
        <v>Excellent</v>
      </c>
      <c r="AO133" t="str" cm="1">
        <f t="array" ref="AO133">_xlfn.SWITCH(CleanEmployeeData[[#This Row],[WorkLifeBalance]],1,"Bad",2,"Good",3,"Better",4,"Best","Unknown")</f>
        <v>Better</v>
      </c>
      <c r="AP133">
        <f>IF(CleanEmployeeData[[#This Row],[Attrition]]="Yes",1,IF(CleanEmployeeData[[#This Row],[Attrition]]="No",0,""))</f>
        <v>0</v>
      </c>
      <c r="AQ133" t="str" cm="1">
        <f t="array" ref="AQ133">_xlfn.IFS(CleanEmployeeData[[#This Row],[MonthlyIncome]]&lt;=3000,"0–3,000",CleanEmployeeData[[#This Row],[MonthlyIncome]]&lt;=6000,"3,001–6,000",CleanEmployeeData[[#This Row],[MonthlyIncome]]&lt;=10000,"6,001–10,000",TRUE,"10,001+")</f>
        <v>6,001–10,000</v>
      </c>
      <c r="AR133" t="str" cm="1">
        <f t="array" ref="AR133">_xlfn.IFS(CleanEmployeeData[[#This Row],[DistanceFromHome]]&lt;=5,"0–5 miles",CleanEmployeeData[[#This Row],[DistanceFromHome]]&lt;=10,"6–10 miles",CleanEmployeeData[[#This Row],[DistanceFromHome]]&lt;=15,"11–15 miles",TRUE,"16+ miles")</f>
        <v>11–15 miles</v>
      </c>
      <c r="AS133" t="str" cm="1">
        <f t="array" ref="AS133">_xlfn.IFS(CleanEmployeeData[[#This Row],[YearsAtCompany]]&lt;=1,"0–1 years",CleanEmployeeData[[#This Row],[YearsAtCompany]]&lt;=5,"2–5 years",CleanEmployeeData[[#This Row],[YearsAtCompany]]&lt;=10,"6–10 years",TRUE,"11+ years")</f>
        <v>2–5 years</v>
      </c>
    </row>
    <row r="134" spans="1:4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cm="1">
        <f t="array" ref="AJ134">_xlfn.SWITCH(CleanEmployeeData[[#This Row],[Education]],1,"Below College",2,"College",3,"Bachelor",4,"Master",5,"Doctor","Unknown")</f>
        <v>Bachelor</v>
      </c>
      <c r="AK134" t="str" cm="1">
        <f t="array" ref="AK134">_xlfn.SWITCH(CleanEmployeeData[[#This Row],[EnvironmentSatisfaction]],1,"Low",2,"Medium",3,"High",4,"Very High","Unknown")</f>
        <v>Medium</v>
      </c>
      <c r="AL134" t="str" cm="1">
        <f t="array" ref="AL134">_xlfn.SWITCH(CleanEmployeeData[[#This Row],[JobInvolvement]],1,"Low",2,"Medium",3,"High",4,"Very High","Unknown")</f>
        <v>Low</v>
      </c>
      <c r="AM134" t="str" cm="1">
        <f t="array" ref="AM134">_xlfn.SWITCH(CleanEmployeeData[[#This Row],[JobSatisfaction]],1,"Low",2,"Medium",3,"High",4,"Very High","Unknown")</f>
        <v>High</v>
      </c>
      <c r="AN134" t="str" cm="1">
        <f t="array" ref="AN134">_xlfn.SWITCH(CleanEmployeeData[[#This Row],[PerformanceRating]],1,"Low",2,"Good",3,"Excellent",4,"Outstanding","Unknown")</f>
        <v>Excellent</v>
      </c>
      <c r="AO134" t="str" cm="1">
        <f t="array" ref="AO134">_xlfn.SWITCH(CleanEmployeeData[[#This Row],[WorkLifeBalance]],1,"Bad",2,"Good",3,"Better",4,"Best","Unknown")</f>
        <v>Better</v>
      </c>
      <c r="AP134">
        <f>IF(CleanEmployeeData[[#This Row],[Attrition]]="Yes",1,IF(CleanEmployeeData[[#This Row],[Attrition]]="No",0,""))</f>
        <v>1</v>
      </c>
      <c r="AQ134" t="str" cm="1">
        <f t="array" ref="AQ134">_xlfn.IFS(CleanEmployeeData[[#This Row],[MonthlyIncome]]&lt;=3000,"0–3,000",CleanEmployeeData[[#This Row],[MonthlyIncome]]&lt;=6000,"3,001–6,000",CleanEmployeeData[[#This Row],[MonthlyIncome]]&lt;=10000,"6,001–10,000",TRUE,"10,001+")</f>
        <v>3,001–6,000</v>
      </c>
      <c r="AR134" t="str" cm="1">
        <f t="array" ref="AR134">_xlfn.IFS(CleanEmployeeData[[#This Row],[DistanceFromHome]]&lt;=5,"0–5 miles",CleanEmployeeData[[#This Row],[DistanceFromHome]]&lt;=10,"6–10 miles",CleanEmployeeData[[#This Row],[DistanceFromHome]]&lt;=15,"11–15 miles",TRUE,"16+ miles")</f>
        <v>16+ miles</v>
      </c>
      <c r="AS134" t="str" cm="1">
        <f t="array" ref="AS134">_xlfn.IFS(CleanEmployeeData[[#This Row],[YearsAtCompany]]&lt;=1,"0–1 years",CleanEmployeeData[[#This Row],[YearsAtCompany]]&lt;=5,"2–5 years",CleanEmployeeData[[#This Row],[YearsAtCompany]]&lt;=10,"6–10 years",TRUE,"11+ years")</f>
        <v>2–5 years</v>
      </c>
    </row>
    <row r="135" spans="1:4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cm="1">
        <f t="array" ref="AJ135">_xlfn.SWITCH(CleanEmployeeData[[#This Row],[Education]],1,"Below College",2,"College",3,"Bachelor",4,"Master",5,"Doctor","Unknown")</f>
        <v>Below College</v>
      </c>
      <c r="AK135" t="str" cm="1">
        <f t="array" ref="AK135">_xlfn.SWITCH(CleanEmployeeData[[#This Row],[EnvironmentSatisfaction]],1,"Low",2,"Medium",3,"High",4,"Very High","Unknown")</f>
        <v>High</v>
      </c>
      <c r="AL135" t="str" cm="1">
        <f t="array" ref="AL135">_xlfn.SWITCH(CleanEmployeeData[[#This Row],[JobInvolvement]],1,"Low",2,"Medium",3,"High",4,"Very High","Unknown")</f>
        <v>High</v>
      </c>
      <c r="AM135" t="str" cm="1">
        <f t="array" ref="AM135">_xlfn.SWITCH(CleanEmployeeData[[#This Row],[JobSatisfaction]],1,"Low",2,"Medium",3,"High",4,"Very High","Unknown")</f>
        <v>High</v>
      </c>
      <c r="AN135" t="str" cm="1">
        <f t="array" ref="AN135">_xlfn.SWITCH(CleanEmployeeData[[#This Row],[PerformanceRating]],1,"Low",2,"Good",3,"Excellent",4,"Outstanding","Unknown")</f>
        <v>Excellent</v>
      </c>
      <c r="AO135" t="str" cm="1">
        <f t="array" ref="AO135">_xlfn.SWITCH(CleanEmployeeData[[#This Row],[WorkLifeBalance]],1,"Bad",2,"Good",3,"Better",4,"Best","Unknown")</f>
        <v>Better</v>
      </c>
      <c r="AP135">
        <f>IF(CleanEmployeeData[[#This Row],[Attrition]]="Yes",1,IF(CleanEmployeeData[[#This Row],[Attrition]]="No",0,""))</f>
        <v>0</v>
      </c>
      <c r="AQ135" t="str" cm="1">
        <f t="array" ref="AQ135">_xlfn.IFS(CleanEmployeeData[[#This Row],[MonthlyIncome]]&lt;=3000,"0–3,000",CleanEmployeeData[[#This Row],[MonthlyIncome]]&lt;=6000,"3,001–6,000",CleanEmployeeData[[#This Row],[MonthlyIncome]]&lt;=10000,"6,001–10,000",TRUE,"10,001+")</f>
        <v>6,001–10,000</v>
      </c>
      <c r="AR135" t="str" cm="1">
        <f t="array" ref="AR135">_xlfn.IFS(CleanEmployeeData[[#This Row],[DistanceFromHome]]&lt;=5,"0–5 miles",CleanEmployeeData[[#This Row],[DistanceFromHome]]&lt;=10,"6–10 miles",CleanEmployeeData[[#This Row],[DistanceFromHome]]&lt;=15,"11–15 miles",TRUE,"16+ miles")</f>
        <v>6–10 miles</v>
      </c>
      <c r="AS135" t="str" cm="1">
        <f t="array" ref="AS135">_xlfn.IFS(CleanEmployeeData[[#This Row],[YearsAtCompany]]&lt;=1,"0–1 years",CleanEmployeeData[[#This Row],[YearsAtCompany]]&lt;=5,"2–5 years",CleanEmployeeData[[#This Row],[YearsAtCompany]]&lt;=10,"6–10 years",TRUE,"11+ years")</f>
        <v>6–10 years</v>
      </c>
    </row>
    <row r="136" spans="1:4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cm="1">
        <f t="array" ref="AJ136">_xlfn.SWITCH(CleanEmployeeData[[#This Row],[Education]],1,"Below College",2,"College",3,"Bachelor",4,"Master",5,"Doctor","Unknown")</f>
        <v>Below College</v>
      </c>
      <c r="AK136" t="str" cm="1">
        <f t="array" ref="AK136">_xlfn.SWITCH(CleanEmployeeData[[#This Row],[EnvironmentSatisfaction]],1,"Low",2,"Medium",3,"High",4,"Very High","Unknown")</f>
        <v>High</v>
      </c>
      <c r="AL136" t="str" cm="1">
        <f t="array" ref="AL136">_xlfn.SWITCH(CleanEmployeeData[[#This Row],[JobInvolvement]],1,"Low",2,"Medium",3,"High",4,"Very High","Unknown")</f>
        <v>High</v>
      </c>
      <c r="AM136" t="str" cm="1">
        <f t="array" ref="AM136">_xlfn.SWITCH(CleanEmployeeData[[#This Row],[JobSatisfaction]],1,"Low",2,"Medium",3,"High",4,"Very High","Unknown")</f>
        <v>High</v>
      </c>
      <c r="AN136" t="str" cm="1">
        <f t="array" ref="AN136">_xlfn.SWITCH(CleanEmployeeData[[#This Row],[PerformanceRating]],1,"Low",2,"Good",3,"Excellent",4,"Outstanding","Unknown")</f>
        <v>Outstanding</v>
      </c>
      <c r="AO136" t="str" cm="1">
        <f t="array" ref="AO136">_xlfn.SWITCH(CleanEmployeeData[[#This Row],[WorkLifeBalance]],1,"Bad",2,"Good",3,"Better",4,"Best","Unknown")</f>
        <v>Better</v>
      </c>
      <c r="AP136">
        <f>IF(CleanEmployeeData[[#This Row],[Attrition]]="Yes",1,IF(CleanEmployeeData[[#This Row],[Attrition]]="No",0,""))</f>
        <v>0</v>
      </c>
      <c r="AQ136" t="str" cm="1">
        <f t="array" ref="AQ136">_xlfn.IFS(CleanEmployeeData[[#This Row],[MonthlyIncome]]&lt;=3000,"0–3,000",CleanEmployeeData[[#This Row],[MonthlyIncome]]&lt;=6000,"3,001–6,000",CleanEmployeeData[[#This Row],[MonthlyIncome]]&lt;=10000,"6,001–10,000",TRUE,"10,001+")</f>
        <v>0–3,000</v>
      </c>
      <c r="AR136" t="str" cm="1">
        <f t="array" ref="AR136">_xlfn.IFS(CleanEmployeeData[[#This Row],[DistanceFromHome]]&lt;=5,"0–5 miles",CleanEmployeeData[[#This Row],[DistanceFromHome]]&lt;=10,"6–10 miles",CleanEmployeeData[[#This Row],[DistanceFromHome]]&lt;=15,"11–15 miles",TRUE,"16+ miles")</f>
        <v>16+ miles</v>
      </c>
      <c r="AS136" t="str" cm="1">
        <f t="array" ref="AS136">_xlfn.IFS(CleanEmployeeData[[#This Row],[YearsAtCompany]]&lt;=1,"0–1 years",CleanEmployeeData[[#This Row],[YearsAtCompany]]&lt;=5,"2–5 years",CleanEmployeeData[[#This Row],[YearsAtCompany]]&lt;=10,"6–10 years",TRUE,"11+ years")</f>
        <v>6–10 years</v>
      </c>
    </row>
    <row r="137" spans="1:4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cm="1">
        <f t="array" ref="AJ137">_xlfn.SWITCH(CleanEmployeeData[[#This Row],[Education]],1,"Below College",2,"College",3,"Bachelor",4,"Master",5,"Doctor","Unknown")</f>
        <v>College</v>
      </c>
      <c r="AK137" t="str" cm="1">
        <f t="array" ref="AK137">_xlfn.SWITCH(CleanEmployeeData[[#This Row],[EnvironmentSatisfaction]],1,"Low",2,"Medium",3,"High",4,"Very High","Unknown")</f>
        <v>Medium</v>
      </c>
      <c r="AL137" t="str" cm="1">
        <f t="array" ref="AL137">_xlfn.SWITCH(CleanEmployeeData[[#This Row],[JobInvolvement]],1,"Low",2,"Medium",3,"High",4,"Very High","Unknown")</f>
        <v>High</v>
      </c>
      <c r="AM137" t="str" cm="1">
        <f t="array" ref="AM137">_xlfn.SWITCH(CleanEmployeeData[[#This Row],[JobSatisfaction]],1,"Low",2,"Medium",3,"High",4,"Very High","Unknown")</f>
        <v>Medium</v>
      </c>
      <c r="AN137" t="str" cm="1">
        <f t="array" ref="AN137">_xlfn.SWITCH(CleanEmployeeData[[#This Row],[PerformanceRating]],1,"Low",2,"Good",3,"Excellent",4,"Outstanding","Unknown")</f>
        <v>Outstanding</v>
      </c>
      <c r="AO137" t="str" cm="1">
        <f t="array" ref="AO137">_xlfn.SWITCH(CleanEmployeeData[[#This Row],[WorkLifeBalance]],1,"Bad",2,"Good",3,"Better",4,"Best","Unknown")</f>
        <v>Better</v>
      </c>
      <c r="AP137">
        <f>IF(CleanEmployeeData[[#This Row],[Attrition]]="Yes",1,IF(CleanEmployeeData[[#This Row],[Attrition]]="No",0,""))</f>
        <v>0</v>
      </c>
      <c r="AQ137" t="str" cm="1">
        <f t="array" ref="AQ137">_xlfn.IFS(CleanEmployeeData[[#This Row],[MonthlyIncome]]&lt;=3000,"0–3,000",CleanEmployeeData[[#This Row],[MonthlyIncome]]&lt;=6000,"3,001–6,000",CleanEmployeeData[[#This Row],[MonthlyIncome]]&lt;=10000,"6,001–10,000",TRUE,"10,001+")</f>
        <v>3,001–6,000</v>
      </c>
      <c r="AR137" t="str" cm="1">
        <f t="array" ref="AR137">_xlfn.IFS(CleanEmployeeData[[#This Row],[DistanceFromHome]]&lt;=5,"0–5 miles",CleanEmployeeData[[#This Row],[DistanceFromHome]]&lt;=10,"6–10 miles",CleanEmployeeData[[#This Row],[DistanceFromHome]]&lt;=15,"11–15 miles",TRUE,"16+ miles")</f>
        <v>6–10 miles</v>
      </c>
      <c r="AS137" t="str" cm="1">
        <f t="array" ref="AS137">_xlfn.IFS(CleanEmployeeData[[#This Row],[YearsAtCompany]]&lt;=1,"0–1 years",CleanEmployeeData[[#This Row],[YearsAtCompany]]&lt;=5,"2–5 years",CleanEmployeeData[[#This Row],[YearsAtCompany]]&lt;=10,"6–10 years",TRUE,"11+ years")</f>
        <v>2–5 years</v>
      </c>
    </row>
    <row r="138" spans="1:4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cm="1">
        <f t="array" ref="AJ138">_xlfn.SWITCH(CleanEmployeeData[[#This Row],[Education]],1,"Below College",2,"College",3,"Bachelor",4,"Master",5,"Doctor","Unknown")</f>
        <v>Master</v>
      </c>
      <c r="AK138" t="str" cm="1">
        <f t="array" ref="AK138">_xlfn.SWITCH(CleanEmployeeData[[#This Row],[EnvironmentSatisfaction]],1,"Low",2,"Medium",3,"High",4,"Very High","Unknown")</f>
        <v>Low</v>
      </c>
      <c r="AL138" t="str" cm="1">
        <f t="array" ref="AL138">_xlfn.SWITCH(CleanEmployeeData[[#This Row],[JobInvolvement]],1,"Low",2,"Medium",3,"High",4,"Very High","Unknown")</f>
        <v>Low</v>
      </c>
      <c r="AM138" t="str" cm="1">
        <f t="array" ref="AM138">_xlfn.SWITCH(CleanEmployeeData[[#This Row],[JobSatisfaction]],1,"Low",2,"Medium",3,"High",4,"Very High","Unknown")</f>
        <v>Very High</v>
      </c>
      <c r="AN138" t="str" cm="1">
        <f t="array" ref="AN138">_xlfn.SWITCH(CleanEmployeeData[[#This Row],[PerformanceRating]],1,"Low",2,"Good",3,"Excellent",4,"Outstanding","Unknown")</f>
        <v>Excellent</v>
      </c>
      <c r="AO138" t="str" cm="1">
        <f t="array" ref="AO138">_xlfn.SWITCH(CleanEmployeeData[[#This Row],[WorkLifeBalance]],1,"Bad",2,"Good",3,"Better",4,"Best","Unknown")</f>
        <v>Better</v>
      </c>
      <c r="AP138">
        <f>IF(CleanEmployeeData[[#This Row],[Attrition]]="Yes",1,IF(CleanEmployeeData[[#This Row],[Attrition]]="No",0,""))</f>
        <v>1</v>
      </c>
      <c r="AQ138" t="str" cm="1">
        <f t="array" ref="AQ138">_xlfn.IFS(CleanEmployeeData[[#This Row],[MonthlyIncome]]&lt;=3000,"0–3,000",CleanEmployeeData[[#This Row],[MonthlyIncome]]&lt;=6000,"3,001–6,000",CleanEmployeeData[[#This Row],[MonthlyIncome]]&lt;=10000,"6,001–10,000",TRUE,"10,001+")</f>
        <v>10,001+</v>
      </c>
      <c r="AR138" t="str" cm="1">
        <f t="array" ref="AR138">_xlfn.IFS(CleanEmployeeData[[#This Row],[DistanceFromHome]]&lt;=5,"0–5 miles",CleanEmployeeData[[#This Row],[DistanceFromHome]]&lt;=10,"6–10 miles",CleanEmployeeData[[#This Row],[DistanceFromHome]]&lt;=15,"11–15 miles",TRUE,"16+ miles")</f>
        <v>6–10 miles</v>
      </c>
      <c r="AS138" t="str" cm="1">
        <f t="array" ref="AS138">_xlfn.IFS(CleanEmployeeData[[#This Row],[YearsAtCompany]]&lt;=1,"0–1 years",CleanEmployeeData[[#This Row],[YearsAtCompany]]&lt;=5,"2–5 years",CleanEmployeeData[[#This Row],[YearsAtCompany]]&lt;=10,"6–10 years",TRUE,"11+ years")</f>
        <v>2–5 years</v>
      </c>
    </row>
    <row r="139" spans="1:4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cm="1">
        <f t="array" ref="AJ139">_xlfn.SWITCH(CleanEmployeeData[[#This Row],[Education]],1,"Below College",2,"College",3,"Bachelor",4,"Master",5,"Doctor","Unknown")</f>
        <v>Master</v>
      </c>
      <c r="AK139" t="str" cm="1">
        <f t="array" ref="AK139">_xlfn.SWITCH(CleanEmployeeData[[#This Row],[EnvironmentSatisfaction]],1,"Low",2,"Medium",3,"High",4,"Very High","Unknown")</f>
        <v>Very High</v>
      </c>
      <c r="AL139" t="str" cm="1">
        <f t="array" ref="AL139">_xlfn.SWITCH(CleanEmployeeData[[#This Row],[JobInvolvement]],1,"Low",2,"Medium",3,"High",4,"Very High","Unknown")</f>
        <v>Medium</v>
      </c>
      <c r="AM139" t="str" cm="1">
        <f t="array" ref="AM139">_xlfn.SWITCH(CleanEmployeeData[[#This Row],[JobSatisfaction]],1,"Low",2,"Medium",3,"High",4,"Very High","Unknown")</f>
        <v>High</v>
      </c>
      <c r="AN139" t="str" cm="1">
        <f t="array" ref="AN139">_xlfn.SWITCH(CleanEmployeeData[[#This Row],[PerformanceRating]],1,"Low",2,"Good",3,"Excellent",4,"Outstanding","Unknown")</f>
        <v>Excellent</v>
      </c>
      <c r="AO139" t="str" cm="1">
        <f t="array" ref="AO139">_xlfn.SWITCH(CleanEmployeeData[[#This Row],[WorkLifeBalance]],1,"Bad",2,"Good",3,"Better",4,"Best","Unknown")</f>
        <v>Best</v>
      </c>
      <c r="AP139">
        <f>IF(CleanEmployeeData[[#This Row],[Attrition]]="Yes",1,IF(CleanEmployeeData[[#This Row],[Attrition]]="No",0,""))</f>
        <v>0</v>
      </c>
      <c r="AQ139" t="str" cm="1">
        <f t="array" ref="AQ139">_xlfn.IFS(CleanEmployeeData[[#This Row],[MonthlyIncome]]&lt;=3000,"0–3,000",CleanEmployeeData[[#This Row],[MonthlyIncome]]&lt;=6000,"3,001–6,000",CleanEmployeeData[[#This Row],[MonthlyIncome]]&lt;=10000,"6,001–10,000",TRUE,"10,001+")</f>
        <v>3,001–6,000</v>
      </c>
      <c r="AR139" t="str" cm="1">
        <f t="array" ref="AR139">_xlfn.IFS(CleanEmployeeData[[#This Row],[DistanceFromHome]]&lt;=5,"0–5 miles",CleanEmployeeData[[#This Row],[DistanceFromHome]]&lt;=10,"6–10 miles",CleanEmployeeData[[#This Row],[DistanceFromHome]]&lt;=15,"11–15 miles",TRUE,"16+ miles")</f>
        <v>0–5 miles</v>
      </c>
      <c r="AS139" t="str" cm="1">
        <f t="array" ref="AS139">_xlfn.IFS(CleanEmployeeData[[#This Row],[YearsAtCompany]]&lt;=1,"0–1 years",CleanEmployeeData[[#This Row],[YearsAtCompany]]&lt;=5,"2–5 years",CleanEmployeeData[[#This Row],[YearsAtCompany]]&lt;=10,"6–10 years",TRUE,"11+ years")</f>
        <v>11+ years</v>
      </c>
    </row>
    <row r="140" spans="1:4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cm="1">
        <f t="array" ref="AJ140">_xlfn.SWITCH(CleanEmployeeData[[#This Row],[Education]],1,"Below College",2,"College",3,"Bachelor",4,"Master",5,"Doctor","Unknown")</f>
        <v>Bachelor</v>
      </c>
      <c r="AK140" t="str" cm="1">
        <f t="array" ref="AK140">_xlfn.SWITCH(CleanEmployeeData[[#This Row],[EnvironmentSatisfaction]],1,"Low",2,"Medium",3,"High",4,"Very High","Unknown")</f>
        <v>Low</v>
      </c>
      <c r="AL140" t="str" cm="1">
        <f t="array" ref="AL140">_xlfn.SWITCH(CleanEmployeeData[[#This Row],[JobInvolvement]],1,"Low",2,"Medium",3,"High",4,"Very High","Unknown")</f>
        <v>Medium</v>
      </c>
      <c r="AM140" t="str" cm="1">
        <f t="array" ref="AM140">_xlfn.SWITCH(CleanEmployeeData[[#This Row],[JobSatisfaction]],1,"Low",2,"Medium",3,"High",4,"Very High","Unknown")</f>
        <v>High</v>
      </c>
      <c r="AN140" t="str" cm="1">
        <f t="array" ref="AN140">_xlfn.SWITCH(CleanEmployeeData[[#This Row],[PerformanceRating]],1,"Low",2,"Good",3,"Excellent",4,"Outstanding","Unknown")</f>
        <v>Excellent</v>
      </c>
      <c r="AO140" t="str" cm="1">
        <f t="array" ref="AO140">_xlfn.SWITCH(CleanEmployeeData[[#This Row],[WorkLifeBalance]],1,"Bad",2,"Good",3,"Better",4,"Best","Unknown")</f>
        <v>Better</v>
      </c>
      <c r="AP140">
        <f>IF(CleanEmployeeData[[#This Row],[Attrition]]="Yes",1,IF(CleanEmployeeData[[#This Row],[Attrition]]="No",0,""))</f>
        <v>0</v>
      </c>
      <c r="AQ140" t="str" cm="1">
        <f t="array" ref="AQ140">_xlfn.IFS(CleanEmployeeData[[#This Row],[MonthlyIncome]]&lt;=3000,"0–3,000",CleanEmployeeData[[#This Row],[MonthlyIncome]]&lt;=6000,"3,001–6,000",CleanEmployeeData[[#This Row],[MonthlyIncome]]&lt;=10000,"6,001–10,000",TRUE,"10,001+")</f>
        <v>6,001–10,000</v>
      </c>
      <c r="AR140" t="str" cm="1">
        <f t="array" ref="AR140">_xlfn.IFS(CleanEmployeeData[[#This Row],[DistanceFromHome]]&lt;=5,"0–5 miles",CleanEmployeeData[[#This Row],[DistanceFromHome]]&lt;=10,"6–10 miles",CleanEmployeeData[[#This Row],[DistanceFromHome]]&lt;=15,"11–15 miles",TRUE,"16+ miles")</f>
        <v>16+ miles</v>
      </c>
      <c r="AS140" t="str" cm="1">
        <f t="array" ref="AS140">_xlfn.IFS(CleanEmployeeData[[#This Row],[YearsAtCompany]]&lt;=1,"0–1 years",CleanEmployeeData[[#This Row],[YearsAtCompany]]&lt;=5,"2–5 years",CleanEmployeeData[[#This Row],[YearsAtCompany]]&lt;=10,"6–10 years",TRUE,"11+ years")</f>
        <v>2–5 years</v>
      </c>
    </row>
    <row r="141" spans="1:4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cm="1">
        <f t="array" ref="AJ141">_xlfn.SWITCH(CleanEmployeeData[[#This Row],[Education]],1,"Below College",2,"College",3,"Bachelor",4,"Master",5,"Doctor","Unknown")</f>
        <v>Bachelor</v>
      </c>
      <c r="AK141" t="str" cm="1">
        <f t="array" ref="AK141">_xlfn.SWITCH(CleanEmployeeData[[#This Row],[EnvironmentSatisfaction]],1,"Low",2,"Medium",3,"High",4,"Very High","Unknown")</f>
        <v>High</v>
      </c>
      <c r="AL141" t="str" cm="1">
        <f t="array" ref="AL141">_xlfn.SWITCH(CleanEmployeeData[[#This Row],[JobInvolvement]],1,"Low",2,"Medium",3,"High",4,"Very High","Unknown")</f>
        <v>High</v>
      </c>
      <c r="AM141" t="str" cm="1">
        <f t="array" ref="AM141">_xlfn.SWITCH(CleanEmployeeData[[#This Row],[JobSatisfaction]],1,"Low",2,"Medium",3,"High",4,"Very High","Unknown")</f>
        <v>Very High</v>
      </c>
      <c r="AN141" t="str" cm="1">
        <f t="array" ref="AN141">_xlfn.SWITCH(CleanEmployeeData[[#This Row],[PerformanceRating]],1,"Low",2,"Good",3,"Excellent",4,"Outstanding","Unknown")</f>
        <v>Excellent</v>
      </c>
      <c r="AO141" t="str" cm="1">
        <f t="array" ref="AO141">_xlfn.SWITCH(CleanEmployeeData[[#This Row],[WorkLifeBalance]],1,"Bad",2,"Good",3,"Better",4,"Best","Unknown")</f>
        <v>Bad</v>
      </c>
      <c r="AP141">
        <f>IF(CleanEmployeeData[[#This Row],[Attrition]]="Yes",1,IF(CleanEmployeeData[[#This Row],[Attrition]]="No",0,""))</f>
        <v>0</v>
      </c>
      <c r="AQ141" t="str" cm="1">
        <f t="array" ref="AQ141">_xlfn.IFS(CleanEmployeeData[[#This Row],[MonthlyIncome]]&lt;=3000,"0–3,000",CleanEmployeeData[[#This Row],[MonthlyIncome]]&lt;=6000,"3,001–6,000",CleanEmployeeData[[#This Row],[MonthlyIncome]]&lt;=10000,"6,001–10,000",TRUE,"10,001+")</f>
        <v>6,001–10,000</v>
      </c>
      <c r="AR141" t="str" cm="1">
        <f t="array" ref="AR141">_xlfn.IFS(CleanEmployeeData[[#This Row],[DistanceFromHome]]&lt;=5,"0–5 miles",CleanEmployeeData[[#This Row],[DistanceFromHome]]&lt;=10,"6–10 miles",CleanEmployeeData[[#This Row],[DistanceFromHome]]&lt;=15,"11–15 miles",TRUE,"16+ miles")</f>
        <v>6–10 miles</v>
      </c>
      <c r="AS141" t="str" cm="1">
        <f t="array" ref="AS141">_xlfn.IFS(CleanEmployeeData[[#This Row],[YearsAtCompany]]&lt;=1,"0–1 years",CleanEmployeeData[[#This Row],[YearsAtCompany]]&lt;=5,"2–5 years",CleanEmployeeData[[#This Row],[YearsAtCompany]]&lt;=10,"6–10 years",TRUE,"11+ years")</f>
        <v>11+ years</v>
      </c>
    </row>
    <row r="142" spans="1:4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cm="1">
        <f t="array" ref="AJ142">_xlfn.SWITCH(CleanEmployeeData[[#This Row],[Education]],1,"Below College",2,"College",3,"Bachelor",4,"Master",5,"Doctor","Unknown")</f>
        <v>Bachelor</v>
      </c>
      <c r="AK142" t="str" cm="1">
        <f t="array" ref="AK142">_xlfn.SWITCH(CleanEmployeeData[[#This Row],[EnvironmentSatisfaction]],1,"Low",2,"Medium",3,"High",4,"Very High","Unknown")</f>
        <v>Low</v>
      </c>
      <c r="AL142" t="str" cm="1">
        <f t="array" ref="AL142">_xlfn.SWITCH(CleanEmployeeData[[#This Row],[JobInvolvement]],1,"Low",2,"Medium",3,"High",4,"Very High","Unknown")</f>
        <v>High</v>
      </c>
      <c r="AM142" t="str" cm="1">
        <f t="array" ref="AM142">_xlfn.SWITCH(CleanEmployeeData[[#This Row],[JobSatisfaction]],1,"Low",2,"Medium",3,"High",4,"Very High","Unknown")</f>
        <v>Low</v>
      </c>
      <c r="AN142" t="str" cm="1">
        <f t="array" ref="AN142">_xlfn.SWITCH(CleanEmployeeData[[#This Row],[PerformanceRating]],1,"Low",2,"Good",3,"Excellent",4,"Outstanding","Unknown")</f>
        <v>Outstanding</v>
      </c>
      <c r="AO142" t="str" cm="1">
        <f t="array" ref="AO142">_xlfn.SWITCH(CleanEmployeeData[[#This Row],[WorkLifeBalance]],1,"Bad",2,"Good",3,"Better",4,"Best","Unknown")</f>
        <v>Best</v>
      </c>
      <c r="AP142">
        <f>IF(CleanEmployeeData[[#This Row],[Attrition]]="Yes",1,IF(CleanEmployeeData[[#This Row],[Attrition]]="No",0,""))</f>
        <v>1</v>
      </c>
      <c r="AQ142" t="str" cm="1">
        <f t="array" ref="AQ142">_xlfn.IFS(CleanEmployeeData[[#This Row],[MonthlyIncome]]&lt;=3000,"0–3,000",CleanEmployeeData[[#This Row],[MonthlyIncome]]&lt;=6000,"3,001–6,000",CleanEmployeeData[[#This Row],[MonthlyIncome]]&lt;=10000,"6,001–10,000",TRUE,"10,001+")</f>
        <v>3,001–6,000</v>
      </c>
      <c r="AR142" t="str" cm="1">
        <f t="array" ref="AR142">_xlfn.IFS(CleanEmployeeData[[#This Row],[DistanceFromHome]]&lt;=5,"0–5 miles",CleanEmployeeData[[#This Row],[DistanceFromHome]]&lt;=10,"6–10 miles",CleanEmployeeData[[#This Row],[DistanceFromHome]]&lt;=15,"11–15 miles",TRUE,"16+ miles")</f>
        <v>6–10 miles</v>
      </c>
      <c r="AS142" t="str" cm="1">
        <f t="array" ref="AS142">_xlfn.IFS(CleanEmployeeData[[#This Row],[YearsAtCompany]]&lt;=1,"0–1 years",CleanEmployeeData[[#This Row],[YearsAtCompany]]&lt;=5,"2–5 years",CleanEmployeeData[[#This Row],[YearsAtCompany]]&lt;=10,"6–10 years",TRUE,"11+ years")</f>
        <v>2–5 years</v>
      </c>
    </row>
    <row r="143" spans="1:4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cm="1">
        <f t="array" ref="AJ143">_xlfn.SWITCH(CleanEmployeeData[[#This Row],[Education]],1,"Below College",2,"College",3,"Bachelor",4,"Master",5,"Doctor","Unknown")</f>
        <v>Bachelor</v>
      </c>
      <c r="AK143" t="str" cm="1">
        <f t="array" ref="AK143">_xlfn.SWITCH(CleanEmployeeData[[#This Row],[EnvironmentSatisfaction]],1,"Low",2,"Medium",3,"High",4,"Very High","Unknown")</f>
        <v>High</v>
      </c>
      <c r="AL143" t="str" cm="1">
        <f t="array" ref="AL143">_xlfn.SWITCH(CleanEmployeeData[[#This Row],[JobInvolvement]],1,"Low",2,"Medium",3,"High",4,"Very High","Unknown")</f>
        <v>High</v>
      </c>
      <c r="AM143" t="str" cm="1">
        <f t="array" ref="AM143">_xlfn.SWITCH(CleanEmployeeData[[#This Row],[JobSatisfaction]],1,"Low",2,"Medium",3,"High",4,"Very High","Unknown")</f>
        <v>Very High</v>
      </c>
      <c r="AN143" t="str" cm="1">
        <f t="array" ref="AN143">_xlfn.SWITCH(CleanEmployeeData[[#This Row],[PerformanceRating]],1,"Low",2,"Good",3,"Excellent",4,"Outstanding","Unknown")</f>
        <v>Excellent</v>
      </c>
      <c r="AO143" t="str" cm="1">
        <f t="array" ref="AO143">_xlfn.SWITCH(CleanEmployeeData[[#This Row],[WorkLifeBalance]],1,"Bad",2,"Good",3,"Better",4,"Best","Unknown")</f>
        <v>Good</v>
      </c>
      <c r="AP143">
        <f>IF(CleanEmployeeData[[#This Row],[Attrition]]="Yes",1,IF(CleanEmployeeData[[#This Row],[Attrition]]="No",0,""))</f>
        <v>0</v>
      </c>
      <c r="AQ143" t="str" cm="1">
        <f t="array" ref="AQ143">_xlfn.IFS(CleanEmployeeData[[#This Row],[MonthlyIncome]]&lt;=3000,"0–3,000",CleanEmployeeData[[#This Row],[MonthlyIncome]]&lt;=6000,"3,001–6,000",CleanEmployeeData[[#This Row],[MonthlyIncome]]&lt;=10000,"6,001–10,000",TRUE,"10,001+")</f>
        <v>3,001–6,000</v>
      </c>
      <c r="AR143" t="str" cm="1">
        <f t="array" ref="AR143">_xlfn.IFS(CleanEmployeeData[[#This Row],[DistanceFromHome]]&lt;=5,"0–5 miles",CleanEmployeeData[[#This Row],[DistanceFromHome]]&lt;=10,"6–10 miles",CleanEmployeeData[[#This Row],[DistanceFromHome]]&lt;=15,"11–15 miles",TRUE,"16+ miles")</f>
        <v>16+ miles</v>
      </c>
      <c r="AS143" t="str" cm="1">
        <f t="array" ref="AS143">_xlfn.IFS(CleanEmployeeData[[#This Row],[YearsAtCompany]]&lt;=1,"0–1 years",CleanEmployeeData[[#This Row],[YearsAtCompany]]&lt;=5,"2–5 years",CleanEmployeeData[[#This Row],[YearsAtCompany]]&lt;=10,"6–10 years",TRUE,"11+ years")</f>
        <v>6–10 years</v>
      </c>
    </row>
    <row r="144" spans="1:4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cm="1">
        <f t="array" ref="AJ144">_xlfn.SWITCH(CleanEmployeeData[[#This Row],[Education]],1,"Below College",2,"College",3,"Bachelor",4,"Master",5,"Doctor","Unknown")</f>
        <v>Doctor</v>
      </c>
      <c r="AK144" t="str" cm="1">
        <f t="array" ref="AK144">_xlfn.SWITCH(CleanEmployeeData[[#This Row],[EnvironmentSatisfaction]],1,"Low",2,"Medium",3,"High",4,"Very High","Unknown")</f>
        <v>Very High</v>
      </c>
      <c r="AL144" t="str" cm="1">
        <f t="array" ref="AL144">_xlfn.SWITCH(CleanEmployeeData[[#This Row],[JobInvolvement]],1,"Low",2,"Medium",3,"High",4,"Very High","Unknown")</f>
        <v>High</v>
      </c>
      <c r="AM144" t="str" cm="1">
        <f t="array" ref="AM144">_xlfn.SWITCH(CleanEmployeeData[[#This Row],[JobSatisfaction]],1,"Low",2,"Medium",3,"High",4,"Very High","Unknown")</f>
        <v>High</v>
      </c>
      <c r="AN144" t="str" cm="1">
        <f t="array" ref="AN144">_xlfn.SWITCH(CleanEmployeeData[[#This Row],[PerformanceRating]],1,"Low",2,"Good",3,"Excellent",4,"Outstanding","Unknown")</f>
        <v>Outstanding</v>
      </c>
      <c r="AO144" t="str" cm="1">
        <f t="array" ref="AO144">_xlfn.SWITCH(CleanEmployeeData[[#This Row],[WorkLifeBalance]],1,"Bad",2,"Good",3,"Better",4,"Best","Unknown")</f>
        <v>Better</v>
      </c>
      <c r="AP144">
        <f>IF(CleanEmployeeData[[#This Row],[Attrition]]="Yes",1,IF(CleanEmployeeData[[#This Row],[Attrition]]="No",0,""))</f>
        <v>0</v>
      </c>
      <c r="AQ144" t="str" cm="1">
        <f t="array" ref="AQ144">_xlfn.IFS(CleanEmployeeData[[#This Row],[MonthlyIncome]]&lt;=3000,"0–3,000",CleanEmployeeData[[#This Row],[MonthlyIncome]]&lt;=6000,"3,001–6,000",CleanEmployeeData[[#This Row],[MonthlyIncome]]&lt;=10000,"6,001–10,000",TRUE,"10,001+")</f>
        <v>3,001–6,000</v>
      </c>
      <c r="AR144" t="str" cm="1">
        <f t="array" ref="AR144">_xlfn.IFS(CleanEmployeeData[[#This Row],[DistanceFromHome]]&lt;=5,"0–5 miles",CleanEmployeeData[[#This Row],[DistanceFromHome]]&lt;=10,"6–10 miles",CleanEmployeeData[[#This Row],[DistanceFromHome]]&lt;=15,"11–15 miles",TRUE,"16+ miles")</f>
        <v>0–5 miles</v>
      </c>
      <c r="AS144" t="str" cm="1">
        <f t="array" ref="AS144">_xlfn.IFS(CleanEmployeeData[[#This Row],[YearsAtCompany]]&lt;=1,"0–1 years",CleanEmployeeData[[#This Row],[YearsAtCompany]]&lt;=5,"2–5 years",CleanEmployeeData[[#This Row],[YearsAtCompany]]&lt;=10,"6–10 years",TRUE,"11+ years")</f>
        <v>2–5 years</v>
      </c>
    </row>
    <row r="145" spans="1:4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cm="1">
        <f t="array" ref="AJ145">_xlfn.SWITCH(CleanEmployeeData[[#This Row],[Education]],1,"Below College",2,"College",3,"Bachelor",4,"Master",5,"Doctor","Unknown")</f>
        <v>Bachelor</v>
      </c>
      <c r="AK145" t="str" cm="1">
        <f t="array" ref="AK145">_xlfn.SWITCH(CleanEmployeeData[[#This Row],[EnvironmentSatisfaction]],1,"Low",2,"Medium",3,"High",4,"Very High","Unknown")</f>
        <v>Low</v>
      </c>
      <c r="AL145" t="str" cm="1">
        <f t="array" ref="AL145">_xlfn.SWITCH(CleanEmployeeData[[#This Row],[JobInvolvement]],1,"Low",2,"Medium",3,"High",4,"Very High","Unknown")</f>
        <v>High</v>
      </c>
      <c r="AM145" t="str" cm="1">
        <f t="array" ref="AM145">_xlfn.SWITCH(CleanEmployeeData[[#This Row],[JobSatisfaction]],1,"Low",2,"Medium",3,"High",4,"Very High","Unknown")</f>
        <v>High</v>
      </c>
      <c r="AN145" t="str" cm="1">
        <f t="array" ref="AN145">_xlfn.SWITCH(CleanEmployeeData[[#This Row],[PerformanceRating]],1,"Low",2,"Good",3,"Excellent",4,"Outstanding","Unknown")</f>
        <v>Excellent</v>
      </c>
      <c r="AO145" t="str" cm="1">
        <f t="array" ref="AO145">_xlfn.SWITCH(CleanEmployeeData[[#This Row],[WorkLifeBalance]],1,"Bad",2,"Good",3,"Better",4,"Best","Unknown")</f>
        <v>Good</v>
      </c>
      <c r="AP145">
        <f>IF(CleanEmployeeData[[#This Row],[Attrition]]="Yes",1,IF(CleanEmployeeData[[#This Row],[Attrition]]="No",0,""))</f>
        <v>0</v>
      </c>
      <c r="AQ145" t="str" cm="1">
        <f t="array" ref="AQ145">_xlfn.IFS(CleanEmployeeData[[#This Row],[MonthlyIncome]]&lt;=3000,"0–3,000",CleanEmployeeData[[#This Row],[MonthlyIncome]]&lt;=6000,"3,001–6,000",CleanEmployeeData[[#This Row],[MonthlyIncome]]&lt;=10000,"6,001–10,000",TRUE,"10,001+")</f>
        <v>0–3,000</v>
      </c>
      <c r="AR145" t="str" cm="1">
        <f t="array" ref="AR145">_xlfn.IFS(CleanEmployeeData[[#This Row],[DistanceFromHome]]&lt;=5,"0–5 miles",CleanEmployeeData[[#This Row],[DistanceFromHome]]&lt;=10,"6–10 miles",CleanEmployeeData[[#This Row],[DistanceFromHome]]&lt;=15,"11–15 miles",TRUE,"16+ miles")</f>
        <v>16+ miles</v>
      </c>
      <c r="AS145" t="str" cm="1">
        <f t="array" ref="AS145">_xlfn.IFS(CleanEmployeeData[[#This Row],[YearsAtCompany]]&lt;=1,"0–1 years",CleanEmployeeData[[#This Row],[YearsAtCompany]]&lt;=5,"2–5 years",CleanEmployeeData[[#This Row],[YearsAtCompany]]&lt;=10,"6–10 years",TRUE,"11+ years")</f>
        <v>2–5 years</v>
      </c>
    </row>
    <row r="146" spans="1:4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cm="1">
        <f t="array" ref="AJ146">_xlfn.SWITCH(CleanEmployeeData[[#This Row],[Education]],1,"Below College",2,"College",3,"Bachelor",4,"Master",5,"Doctor","Unknown")</f>
        <v>College</v>
      </c>
      <c r="AK146" t="str" cm="1">
        <f t="array" ref="AK146">_xlfn.SWITCH(CleanEmployeeData[[#This Row],[EnvironmentSatisfaction]],1,"Low",2,"Medium",3,"High",4,"Very High","Unknown")</f>
        <v>Very High</v>
      </c>
      <c r="AL146" t="str" cm="1">
        <f t="array" ref="AL146">_xlfn.SWITCH(CleanEmployeeData[[#This Row],[JobInvolvement]],1,"Low",2,"Medium",3,"High",4,"Very High","Unknown")</f>
        <v>Low</v>
      </c>
      <c r="AM146" t="str" cm="1">
        <f t="array" ref="AM146">_xlfn.SWITCH(CleanEmployeeData[[#This Row],[JobSatisfaction]],1,"Low",2,"Medium",3,"High",4,"Very High","Unknown")</f>
        <v>Very High</v>
      </c>
      <c r="AN146" t="str" cm="1">
        <f t="array" ref="AN146">_xlfn.SWITCH(CleanEmployeeData[[#This Row],[PerformanceRating]],1,"Low",2,"Good",3,"Excellent",4,"Outstanding","Unknown")</f>
        <v>Excellent</v>
      </c>
      <c r="AO146" t="str" cm="1">
        <f t="array" ref="AO146">_xlfn.SWITCH(CleanEmployeeData[[#This Row],[WorkLifeBalance]],1,"Bad",2,"Good",3,"Better",4,"Best","Unknown")</f>
        <v>Best</v>
      </c>
      <c r="AP146">
        <f>IF(CleanEmployeeData[[#This Row],[Attrition]]="Yes",1,IF(CleanEmployeeData[[#This Row],[Attrition]]="No",0,""))</f>
        <v>0</v>
      </c>
      <c r="AQ146" t="str" cm="1">
        <f t="array" ref="AQ146">_xlfn.IFS(CleanEmployeeData[[#This Row],[MonthlyIncome]]&lt;=3000,"0–3,000",CleanEmployeeData[[#This Row],[MonthlyIncome]]&lt;=6000,"3,001–6,000",CleanEmployeeData[[#This Row],[MonthlyIncome]]&lt;=10000,"6,001–10,000",TRUE,"10,001+")</f>
        <v>3,001–6,000</v>
      </c>
      <c r="AR146" t="str" cm="1">
        <f t="array" ref="AR146">_xlfn.IFS(CleanEmployeeData[[#This Row],[DistanceFromHome]]&lt;=5,"0–5 miles",CleanEmployeeData[[#This Row],[DistanceFromHome]]&lt;=10,"6–10 miles",CleanEmployeeData[[#This Row],[DistanceFromHome]]&lt;=15,"11–15 miles",TRUE,"16+ miles")</f>
        <v>6–10 miles</v>
      </c>
      <c r="AS146" t="str" cm="1">
        <f t="array" ref="AS146">_xlfn.IFS(CleanEmployeeData[[#This Row],[YearsAtCompany]]&lt;=1,"0–1 years",CleanEmployeeData[[#This Row],[YearsAtCompany]]&lt;=5,"2–5 years",CleanEmployeeData[[#This Row],[YearsAtCompany]]&lt;=10,"6–10 years",TRUE,"11+ years")</f>
        <v>6–10 years</v>
      </c>
    </row>
    <row r="147" spans="1:4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cm="1">
        <f t="array" ref="AJ147">_xlfn.SWITCH(CleanEmployeeData[[#This Row],[Education]],1,"Below College",2,"College",3,"Bachelor",4,"Master",5,"Doctor","Unknown")</f>
        <v>Bachelor</v>
      </c>
      <c r="AK147" t="str" cm="1">
        <f t="array" ref="AK147">_xlfn.SWITCH(CleanEmployeeData[[#This Row],[EnvironmentSatisfaction]],1,"Low",2,"Medium",3,"High",4,"Very High","Unknown")</f>
        <v>Very High</v>
      </c>
      <c r="AL147" t="str" cm="1">
        <f t="array" ref="AL147">_xlfn.SWITCH(CleanEmployeeData[[#This Row],[JobInvolvement]],1,"Low",2,"Medium",3,"High",4,"Very High","Unknown")</f>
        <v>High</v>
      </c>
      <c r="AM147" t="str" cm="1">
        <f t="array" ref="AM147">_xlfn.SWITCH(CleanEmployeeData[[#This Row],[JobSatisfaction]],1,"Low",2,"Medium",3,"High",4,"Very High","Unknown")</f>
        <v>Low</v>
      </c>
      <c r="AN147" t="str" cm="1">
        <f t="array" ref="AN147">_xlfn.SWITCH(CleanEmployeeData[[#This Row],[PerformanceRating]],1,"Low",2,"Good",3,"Excellent",4,"Outstanding","Unknown")</f>
        <v>Excellent</v>
      </c>
      <c r="AO147" t="str" cm="1">
        <f t="array" ref="AO147">_xlfn.SWITCH(CleanEmployeeData[[#This Row],[WorkLifeBalance]],1,"Bad",2,"Good",3,"Better",4,"Best","Unknown")</f>
        <v>Better</v>
      </c>
      <c r="AP147">
        <f>IF(CleanEmployeeData[[#This Row],[Attrition]]="Yes",1,IF(CleanEmployeeData[[#This Row],[Attrition]]="No",0,""))</f>
        <v>0</v>
      </c>
      <c r="AQ147" t="str" cm="1">
        <f t="array" ref="AQ147">_xlfn.IFS(CleanEmployeeData[[#This Row],[MonthlyIncome]]&lt;=3000,"0–3,000",CleanEmployeeData[[#This Row],[MonthlyIncome]]&lt;=6000,"3,001–6,000",CleanEmployeeData[[#This Row],[MonthlyIncome]]&lt;=10000,"6,001–10,000",TRUE,"10,001+")</f>
        <v>3,001–6,000</v>
      </c>
      <c r="AR147" t="str" cm="1">
        <f t="array" ref="AR147">_xlfn.IFS(CleanEmployeeData[[#This Row],[DistanceFromHome]]&lt;=5,"0–5 miles",CleanEmployeeData[[#This Row],[DistanceFromHome]]&lt;=10,"6–10 miles",CleanEmployeeData[[#This Row],[DistanceFromHome]]&lt;=15,"11–15 miles",TRUE,"16+ miles")</f>
        <v>0–5 miles</v>
      </c>
      <c r="AS147" t="str" cm="1">
        <f t="array" ref="AS147">_xlfn.IFS(CleanEmployeeData[[#This Row],[YearsAtCompany]]&lt;=1,"0–1 years",CleanEmployeeData[[#This Row],[YearsAtCompany]]&lt;=5,"2–5 years",CleanEmployeeData[[#This Row],[YearsAtCompany]]&lt;=10,"6–10 years",TRUE,"11+ years")</f>
        <v>2–5 years</v>
      </c>
    </row>
    <row r="148" spans="1:4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cm="1">
        <f t="array" ref="AJ148">_xlfn.SWITCH(CleanEmployeeData[[#This Row],[Education]],1,"Below College",2,"College",3,"Bachelor",4,"Master",5,"Doctor","Unknown")</f>
        <v>Below College</v>
      </c>
      <c r="AK148" t="str" cm="1">
        <f t="array" ref="AK148">_xlfn.SWITCH(CleanEmployeeData[[#This Row],[EnvironmentSatisfaction]],1,"Low",2,"Medium",3,"High",4,"Very High","Unknown")</f>
        <v>Medium</v>
      </c>
      <c r="AL148" t="str" cm="1">
        <f t="array" ref="AL148">_xlfn.SWITCH(CleanEmployeeData[[#This Row],[JobInvolvement]],1,"Low",2,"Medium",3,"High",4,"Very High","Unknown")</f>
        <v>Medium</v>
      </c>
      <c r="AM148" t="str" cm="1">
        <f t="array" ref="AM148">_xlfn.SWITCH(CleanEmployeeData[[#This Row],[JobSatisfaction]],1,"Low",2,"Medium",3,"High",4,"Very High","Unknown")</f>
        <v>Very High</v>
      </c>
      <c r="AN148" t="str" cm="1">
        <f t="array" ref="AN148">_xlfn.SWITCH(CleanEmployeeData[[#This Row],[PerformanceRating]],1,"Low",2,"Good",3,"Excellent",4,"Outstanding","Unknown")</f>
        <v>Excellent</v>
      </c>
      <c r="AO148" t="str" cm="1">
        <f t="array" ref="AO148">_xlfn.SWITCH(CleanEmployeeData[[#This Row],[WorkLifeBalance]],1,"Bad",2,"Good",3,"Better",4,"Best","Unknown")</f>
        <v>Better</v>
      </c>
      <c r="AP148">
        <f>IF(CleanEmployeeData[[#This Row],[Attrition]]="Yes",1,IF(CleanEmployeeData[[#This Row],[Attrition]]="No",0,""))</f>
        <v>0</v>
      </c>
      <c r="AQ148" t="str" cm="1">
        <f t="array" ref="AQ148">_xlfn.IFS(CleanEmployeeData[[#This Row],[MonthlyIncome]]&lt;=3000,"0–3,000",CleanEmployeeData[[#This Row],[MonthlyIncome]]&lt;=6000,"3,001–6,000",CleanEmployeeData[[#This Row],[MonthlyIncome]]&lt;=10000,"6,001–10,000",TRUE,"10,001+")</f>
        <v>0–3,000</v>
      </c>
      <c r="AR148" t="str" cm="1">
        <f t="array" ref="AR148">_xlfn.IFS(CleanEmployeeData[[#This Row],[DistanceFromHome]]&lt;=5,"0–5 miles",CleanEmployeeData[[#This Row],[DistanceFromHome]]&lt;=10,"6–10 miles",CleanEmployeeData[[#This Row],[DistanceFromHome]]&lt;=15,"11–15 miles",TRUE,"16+ miles")</f>
        <v>0–5 miles</v>
      </c>
      <c r="AS148" t="str" cm="1">
        <f t="array" ref="AS148">_xlfn.IFS(CleanEmployeeData[[#This Row],[YearsAtCompany]]&lt;=1,"0–1 years",CleanEmployeeData[[#This Row],[YearsAtCompany]]&lt;=5,"2–5 years",CleanEmployeeData[[#This Row],[YearsAtCompany]]&lt;=10,"6–10 years",TRUE,"11+ years")</f>
        <v>2–5 years</v>
      </c>
    </row>
    <row r="149" spans="1:4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cm="1">
        <f t="array" ref="AJ149">_xlfn.SWITCH(CleanEmployeeData[[#This Row],[Education]],1,"Below College",2,"College",3,"Bachelor",4,"Master",5,"Doctor","Unknown")</f>
        <v>Bachelor</v>
      </c>
      <c r="AK149" t="str" cm="1">
        <f t="array" ref="AK149">_xlfn.SWITCH(CleanEmployeeData[[#This Row],[EnvironmentSatisfaction]],1,"Low",2,"Medium",3,"High",4,"Very High","Unknown")</f>
        <v>Very High</v>
      </c>
      <c r="AL149" t="str" cm="1">
        <f t="array" ref="AL149">_xlfn.SWITCH(CleanEmployeeData[[#This Row],[JobInvolvement]],1,"Low",2,"Medium",3,"High",4,"Very High","Unknown")</f>
        <v>Medium</v>
      </c>
      <c r="AM149" t="str" cm="1">
        <f t="array" ref="AM149">_xlfn.SWITCH(CleanEmployeeData[[#This Row],[JobSatisfaction]],1,"Low",2,"Medium",3,"High",4,"Very High","Unknown")</f>
        <v>Low</v>
      </c>
      <c r="AN149" t="str" cm="1">
        <f t="array" ref="AN149">_xlfn.SWITCH(CleanEmployeeData[[#This Row],[PerformanceRating]],1,"Low",2,"Good",3,"Excellent",4,"Outstanding","Unknown")</f>
        <v>Excellent</v>
      </c>
      <c r="AO149" t="str" cm="1">
        <f t="array" ref="AO149">_xlfn.SWITCH(CleanEmployeeData[[#This Row],[WorkLifeBalance]],1,"Bad",2,"Good",3,"Better",4,"Best","Unknown")</f>
        <v>Good</v>
      </c>
      <c r="AP149">
        <f>IF(CleanEmployeeData[[#This Row],[Attrition]]="Yes",1,IF(CleanEmployeeData[[#This Row],[Attrition]]="No",0,""))</f>
        <v>0</v>
      </c>
      <c r="AQ149" t="str" cm="1">
        <f t="array" ref="AQ149">_xlfn.IFS(CleanEmployeeData[[#This Row],[MonthlyIncome]]&lt;=3000,"0–3,000",CleanEmployeeData[[#This Row],[MonthlyIncome]]&lt;=6000,"3,001–6,000",CleanEmployeeData[[#This Row],[MonthlyIncome]]&lt;=10000,"6,001–10,000",TRUE,"10,001+")</f>
        <v>10,001+</v>
      </c>
      <c r="AR149" t="str" cm="1">
        <f t="array" ref="AR149">_xlfn.IFS(CleanEmployeeData[[#This Row],[DistanceFromHome]]&lt;=5,"0–5 miles",CleanEmployeeData[[#This Row],[DistanceFromHome]]&lt;=10,"6–10 miles",CleanEmployeeData[[#This Row],[DistanceFromHome]]&lt;=15,"11–15 miles",TRUE,"16+ miles")</f>
        <v>6–10 miles</v>
      </c>
      <c r="AS149" t="str" cm="1">
        <f t="array" ref="AS149">_xlfn.IFS(CleanEmployeeData[[#This Row],[YearsAtCompany]]&lt;=1,"0–1 years",CleanEmployeeData[[#This Row],[YearsAtCompany]]&lt;=5,"2–5 years",CleanEmployeeData[[#This Row],[YearsAtCompany]]&lt;=10,"6–10 years",TRUE,"11+ years")</f>
        <v>6–10 years</v>
      </c>
    </row>
    <row r="150" spans="1:4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cm="1">
        <f t="array" ref="AJ150">_xlfn.SWITCH(CleanEmployeeData[[#This Row],[Education]],1,"Below College",2,"College",3,"Bachelor",4,"Master",5,"Doctor","Unknown")</f>
        <v>Master</v>
      </c>
      <c r="AK150" t="str" cm="1">
        <f t="array" ref="AK150">_xlfn.SWITCH(CleanEmployeeData[[#This Row],[EnvironmentSatisfaction]],1,"Low",2,"Medium",3,"High",4,"Very High","Unknown")</f>
        <v>High</v>
      </c>
      <c r="AL150" t="str" cm="1">
        <f t="array" ref="AL150">_xlfn.SWITCH(CleanEmployeeData[[#This Row],[JobInvolvement]],1,"Low",2,"Medium",3,"High",4,"Very High","Unknown")</f>
        <v>High</v>
      </c>
      <c r="AM150" t="str" cm="1">
        <f t="array" ref="AM150">_xlfn.SWITCH(CleanEmployeeData[[#This Row],[JobSatisfaction]],1,"Low",2,"Medium",3,"High",4,"Very High","Unknown")</f>
        <v>Low</v>
      </c>
      <c r="AN150" t="str" cm="1">
        <f t="array" ref="AN150">_xlfn.SWITCH(CleanEmployeeData[[#This Row],[PerformanceRating]],1,"Low",2,"Good",3,"Excellent",4,"Outstanding","Unknown")</f>
        <v>Outstanding</v>
      </c>
      <c r="AO150" t="str" cm="1">
        <f t="array" ref="AO150">_xlfn.SWITCH(CleanEmployeeData[[#This Row],[WorkLifeBalance]],1,"Bad",2,"Good",3,"Better",4,"Best","Unknown")</f>
        <v>Better</v>
      </c>
      <c r="AP150">
        <f>IF(CleanEmployeeData[[#This Row],[Attrition]]="Yes",1,IF(CleanEmployeeData[[#This Row],[Attrition]]="No",0,""))</f>
        <v>0</v>
      </c>
      <c r="AQ150" t="str" cm="1">
        <f t="array" ref="AQ150">_xlfn.IFS(CleanEmployeeData[[#This Row],[MonthlyIncome]]&lt;=3000,"0–3,000",CleanEmployeeData[[#This Row],[MonthlyIncome]]&lt;=6000,"3,001–6,000",CleanEmployeeData[[#This Row],[MonthlyIncome]]&lt;=10000,"6,001–10,000",TRUE,"10,001+")</f>
        <v>0–3,000</v>
      </c>
      <c r="AR150" t="str" cm="1">
        <f t="array" ref="AR150">_xlfn.IFS(CleanEmployeeData[[#This Row],[DistanceFromHome]]&lt;=5,"0–5 miles",CleanEmployeeData[[#This Row],[DistanceFromHome]]&lt;=10,"6–10 miles",CleanEmployeeData[[#This Row],[DistanceFromHome]]&lt;=15,"11–15 miles",TRUE,"16+ miles")</f>
        <v>6–10 miles</v>
      </c>
      <c r="AS150" t="str" cm="1">
        <f t="array" ref="AS150">_xlfn.IFS(CleanEmployeeData[[#This Row],[YearsAtCompany]]&lt;=1,"0–1 years",CleanEmployeeData[[#This Row],[YearsAtCompany]]&lt;=5,"2–5 years",CleanEmployeeData[[#This Row],[YearsAtCompany]]&lt;=10,"6–10 years",TRUE,"11+ years")</f>
        <v>2–5 years</v>
      </c>
    </row>
    <row r="151" spans="1:4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cm="1">
        <f t="array" ref="AJ151">_xlfn.SWITCH(CleanEmployeeData[[#This Row],[Education]],1,"Below College",2,"College",3,"Bachelor",4,"Master",5,"Doctor","Unknown")</f>
        <v>Below College</v>
      </c>
      <c r="AK151" t="str" cm="1">
        <f t="array" ref="AK151">_xlfn.SWITCH(CleanEmployeeData[[#This Row],[EnvironmentSatisfaction]],1,"Low",2,"Medium",3,"High",4,"Very High","Unknown")</f>
        <v>Medium</v>
      </c>
      <c r="AL151" t="str" cm="1">
        <f t="array" ref="AL151">_xlfn.SWITCH(CleanEmployeeData[[#This Row],[JobInvolvement]],1,"Low",2,"Medium",3,"High",4,"Very High","Unknown")</f>
        <v>High</v>
      </c>
      <c r="AM151" t="str" cm="1">
        <f t="array" ref="AM151">_xlfn.SWITCH(CleanEmployeeData[[#This Row],[JobSatisfaction]],1,"Low",2,"Medium",3,"High",4,"Very High","Unknown")</f>
        <v>Medium</v>
      </c>
      <c r="AN151" t="str" cm="1">
        <f t="array" ref="AN151">_xlfn.SWITCH(CleanEmployeeData[[#This Row],[PerformanceRating]],1,"Low",2,"Good",3,"Excellent",4,"Outstanding","Unknown")</f>
        <v>Excellent</v>
      </c>
      <c r="AO151" t="str" cm="1">
        <f t="array" ref="AO151">_xlfn.SWITCH(CleanEmployeeData[[#This Row],[WorkLifeBalance]],1,"Bad",2,"Good",3,"Better",4,"Best","Unknown")</f>
        <v>Better</v>
      </c>
      <c r="AP151">
        <f>IF(CleanEmployeeData[[#This Row],[Attrition]]="Yes",1,IF(CleanEmployeeData[[#This Row],[Attrition]]="No",0,""))</f>
        <v>0</v>
      </c>
      <c r="AQ151" t="str" cm="1">
        <f t="array" ref="AQ151">_xlfn.IFS(CleanEmployeeData[[#This Row],[MonthlyIncome]]&lt;=3000,"0–3,000",CleanEmployeeData[[#This Row],[MonthlyIncome]]&lt;=6000,"3,001–6,000",CleanEmployeeData[[#This Row],[MonthlyIncome]]&lt;=10000,"6,001–10,000",TRUE,"10,001+")</f>
        <v>0–3,000</v>
      </c>
      <c r="AR151" t="str" cm="1">
        <f t="array" ref="AR151">_xlfn.IFS(CleanEmployeeData[[#This Row],[DistanceFromHome]]&lt;=5,"0–5 miles",CleanEmployeeData[[#This Row],[DistanceFromHome]]&lt;=10,"6–10 miles",CleanEmployeeData[[#This Row],[DistanceFromHome]]&lt;=15,"11–15 miles",TRUE,"16+ miles")</f>
        <v>0–5 miles</v>
      </c>
      <c r="AS151" t="str" cm="1">
        <f t="array" ref="AS151">_xlfn.IFS(CleanEmployeeData[[#This Row],[YearsAtCompany]]&lt;=1,"0–1 years",CleanEmployeeData[[#This Row],[YearsAtCompany]]&lt;=5,"2–5 years",CleanEmployeeData[[#This Row],[YearsAtCompany]]&lt;=10,"6–10 years",TRUE,"11+ years")</f>
        <v>0–1 years</v>
      </c>
    </row>
    <row r="152" spans="1:4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cm="1">
        <f t="array" ref="AJ152">_xlfn.SWITCH(CleanEmployeeData[[#This Row],[Education]],1,"Below College",2,"College",3,"Bachelor",4,"Master",5,"Doctor","Unknown")</f>
        <v>Bachelor</v>
      </c>
      <c r="AK152" t="str" cm="1">
        <f t="array" ref="AK152">_xlfn.SWITCH(CleanEmployeeData[[#This Row],[EnvironmentSatisfaction]],1,"Low",2,"Medium",3,"High",4,"Very High","Unknown")</f>
        <v>Medium</v>
      </c>
      <c r="AL152" t="str" cm="1">
        <f t="array" ref="AL152">_xlfn.SWITCH(CleanEmployeeData[[#This Row],[JobInvolvement]],1,"Low",2,"Medium",3,"High",4,"Very High","Unknown")</f>
        <v>High</v>
      </c>
      <c r="AM152" t="str" cm="1">
        <f t="array" ref="AM152">_xlfn.SWITCH(CleanEmployeeData[[#This Row],[JobSatisfaction]],1,"Low",2,"Medium",3,"High",4,"Very High","Unknown")</f>
        <v>Medium</v>
      </c>
      <c r="AN152" t="str" cm="1">
        <f t="array" ref="AN152">_xlfn.SWITCH(CleanEmployeeData[[#This Row],[PerformanceRating]],1,"Low",2,"Good",3,"Excellent",4,"Outstanding","Unknown")</f>
        <v>Excellent</v>
      </c>
      <c r="AO152" t="str" cm="1">
        <f t="array" ref="AO152">_xlfn.SWITCH(CleanEmployeeData[[#This Row],[WorkLifeBalance]],1,"Bad",2,"Good",3,"Better",4,"Best","Unknown")</f>
        <v>Better</v>
      </c>
      <c r="AP152">
        <f>IF(CleanEmployeeData[[#This Row],[Attrition]]="Yes",1,IF(CleanEmployeeData[[#This Row],[Attrition]]="No",0,""))</f>
        <v>0</v>
      </c>
      <c r="AQ152" t="str" cm="1">
        <f t="array" ref="AQ152">_xlfn.IFS(CleanEmployeeData[[#This Row],[MonthlyIncome]]&lt;=3000,"0–3,000",CleanEmployeeData[[#This Row],[MonthlyIncome]]&lt;=6000,"3,001–6,000",CleanEmployeeData[[#This Row],[MonthlyIncome]]&lt;=10000,"6,001–10,000",TRUE,"10,001+")</f>
        <v>3,001–6,000</v>
      </c>
      <c r="AR152" t="str" cm="1">
        <f t="array" ref="AR152">_xlfn.IFS(CleanEmployeeData[[#This Row],[DistanceFromHome]]&lt;=5,"0–5 miles",CleanEmployeeData[[#This Row],[DistanceFromHome]]&lt;=10,"6–10 miles",CleanEmployeeData[[#This Row],[DistanceFromHome]]&lt;=15,"11–15 miles",TRUE,"16+ miles")</f>
        <v>16+ miles</v>
      </c>
      <c r="AS152" t="str" cm="1">
        <f t="array" ref="AS152">_xlfn.IFS(CleanEmployeeData[[#This Row],[YearsAtCompany]]&lt;=1,"0–1 years",CleanEmployeeData[[#This Row],[YearsAtCompany]]&lt;=5,"2–5 years",CleanEmployeeData[[#This Row],[YearsAtCompany]]&lt;=10,"6–10 years",TRUE,"11+ years")</f>
        <v>11+ years</v>
      </c>
    </row>
    <row r="153" spans="1:4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cm="1">
        <f t="array" ref="AJ153">_xlfn.SWITCH(CleanEmployeeData[[#This Row],[Education]],1,"Below College",2,"College",3,"Bachelor",4,"Master",5,"Doctor","Unknown")</f>
        <v>Doctor</v>
      </c>
      <c r="AK153" t="str" cm="1">
        <f t="array" ref="AK153">_xlfn.SWITCH(CleanEmployeeData[[#This Row],[EnvironmentSatisfaction]],1,"Low",2,"Medium",3,"High",4,"Very High","Unknown")</f>
        <v>High</v>
      </c>
      <c r="AL153" t="str" cm="1">
        <f t="array" ref="AL153">_xlfn.SWITCH(CleanEmployeeData[[#This Row],[JobInvolvement]],1,"Low",2,"Medium",3,"High",4,"Very High","Unknown")</f>
        <v>High</v>
      </c>
      <c r="AM153" t="str" cm="1">
        <f t="array" ref="AM153">_xlfn.SWITCH(CleanEmployeeData[[#This Row],[JobSatisfaction]],1,"Low",2,"Medium",3,"High",4,"Very High","Unknown")</f>
        <v>Medium</v>
      </c>
      <c r="AN153" t="str" cm="1">
        <f t="array" ref="AN153">_xlfn.SWITCH(CleanEmployeeData[[#This Row],[PerformanceRating]],1,"Low",2,"Good",3,"Excellent",4,"Outstanding","Unknown")</f>
        <v>Excellent</v>
      </c>
      <c r="AO153" t="str" cm="1">
        <f t="array" ref="AO153">_xlfn.SWITCH(CleanEmployeeData[[#This Row],[WorkLifeBalance]],1,"Bad",2,"Good",3,"Better",4,"Best","Unknown")</f>
        <v>Better</v>
      </c>
      <c r="AP153">
        <f>IF(CleanEmployeeData[[#This Row],[Attrition]]="Yes",1,IF(CleanEmployeeData[[#This Row],[Attrition]]="No",0,""))</f>
        <v>0</v>
      </c>
      <c r="AQ153" t="str" cm="1">
        <f t="array" ref="AQ153">_xlfn.IFS(CleanEmployeeData[[#This Row],[MonthlyIncome]]&lt;=3000,"0–3,000",CleanEmployeeData[[#This Row],[MonthlyIncome]]&lt;=6000,"3,001–6,000",CleanEmployeeData[[#This Row],[MonthlyIncome]]&lt;=10000,"6,001–10,000",TRUE,"10,001+")</f>
        <v>6,001–10,000</v>
      </c>
      <c r="AR153" t="str" cm="1">
        <f t="array" ref="AR153">_xlfn.IFS(CleanEmployeeData[[#This Row],[DistanceFromHome]]&lt;=5,"0–5 miles",CleanEmployeeData[[#This Row],[DistanceFromHome]]&lt;=10,"6–10 miles",CleanEmployeeData[[#This Row],[DistanceFromHome]]&lt;=15,"11–15 miles",TRUE,"16+ miles")</f>
        <v>0–5 miles</v>
      </c>
      <c r="AS153" t="str" cm="1">
        <f t="array" ref="AS153">_xlfn.IFS(CleanEmployeeData[[#This Row],[YearsAtCompany]]&lt;=1,"0–1 years",CleanEmployeeData[[#This Row],[YearsAtCompany]]&lt;=5,"2–5 years",CleanEmployeeData[[#This Row],[YearsAtCompany]]&lt;=10,"6–10 years",TRUE,"11+ years")</f>
        <v>6–10 years</v>
      </c>
    </row>
    <row r="154" spans="1:4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cm="1">
        <f t="array" ref="AJ154">_xlfn.SWITCH(CleanEmployeeData[[#This Row],[Education]],1,"Below College",2,"College",3,"Bachelor",4,"Master",5,"Doctor","Unknown")</f>
        <v>College</v>
      </c>
      <c r="AK154" t="str" cm="1">
        <f t="array" ref="AK154">_xlfn.SWITCH(CleanEmployeeData[[#This Row],[EnvironmentSatisfaction]],1,"Low",2,"Medium",3,"High",4,"Very High","Unknown")</f>
        <v>Medium</v>
      </c>
      <c r="AL154" t="str" cm="1">
        <f t="array" ref="AL154">_xlfn.SWITCH(CleanEmployeeData[[#This Row],[JobInvolvement]],1,"Low",2,"Medium",3,"High",4,"Very High","Unknown")</f>
        <v>High</v>
      </c>
      <c r="AM154" t="str" cm="1">
        <f t="array" ref="AM154">_xlfn.SWITCH(CleanEmployeeData[[#This Row],[JobSatisfaction]],1,"Low",2,"Medium",3,"High",4,"Very High","Unknown")</f>
        <v>High</v>
      </c>
      <c r="AN154" t="str" cm="1">
        <f t="array" ref="AN154">_xlfn.SWITCH(CleanEmployeeData[[#This Row],[PerformanceRating]],1,"Low",2,"Good",3,"Excellent",4,"Outstanding","Unknown")</f>
        <v>Outstanding</v>
      </c>
      <c r="AO154" t="str" cm="1">
        <f t="array" ref="AO154">_xlfn.SWITCH(CleanEmployeeData[[#This Row],[WorkLifeBalance]],1,"Bad",2,"Good",3,"Better",4,"Best","Unknown")</f>
        <v>Bad</v>
      </c>
      <c r="AP154">
        <f>IF(CleanEmployeeData[[#This Row],[Attrition]]="Yes",1,IF(CleanEmployeeData[[#This Row],[Attrition]]="No",0,""))</f>
        <v>0</v>
      </c>
      <c r="AQ154" t="str" cm="1">
        <f t="array" ref="AQ154">_xlfn.IFS(CleanEmployeeData[[#This Row],[MonthlyIncome]]&lt;=3000,"0–3,000",CleanEmployeeData[[#This Row],[MonthlyIncome]]&lt;=6000,"3,001–6,000",CleanEmployeeData[[#This Row],[MonthlyIncome]]&lt;=10000,"6,001–10,000",TRUE,"10,001+")</f>
        <v>0–3,000</v>
      </c>
      <c r="AR154" t="str" cm="1">
        <f t="array" ref="AR154">_xlfn.IFS(CleanEmployeeData[[#This Row],[DistanceFromHome]]&lt;=5,"0–5 miles",CleanEmployeeData[[#This Row],[DistanceFromHome]]&lt;=10,"6–10 miles",CleanEmployeeData[[#This Row],[DistanceFromHome]]&lt;=15,"11–15 miles",TRUE,"16+ miles")</f>
        <v>6–10 miles</v>
      </c>
      <c r="AS154" t="str" cm="1">
        <f t="array" ref="AS154">_xlfn.IFS(CleanEmployeeData[[#This Row],[YearsAtCompany]]&lt;=1,"0–1 years",CleanEmployeeData[[#This Row],[YearsAtCompany]]&lt;=5,"2–5 years",CleanEmployeeData[[#This Row],[YearsAtCompany]]&lt;=10,"6–10 years",TRUE,"11+ years")</f>
        <v>6–10 years</v>
      </c>
    </row>
    <row r="155" spans="1:4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cm="1">
        <f t="array" ref="AJ155">_xlfn.SWITCH(CleanEmployeeData[[#This Row],[Education]],1,"Below College",2,"College",3,"Bachelor",4,"Master",5,"Doctor","Unknown")</f>
        <v>Bachelor</v>
      </c>
      <c r="AK155" t="str" cm="1">
        <f t="array" ref="AK155">_xlfn.SWITCH(CleanEmployeeData[[#This Row],[EnvironmentSatisfaction]],1,"Low",2,"Medium",3,"High",4,"Very High","Unknown")</f>
        <v>Medium</v>
      </c>
      <c r="AL155" t="str" cm="1">
        <f t="array" ref="AL155">_xlfn.SWITCH(CleanEmployeeData[[#This Row],[JobInvolvement]],1,"Low",2,"Medium",3,"High",4,"Very High","Unknown")</f>
        <v>High</v>
      </c>
      <c r="AM155" t="str" cm="1">
        <f t="array" ref="AM155">_xlfn.SWITCH(CleanEmployeeData[[#This Row],[JobSatisfaction]],1,"Low",2,"Medium",3,"High",4,"Very High","Unknown")</f>
        <v>Medium</v>
      </c>
      <c r="AN155" t="str" cm="1">
        <f t="array" ref="AN155">_xlfn.SWITCH(CleanEmployeeData[[#This Row],[PerformanceRating]],1,"Low",2,"Good",3,"Excellent",4,"Outstanding","Unknown")</f>
        <v>Excellent</v>
      </c>
      <c r="AO155" t="str" cm="1">
        <f t="array" ref="AO155">_xlfn.SWITCH(CleanEmployeeData[[#This Row],[WorkLifeBalance]],1,"Bad",2,"Good",3,"Better",4,"Best","Unknown")</f>
        <v>Bad</v>
      </c>
      <c r="AP155">
        <f>IF(CleanEmployeeData[[#This Row],[Attrition]]="Yes",1,IF(CleanEmployeeData[[#This Row],[Attrition]]="No",0,""))</f>
        <v>0</v>
      </c>
      <c r="AQ155" t="str" cm="1">
        <f t="array" ref="AQ155">_xlfn.IFS(CleanEmployeeData[[#This Row],[MonthlyIncome]]&lt;=3000,"0–3,000",CleanEmployeeData[[#This Row],[MonthlyIncome]]&lt;=6000,"3,001–6,000",CleanEmployeeData[[#This Row],[MonthlyIncome]]&lt;=10000,"6,001–10,000",TRUE,"10,001+")</f>
        <v>0–3,000</v>
      </c>
      <c r="AR155" t="str" cm="1">
        <f t="array" ref="AR155">_xlfn.IFS(CleanEmployeeData[[#This Row],[DistanceFromHome]]&lt;=5,"0–5 miles",CleanEmployeeData[[#This Row],[DistanceFromHome]]&lt;=10,"6–10 miles",CleanEmployeeData[[#This Row],[DistanceFromHome]]&lt;=15,"11–15 miles",TRUE,"16+ miles")</f>
        <v>6–10 miles</v>
      </c>
      <c r="AS155" t="str" cm="1">
        <f t="array" ref="AS155">_xlfn.IFS(CleanEmployeeData[[#This Row],[YearsAtCompany]]&lt;=1,"0–1 years",CleanEmployeeData[[#This Row],[YearsAtCompany]]&lt;=5,"2–5 years",CleanEmployeeData[[#This Row],[YearsAtCompany]]&lt;=10,"6–10 years",TRUE,"11+ years")</f>
        <v>11+ years</v>
      </c>
    </row>
    <row r="156" spans="1:4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cm="1">
        <f t="array" ref="AJ156">_xlfn.SWITCH(CleanEmployeeData[[#This Row],[Education]],1,"Below College",2,"College",3,"Bachelor",4,"Master",5,"Doctor","Unknown")</f>
        <v>Bachelor</v>
      </c>
      <c r="AK156" t="str" cm="1">
        <f t="array" ref="AK156">_xlfn.SWITCH(CleanEmployeeData[[#This Row],[EnvironmentSatisfaction]],1,"Low",2,"Medium",3,"High",4,"Very High","Unknown")</f>
        <v>Medium</v>
      </c>
      <c r="AL156" t="str" cm="1">
        <f t="array" ref="AL156">_xlfn.SWITCH(CleanEmployeeData[[#This Row],[JobInvolvement]],1,"Low",2,"Medium",3,"High",4,"Very High","Unknown")</f>
        <v>High</v>
      </c>
      <c r="AM156" t="str" cm="1">
        <f t="array" ref="AM156">_xlfn.SWITCH(CleanEmployeeData[[#This Row],[JobSatisfaction]],1,"Low",2,"Medium",3,"High",4,"Very High","Unknown")</f>
        <v>Very High</v>
      </c>
      <c r="AN156" t="str" cm="1">
        <f t="array" ref="AN156">_xlfn.SWITCH(CleanEmployeeData[[#This Row],[PerformanceRating]],1,"Low",2,"Good",3,"Excellent",4,"Outstanding","Unknown")</f>
        <v>Excellent</v>
      </c>
      <c r="AO156" t="str" cm="1">
        <f t="array" ref="AO156">_xlfn.SWITCH(CleanEmployeeData[[#This Row],[WorkLifeBalance]],1,"Bad",2,"Good",3,"Better",4,"Best","Unknown")</f>
        <v>Better</v>
      </c>
      <c r="AP156">
        <f>IF(CleanEmployeeData[[#This Row],[Attrition]]="Yes",1,IF(CleanEmployeeData[[#This Row],[Attrition]]="No",0,""))</f>
        <v>0</v>
      </c>
      <c r="AQ156" t="str" cm="1">
        <f t="array" ref="AQ156">_xlfn.IFS(CleanEmployeeData[[#This Row],[MonthlyIncome]]&lt;=3000,"0–3,000",CleanEmployeeData[[#This Row],[MonthlyIncome]]&lt;=6000,"3,001–6,000",CleanEmployeeData[[#This Row],[MonthlyIncome]]&lt;=10000,"6,001–10,000",TRUE,"10,001+")</f>
        <v>6,001–10,000</v>
      </c>
      <c r="AR156" t="str" cm="1">
        <f t="array" ref="AR156">_xlfn.IFS(CleanEmployeeData[[#This Row],[DistanceFromHome]]&lt;=5,"0–5 miles",CleanEmployeeData[[#This Row],[DistanceFromHome]]&lt;=10,"6–10 miles",CleanEmployeeData[[#This Row],[DistanceFromHome]]&lt;=15,"11–15 miles",TRUE,"16+ miles")</f>
        <v>6–10 miles</v>
      </c>
      <c r="AS156" t="str" cm="1">
        <f t="array" ref="AS156">_xlfn.IFS(CleanEmployeeData[[#This Row],[YearsAtCompany]]&lt;=1,"0–1 years",CleanEmployeeData[[#This Row],[YearsAtCompany]]&lt;=5,"2–5 years",CleanEmployeeData[[#This Row],[YearsAtCompany]]&lt;=10,"6–10 years",TRUE,"11+ years")</f>
        <v>6–10 years</v>
      </c>
    </row>
    <row r="157" spans="1:4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cm="1">
        <f t="array" ref="AJ157">_xlfn.SWITCH(CleanEmployeeData[[#This Row],[Education]],1,"Below College",2,"College",3,"Bachelor",4,"Master",5,"Doctor","Unknown")</f>
        <v>Below College</v>
      </c>
      <c r="AK157" t="str" cm="1">
        <f t="array" ref="AK157">_xlfn.SWITCH(CleanEmployeeData[[#This Row],[EnvironmentSatisfaction]],1,"Low",2,"Medium",3,"High",4,"Very High","Unknown")</f>
        <v>Very High</v>
      </c>
      <c r="AL157" t="str" cm="1">
        <f t="array" ref="AL157">_xlfn.SWITCH(CleanEmployeeData[[#This Row],[JobInvolvement]],1,"Low",2,"Medium",3,"High",4,"Very High","Unknown")</f>
        <v>High</v>
      </c>
      <c r="AM157" t="str" cm="1">
        <f t="array" ref="AM157">_xlfn.SWITCH(CleanEmployeeData[[#This Row],[JobSatisfaction]],1,"Low",2,"Medium",3,"High",4,"Very High","Unknown")</f>
        <v>High</v>
      </c>
      <c r="AN157" t="str" cm="1">
        <f t="array" ref="AN157">_xlfn.SWITCH(CleanEmployeeData[[#This Row],[PerformanceRating]],1,"Low",2,"Good",3,"Excellent",4,"Outstanding","Unknown")</f>
        <v>Excellent</v>
      </c>
      <c r="AO157" t="str" cm="1">
        <f t="array" ref="AO157">_xlfn.SWITCH(CleanEmployeeData[[#This Row],[WorkLifeBalance]],1,"Bad",2,"Good",3,"Better",4,"Best","Unknown")</f>
        <v>Better</v>
      </c>
      <c r="AP157">
        <f>IF(CleanEmployeeData[[#This Row],[Attrition]]="Yes",1,IF(CleanEmployeeData[[#This Row],[Attrition]]="No",0,""))</f>
        <v>0</v>
      </c>
      <c r="AQ157" t="str" cm="1">
        <f t="array" ref="AQ157">_xlfn.IFS(CleanEmployeeData[[#This Row],[MonthlyIncome]]&lt;=3000,"0–3,000",CleanEmployeeData[[#This Row],[MonthlyIncome]]&lt;=6000,"3,001–6,000",CleanEmployeeData[[#This Row],[MonthlyIncome]]&lt;=10000,"6,001–10,000",TRUE,"10,001+")</f>
        <v>3,001–6,000</v>
      </c>
      <c r="AR157" t="str" cm="1">
        <f t="array" ref="AR157">_xlfn.IFS(CleanEmployeeData[[#This Row],[DistanceFromHome]]&lt;=5,"0–5 miles",CleanEmployeeData[[#This Row],[DistanceFromHome]]&lt;=10,"6–10 miles",CleanEmployeeData[[#This Row],[DistanceFromHome]]&lt;=15,"11–15 miles",TRUE,"16+ miles")</f>
        <v>0–5 miles</v>
      </c>
      <c r="AS157" t="str" cm="1">
        <f t="array" ref="AS157">_xlfn.IFS(CleanEmployeeData[[#This Row],[YearsAtCompany]]&lt;=1,"0–1 years",CleanEmployeeData[[#This Row],[YearsAtCompany]]&lt;=5,"2–5 years",CleanEmployeeData[[#This Row],[YearsAtCompany]]&lt;=10,"6–10 years",TRUE,"11+ years")</f>
        <v>6–10 years</v>
      </c>
    </row>
    <row r="158" spans="1:4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cm="1">
        <f t="array" ref="AJ158">_xlfn.SWITCH(CleanEmployeeData[[#This Row],[Education]],1,"Below College",2,"College",3,"Bachelor",4,"Master",5,"Doctor","Unknown")</f>
        <v>Master</v>
      </c>
      <c r="AK158" t="str" cm="1">
        <f t="array" ref="AK158">_xlfn.SWITCH(CleanEmployeeData[[#This Row],[EnvironmentSatisfaction]],1,"Low",2,"Medium",3,"High",4,"Very High","Unknown")</f>
        <v>Medium</v>
      </c>
      <c r="AL158" t="str" cm="1">
        <f t="array" ref="AL158">_xlfn.SWITCH(CleanEmployeeData[[#This Row],[JobInvolvement]],1,"Low",2,"Medium",3,"High",4,"Very High","Unknown")</f>
        <v>Medium</v>
      </c>
      <c r="AM158" t="str" cm="1">
        <f t="array" ref="AM158">_xlfn.SWITCH(CleanEmployeeData[[#This Row],[JobSatisfaction]],1,"Low",2,"Medium",3,"High",4,"Very High","Unknown")</f>
        <v>High</v>
      </c>
      <c r="AN158" t="str" cm="1">
        <f t="array" ref="AN158">_xlfn.SWITCH(CleanEmployeeData[[#This Row],[PerformanceRating]],1,"Low",2,"Good",3,"Excellent",4,"Outstanding","Unknown")</f>
        <v>Excellent</v>
      </c>
      <c r="AO158" t="str" cm="1">
        <f t="array" ref="AO158">_xlfn.SWITCH(CleanEmployeeData[[#This Row],[WorkLifeBalance]],1,"Bad",2,"Good",3,"Better",4,"Best","Unknown")</f>
        <v>Better</v>
      </c>
      <c r="AP158">
        <f>IF(CleanEmployeeData[[#This Row],[Attrition]]="Yes",1,IF(CleanEmployeeData[[#This Row],[Attrition]]="No",0,""))</f>
        <v>0</v>
      </c>
      <c r="AQ158" t="str" cm="1">
        <f t="array" ref="AQ158">_xlfn.IFS(CleanEmployeeData[[#This Row],[MonthlyIncome]]&lt;=3000,"0–3,000",CleanEmployeeData[[#This Row],[MonthlyIncome]]&lt;=6000,"3,001–6,000",CleanEmployeeData[[#This Row],[MonthlyIncome]]&lt;=10000,"6,001–10,000",TRUE,"10,001+")</f>
        <v>6,001–10,000</v>
      </c>
      <c r="AR158" t="str" cm="1">
        <f t="array" ref="AR158">_xlfn.IFS(CleanEmployeeData[[#This Row],[DistanceFromHome]]&lt;=5,"0–5 miles",CleanEmployeeData[[#This Row],[DistanceFromHome]]&lt;=10,"6–10 miles",CleanEmployeeData[[#This Row],[DistanceFromHome]]&lt;=15,"11–15 miles",TRUE,"16+ miles")</f>
        <v>6–10 miles</v>
      </c>
      <c r="AS158" t="str" cm="1">
        <f t="array" ref="AS158">_xlfn.IFS(CleanEmployeeData[[#This Row],[YearsAtCompany]]&lt;=1,"0–1 years",CleanEmployeeData[[#This Row],[YearsAtCompany]]&lt;=5,"2–5 years",CleanEmployeeData[[#This Row],[YearsAtCompany]]&lt;=10,"6–10 years",TRUE,"11+ years")</f>
        <v>0–1 years</v>
      </c>
    </row>
    <row r="159" spans="1:4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cm="1">
        <f t="array" ref="AJ159">_xlfn.SWITCH(CleanEmployeeData[[#This Row],[Education]],1,"Below College",2,"College",3,"Bachelor",4,"Master",5,"Doctor","Unknown")</f>
        <v>Bachelor</v>
      </c>
      <c r="AK159" t="str" cm="1">
        <f t="array" ref="AK159">_xlfn.SWITCH(CleanEmployeeData[[#This Row],[EnvironmentSatisfaction]],1,"Low",2,"Medium",3,"High",4,"Very High","Unknown")</f>
        <v>Medium</v>
      </c>
      <c r="AL159" t="str" cm="1">
        <f t="array" ref="AL159">_xlfn.SWITCH(CleanEmployeeData[[#This Row],[JobInvolvement]],1,"Low",2,"Medium",3,"High",4,"Very High","Unknown")</f>
        <v>Medium</v>
      </c>
      <c r="AM159" t="str" cm="1">
        <f t="array" ref="AM159">_xlfn.SWITCH(CleanEmployeeData[[#This Row],[JobSatisfaction]],1,"Low",2,"Medium",3,"High",4,"Very High","Unknown")</f>
        <v>Medium</v>
      </c>
      <c r="AN159" t="str" cm="1">
        <f t="array" ref="AN159">_xlfn.SWITCH(CleanEmployeeData[[#This Row],[PerformanceRating]],1,"Low",2,"Good",3,"Excellent",4,"Outstanding","Unknown")</f>
        <v>Outstanding</v>
      </c>
      <c r="AO159" t="str" cm="1">
        <f t="array" ref="AO159">_xlfn.SWITCH(CleanEmployeeData[[#This Row],[WorkLifeBalance]],1,"Bad",2,"Good",3,"Better",4,"Best","Unknown")</f>
        <v>Good</v>
      </c>
      <c r="AP159">
        <f>IF(CleanEmployeeData[[#This Row],[Attrition]]="Yes",1,IF(CleanEmployeeData[[#This Row],[Attrition]]="No",0,""))</f>
        <v>0</v>
      </c>
      <c r="AQ159" t="str" cm="1">
        <f t="array" ref="AQ159">_xlfn.IFS(CleanEmployeeData[[#This Row],[MonthlyIncome]]&lt;=3000,"0–3,000",CleanEmployeeData[[#This Row],[MonthlyIncome]]&lt;=6000,"3,001–6,000",CleanEmployeeData[[#This Row],[MonthlyIncome]]&lt;=10000,"6,001–10,000",TRUE,"10,001+")</f>
        <v>3,001–6,000</v>
      </c>
      <c r="AR159" t="str" cm="1">
        <f t="array" ref="AR159">_xlfn.IFS(CleanEmployeeData[[#This Row],[DistanceFromHome]]&lt;=5,"0–5 miles",CleanEmployeeData[[#This Row],[DistanceFromHome]]&lt;=10,"6–10 miles",CleanEmployeeData[[#This Row],[DistanceFromHome]]&lt;=15,"11–15 miles",TRUE,"16+ miles")</f>
        <v>6–10 miles</v>
      </c>
      <c r="AS159" t="str" cm="1">
        <f t="array" ref="AS159">_xlfn.IFS(CleanEmployeeData[[#This Row],[YearsAtCompany]]&lt;=1,"0–1 years",CleanEmployeeData[[#This Row],[YearsAtCompany]]&lt;=5,"2–5 years",CleanEmployeeData[[#This Row],[YearsAtCompany]]&lt;=10,"6–10 years",TRUE,"11+ years")</f>
        <v>0–1 years</v>
      </c>
    </row>
    <row r="160" spans="1:4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cm="1">
        <f t="array" ref="AJ160">_xlfn.SWITCH(CleanEmployeeData[[#This Row],[Education]],1,"Below College",2,"College",3,"Bachelor",4,"Master",5,"Doctor","Unknown")</f>
        <v>Master</v>
      </c>
      <c r="AK160" t="str" cm="1">
        <f t="array" ref="AK160">_xlfn.SWITCH(CleanEmployeeData[[#This Row],[EnvironmentSatisfaction]],1,"Low",2,"Medium",3,"High",4,"Very High","Unknown")</f>
        <v>High</v>
      </c>
      <c r="AL160" t="str" cm="1">
        <f t="array" ref="AL160">_xlfn.SWITCH(CleanEmployeeData[[#This Row],[JobInvolvement]],1,"Low",2,"Medium",3,"High",4,"Very High","Unknown")</f>
        <v>Medium</v>
      </c>
      <c r="AM160" t="str" cm="1">
        <f t="array" ref="AM160">_xlfn.SWITCH(CleanEmployeeData[[#This Row],[JobSatisfaction]],1,"Low",2,"Medium",3,"High",4,"Very High","Unknown")</f>
        <v>Very High</v>
      </c>
      <c r="AN160" t="str" cm="1">
        <f t="array" ref="AN160">_xlfn.SWITCH(CleanEmployeeData[[#This Row],[PerformanceRating]],1,"Low",2,"Good",3,"Excellent",4,"Outstanding","Unknown")</f>
        <v>Excellent</v>
      </c>
      <c r="AO160" t="str" cm="1">
        <f t="array" ref="AO160">_xlfn.SWITCH(CleanEmployeeData[[#This Row],[WorkLifeBalance]],1,"Bad",2,"Good",3,"Better",4,"Best","Unknown")</f>
        <v>Good</v>
      </c>
      <c r="AP160">
        <f>IF(CleanEmployeeData[[#This Row],[Attrition]]="Yes",1,IF(CleanEmployeeData[[#This Row],[Attrition]]="No",0,""))</f>
        <v>0</v>
      </c>
      <c r="AQ160" t="str" cm="1">
        <f t="array" ref="AQ160">_xlfn.IFS(CleanEmployeeData[[#This Row],[MonthlyIncome]]&lt;=3000,"0–3,000",CleanEmployeeData[[#This Row],[MonthlyIncome]]&lt;=6000,"3,001–6,000",CleanEmployeeData[[#This Row],[MonthlyIncome]]&lt;=10000,"6,001–10,000",TRUE,"10,001+")</f>
        <v>10,001+</v>
      </c>
      <c r="AR160" t="str" cm="1">
        <f t="array" ref="AR160">_xlfn.IFS(CleanEmployeeData[[#This Row],[DistanceFromHome]]&lt;=5,"0–5 miles",CleanEmployeeData[[#This Row],[DistanceFromHome]]&lt;=10,"6–10 miles",CleanEmployeeData[[#This Row],[DistanceFromHome]]&lt;=15,"11–15 miles",TRUE,"16+ miles")</f>
        <v>0–5 miles</v>
      </c>
      <c r="AS160" t="str" cm="1">
        <f t="array" ref="AS160">_xlfn.IFS(CleanEmployeeData[[#This Row],[YearsAtCompany]]&lt;=1,"0–1 years",CleanEmployeeData[[#This Row],[YearsAtCompany]]&lt;=5,"2–5 years",CleanEmployeeData[[#This Row],[YearsAtCompany]]&lt;=10,"6–10 years",TRUE,"11+ years")</f>
        <v>11+ years</v>
      </c>
    </row>
    <row r="161" spans="1:4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cm="1">
        <f t="array" ref="AJ161">_xlfn.SWITCH(CleanEmployeeData[[#This Row],[Education]],1,"Below College",2,"College",3,"Bachelor",4,"Master",5,"Doctor","Unknown")</f>
        <v>Master</v>
      </c>
      <c r="AK161" t="str" cm="1">
        <f t="array" ref="AK161">_xlfn.SWITCH(CleanEmployeeData[[#This Row],[EnvironmentSatisfaction]],1,"Low",2,"Medium",3,"High",4,"Very High","Unknown")</f>
        <v>High</v>
      </c>
      <c r="AL161" t="str" cm="1">
        <f t="array" ref="AL161">_xlfn.SWITCH(CleanEmployeeData[[#This Row],[JobInvolvement]],1,"Low",2,"Medium",3,"High",4,"Very High","Unknown")</f>
        <v>High</v>
      </c>
      <c r="AM161" t="str" cm="1">
        <f t="array" ref="AM161">_xlfn.SWITCH(CleanEmployeeData[[#This Row],[JobSatisfaction]],1,"Low",2,"Medium",3,"High",4,"Very High","Unknown")</f>
        <v>High</v>
      </c>
      <c r="AN161" t="str" cm="1">
        <f t="array" ref="AN161">_xlfn.SWITCH(CleanEmployeeData[[#This Row],[PerformanceRating]],1,"Low",2,"Good",3,"Excellent",4,"Outstanding","Unknown")</f>
        <v>Excellent</v>
      </c>
      <c r="AO161" t="str" cm="1">
        <f t="array" ref="AO161">_xlfn.SWITCH(CleanEmployeeData[[#This Row],[WorkLifeBalance]],1,"Bad",2,"Good",3,"Better",4,"Best","Unknown")</f>
        <v>Better</v>
      </c>
      <c r="AP161">
        <f>IF(CleanEmployeeData[[#This Row],[Attrition]]="Yes",1,IF(CleanEmployeeData[[#This Row],[Attrition]]="No",0,""))</f>
        <v>0</v>
      </c>
      <c r="AQ161" t="str" cm="1">
        <f t="array" ref="AQ161">_xlfn.IFS(CleanEmployeeData[[#This Row],[MonthlyIncome]]&lt;=3000,"0–3,000",CleanEmployeeData[[#This Row],[MonthlyIncome]]&lt;=6000,"3,001–6,000",CleanEmployeeData[[#This Row],[MonthlyIncome]]&lt;=10000,"6,001–10,000",TRUE,"10,001+")</f>
        <v>0–3,000</v>
      </c>
      <c r="AR161" t="str" cm="1">
        <f t="array" ref="AR161">_xlfn.IFS(CleanEmployeeData[[#This Row],[DistanceFromHome]]&lt;=5,"0–5 miles",CleanEmployeeData[[#This Row],[DistanceFromHome]]&lt;=10,"6–10 miles",CleanEmployeeData[[#This Row],[DistanceFromHome]]&lt;=15,"11–15 miles",TRUE,"16+ miles")</f>
        <v>0–5 miles</v>
      </c>
      <c r="AS161" t="str" cm="1">
        <f t="array" ref="AS161">_xlfn.IFS(CleanEmployeeData[[#This Row],[YearsAtCompany]]&lt;=1,"0–1 years",CleanEmployeeData[[#This Row],[YearsAtCompany]]&lt;=5,"2–5 years",CleanEmployeeData[[#This Row],[YearsAtCompany]]&lt;=10,"6–10 years",TRUE,"11+ years")</f>
        <v>2–5 years</v>
      </c>
    </row>
    <row r="162" spans="1:4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cm="1">
        <f t="array" ref="AJ162">_xlfn.SWITCH(CleanEmployeeData[[#This Row],[Education]],1,"Below College",2,"College",3,"Bachelor",4,"Master",5,"Doctor","Unknown")</f>
        <v>Below College</v>
      </c>
      <c r="AK162" t="str" cm="1">
        <f t="array" ref="AK162">_xlfn.SWITCH(CleanEmployeeData[[#This Row],[EnvironmentSatisfaction]],1,"Low",2,"Medium",3,"High",4,"Very High","Unknown")</f>
        <v>High</v>
      </c>
      <c r="AL162" t="str" cm="1">
        <f t="array" ref="AL162">_xlfn.SWITCH(CleanEmployeeData[[#This Row],[JobInvolvement]],1,"Low",2,"Medium",3,"High",4,"Very High","Unknown")</f>
        <v>High</v>
      </c>
      <c r="AM162" t="str" cm="1">
        <f t="array" ref="AM162">_xlfn.SWITCH(CleanEmployeeData[[#This Row],[JobSatisfaction]],1,"Low",2,"Medium",3,"High",4,"Very High","Unknown")</f>
        <v>Very High</v>
      </c>
      <c r="AN162" t="str" cm="1">
        <f t="array" ref="AN162">_xlfn.SWITCH(CleanEmployeeData[[#This Row],[PerformanceRating]],1,"Low",2,"Good",3,"Excellent",4,"Outstanding","Unknown")</f>
        <v>Outstanding</v>
      </c>
      <c r="AO162" t="str" cm="1">
        <f t="array" ref="AO162">_xlfn.SWITCH(CleanEmployeeData[[#This Row],[WorkLifeBalance]],1,"Bad",2,"Good",3,"Better",4,"Best","Unknown")</f>
        <v>Better</v>
      </c>
      <c r="AP162">
        <f>IF(CleanEmployeeData[[#This Row],[Attrition]]="Yes",1,IF(CleanEmployeeData[[#This Row],[Attrition]]="No",0,""))</f>
        <v>0</v>
      </c>
      <c r="AQ162" t="str" cm="1">
        <f t="array" ref="AQ162">_xlfn.IFS(CleanEmployeeData[[#This Row],[MonthlyIncome]]&lt;=3000,"0–3,000",CleanEmployeeData[[#This Row],[MonthlyIncome]]&lt;=6000,"3,001–6,000",CleanEmployeeData[[#This Row],[MonthlyIncome]]&lt;=10000,"6,001–10,000",TRUE,"10,001+")</f>
        <v>0–3,000</v>
      </c>
      <c r="AR162" t="str" cm="1">
        <f t="array" ref="AR162">_xlfn.IFS(CleanEmployeeData[[#This Row],[DistanceFromHome]]&lt;=5,"0–5 miles",CleanEmployeeData[[#This Row],[DistanceFromHome]]&lt;=10,"6–10 miles",CleanEmployeeData[[#This Row],[DistanceFromHome]]&lt;=15,"11–15 miles",TRUE,"16+ miles")</f>
        <v>16+ miles</v>
      </c>
      <c r="AS162" t="str" cm="1">
        <f t="array" ref="AS162">_xlfn.IFS(CleanEmployeeData[[#This Row],[YearsAtCompany]]&lt;=1,"0–1 years",CleanEmployeeData[[#This Row],[YearsAtCompany]]&lt;=5,"2–5 years",CleanEmployeeData[[#This Row],[YearsAtCompany]]&lt;=10,"6–10 years",TRUE,"11+ years")</f>
        <v>2–5 years</v>
      </c>
    </row>
    <row r="163" spans="1:4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cm="1">
        <f t="array" ref="AJ163">_xlfn.SWITCH(CleanEmployeeData[[#This Row],[Education]],1,"Below College",2,"College",3,"Bachelor",4,"Master",5,"Doctor","Unknown")</f>
        <v>Bachelor</v>
      </c>
      <c r="AK163" t="str" cm="1">
        <f t="array" ref="AK163">_xlfn.SWITCH(CleanEmployeeData[[#This Row],[EnvironmentSatisfaction]],1,"Low",2,"Medium",3,"High",4,"Very High","Unknown")</f>
        <v>Very High</v>
      </c>
      <c r="AL163" t="str" cm="1">
        <f t="array" ref="AL163">_xlfn.SWITCH(CleanEmployeeData[[#This Row],[JobInvolvement]],1,"Low",2,"Medium",3,"High",4,"Very High","Unknown")</f>
        <v>High</v>
      </c>
      <c r="AM163" t="str" cm="1">
        <f t="array" ref="AM163">_xlfn.SWITCH(CleanEmployeeData[[#This Row],[JobSatisfaction]],1,"Low",2,"Medium",3,"High",4,"Very High","Unknown")</f>
        <v>Medium</v>
      </c>
      <c r="AN163" t="str" cm="1">
        <f t="array" ref="AN163">_xlfn.SWITCH(CleanEmployeeData[[#This Row],[PerformanceRating]],1,"Low",2,"Good",3,"Excellent",4,"Outstanding","Unknown")</f>
        <v>Excellent</v>
      </c>
      <c r="AO163" t="str" cm="1">
        <f t="array" ref="AO163">_xlfn.SWITCH(CleanEmployeeData[[#This Row],[WorkLifeBalance]],1,"Bad",2,"Good",3,"Better",4,"Best","Unknown")</f>
        <v>Bad</v>
      </c>
      <c r="AP163">
        <f>IF(CleanEmployeeData[[#This Row],[Attrition]]="Yes",1,IF(CleanEmployeeData[[#This Row],[Attrition]]="No",0,""))</f>
        <v>0</v>
      </c>
      <c r="AQ163" t="str" cm="1">
        <f t="array" ref="AQ163">_xlfn.IFS(CleanEmployeeData[[#This Row],[MonthlyIncome]]&lt;=3000,"0–3,000",CleanEmployeeData[[#This Row],[MonthlyIncome]]&lt;=6000,"3,001–6,000",CleanEmployeeData[[#This Row],[MonthlyIncome]]&lt;=10000,"6,001–10,000",TRUE,"10,001+")</f>
        <v>0–3,000</v>
      </c>
      <c r="AR163" t="str" cm="1">
        <f t="array" ref="AR163">_xlfn.IFS(CleanEmployeeData[[#This Row],[DistanceFromHome]]&lt;=5,"0–5 miles",CleanEmployeeData[[#This Row],[DistanceFromHome]]&lt;=10,"6–10 miles",CleanEmployeeData[[#This Row],[DistanceFromHome]]&lt;=15,"11–15 miles",TRUE,"16+ miles")</f>
        <v>6–10 miles</v>
      </c>
      <c r="AS163" t="str" cm="1">
        <f t="array" ref="AS163">_xlfn.IFS(CleanEmployeeData[[#This Row],[YearsAtCompany]]&lt;=1,"0–1 years",CleanEmployeeData[[#This Row],[YearsAtCompany]]&lt;=5,"2–5 years",CleanEmployeeData[[#This Row],[YearsAtCompany]]&lt;=10,"6–10 years",TRUE,"11+ years")</f>
        <v>2–5 years</v>
      </c>
    </row>
    <row r="164" spans="1:4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cm="1">
        <f t="array" ref="AJ164">_xlfn.SWITCH(CleanEmployeeData[[#This Row],[Education]],1,"Below College",2,"College",3,"Bachelor",4,"Master",5,"Doctor","Unknown")</f>
        <v>Bachelor</v>
      </c>
      <c r="AK164" t="str" cm="1">
        <f t="array" ref="AK164">_xlfn.SWITCH(CleanEmployeeData[[#This Row],[EnvironmentSatisfaction]],1,"Low",2,"Medium",3,"High",4,"Very High","Unknown")</f>
        <v>High</v>
      </c>
      <c r="AL164" t="str" cm="1">
        <f t="array" ref="AL164">_xlfn.SWITCH(CleanEmployeeData[[#This Row],[JobInvolvement]],1,"Low",2,"Medium",3,"High",4,"Very High","Unknown")</f>
        <v>High</v>
      </c>
      <c r="AM164" t="str" cm="1">
        <f t="array" ref="AM164">_xlfn.SWITCH(CleanEmployeeData[[#This Row],[JobSatisfaction]],1,"Low",2,"Medium",3,"High",4,"Very High","Unknown")</f>
        <v>Very High</v>
      </c>
      <c r="AN164" t="str" cm="1">
        <f t="array" ref="AN164">_xlfn.SWITCH(CleanEmployeeData[[#This Row],[PerformanceRating]],1,"Low",2,"Good",3,"Excellent",4,"Outstanding","Unknown")</f>
        <v>Excellent</v>
      </c>
      <c r="AO164" t="str" cm="1">
        <f t="array" ref="AO164">_xlfn.SWITCH(CleanEmployeeData[[#This Row],[WorkLifeBalance]],1,"Bad",2,"Good",3,"Better",4,"Best","Unknown")</f>
        <v>Bad</v>
      </c>
      <c r="AP164">
        <f>IF(CleanEmployeeData[[#This Row],[Attrition]]="Yes",1,IF(CleanEmployeeData[[#This Row],[Attrition]]="No",0,""))</f>
        <v>0</v>
      </c>
      <c r="AQ164" t="str" cm="1">
        <f t="array" ref="AQ164">_xlfn.IFS(CleanEmployeeData[[#This Row],[MonthlyIncome]]&lt;=3000,"0–3,000",CleanEmployeeData[[#This Row],[MonthlyIncome]]&lt;=6000,"3,001–6,000",CleanEmployeeData[[#This Row],[MonthlyIncome]]&lt;=10000,"6,001–10,000",TRUE,"10,001+")</f>
        <v>0–3,000</v>
      </c>
      <c r="AR164" t="str" cm="1">
        <f t="array" ref="AR164">_xlfn.IFS(CleanEmployeeData[[#This Row],[DistanceFromHome]]&lt;=5,"0–5 miles",CleanEmployeeData[[#This Row],[DistanceFromHome]]&lt;=10,"6–10 miles",CleanEmployeeData[[#This Row],[DistanceFromHome]]&lt;=15,"11–15 miles",TRUE,"16+ miles")</f>
        <v>16+ miles</v>
      </c>
      <c r="AS164" t="str" cm="1">
        <f t="array" ref="AS164">_xlfn.IFS(CleanEmployeeData[[#This Row],[YearsAtCompany]]&lt;=1,"0–1 years",CleanEmployeeData[[#This Row],[YearsAtCompany]]&lt;=5,"2–5 years",CleanEmployeeData[[#This Row],[YearsAtCompany]]&lt;=10,"6–10 years",TRUE,"11+ years")</f>
        <v>2–5 years</v>
      </c>
    </row>
    <row r="165" spans="1:4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cm="1">
        <f t="array" ref="AJ165">_xlfn.SWITCH(CleanEmployeeData[[#This Row],[Education]],1,"Below College",2,"College",3,"Bachelor",4,"Master",5,"Doctor","Unknown")</f>
        <v>College</v>
      </c>
      <c r="AK165" t="str" cm="1">
        <f t="array" ref="AK165">_xlfn.SWITCH(CleanEmployeeData[[#This Row],[EnvironmentSatisfaction]],1,"Low",2,"Medium",3,"High",4,"Very High","Unknown")</f>
        <v>High</v>
      </c>
      <c r="AL165" t="str" cm="1">
        <f t="array" ref="AL165">_xlfn.SWITCH(CleanEmployeeData[[#This Row],[JobInvolvement]],1,"Low",2,"Medium",3,"High",4,"Very High","Unknown")</f>
        <v>Very High</v>
      </c>
      <c r="AM165" t="str" cm="1">
        <f t="array" ref="AM165">_xlfn.SWITCH(CleanEmployeeData[[#This Row],[JobSatisfaction]],1,"Low",2,"Medium",3,"High",4,"Very High","Unknown")</f>
        <v>Very High</v>
      </c>
      <c r="AN165" t="str" cm="1">
        <f t="array" ref="AN165">_xlfn.SWITCH(CleanEmployeeData[[#This Row],[PerformanceRating]],1,"Low",2,"Good",3,"Excellent",4,"Outstanding","Unknown")</f>
        <v>Excellent</v>
      </c>
      <c r="AO165" t="str" cm="1">
        <f t="array" ref="AO165">_xlfn.SWITCH(CleanEmployeeData[[#This Row],[WorkLifeBalance]],1,"Bad",2,"Good",3,"Better",4,"Best","Unknown")</f>
        <v>Bad</v>
      </c>
      <c r="AP165">
        <f>IF(CleanEmployeeData[[#This Row],[Attrition]]="Yes",1,IF(CleanEmployeeData[[#This Row],[Attrition]]="No",0,""))</f>
        <v>0</v>
      </c>
      <c r="AQ165" t="str" cm="1">
        <f t="array" ref="AQ165">_xlfn.IFS(CleanEmployeeData[[#This Row],[MonthlyIncome]]&lt;=3000,"0–3,000",CleanEmployeeData[[#This Row],[MonthlyIncome]]&lt;=6000,"3,001–6,000",CleanEmployeeData[[#This Row],[MonthlyIncome]]&lt;=10000,"6,001–10,000",TRUE,"10,001+")</f>
        <v>6,001–10,000</v>
      </c>
      <c r="AR165" t="str" cm="1">
        <f t="array" ref="AR165">_xlfn.IFS(CleanEmployeeData[[#This Row],[DistanceFromHome]]&lt;=5,"0–5 miles",CleanEmployeeData[[#This Row],[DistanceFromHome]]&lt;=10,"6–10 miles",CleanEmployeeData[[#This Row],[DistanceFromHome]]&lt;=15,"11–15 miles",TRUE,"16+ miles")</f>
        <v>16+ miles</v>
      </c>
      <c r="AS165" t="str" cm="1">
        <f t="array" ref="AS165">_xlfn.IFS(CleanEmployeeData[[#This Row],[YearsAtCompany]]&lt;=1,"0–1 years",CleanEmployeeData[[#This Row],[YearsAtCompany]]&lt;=5,"2–5 years",CleanEmployeeData[[#This Row],[YearsAtCompany]]&lt;=10,"6–10 years",TRUE,"11+ years")</f>
        <v>2–5 years</v>
      </c>
    </row>
    <row r="166" spans="1:4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cm="1">
        <f t="array" ref="AJ166">_xlfn.SWITCH(CleanEmployeeData[[#This Row],[Education]],1,"Below College",2,"College",3,"Bachelor",4,"Master",5,"Doctor","Unknown")</f>
        <v>Bachelor</v>
      </c>
      <c r="AK166" t="str" cm="1">
        <f t="array" ref="AK166">_xlfn.SWITCH(CleanEmployeeData[[#This Row],[EnvironmentSatisfaction]],1,"Low",2,"Medium",3,"High",4,"Very High","Unknown")</f>
        <v>High</v>
      </c>
      <c r="AL166" t="str" cm="1">
        <f t="array" ref="AL166">_xlfn.SWITCH(CleanEmployeeData[[#This Row],[JobInvolvement]],1,"Low",2,"Medium",3,"High",4,"Very High","Unknown")</f>
        <v>Medium</v>
      </c>
      <c r="AM166" t="str" cm="1">
        <f t="array" ref="AM166">_xlfn.SWITCH(CleanEmployeeData[[#This Row],[JobSatisfaction]],1,"Low",2,"Medium",3,"High",4,"Very High","Unknown")</f>
        <v>High</v>
      </c>
      <c r="AN166" t="str" cm="1">
        <f t="array" ref="AN166">_xlfn.SWITCH(CleanEmployeeData[[#This Row],[PerformanceRating]],1,"Low",2,"Good",3,"Excellent",4,"Outstanding","Unknown")</f>
        <v>Excellent</v>
      </c>
      <c r="AO166" t="str" cm="1">
        <f t="array" ref="AO166">_xlfn.SWITCH(CleanEmployeeData[[#This Row],[WorkLifeBalance]],1,"Bad",2,"Good",3,"Better",4,"Best","Unknown")</f>
        <v>Good</v>
      </c>
      <c r="AP166">
        <f>IF(CleanEmployeeData[[#This Row],[Attrition]]="Yes",1,IF(CleanEmployeeData[[#This Row],[Attrition]]="No",0,""))</f>
        <v>0</v>
      </c>
      <c r="AQ166" t="str" cm="1">
        <f t="array" ref="AQ166">_xlfn.IFS(CleanEmployeeData[[#This Row],[MonthlyIncome]]&lt;=3000,"0–3,000",CleanEmployeeData[[#This Row],[MonthlyIncome]]&lt;=6000,"3,001–6,000",CleanEmployeeData[[#This Row],[MonthlyIncome]]&lt;=10000,"6,001–10,000",TRUE,"10,001+")</f>
        <v>0–3,000</v>
      </c>
      <c r="AR166" t="str" cm="1">
        <f t="array" ref="AR166">_xlfn.IFS(CleanEmployeeData[[#This Row],[DistanceFromHome]]&lt;=5,"0–5 miles",CleanEmployeeData[[#This Row],[DistanceFromHome]]&lt;=10,"6–10 miles",CleanEmployeeData[[#This Row],[DistanceFromHome]]&lt;=15,"11–15 miles",TRUE,"16+ miles")</f>
        <v>0–5 miles</v>
      </c>
      <c r="AS166" t="str" cm="1">
        <f t="array" ref="AS166">_xlfn.IFS(CleanEmployeeData[[#This Row],[YearsAtCompany]]&lt;=1,"0–1 years",CleanEmployeeData[[#This Row],[YearsAtCompany]]&lt;=5,"2–5 years",CleanEmployeeData[[#This Row],[YearsAtCompany]]&lt;=10,"6–10 years",TRUE,"11+ years")</f>
        <v>0–1 years</v>
      </c>
    </row>
    <row r="167" spans="1:4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cm="1">
        <f t="array" ref="AJ167">_xlfn.SWITCH(CleanEmployeeData[[#This Row],[Education]],1,"Below College",2,"College",3,"Bachelor",4,"Master",5,"Doctor","Unknown")</f>
        <v>Bachelor</v>
      </c>
      <c r="AK167" t="str" cm="1">
        <f t="array" ref="AK167">_xlfn.SWITCH(CleanEmployeeData[[#This Row],[EnvironmentSatisfaction]],1,"Low",2,"Medium",3,"High",4,"Very High","Unknown")</f>
        <v>High</v>
      </c>
      <c r="AL167" t="str" cm="1">
        <f t="array" ref="AL167">_xlfn.SWITCH(CleanEmployeeData[[#This Row],[JobInvolvement]],1,"Low",2,"Medium",3,"High",4,"Very High","Unknown")</f>
        <v>High</v>
      </c>
      <c r="AM167" t="str" cm="1">
        <f t="array" ref="AM167">_xlfn.SWITCH(CleanEmployeeData[[#This Row],[JobSatisfaction]],1,"Low",2,"Medium",3,"High",4,"Very High","Unknown")</f>
        <v>Medium</v>
      </c>
      <c r="AN167" t="str" cm="1">
        <f t="array" ref="AN167">_xlfn.SWITCH(CleanEmployeeData[[#This Row],[PerformanceRating]],1,"Low",2,"Good",3,"Excellent",4,"Outstanding","Unknown")</f>
        <v>Excellent</v>
      </c>
      <c r="AO167" t="str" cm="1">
        <f t="array" ref="AO167">_xlfn.SWITCH(CleanEmployeeData[[#This Row],[WorkLifeBalance]],1,"Bad",2,"Good",3,"Better",4,"Best","Unknown")</f>
        <v>Better</v>
      </c>
      <c r="AP167">
        <f>IF(CleanEmployeeData[[#This Row],[Attrition]]="Yes",1,IF(CleanEmployeeData[[#This Row],[Attrition]]="No",0,""))</f>
        <v>0</v>
      </c>
      <c r="AQ167" t="str" cm="1">
        <f t="array" ref="AQ167">_xlfn.IFS(CleanEmployeeData[[#This Row],[MonthlyIncome]]&lt;=3000,"0–3,000",CleanEmployeeData[[#This Row],[MonthlyIncome]]&lt;=6000,"3,001–6,000",CleanEmployeeData[[#This Row],[MonthlyIncome]]&lt;=10000,"6,001–10,000",TRUE,"10,001+")</f>
        <v>10,001+</v>
      </c>
      <c r="AR167" t="str" cm="1">
        <f t="array" ref="AR167">_xlfn.IFS(CleanEmployeeData[[#This Row],[DistanceFromHome]]&lt;=5,"0–5 miles",CleanEmployeeData[[#This Row],[DistanceFromHome]]&lt;=10,"6–10 miles",CleanEmployeeData[[#This Row],[DistanceFromHome]]&lt;=15,"11–15 miles",TRUE,"16+ miles")</f>
        <v>11–15 miles</v>
      </c>
      <c r="AS167" t="str" cm="1">
        <f t="array" ref="AS167">_xlfn.IFS(CleanEmployeeData[[#This Row],[YearsAtCompany]]&lt;=1,"0–1 years",CleanEmployeeData[[#This Row],[YearsAtCompany]]&lt;=5,"2–5 years",CleanEmployeeData[[#This Row],[YearsAtCompany]]&lt;=10,"6–10 years",TRUE,"11+ years")</f>
        <v>2–5 years</v>
      </c>
    </row>
    <row r="168" spans="1:4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cm="1">
        <f t="array" ref="AJ168">_xlfn.SWITCH(CleanEmployeeData[[#This Row],[Education]],1,"Below College",2,"College",3,"Bachelor",4,"Master",5,"Doctor","Unknown")</f>
        <v>Bachelor</v>
      </c>
      <c r="AK168" t="str" cm="1">
        <f t="array" ref="AK168">_xlfn.SWITCH(CleanEmployeeData[[#This Row],[EnvironmentSatisfaction]],1,"Low",2,"Medium",3,"High",4,"Very High","Unknown")</f>
        <v>Low</v>
      </c>
      <c r="AL168" t="str" cm="1">
        <f t="array" ref="AL168">_xlfn.SWITCH(CleanEmployeeData[[#This Row],[JobInvolvement]],1,"Low",2,"Medium",3,"High",4,"Very High","Unknown")</f>
        <v>High</v>
      </c>
      <c r="AM168" t="str" cm="1">
        <f t="array" ref="AM168">_xlfn.SWITCH(CleanEmployeeData[[#This Row],[JobSatisfaction]],1,"Low",2,"Medium",3,"High",4,"Very High","Unknown")</f>
        <v>High</v>
      </c>
      <c r="AN168" t="str" cm="1">
        <f t="array" ref="AN168">_xlfn.SWITCH(CleanEmployeeData[[#This Row],[PerformanceRating]],1,"Low",2,"Good",3,"Excellent",4,"Outstanding","Unknown")</f>
        <v>Excellent</v>
      </c>
      <c r="AO168" t="str" cm="1">
        <f t="array" ref="AO168">_xlfn.SWITCH(CleanEmployeeData[[#This Row],[WorkLifeBalance]],1,"Bad",2,"Good",3,"Better",4,"Best","Unknown")</f>
        <v>Better</v>
      </c>
      <c r="AP168">
        <f>IF(CleanEmployeeData[[#This Row],[Attrition]]="Yes",1,IF(CleanEmployeeData[[#This Row],[Attrition]]="No",0,""))</f>
        <v>0</v>
      </c>
      <c r="AQ168" t="str" cm="1">
        <f t="array" ref="AQ168">_xlfn.IFS(CleanEmployeeData[[#This Row],[MonthlyIncome]]&lt;=3000,"0–3,000",CleanEmployeeData[[#This Row],[MonthlyIncome]]&lt;=6000,"3,001–6,000",CleanEmployeeData[[#This Row],[MonthlyIncome]]&lt;=10000,"6,001–10,000",TRUE,"10,001+")</f>
        <v>0–3,000</v>
      </c>
      <c r="AR168" t="str" cm="1">
        <f t="array" ref="AR168">_xlfn.IFS(CleanEmployeeData[[#This Row],[DistanceFromHome]]&lt;=5,"0–5 miles",CleanEmployeeData[[#This Row],[DistanceFromHome]]&lt;=10,"6–10 miles",CleanEmployeeData[[#This Row],[DistanceFromHome]]&lt;=15,"11–15 miles",TRUE,"16+ miles")</f>
        <v>11–15 miles</v>
      </c>
      <c r="AS168" t="str" cm="1">
        <f t="array" ref="AS168">_xlfn.IFS(CleanEmployeeData[[#This Row],[YearsAtCompany]]&lt;=1,"0–1 years",CleanEmployeeData[[#This Row],[YearsAtCompany]]&lt;=5,"2–5 years",CleanEmployeeData[[#This Row],[YearsAtCompany]]&lt;=10,"6–10 years",TRUE,"11+ years")</f>
        <v>6–10 years</v>
      </c>
    </row>
    <row r="169" spans="1:4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cm="1">
        <f t="array" ref="AJ169">_xlfn.SWITCH(CleanEmployeeData[[#This Row],[Education]],1,"Below College",2,"College",3,"Bachelor",4,"Master",5,"Doctor","Unknown")</f>
        <v>Bachelor</v>
      </c>
      <c r="AK169" t="str" cm="1">
        <f t="array" ref="AK169">_xlfn.SWITCH(CleanEmployeeData[[#This Row],[EnvironmentSatisfaction]],1,"Low",2,"Medium",3,"High",4,"Very High","Unknown")</f>
        <v>Medium</v>
      </c>
      <c r="AL169" t="str" cm="1">
        <f t="array" ref="AL169">_xlfn.SWITCH(CleanEmployeeData[[#This Row],[JobInvolvement]],1,"Low",2,"Medium",3,"High",4,"Very High","Unknown")</f>
        <v>High</v>
      </c>
      <c r="AM169" t="str" cm="1">
        <f t="array" ref="AM169">_xlfn.SWITCH(CleanEmployeeData[[#This Row],[JobSatisfaction]],1,"Low",2,"Medium",3,"High",4,"Very High","Unknown")</f>
        <v>Very High</v>
      </c>
      <c r="AN169" t="str" cm="1">
        <f t="array" ref="AN169">_xlfn.SWITCH(CleanEmployeeData[[#This Row],[PerformanceRating]],1,"Low",2,"Good",3,"Excellent",4,"Outstanding","Unknown")</f>
        <v>Excellent</v>
      </c>
      <c r="AO169" t="str" cm="1">
        <f t="array" ref="AO169">_xlfn.SWITCH(CleanEmployeeData[[#This Row],[WorkLifeBalance]],1,"Bad",2,"Good",3,"Better",4,"Best","Unknown")</f>
        <v>Better</v>
      </c>
      <c r="AP169">
        <f>IF(CleanEmployeeData[[#This Row],[Attrition]]="Yes",1,IF(CleanEmployeeData[[#This Row],[Attrition]]="No",0,""))</f>
        <v>0</v>
      </c>
      <c r="AQ169" t="str" cm="1">
        <f t="array" ref="AQ169">_xlfn.IFS(CleanEmployeeData[[#This Row],[MonthlyIncome]]&lt;=3000,"0–3,000",CleanEmployeeData[[#This Row],[MonthlyIncome]]&lt;=6000,"3,001–6,000",CleanEmployeeData[[#This Row],[MonthlyIncome]]&lt;=10000,"6,001–10,000",TRUE,"10,001+")</f>
        <v>6,001–10,000</v>
      </c>
      <c r="AR169" t="str" cm="1">
        <f t="array" ref="AR169">_xlfn.IFS(CleanEmployeeData[[#This Row],[DistanceFromHome]]&lt;=5,"0–5 miles",CleanEmployeeData[[#This Row],[DistanceFromHome]]&lt;=10,"6–10 miles",CleanEmployeeData[[#This Row],[DistanceFromHome]]&lt;=15,"11–15 miles",TRUE,"16+ miles")</f>
        <v>0–5 miles</v>
      </c>
      <c r="AS169" t="str" cm="1">
        <f t="array" ref="AS169">_xlfn.IFS(CleanEmployeeData[[#This Row],[YearsAtCompany]]&lt;=1,"0–1 years",CleanEmployeeData[[#This Row],[YearsAtCompany]]&lt;=5,"2–5 years",CleanEmployeeData[[#This Row],[YearsAtCompany]]&lt;=10,"6–10 years",TRUE,"11+ years")</f>
        <v>6–10 years</v>
      </c>
    </row>
    <row r="170" spans="1:4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cm="1">
        <f t="array" ref="AJ170">_xlfn.SWITCH(CleanEmployeeData[[#This Row],[Education]],1,"Below College",2,"College",3,"Bachelor",4,"Master",5,"Doctor","Unknown")</f>
        <v>Master</v>
      </c>
      <c r="AK170" t="str" cm="1">
        <f t="array" ref="AK170">_xlfn.SWITCH(CleanEmployeeData[[#This Row],[EnvironmentSatisfaction]],1,"Low",2,"Medium",3,"High",4,"Very High","Unknown")</f>
        <v>Low</v>
      </c>
      <c r="AL170" t="str" cm="1">
        <f t="array" ref="AL170">_xlfn.SWITCH(CleanEmployeeData[[#This Row],[JobInvolvement]],1,"Low",2,"Medium",3,"High",4,"Very High","Unknown")</f>
        <v>Medium</v>
      </c>
      <c r="AM170" t="str" cm="1">
        <f t="array" ref="AM170">_xlfn.SWITCH(CleanEmployeeData[[#This Row],[JobSatisfaction]],1,"Low",2,"Medium",3,"High",4,"Very High","Unknown")</f>
        <v>Very High</v>
      </c>
      <c r="AN170" t="str" cm="1">
        <f t="array" ref="AN170">_xlfn.SWITCH(CleanEmployeeData[[#This Row],[PerformanceRating]],1,"Low",2,"Good",3,"Excellent",4,"Outstanding","Unknown")</f>
        <v>Outstanding</v>
      </c>
      <c r="AO170" t="str" cm="1">
        <f t="array" ref="AO170">_xlfn.SWITCH(CleanEmployeeData[[#This Row],[WorkLifeBalance]],1,"Bad",2,"Good",3,"Better",4,"Best","Unknown")</f>
        <v>Best</v>
      </c>
      <c r="AP170">
        <f>IF(CleanEmployeeData[[#This Row],[Attrition]]="Yes",1,IF(CleanEmployeeData[[#This Row],[Attrition]]="No",0,""))</f>
        <v>0</v>
      </c>
      <c r="AQ170" t="str" cm="1">
        <f t="array" ref="AQ170">_xlfn.IFS(CleanEmployeeData[[#This Row],[MonthlyIncome]]&lt;=3000,"0–3,000",CleanEmployeeData[[#This Row],[MonthlyIncome]]&lt;=6000,"3,001–6,000",CleanEmployeeData[[#This Row],[MonthlyIncome]]&lt;=10000,"6,001–10,000",TRUE,"10,001+")</f>
        <v>6,001–10,000</v>
      </c>
      <c r="AR170" t="str" cm="1">
        <f t="array" ref="AR170">_xlfn.IFS(CleanEmployeeData[[#This Row],[DistanceFromHome]]&lt;=5,"0–5 miles",CleanEmployeeData[[#This Row],[DistanceFromHome]]&lt;=10,"6–10 miles",CleanEmployeeData[[#This Row],[DistanceFromHome]]&lt;=15,"11–15 miles",TRUE,"16+ miles")</f>
        <v>0–5 miles</v>
      </c>
      <c r="AS170" t="str" cm="1">
        <f t="array" ref="AS170">_xlfn.IFS(CleanEmployeeData[[#This Row],[YearsAtCompany]]&lt;=1,"0–1 years",CleanEmployeeData[[#This Row],[YearsAtCompany]]&lt;=5,"2–5 years",CleanEmployeeData[[#This Row],[YearsAtCompany]]&lt;=10,"6–10 years",TRUE,"11+ years")</f>
        <v>6–10 years</v>
      </c>
    </row>
    <row r="171" spans="1:4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cm="1">
        <f t="array" ref="AJ171">_xlfn.SWITCH(CleanEmployeeData[[#This Row],[Education]],1,"Below College",2,"College",3,"Bachelor",4,"Master",5,"Doctor","Unknown")</f>
        <v>Doctor</v>
      </c>
      <c r="AK171" t="str" cm="1">
        <f t="array" ref="AK171">_xlfn.SWITCH(CleanEmployeeData[[#This Row],[EnvironmentSatisfaction]],1,"Low",2,"Medium",3,"High",4,"Very High","Unknown")</f>
        <v>High</v>
      </c>
      <c r="AL171" t="str" cm="1">
        <f t="array" ref="AL171">_xlfn.SWITCH(CleanEmployeeData[[#This Row],[JobInvolvement]],1,"Low",2,"Medium",3,"High",4,"Very High","Unknown")</f>
        <v>High</v>
      </c>
      <c r="AM171" t="str" cm="1">
        <f t="array" ref="AM171">_xlfn.SWITCH(CleanEmployeeData[[#This Row],[JobSatisfaction]],1,"Low",2,"Medium",3,"High",4,"Very High","Unknown")</f>
        <v>High</v>
      </c>
      <c r="AN171" t="str" cm="1">
        <f t="array" ref="AN171">_xlfn.SWITCH(CleanEmployeeData[[#This Row],[PerformanceRating]],1,"Low",2,"Good",3,"Excellent",4,"Outstanding","Unknown")</f>
        <v>Outstanding</v>
      </c>
      <c r="AO171" t="str" cm="1">
        <f t="array" ref="AO171">_xlfn.SWITCH(CleanEmployeeData[[#This Row],[WorkLifeBalance]],1,"Bad",2,"Good",3,"Better",4,"Best","Unknown")</f>
        <v>Better</v>
      </c>
      <c r="AP171">
        <f>IF(CleanEmployeeData[[#This Row],[Attrition]]="Yes",1,IF(CleanEmployeeData[[#This Row],[Attrition]]="No",0,""))</f>
        <v>0</v>
      </c>
      <c r="AQ171" t="str" cm="1">
        <f t="array" ref="AQ171">_xlfn.IFS(CleanEmployeeData[[#This Row],[MonthlyIncome]]&lt;=3000,"0–3,000",CleanEmployeeData[[#This Row],[MonthlyIncome]]&lt;=6000,"3,001–6,000",CleanEmployeeData[[#This Row],[MonthlyIncome]]&lt;=10000,"6,001–10,000",TRUE,"10,001+")</f>
        <v>3,001–6,000</v>
      </c>
      <c r="AR171" t="str" cm="1">
        <f t="array" ref="AR171">_xlfn.IFS(CleanEmployeeData[[#This Row],[DistanceFromHome]]&lt;=5,"0–5 miles",CleanEmployeeData[[#This Row],[DistanceFromHome]]&lt;=10,"6–10 miles",CleanEmployeeData[[#This Row],[DistanceFromHome]]&lt;=15,"11–15 miles",TRUE,"16+ miles")</f>
        <v>6–10 miles</v>
      </c>
      <c r="AS171" t="str" cm="1">
        <f t="array" ref="AS171">_xlfn.IFS(CleanEmployeeData[[#This Row],[YearsAtCompany]]&lt;=1,"0–1 years",CleanEmployeeData[[#This Row],[YearsAtCompany]]&lt;=5,"2–5 years",CleanEmployeeData[[#This Row],[YearsAtCompany]]&lt;=10,"6–10 years",TRUE,"11+ years")</f>
        <v>2–5 years</v>
      </c>
    </row>
    <row r="172" spans="1:4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cm="1">
        <f t="array" ref="AJ172">_xlfn.SWITCH(CleanEmployeeData[[#This Row],[Education]],1,"Below College",2,"College",3,"Bachelor",4,"Master",5,"Doctor","Unknown")</f>
        <v>Bachelor</v>
      </c>
      <c r="AK172" t="str" cm="1">
        <f t="array" ref="AK172">_xlfn.SWITCH(CleanEmployeeData[[#This Row],[EnvironmentSatisfaction]],1,"Low",2,"Medium",3,"High",4,"Very High","Unknown")</f>
        <v>High</v>
      </c>
      <c r="AL172" t="str" cm="1">
        <f t="array" ref="AL172">_xlfn.SWITCH(CleanEmployeeData[[#This Row],[JobInvolvement]],1,"Low",2,"Medium",3,"High",4,"Very High","Unknown")</f>
        <v>High</v>
      </c>
      <c r="AM172" t="str" cm="1">
        <f t="array" ref="AM172">_xlfn.SWITCH(CleanEmployeeData[[#This Row],[JobSatisfaction]],1,"Low",2,"Medium",3,"High",4,"Very High","Unknown")</f>
        <v>Medium</v>
      </c>
      <c r="AN172" t="str" cm="1">
        <f t="array" ref="AN172">_xlfn.SWITCH(CleanEmployeeData[[#This Row],[PerformanceRating]],1,"Low",2,"Good",3,"Excellent",4,"Outstanding","Unknown")</f>
        <v>Excellent</v>
      </c>
      <c r="AO172" t="str" cm="1">
        <f t="array" ref="AO172">_xlfn.SWITCH(CleanEmployeeData[[#This Row],[WorkLifeBalance]],1,"Bad",2,"Good",3,"Better",4,"Best","Unknown")</f>
        <v>Good</v>
      </c>
      <c r="AP172">
        <f>IF(CleanEmployeeData[[#This Row],[Attrition]]="Yes",1,IF(CleanEmployeeData[[#This Row],[Attrition]]="No",0,""))</f>
        <v>0</v>
      </c>
      <c r="AQ172" t="str" cm="1">
        <f t="array" ref="AQ172">_xlfn.IFS(CleanEmployeeData[[#This Row],[MonthlyIncome]]&lt;=3000,"0–3,000",CleanEmployeeData[[#This Row],[MonthlyIncome]]&lt;=6000,"3,001–6,000",CleanEmployeeData[[#This Row],[MonthlyIncome]]&lt;=10000,"6,001–10,000",TRUE,"10,001+")</f>
        <v>3,001–6,000</v>
      </c>
      <c r="AR172" t="str" cm="1">
        <f t="array" ref="AR172">_xlfn.IFS(CleanEmployeeData[[#This Row],[DistanceFromHome]]&lt;=5,"0–5 miles",CleanEmployeeData[[#This Row],[DistanceFromHome]]&lt;=10,"6–10 miles",CleanEmployeeData[[#This Row],[DistanceFromHome]]&lt;=15,"11–15 miles",TRUE,"16+ miles")</f>
        <v>16+ miles</v>
      </c>
      <c r="AS172" t="str" cm="1">
        <f t="array" ref="AS172">_xlfn.IFS(CleanEmployeeData[[#This Row],[YearsAtCompany]]&lt;=1,"0–1 years",CleanEmployeeData[[#This Row],[YearsAtCompany]]&lt;=5,"2–5 years",CleanEmployeeData[[#This Row],[YearsAtCompany]]&lt;=10,"6–10 years",TRUE,"11+ years")</f>
        <v>2–5 years</v>
      </c>
    </row>
    <row r="173" spans="1:4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cm="1">
        <f t="array" ref="AJ173">_xlfn.SWITCH(CleanEmployeeData[[#This Row],[Education]],1,"Below College",2,"College",3,"Bachelor",4,"Master",5,"Doctor","Unknown")</f>
        <v>Below College</v>
      </c>
      <c r="AK173" t="str" cm="1">
        <f t="array" ref="AK173">_xlfn.SWITCH(CleanEmployeeData[[#This Row],[EnvironmentSatisfaction]],1,"Low",2,"Medium",3,"High",4,"Very High","Unknown")</f>
        <v>High</v>
      </c>
      <c r="AL173" t="str" cm="1">
        <f t="array" ref="AL173">_xlfn.SWITCH(CleanEmployeeData[[#This Row],[JobInvolvement]],1,"Low",2,"Medium",3,"High",4,"Very High","Unknown")</f>
        <v>Low</v>
      </c>
      <c r="AM173" t="str" cm="1">
        <f t="array" ref="AM173">_xlfn.SWITCH(CleanEmployeeData[[#This Row],[JobSatisfaction]],1,"Low",2,"Medium",3,"High",4,"Very High","Unknown")</f>
        <v>Low</v>
      </c>
      <c r="AN173" t="str" cm="1">
        <f t="array" ref="AN173">_xlfn.SWITCH(CleanEmployeeData[[#This Row],[PerformanceRating]],1,"Low",2,"Good",3,"Excellent",4,"Outstanding","Unknown")</f>
        <v>Outstanding</v>
      </c>
      <c r="AO173" t="str" cm="1">
        <f t="array" ref="AO173">_xlfn.SWITCH(CleanEmployeeData[[#This Row],[WorkLifeBalance]],1,"Bad",2,"Good",3,"Better",4,"Best","Unknown")</f>
        <v>Best</v>
      </c>
      <c r="AP173">
        <f>IF(CleanEmployeeData[[#This Row],[Attrition]]="Yes",1,IF(CleanEmployeeData[[#This Row],[Attrition]]="No",0,""))</f>
        <v>1</v>
      </c>
      <c r="AQ173" t="str" cm="1">
        <f t="array" ref="AQ173">_xlfn.IFS(CleanEmployeeData[[#This Row],[MonthlyIncome]]&lt;=3000,"0–3,000",CleanEmployeeData[[#This Row],[MonthlyIncome]]&lt;=6000,"3,001–6,000",CleanEmployeeData[[#This Row],[MonthlyIncome]]&lt;=10000,"6,001–10,000",TRUE,"10,001+")</f>
        <v>0–3,000</v>
      </c>
      <c r="AR173" t="str" cm="1">
        <f t="array" ref="AR173">_xlfn.IFS(CleanEmployeeData[[#This Row],[DistanceFromHome]]&lt;=5,"0–5 miles",CleanEmployeeData[[#This Row],[DistanceFromHome]]&lt;=10,"6–10 miles",CleanEmployeeData[[#This Row],[DistanceFromHome]]&lt;=15,"11–15 miles",TRUE,"16+ miles")</f>
        <v>0–5 miles</v>
      </c>
      <c r="AS173" t="str" cm="1">
        <f t="array" ref="AS173">_xlfn.IFS(CleanEmployeeData[[#This Row],[YearsAtCompany]]&lt;=1,"0–1 years",CleanEmployeeData[[#This Row],[YearsAtCompany]]&lt;=5,"2–5 years",CleanEmployeeData[[#This Row],[YearsAtCompany]]&lt;=10,"6–10 years",TRUE,"11+ years")</f>
        <v>0–1 years</v>
      </c>
    </row>
    <row r="174" spans="1:4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cm="1">
        <f t="array" ref="AJ174">_xlfn.SWITCH(CleanEmployeeData[[#This Row],[Education]],1,"Below College",2,"College",3,"Bachelor",4,"Master",5,"Doctor","Unknown")</f>
        <v>College</v>
      </c>
      <c r="AK174" t="str" cm="1">
        <f t="array" ref="AK174">_xlfn.SWITCH(CleanEmployeeData[[#This Row],[EnvironmentSatisfaction]],1,"Low",2,"Medium",3,"High",4,"Very High","Unknown")</f>
        <v>Very High</v>
      </c>
      <c r="AL174" t="str" cm="1">
        <f t="array" ref="AL174">_xlfn.SWITCH(CleanEmployeeData[[#This Row],[JobInvolvement]],1,"Low",2,"Medium",3,"High",4,"Very High","Unknown")</f>
        <v>High</v>
      </c>
      <c r="AM174" t="str" cm="1">
        <f t="array" ref="AM174">_xlfn.SWITCH(CleanEmployeeData[[#This Row],[JobSatisfaction]],1,"Low",2,"Medium",3,"High",4,"Very High","Unknown")</f>
        <v>Medium</v>
      </c>
      <c r="AN174" t="str" cm="1">
        <f t="array" ref="AN174">_xlfn.SWITCH(CleanEmployeeData[[#This Row],[PerformanceRating]],1,"Low",2,"Good",3,"Excellent",4,"Outstanding","Unknown")</f>
        <v>Excellent</v>
      </c>
      <c r="AO174" t="str" cm="1">
        <f t="array" ref="AO174">_xlfn.SWITCH(CleanEmployeeData[[#This Row],[WorkLifeBalance]],1,"Bad",2,"Good",3,"Better",4,"Best","Unknown")</f>
        <v>Good</v>
      </c>
      <c r="AP174">
        <f>IF(CleanEmployeeData[[#This Row],[Attrition]]="Yes",1,IF(CleanEmployeeData[[#This Row],[Attrition]]="No",0,""))</f>
        <v>0</v>
      </c>
      <c r="AQ174" t="str" cm="1">
        <f t="array" ref="AQ174">_xlfn.IFS(CleanEmployeeData[[#This Row],[MonthlyIncome]]&lt;=3000,"0–3,000",CleanEmployeeData[[#This Row],[MonthlyIncome]]&lt;=6000,"3,001–6,000",CleanEmployeeData[[#This Row],[MonthlyIncome]]&lt;=10000,"6,001–10,000",TRUE,"10,001+")</f>
        <v>0–3,000</v>
      </c>
      <c r="AR174" t="str" cm="1">
        <f t="array" ref="AR174">_xlfn.IFS(CleanEmployeeData[[#This Row],[DistanceFromHome]]&lt;=5,"0–5 miles",CleanEmployeeData[[#This Row],[DistanceFromHome]]&lt;=10,"6–10 miles",CleanEmployeeData[[#This Row],[DistanceFromHome]]&lt;=15,"11–15 miles",TRUE,"16+ miles")</f>
        <v>0–5 miles</v>
      </c>
      <c r="AS174" t="str" cm="1">
        <f t="array" ref="AS174">_xlfn.IFS(CleanEmployeeData[[#This Row],[YearsAtCompany]]&lt;=1,"0–1 years",CleanEmployeeData[[#This Row],[YearsAtCompany]]&lt;=5,"2–5 years",CleanEmployeeData[[#This Row],[YearsAtCompany]]&lt;=10,"6–10 years",TRUE,"11+ years")</f>
        <v>6–10 years</v>
      </c>
    </row>
    <row r="175" spans="1:4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cm="1">
        <f t="array" ref="AJ175">_xlfn.SWITCH(CleanEmployeeData[[#This Row],[Education]],1,"Below College",2,"College",3,"Bachelor",4,"Master",5,"Doctor","Unknown")</f>
        <v>Bachelor</v>
      </c>
      <c r="AK175" t="str" cm="1">
        <f t="array" ref="AK175">_xlfn.SWITCH(CleanEmployeeData[[#This Row],[EnvironmentSatisfaction]],1,"Low",2,"Medium",3,"High",4,"Very High","Unknown")</f>
        <v>High</v>
      </c>
      <c r="AL175" t="str" cm="1">
        <f t="array" ref="AL175">_xlfn.SWITCH(CleanEmployeeData[[#This Row],[JobInvolvement]],1,"Low",2,"Medium",3,"High",4,"Very High","Unknown")</f>
        <v>High</v>
      </c>
      <c r="AM175" t="str" cm="1">
        <f t="array" ref="AM175">_xlfn.SWITCH(CleanEmployeeData[[#This Row],[JobSatisfaction]],1,"Low",2,"Medium",3,"High",4,"Very High","Unknown")</f>
        <v>Low</v>
      </c>
      <c r="AN175" t="str" cm="1">
        <f t="array" ref="AN175">_xlfn.SWITCH(CleanEmployeeData[[#This Row],[PerformanceRating]],1,"Low",2,"Good",3,"Excellent",4,"Outstanding","Unknown")</f>
        <v>Excellent</v>
      </c>
      <c r="AO175" t="str" cm="1">
        <f t="array" ref="AO175">_xlfn.SWITCH(CleanEmployeeData[[#This Row],[WorkLifeBalance]],1,"Bad",2,"Good",3,"Better",4,"Best","Unknown")</f>
        <v>Better</v>
      </c>
      <c r="AP175">
        <f>IF(CleanEmployeeData[[#This Row],[Attrition]]="Yes",1,IF(CleanEmployeeData[[#This Row],[Attrition]]="No",0,""))</f>
        <v>0</v>
      </c>
      <c r="AQ175" t="str" cm="1">
        <f t="array" ref="AQ175">_xlfn.IFS(CleanEmployeeData[[#This Row],[MonthlyIncome]]&lt;=3000,"0–3,000",CleanEmployeeData[[#This Row],[MonthlyIncome]]&lt;=6000,"3,001–6,000",CleanEmployeeData[[#This Row],[MonthlyIncome]]&lt;=10000,"6,001–10,000",TRUE,"10,001+")</f>
        <v>3,001–6,000</v>
      </c>
      <c r="AR175" t="str" cm="1">
        <f t="array" ref="AR175">_xlfn.IFS(CleanEmployeeData[[#This Row],[DistanceFromHome]]&lt;=5,"0–5 miles",CleanEmployeeData[[#This Row],[DistanceFromHome]]&lt;=10,"6–10 miles",CleanEmployeeData[[#This Row],[DistanceFromHome]]&lt;=15,"11–15 miles",TRUE,"16+ miles")</f>
        <v>6–10 miles</v>
      </c>
      <c r="AS175" t="str" cm="1">
        <f t="array" ref="AS175">_xlfn.IFS(CleanEmployeeData[[#This Row],[YearsAtCompany]]&lt;=1,"0–1 years",CleanEmployeeData[[#This Row],[YearsAtCompany]]&lt;=5,"2–5 years",CleanEmployeeData[[#This Row],[YearsAtCompany]]&lt;=10,"6–10 years",TRUE,"11+ years")</f>
        <v>11+ years</v>
      </c>
    </row>
    <row r="176" spans="1:4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cm="1">
        <f t="array" ref="AJ176">_xlfn.SWITCH(CleanEmployeeData[[#This Row],[Education]],1,"Below College",2,"College",3,"Bachelor",4,"Master",5,"Doctor","Unknown")</f>
        <v>College</v>
      </c>
      <c r="AK176" t="str" cm="1">
        <f t="array" ref="AK176">_xlfn.SWITCH(CleanEmployeeData[[#This Row],[EnvironmentSatisfaction]],1,"Low",2,"Medium",3,"High",4,"Very High","Unknown")</f>
        <v>High</v>
      </c>
      <c r="AL176" t="str" cm="1">
        <f t="array" ref="AL176">_xlfn.SWITCH(CleanEmployeeData[[#This Row],[JobInvolvement]],1,"Low",2,"Medium",3,"High",4,"Very High","Unknown")</f>
        <v>High</v>
      </c>
      <c r="AM176" t="str" cm="1">
        <f t="array" ref="AM176">_xlfn.SWITCH(CleanEmployeeData[[#This Row],[JobSatisfaction]],1,"Low",2,"Medium",3,"High",4,"Very High","Unknown")</f>
        <v>Low</v>
      </c>
      <c r="AN176" t="str" cm="1">
        <f t="array" ref="AN176">_xlfn.SWITCH(CleanEmployeeData[[#This Row],[PerformanceRating]],1,"Low",2,"Good",3,"Excellent",4,"Outstanding","Unknown")</f>
        <v>Excellent</v>
      </c>
      <c r="AO176" t="str" cm="1">
        <f t="array" ref="AO176">_xlfn.SWITCH(CleanEmployeeData[[#This Row],[WorkLifeBalance]],1,"Bad",2,"Good",3,"Better",4,"Best","Unknown")</f>
        <v>Best</v>
      </c>
      <c r="AP176">
        <f>IF(CleanEmployeeData[[#This Row],[Attrition]]="Yes",1,IF(CleanEmployeeData[[#This Row],[Attrition]]="No",0,""))</f>
        <v>0</v>
      </c>
      <c r="AQ176" t="str" cm="1">
        <f t="array" ref="AQ176">_xlfn.IFS(CleanEmployeeData[[#This Row],[MonthlyIncome]]&lt;=3000,"0–3,000",CleanEmployeeData[[#This Row],[MonthlyIncome]]&lt;=6000,"3,001–6,000",CleanEmployeeData[[#This Row],[MonthlyIncome]]&lt;=10000,"6,001–10,000",TRUE,"10,001+")</f>
        <v>3,001–6,000</v>
      </c>
      <c r="AR176" t="str" cm="1">
        <f t="array" ref="AR176">_xlfn.IFS(CleanEmployeeData[[#This Row],[DistanceFromHome]]&lt;=5,"0–5 miles",CleanEmployeeData[[#This Row],[DistanceFromHome]]&lt;=10,"6–10 miles",CleanEmployeeData[[#This Row],[DistanceFromHome]]&lt;=15,"11–15 miles",TRUE,"16+ miles")</f>
        <v>0–5 miles</v>
      </c>
      <c r="AS176" t="str" cm="1">
        <f t="array" ref="AS176">_xlfn.IFS(CleanEmployeeData[[#This Row],[YearsAtCompany]]&lt;=1,"0–1 years",CleanEmployeeData[[#This Row],[YearsAtCompany]]&lt;=5,"2–5 years",CleanEmployeeData[[#This Row],[YearsAtCompany]]&lt;=10,"6–10 years",TRUE,"11+ years")</f>
        <v>2–5 years</v>
      </c>
    </row>
    <row r="177" spans="1:4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cm="1">
        <f t="array" ref="AJ177">_xlfn.SWITCH(CleanEmployeeData[[#This Row],[Education]],1,"Below College",2,"College",3,"Bachelor",4,"Master",5,"Doctor","Unknown")</f>
        <v>Bachelor</v>
      </c>
      <c r="AK177" t="str" cm="1">
        <f t="array" ref="AK177">_xlfn.SWITCH(CleanEmployeeData[[#This Row],[EnvironmentSatisfaction]],1,"Low",2,"Medium",3,"High",4,"Very High","Unknown")</f>
        <v>High</v>
      </c>
      <c r="AL177" t="str" cm="1">
        <f t="array" ref="AL177">_xlfn.SWITCH(CleanEmployeeData[[#This Row],[JobInvolvement]],1,"Low",2,"Medium",3,"High",4,"Very High","Unknown")</f>
        <v>High</v>
      </c>
      <c r="AM177" t="str" cm="1">
        <f t="array" ref="AM177">_xlfn.SWITCH(CleanEmployeeData[[#This Row],[JobSatisfaction]],1,"Low",2,"Medium",3,"High",4,"Very High","Unknown")</f>
        <v>Low</v>
      </c>
      <c r="AN177" t="str" cm="1">
        <f t="array" ref="AN177">_xlfn.SWITCH(CleanEmployeeData[[#This Row],[PerformanceRating]],1,"Low",2,"Good",3,"Excellent",4,"Outstanding","Unknown")</f>
        <v>Excellent</v>
      </c>
      <c r="AO177" t="str" cm="1">
        <f t="array" ref="AO177">_xlfn.SWITCH(CleanEmployeeData[[#This Row],[WorkLifeBalance]],1,"Bad",2,"Good",3,"Better",4,"Best","Unknown")</f>
        <v>Better</v>
      </c>
      <c r="AP177">
        <f>IF(CleanEmployeeData[[#This Row],[Attrition]]="Yes",1,IF(CleanEmployeeData[[#This Row],[Attrition]]="No",0,""))</f>
        <v>0</v>
      </c>
      <c r="AQ177" t="str" cm="1">
        <f t="array" ref="AQ177">_xlfn.IFS(CleanEmployeeData[[#This Row],[MonthlyIncome]]&lt;=3000,"0–3,000",CleanEmployeeData[[#This Row],[MonthlyIncome]]&lt;=6000,"3,001–6,000",CleanEmployeeData[[#This Row],[MonthlyIncome]]&lt;=10000,"6,001–10,000",TRUE,"10,001+")</f>
        <v>3,001–6,000</v>
      </c>
      <c r="AR177" t="str" cm="1">
        <f t="array" ref="AR177">_xlfn.IFS(CleanEmployeeData[[#This Row],[DistanceFromHome]]&lt;=5,"0–5 miles",CleanEmployeeData[[#This Row],[DistanceFromHome]]&lt;=10,"6–10 miles",CleanEmployeeData[[#This Row],[DistanceFromHome]]&lt;=15,"11–15 miles",TRUE,"16+ miles")</f>
        <v>6–10 miles</v>
      </c>
      <c r="AS177" t="str" cm="1">
        <f t="array" ref="AS177">_xlfn.IFS(CleanEmployeeData[[#This Row],[YearsAtCompany]]&lt;=1,"0–1 years",CleanEmployeeData[[#This Row],[YearsAtCompany]]&lt;=5,"2–5 years",CleanEmployeeData[[#This Row],[YearsAtCompany]]&lt;=10,"6–10 years",TRUE,"11+ years")</f>
        <v>2–5 years</v>
      </c>
    </row>
    <row r="178" spans="1:4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cm="1">
        <f t="array" ref="AJ178">_xlfn.SWITCH(CleanEmployeeData[[#This Row],[Education]],1,"Below College",2,"College",3,"Bachelor",4,"Master",5,"Doctor","Unknown")</f>
        <v>Bachelor</v>
      </c>
      <c r="AK178" t="str" cm="1">
        <f t="array" ref="AK178">_xlfn.SWITCH(CleanEmployeeData[[#This Row],[EnvironmentSatisfaction]],1,"Low",2,"Medium",3,"High",4,"Very High","Unknown")</f>
        <v>High</v>
      </c>
      <c r="AL178" t="str" cm="1">
        <f t="array" ref="AL178">_xlfn.SWITCH(CleanEmployeeData[[#This Row],[JobInvolvement]],1,"Low",2,"Medium",3,"High",4,"Very High","Unknown")</f>
        <v>High</v>
      </c>
      <c r="AM178" t="str" cm="1">
        <f t="array" ref="AM178">_xlfn.SWITCH(CleanEmployeeData[[#This Row],[JobSatisfaction]],1,"Low",2,"Medium",3,"High",4,"Very High","Unknown")</f>
        <v>Very High</v>
      </c>
      <c r="AN178" t="str" cm="1">
        <f t="array" ref="AN178">_xlfn.SWITCH(CleanEmployeeData[[#This Row],[PerformanceRating]],1,"Low",2,"Good",3,"Excellent",4,"Outstanding","Unknown")</f>
        <v>Excellent</v>
      </c>
      <c r="AO178" t="str" cm="1">
        <f t="array" ref="AO178">_xlfn.SWITCH(CleanEmployeeData[[#This Row],[WorkLifeBalance]],1,"Bad",2,"Good",3,"Better",4,"Best","Unknown")</f>
        <v>Best</v>
      </c>
      <c r="AP178">
        <f>IF(CleanEmployeeData[[#This Row],[Attrition]]="Yes",1,IF(CleanEmployeeData[[#This Row],[Attrition]]="No",0,""))</f>
        <v>0</v>
      </c>
      <c r="AQ178" t="str" cm="1">
        <f t="array" ref="AQ178">_xlfn.IFS(CleanEmployeeData[[#This Row],[MonthlyIncome]]&lt;=3000,"0–3,000",CleanEmployeeData[[#This Row],[MonthlyIncome]]&lt;=6000,"3,001–6,000",CleanEmployeeData[[#This Row],[MonthlyIncome]]&lt;=10000,"6,001–10,000",TRUE,"10,001+")</f>
        <v>0–3,000</v>
      </c>
      <c r="AR178" t="str" cm="1">
        <f t="array" ref="AR178">_xlfn.IFS(CleanEmployeeData[[#This Row],[DistanceFromHome]]&lt;=5,"0–5 miles",CleanEmployeeData[[#This Row],[DistanceFromHome]]&lt;=10,"6–10 miles",CleanEmployeeData[[#This Row],[DistanceFromHome]]&lt;=15,"11–15 miles",TRUE,"16+ miles")</f>
        <v>0–5 miles</v>
      </c>
      <c r="AS178" t="str" cm="1">
        <f t="array" ref="AS178">_xlfn.IFS(CleanEmployeeData[[#This Row],[YearsAtCompany]]&lt;=1,"0–1 years",CleanEmployeeData[[#This Row],[YearsAtCompany]]&lt;=5,"2–5 years",CleanEmployeeData[[#This Row],[YearsAtCompany]]&lt;=10,"6–10 years",TRUE,"11+ years")</f>
        <v>2–5 years</v>
      </c>
    </row>
    <row r="179" spans="1:4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cm="1">
        <f t="array" ref="AJ179">_xlfn.SWITCH(CleanEmployeeData[[#This Row],[Education]],1,"Below College",2,"College",3,"Bachelor",4,"Master",5,"Doctor","Unknown")</f>
        <v>Bachelor</v>
      </c>
      <c r="AK179" t="str" cm="1">
        <f t="array" ref="AK179">_xlfn.SWITCH(CleanEmployeeData[[#This Row],[EnvironmentSatisfaction]],1,"Low",2,"Medium",3,"High",4,"Very High","Unknown")</f>
        <v>Medium</v>
      </c>
      <c r="AL179" t="str" cm="1">
        <f t="array" ref="AL179">_xlfn.SWITCH(CleanEmployeeData[[#This Row],[JobInvolvement]],1,"Low",2,"Medium",3,"High",4,"Very High","Unknown")</f>
        <v>Medium</v>
      </c>
      <c r="AM179" t="str" cm="1">
        <f t="array" ref="AM179">_xlfn.SWITCH(CleanEmployeeData[[#This Row],[JobSatisfaction]],1,"Low",2,"Medium",3,"High",4,"Very High","Unknown")</f>
        <v>Very High</v>
      </c>
      <c r="AN179" t="str" cm="1">
        <f t="array" ref="AN179">_xlfn.SWITCH(CleanEmployeeData[[#This Row],[PerformanceRating]],1,"Low",2,"Good",3,"Excellent",4,"Outstanding","Unknown")</f>
        <v>Outstanding</v>
      </c>
      <c r="AO179" t="str" cm="1">
        <f t="array" ref="AO179">_xlfn.SWITCH(CleanEmployeeData[[#This Row],[WorkLifeBalance]],1,"Bad",2,"Good",3,"Better",4,"Best","Unknown")</f>
        <v>Good</v>
      </c>
      <c r="AP179">
        <f>IF(CleanEmployeeData[[#This Row],[Attrition]]="Yes",1,IF(CleanEmployeeData[[#This Row],[Attrition]]="No",0,""))</f>
        <v>1</v>
      </c>
      <c r="AQ179" t="str" cm="1">
        <f t="array" ref="AQ179">_xlfn.IFS(CleanEmployeeData[[#This Row],[MonthlyIncome]]&lt;=3000,"0–3,000",CleanEmployeeData[[#This Row],[MonthlyIncome]]&lt;=6000,"3,001–6,000",CleanEmployeeData[[#This Row],[MonthlyIncome]]&lt;=10000,"6,001–10,000",TRUE,"10,001+")</f>
        <v>0–3,000</v>
      </c>
      <c r="AR179" t="str" cm="1">
        <f t="array" ref="AR179">_xlfn.IFS(CleanEmployeeData[[#This Row],[DistanceFromHome]]&lt;=5,"0–5 miles",CleanEmployeeData[[#This Row],[DistanceFromHome]]&lt;=10,"6–10 miles",CleanEmployeeData[[#This Row],[DistanceFromHome]]&lt;=15,"11–15 miles",TRUE,"16+ miles")</f>
        <v>0–5 miles</v>
      </c>
      <c r="AS179" t="str" cm="1">
        <f t="array" ref="AS179">_xlfn.IFS(CleanEmployeeData[[#This Row],[YearsAtCompany]]&lt;=1,"0–1 years",CleanEmployeeData[[#This Row],[YearsAtCompany]]&lt;=5,"2–5 years",CleanEmployeeData[[#This Row],[YearsAtCompany]]&lt;=10,"6–10 years",TRUE,"11+ years")</f>
        <v>0–1 years</v>
      </c>
    </row>
    <row r="180" spans="1:4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cm="1">
        <f t="array" ref="AJ180">_xlfn.SWITCH(CleanEmployeeData[[#This Row],[Education]],1,"Below College",2,"College",3,"Bachelor",4,"Master",5,"Doctor","Unknown")</f>
        <v>College</v>
      </c>
      <c r="AK180" t="str" cm="1">
        <f t="array" ref="AK180">_xlfn.SWITCH(CleanEmployeeData[[#This Row],[EnvironmentSatisfaction]],1,"Low",2,"Medium",3,"High",4,"Very High","Unknown")</f>
        <v>Medium</v>
      </c>
      <c r="AL180" t="str" cm="1">
        <f t="array" ref="AL180">_xlfn.SWITCH(CleanEmployeeData[[#This Row],[JobInvolvement]],1,"Low",2,"Medium",3,"High",4,"Very High","Unknown")</f>
        <v>High</v>
      </c>
      <c r="AM180" t="str" cm="1">
        <f t="array" ref="AM180">_xlfn.SWITCH(CleanEmployeeData[[#This Row],[JobSatisfaction]],1,"Low",2,"Medium",3,"High",4,"Very High","Unknown")</f>
        <v>Low</v>
      </c>
      <c r="AN180" t="str" cm="1">
        <f t="array" ref="AN180">_xlfn.SWITCH(CleanEmployeeData[[#This Row],[PerformanceRating]],1,"Low",2,"Good",3,"Excellent",4,"Outstanding","Unknown")</f>
        <v>Outstanding</v>
      </c>
      <c r="AO180" t="str" cm="1">
        <f t="array" ref="AO180">_xlfn.SWITCH(CleanEmployeeData[[#This Row],[WorkLifeBalance]],1,"Bad",2,"Good",3,"Better",4,"Best","Unknown")</f>
        <v>Better</v>
      </c>
      <c r="AP180">
        <f>IF(CleanEmployeeData[[#This Row],[Attrition]]="Yes",1,IF(CleanEmployeeData[[#This Row],[Attrition]]="No",0,""))</f>
        <v>0</v>
      </c>
      <c r="AQ180" t="str" cm="1">
        <f t="array" ref="AQ180">_xlfn.IFS(CleanEmployeeData[[#This Row],[MonthlyIncome]]&lt;=3000,"0–3,000",CleanEmployeeData[[#This Row],[MonthlyIncome]]&lt;=6000,"3,001–6,000",CleanEmployeeData[[#This Row],[MonthlyIncome]]&lt;=10000,"6,001–10,000",TRUE,"10,001+")</f>
        <v>10,001+</v>
      </c>
      <c r="AR180" t="str" cm="1">
        <f t="array" ref="AR180">_xlfn.IFS(CleanEmployeeData[[#This Row],[DistanceFromHome]]&lt;=5,"0–5 miles",CleanEmployeeData[[#This Row],[DistanceFromHome]]&lt;=10,"6–10 miles",CleanEmployeeData[[#This Row],[DistanceFromHome]]&lt;=15,"11–15 miles",TRUE,"16+ miles")</f>
        <v>0–5 miles</v>
      </c>
      <c r="AS180" t="str" cm="1">
        <f t="array" ref="AS180">_xlfn.IFS(CleanEmployeeData[[#This Row],[YearsAtCompany]]&lt;=1,"0–1 years",CleanEmployeeData[[#This Row],[YearsAtCompany]]&lt;=5,"2–5 years",CleanEmployeeData[[#This Row],[YearsAtCompany]]&lt;=10,"6–10 years",TRUE,"11+ years")</f>
        <v>11+ years</v>
      </c>
    </row>
    <row r="181" spans="1:4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cm="1">
        <f t="array" ref="AJ181">_xlfn.SWITCH(CleanEmployeeData[[#This Row],[Education]],1,"Below College",2,"College",3,"Bachelor",4,"Master",5,"Doctor","Unknown")</f>
        <v>College</v>
      </c>
      <c r="AK181" t="str" cm="1">
        <f t="array" ref="AK181">_xlfn.SWITCH(CleanEmployeeData[[#This Row],[EnvironmentSatisfaction]],1,"Low",2,"Medium",3,"High",4,"Very High","Unknown")</f>
        <v>High</v>
      </c>
      <c r="AL181" t="str" cm="1">
        <f t="array" ref="AL181">_xlfn.SWITCH(CleanEmployeeData[[#This Row],[JobInvolvement]],1,"Low",2,"Medium",3,"High",4,"Very High","Unknown")</f>
        <v>High</v>
      </c>
      <c r="AM181" t="str" cm="1">
        <f t="array" ref="AM181">_xlfn.SWITCH(CleanEmployeeData[[#This Row],[JobSatisfaction]],1,"Low",2,"Medium",3,"High",4,"Very High","Unknown")</f>
        <v>Very High</v>
      </c>
      <c r="AN181" t="str" cm="1">
        <f t="array" ref="AN181">_xlfn.SWITCH(CleanEmployeeData[[#This Row],[PerformanceRating]],1,"Low",2,"Good",3,"Excellent",4,"Outstanding","Unknown")</f>
        <v>Excellent</v>
      </c>
      <c r="AO181" t="str" cm="1">
        <f t="array" ref="AO181">_xlfn.SWITCH(CleanEmployeeData[[#This Row],[WorkLifeBalance]],1,"Bad",2,"Good",3,"Better",4,"Best","Unknown")</f>
        <v>Better</v>
      </c>
      <c r="AP181">
        <f>IF(CleanEmployeeData[[#This Row],[Attrition]]="Yes",1,IF(CleanEmployeeData[[#This Row],[Attrition]]="No",0,""))</f>
        <v>0</v>
      </c>
      <c r="AQ181" t="str" cm="1">
        <f t="array" ref="AQ181">_xlfn.IFS(CleanEmployeeData[[#This Row],[MonthlyIncome]]&lt;=3000,"0–3,000",CleanEmployeeData[[#This Row],[MonthlyIncome]]&lt;=6000,"3,001–6,000",CleanEmployeeData[[#This Row],[MonthlyIncome]]&lt;=10000,"6,001–10,000",TRUE,"10,001+")</f>
        <v>0–3,000</v>
      </c>
      <c r="AR181" t="str" cm="1">
        <f t="array" ref="AR181">_xlfn.IFS(CleanEmployeeData[[#This Row],[DistanceFromHome]]&lt;=5,"0–5 miles",CleanEmployeeData[[#This Row],[DistanceFromHome]]&lt;=10,"6–10 miles",CleanEmployeeData[[#This Row],[DistanceFromHome]]&lt;=15,"11–15 miles",TRUE,"16+ miles")</f>
        <v>6–10 miles</v>
      </c>
      <c r="AS181" t="str" cm="1">
        <f t="array" ref="AS181">_xlfn.IFS(CleanEmployeeData[[#This Row],[YearsAtCompany]]&lt;=1,"0–1 years",CleanEmployeeData[[#This Row],[YearsAtCompany]]&lt;=5,"2–5 years",CleanEmployeeData[[#This Row],[YearsAtCompany]]&lt;=10,"6–10 years",TRUE,"11+ years")</f>
        <v>2–5 years</v>
      </c>
    </row>
    <row r="182" spans="1:4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cm="1">
        <f t="array" ref="AJ182">_xlfn.SWITCH(CleanEmployeeData[[#This Row],[Education]],1,"Below College",2,"College",3,"Bachelor",4,"Master",5,"Doctor","Unknown")</f>
        <v>Below College</v>
      </c>
      <c r="AK182" t="str" cm="1">
        <f t="array" ref="AK182">_xlfn.SWITCH(CleanEmployeeData[[#This Row],[EnvironmentSatisfaction]],1,"Low",2,"Medium",3,"High",4,"Very High","Unknown")</f>
        <v>High</v>
      </c>
      <c r="AL182" t="str" cm="1">
        <f t="array" ref="AL182">_xlfn.SWITCH(CleanEmployeeData[[#This Row],[JobInvolvement]],1,"Low",2,"Medium",3,"High",4,"Very High","Unknown")</f>
        <v>High</v>
      </c>
      <c r="AM182" t="str" cm="1">
        <f t="array" ref="AM182">_xlfn.SWITCH(CleanEmployeeData[[#This Row],[JobSatisfaction]],1,"Low",2,"Medium",3,"High",4,"Very High","Unknown")</f>
        <v>Very High</v>
      </c>
      <c r="AN182" t="str" cm="1">
        <f t="array" ref="AN182">_xlfn.SWITCH(CleanEmployeeData[[#This Row],[PerformanceRating]],1,"Low",2,"Good",3,"Excellent",4,"Outstanding","Unknown")</f>
        <v>Outstanding</v>
      </c>
      <c r="AO182" t="str" cm="1">
        <f t="array" ref="AO182">_xlfn.SWITCH(CleanEmployeeData[[#This Row],[WorkLifeBalance]],1,"Bad",2,"Good",3,"Better",4,"Best","Unknown")</f>
        <v>Better</v>
      </c>
      <c r="AP182">
        <f>IF(CleanEmployeeData[[#This Row],[Attrition]]="Yes",1,IF(CleanEmployeeData[[#This Row],[Attrition]]="No",0,""))</f>
        <v>0</v>
      </c>
      <c r="AQ182" t="str" cm="1">
        <f t="array" ref="AQ182">_xlfn.IFS(CleanEmployeeData[[#This Row],[MonthlyIncome]]&lt;=3000,"0–3,000",CleanEmployeeData[[#This Row],[MonthlyIncome]]&lt;=6000,"3,001–6,000",CleanEmployeeData[[#This Row],[MonthlyIncome]]&lt;=10000,"6,001–10,000",TRUE,"10,001+")</f>
        <v>3,001–6,000</v>
      </c>
      <c r="AR182" t="str" cm="1">
        <f t="array" ref="AR182">_xlfn.IFS(CleanEmployeeData[[#This Row],[DistanceFromHome]]&lt;=5,"0–5 miles",CleanEmployeeData[[#This Row],[DistanceFromHome]]&lt;=10,"6–10 miles",CleanEmployeeData[[#This Row],[DistanceFromHome]]&lt;=15,"11–15 miles",TRUE,"16+ miles")</f>
        <v>11–15 miles</v>
      </c>
      <c r="AS182" t="str" cm="1">
        <f t="array" ref="AS182">_xlfn.IFS(CleanEmployeeData[[#This Row],[YearsAtCompany]]&lt;=1,"0–1 years",CleanEmployeeData[[#This Row],[YearsAtCompany]]&lt;=5,"2–5 years",CleanEmployeeData[[#This Row],[YearsAtCompany]]&lt;=10,"6–10 years",TRUE,"11+ years")</f>
        <v>2–5 years</v>
      </c>
    </row>
    <row r="183" spans="1:4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cm="1">
        <f t="array" ref="AJ183">_xlfn.SWITCH(CleanEmployeeData[[#This Row],[Education]],1,"Below College",2,"College",3,"Bachelor",4,"Master",5,"Doctor","Unknown")</f>
        <v>College</v>
      </c>
      <c r="AK183" t="str" cm="1">
        <f t="array" ref="AK183">_xlfn.SWITCH(CleanEmployeeData[[#This Row],[EnvironmentSatisfaction]],1,"Low",2,"Medium",3,"High",4,"Very High","Unknown")</f>
        <v>Very High</v>
      </c>
      <c r="AL183" t="str" cm="1">
        <f t="array" ref="AL183">_xlfn.SWITCH(CleanEmployeeData[[#This Row],[JobInvolvement]],1,"Low",2,"Medium",3,"High",4,"Very High","Unknown")</f>
        <v>High</v>
      </c>
      <c r="AM183" t="str" cm="1">
        <f t="array" ref="AM183">_xlfn.SWITCH(CleanEmployeeData[[#This Row],[JobSatisfaction]],1,"Low",2,"Medium",3,"High",4,"Very High","Unknown")</f>
        <v>Medium</v>
      </c>
      <c r="AN183" t="str" cm="1">
        <f t="array" ref="AN183">_xlfn.SWITCH(CleanEmployeeData[[#This Row],[PerformanceRating]],1,"Low",2,"Good",3,"Excellent",4,"Outstanding","Unknown")</f>
        <v>Excellent</v>
      </c>
      <c r="AO183" t="str" cm="1">
        <f t="array" ref="AO183">_xlfn.SWITCH(CleanEmployeeData[[#This Row],[WorkLifeBalance]],1,"Bad",2,"Good",3,"Better",4,"Best","Unknown")</f>
        <v>Better</v>
      </c>
      <c r="AP183">
        <f>IF(CleanEmployeeData[[#This Row],[Attrition]]="Yes",1,IF(CleanEmployeeData[[#This Row],[Attrition]]="No",0,""))</f>
        <v>0</v>
      </c>
      <c r="AQ183" t="str" cm="1">
        <f t="array" ref="AQ183">_xlfn.IFS(CleanEmployeeData[[#This Row],[MonthlyIncome]]&lt;=3000,"0–3,000",CleanEmployeeData[[#This Row],[MonthlyIncome]]&lt;=6000,"3,001–6,000",CleanEmployeeData[[#This Row],[MonthlyIncome]]&lt;=10000,"6,001–10,000",TRUE,"10,001+")</f>
        <v>0–3,000</v>
      </c>
      <c r="AR183" t="str" cm="1">
        <f t="array" ref="AR183">_xlfn.IFS(CleanEmployeeData[[#This Row],[DistanceFromHome]]&lt;=5,"0–5 miles",CleanEmployeeData[[#This Row],[DistanceFromHome]]&lt;=10,"6–10 miles",CleanEmployeeData[[#This Row],[DistanceFromHome]]&lt;=15,"11–15 miles",TRUE,"16+ miles")</f>
        <v>16+ miles</v>
      </c>
      <c r="AS183" t="str" cm="1">
        <f t="array" ref="AS183">_xlfn.IFS(CleanEmployeeData[[#This Row],[YearsAtCompany]]&lt;=1,"0–1 years",CleanEmployeeData[[#This Row],[YearsAtCompany]]&lt;=5,"2–5 years",CleanEmployeeData[[#This Row],[YearsAtCompany]]&lt;=10,"6–10 years",TRUE,"11+ years")</f>
        <v>2–5 years</v>
      </c>
    </row>
    <row r="184" spans="1:4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cm="1">
        <f t="array" ref="AJ184">_xlfn.SWITCH(CleanEmployeeData[[#This Row],[Education]],1,"Below College",2,"College",3,"Bachelor",4,"Master",5,"Doctor","Unknown")</f>
        <v>College</v>
      </c>
      <c r="AK184" t="str" cm="1">
        <f t="array" ref="AK184">_xlfn.SWITCH(CleanEmployeeData[[#This Row],[EnvironmentSatisfaction]],1,"Low",2,"Medium",3,"High",4,"Very High","Unknown")</f>
        <v>Medium</v>
      </c>
      <c r="AL184" t="str" cm="1">
        <f t="array" ref="AL184">_xlfn.SWITCH(CleanEmployeeData[[#This Row],[JobInvolvement]],1,"Low",2,"Medium",3,"High",4,"Very High","Unknown")</f>
        <v>High</v>
      </c>
      <c r="AM184" t="str" cm="1">
        <f t="array" ref="AM184">_xlfn.SWITCH(CleanEmployeeData[[#This Row],[JobSatisfaction]],1,"Low",2,"Medium",3,"High",4,"Very High","Unknown")</f>
        <v>Medium</v>
      </c>
      <c r="AN184" t="str" cm="1">
        <f t="array" ref="AN184">_xlfn.SWITCH(CleanEmployeeData[[#This Row],[PerformanceRating]],1,"Low",2,"Good",3,"Excellent",4,"Outstanding","Unknown")</f>
        <v>Outstanding</v>
      </c>
      <c r="AO184" t="str" cm="1">
        <f t="array" ref="AO184">_xlfn.SWITCH(CleanEmployeeData[[#This Row],[WorkLifeBalance]],1,"Bad",2,"Good",3,"Better",4,"Best","Unknown")</f>
        <v>Good</v>
      </c>
      <c r="AP184">
        <f>IF(CleanEmployeeData[[#This Row],[Attrition]]="Yes",1,IF(CleanEmployeeData[[#This Row],[Attrition]]="No",0,""))</f>
        <v>1</v>
      </c>
      <c r="AQ184" t="str" cm="1">
        <f t="array" ref="AQ184">_xlfn.IFS(CleanEmployeeData[[#This Row],[MonthlyIncome]]&lt;=3000,"0–3,000",CleanEmployeeData[[#This Row],[MonthlyIncome]]&lt;=6000,"3,001–6,000",CleanEmployeeData[[#This Row],[MonthlyIncome]]&lt;=10000,"6,001–10,000",TRUE,"10,001+")</f>
        <v>3,001–6,000</v>
      </c>
      <c r="AR184" t="str" cm="1">
        <f t="array" ref="AR184">_xlfn.IFS(CleanEmployeeData[[#This Row],[DistanceFromHome]]&lt;=5,"0–5 miles",CleanEmployeeData[[#This Row],[DistanceFromHome]]&lt;=10,"6–10 miles",CleanEmployeeData[[#This Row],[DistanceFromHome]]&lt;=15,"11–15 miles",TRUE,"16+ miles")</f>
        <v>16+ miles</v>
      </c>
      <c r="AS184" t="str" cm="1">
        <f t="array" ref="AS184">_xlfn.IFS(CleanEmployeeData[[#This Row],[YearsAtCompany]]&lt;=1,"0–1 years",CleanEmployeeData[[#This Row],[YearsAtCompany]]&lt;=5,"2–5 years",CleanEmployeeData[[#This Row],[YearsAtCompany]]&lt;=10,"6–10 years",TRUE,"11+ years")</f>
        <v>2–5 years</v>
      </c>
    </row>
    <row r="185" spans="1:4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cm="1">
        <f t="array" ref="AJ185">_xlfn.SWITCH(CleanEmployeeData[[#This Row],[Education]],1,"Below College",2,"College",3,"Bachelor",4,"Master",5,"Doctor","Unknown")</f>
        <v>Bachelor</v>
      </c>
      <c r="AK185" t="str" cm="1">
        <f t="array" ref="AK185">_xlfn.SWITCH(CleanEmployeeData[[#This Row],[EnvironmentSatisfaction]],1,"Low",2,"Medium",3,"High",4,"Very High","Unknown")</f>
        <v>High</v>
      </c>
      <c r="AL185" t="str" cm="1">
        <f t="array" ref="AL185">_xlfn.SWITCH(CleanEmployeeData[[#This Row],[JobInvolvement]],1,"Low",2,"Medium",3,"High",4,"Very High","Unknown")</f>
        <v>Medium</v>
      </c>
      <c r="AM185" t="str" cm="1">
        <f t="array" ref="AM185">_xlfn.SWITCH(CleanEmployeeData[[#This Row],[JobSatisfaction]],1,"Low",2,"Medium",3,"High",4,"Very High","Unknown")</f>
        <v>High</v>
      </c>
      <c r="AN185" t="str" cm="1">
        <f t="array" ref="AN185">_xlfn.SWITCH(CleanEmployeeData[[#This Row],[PerformanceRating]],1,"Low",2,"Good",3,"Excellent",4,"Outstanding","Unknown")</f>
        <v>Excellent</v>
      </c>
      <c r="AO185" t="str" cm="1">
        <f t="array" ref="AO185">_xlfn.SWITCH(CleanEmployeeData[[#This Row],[WorkLifeBalance]],1,"Bad",2,"Good",3,"Better",4,"Best","Unknown")</f>
        <v>Good</v>
      </c>
      <c r="AP185">
        <f>IF(CleanEmployeeData[[#This Row],[Attrition]]="Yes",1,IF(CleanEmployeeData[[#This Row],[Attrition]]="No",0,""))</f>
        <v>0</v>
      </c>
      <c r="AQ185" t="str" cm="1">
        <f t="array" ref="AQ185">_xlfn.IFS(CleanEmployeeData[[#This Row],[MonthlyIncome]]&lt;=3000,"0–3,000",CleanEmployeeData[[#This Row],[MonthlyIncome]]&lt;=6000,"3,001–6,000",CleanEmployeeData[[#This Row],[MonthlyIncome]]&lt;=10000,"6,001–10,000",TRUE,"10,001+")</f>
        <v>3,001–6,000</v>
      </c>
      <c r="AR185" t="str" cm="1">
        <f t="array" ref="AR185">_xlfn.IFS(CleanEmployeeData[[#This Row],[DistanceFromHome]]&lt;=5,"0–5 miles",CleanEmployeeData[[#This Row],[DistanceFromHome]]&lt;=10,"6–10 miles",CleanEmployeeData[[#This Row],[DistanceFromHome]]&lt;=15,"11–15 miles",TRUE,"16+ miles")</f>
        <v>0–5 miles</v>
      </c>
      <c r="AS185" t="str" cm="1">
        <f t="array" ref="AS185">_xlfn.IFS(CleanEmployeeData[[#This Row],[YearsAtCompany]]&lt;=1,"0–1 years",CleanEmployeeData[[#This Row],[YearsAtCompany]]&lt;=5,"2–5 years",CleanEmployeeData[[#This Row],[YearsAtCompany]]&lt;=10,"6–10 years",TRUE,"11+ years")</f>
        <v>2–5 years</v>
      </c>
    </row>
    <row r="186" spans="1:4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cm="1">
        <f t="array" ref="AJ186">_xlfn.SWITCH(CleanEmployeeData[[#This Row],[Education]],1,"Below College",2,"College",3,"Bachelor",4,"Master",5,"Doctor","Unknown")</f>
        <v>College</v>
      </c>
      <c r="AK186" t="str" cm="1">
        <f t="array" ref="AK186">_xlfn.SWITCH(CleanEmployeeData[[#This Row],[EnvironmentSatisfaction]],1,"Low",2,"Medium",3,"High",4,"Very High","Unknown")</f>
        <v>Very High</v>
      </c>
      <c r="AL186" t="str" cm="1">
        <f t="array" ref="AL186">_xlfn.SWITCH(CleanEmployeeData[[#This Row],[JobInvolvement]],1,"Low",2,"Medium",3,"High",4,"Very High","Unknown")</f>
        <v>Very High</v>
      </c>
      <c r="AM186" t="str" cm="1">
        <f t="array" ref="AM186">_xlfn.SWITCH(CleanEmployeeData[[#This Row],[JobSatisfaction]],1,"Low",2,"Medium",3,"High",4,"Very High","Unknown")</f>
        <v>Low</v>
      </c>
      <c r="AN186" t="str" cm="1">
        <f t="array" ref="AN186">_xlfn.SWITCH(CleanEmployeeData[[#This Row],[PerformanceRating]],1,"Low",2,"Good",3,"Excellent",4,"Outstanding","Unknown")</f>
        <v>Excellent</v>
      </c>
      <c r="AO186" t="str" cm="1">
        <f t="array" ref="AO186">_xlfn.SWITCH(CleanEmployeeData[[#This Row],[WorkLifeBalance]],1,"Bad",2,"Good",3,"Better",4,"Best","Unknown")</f>
        <v>Better</v>
      </c>
      <c r="AP186">
        <f>IF(CleanEmployeeData[[#This Row],[Attrition]]="Yes",1,IF(CleanEmployeeData[[#This Row],[Attrition]]="No",0,""))</f>
        <v>0</v>
      </c>
      <c r="AQ186" t="str" cm="1">
        <f t="array" ref="AQ186">_xlfn.IFS(CleanEmployeeData[[#This Row],[MonthlyIncome]]&lt;=3000,"0–3,000",CleanEmployeeData[[#This Row],[MonthlyIncome]]&lt;=6000,"3,001–6,000",CleanEmployeeData[[#This Row],[MonthlyIncome]]&lt;=10000,"6,001–10,000",TRUE,"10,001+")</f>
        <v>3,001–6,000</v>
      </c>
      <c r="AR186" t="str" cm="1">
        <f t="array" ref="AR186">_xlfn.IFS(CleanEmployeeData[[#This Row],[DistanceFromHome]]&lt;=5,"0–5 miles",CleanEmployeeData[[#This Row],[DistanceFromHome]]&lt;=10,"6–10 miles",CleanEmployeeData[[#This Row],[DistanceFromHome]]&lt;=15,"11–15 miles",TRUE,"16+ miles")</f>
        <v>11–15 miles</v>
      </c>
      <c r="AS186" t="str" cm="1">
        <f t="array" ref="AS186">_xlfn.IFS(CleanEmployeeData[[#This Row],[YearsAtCompany]]&lt;=1,"0–1 years",CleanEmployeeData[[#This Row],[YearsAtCompany]]&lt;=5,"2–5 years",CleanEmployeeData[[#This Row],[YearsAtCompany]]&lt;=10,"6–10 years",TRUE,"11+ years")</f>
        <v>2–5 years</v>
      </c>
    </row>
    <row r="187" spans="1:4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cm="1">
        <f t="array" ref="AJ187">_xlfn.SWITCH(CleanEmployeeData[[#This Row],[Education]],1,"Below College",2,"College",3,"Bachelor",4,"Master",5,"Doctor","Unknown")</f>
        <v>Bachelor</v>
      </c>
      <c r="AK187" t="str" cm="1">
        <f t="array" ref="AK187">_xlfn.SWITCH(CleanEmployeeData[[#This Row],[EnvironmentSatisfaction]],1,"Low",2,"Medium",3,"High",4,"Very High","Unknown")</f>
        <v>Very High</v>
      </c>
      <c r="AL187" t="str" cm="1">
        <f t="array" ref="AL187">_xlfn.SWITCH(CleanEmployeeData[[#This Row],[JobInvolvement]],1,"Low",2,"Medium",3,"High",4,"Very High","Unknown")</f>
        <v>High</v>
      </c>
      <c r="AM187" t="str" cm="1">
        <f t="array" ref="AM187">_xlfn.SWITCH(CleanEmployeeData[[#This Row],[JobSatisfaction]],1,"Low",2,"Medium",3,"High",4,"Very High","Unknown")</f>
        <v>Medium</v>
      </c>
      <c r="AN187" t="str" cm="1">
        <f t="array" ref="AN187">_xlfn.SWITCH(CleanEmployeeData[[#This Row],[PerformanceRating]],1,"Low",2,"Good",3,"Excellent",4,"Outstanding","Unknown")</f>
        <v>Excellent</v>
      </c>
      <c r="AO187" t="str" cm="1">
        <f t="array" ref="AO187">_xlfn.SWITCH(CleanEmployeeData[[#This Row],[WorkLifeBalance]],1,"Bad",2,"Good",3,"Better",4,"Best","Unknown")</f>
        <v>Better</v>
      </c>
      <c r="AP187">
        <f>IF(CleanEmployeeData[[#This Row],[Attrition]]="Yes",1,IF(CleanEmployeeData[[#This Row],[Attrition]]="No",0,""))</f>
        <v>0</v>
      </c>
      <c r="AQ187" t="str" cm="1">
        <f t="array" ref="AQ187">_xlfn.IFS(CleanEmployeeData[[#This Row],[MonthlyIncome]]&lt;=3000,"0–3,000",CleanEmployeeData[[#This Row],[MonthlyIncome]]&lt;=6000,"3,001–6,000",CleanEmployeeData[[#This Row],[MonthlyIncome]]&lt;=10000,"6,001–10,000",TRUE,"10,001+")</f>
        <v>0–3,000</v>
      </c>
      <c r="AR187" t="str" cm="1">
        <f t="array" ref="AR187">_xlfn.IFS(CleanEmployeeData[[#This Row],[DistanceFromHome]]&lt;=5,"0–5 miles",CleanEmployeeData[[#This Row],[DistanceFromHome]]&lt;=10,"6–10 miles",CleanEmployeeData[[#This Row],[DistanceFromHome]]&lt;=15,"11–15 miles",TRUE,"16+ miles")</f>
        <v>11–15 miles</v>
      </c>
      <c r="AS187" t="str" cm="1">
        <f t="array" ref="AS187">_xlfn.IFS(CleanEmployeeData[[#This Row],[YearsAtCompany]]&lt;=1,"0–1 years",CleanEmployeeData[[#This Row],[YearsAtCompany]]&lt;=5,"2–5 years",CleanEmployeeData[[#This Row],[YearsAtCompany]]&lt;=10,"6–10 years",TRUE,"11+ years")</f>
        <v>6–10 years</v>
      </c>
    </row>
    <row r="188" spans="1:4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cm="1">
        <f t="array" ref="AJ188">_xlfn.SWITCH(CleanEmployeeData[[#This Row],[Education]],1,"Below College",2,"College",3,"Bachelor",4,"Master",5,"Doctor","Unknown")</f>
        <v>Below College</v>
      </c>
      <c r="AK188" t="str" cm="1">
        <f t="array" ref="AK188">_xlfn.SWITCH(CleanEmployeeData[[#This Row],[EnvironmentSatisfaction]],1,"Low",2,"Medium",3,"High",4,"Very High","Unknown")</f>
        <v>Very High</v>
      </c>
      <c r="AL188" t="str" cm="1">
        <f t="array" ref="AL188">_xlfn.SWITCH(CleanEmployeeData[[#This Row],[JobInvolvement]],1,"Low",2,"Medium",3,"High",4,"Very High","Unknown")</f>
        <v>High</v>
      </c>
      <c r="AM188" t="str" cm="1">
        <f t="array" ref="AM188">_xlfn.SWITCH(CleanEmployeeData[[#This Row],[JobSatisfaction]],1,"Low",2,"Medium",3,"High",4,"Very High","Unknown")</f>
        <v>High</v>
      </c>
      <c r="AN188" t="str" cm="1">
        <f t="array" ref="AN188">_xlfn.SWITCH(CleanEmployeeData[[#This Row],[PerformanceRating]],1,"Low",2,"Good",3,"Excellent",4,"Outstanding","Unknown")</f>
        <v>Excellent</v>
      </c>
      <c r="AO188" t="str" cm="1">
        <f t="array" ref="AO188">_xlfn.SWITCH(CleanEmployeeData[[#This Row],[WorkLifeBalance]],1,"Bad",2,"Good",3,"Better",4,"Best","Unknown")</f>
        <v>Better</v>
      </c>
      <c r="AP188">
        <f>IF(CleanEmployeeData[[#This Row],[Attrition]]="Yes",1,IF(CleanEmployeeData[[#This Row],[Attrition]]="No",0,""))</f>
        <v>0</v>
      </c>
      <c r="AQ188" t="str" cm="1">
        <f t="array" ref="AQ188">_xlfn.IFS(CleanEmployeeData[[#This Row],[MonthlyIncome]]&lt;=3000,"0–3,000",CleanEmployeeData[[#This Row],[MonthlyIncome]]&lt;=6000,"3,001–6,000",CleanEmployeeData[[#This Row],[MonthlyIncome]]&lt;=10000,"6,001–10,000",TRUE,"10,001+")</f>
        <v>10,001+</v>
      </c>
      <c r="AR188" t="str" cm="1">
        <f t="array" ref="AR188">_xlfn.IFS(CleanEmployeeData[[#This Row],[DistanceFromHome]]&lt;=5,"0–5 miles",CleanEmployeeData[[#This Row],[DistanceFromHome]]&lt;=10,"6–10 miles",CleanEmployeeData[[#This Row],[DistanceFromHome]]&lt;=15,"11–15 miles",TRUE,"16+ miles")</f>
        <v>0–5 miles</v>
      </c>
      <c r="AS188" t="str" cm="1">
        <f t="array" ref="AS188">_xlfn.IFS(CleanEmployeeData[[#This Row],[YearsAtCompany]]&lt;=1,"0–1 years",CleanEmployeeData[[#This Row],[YearsAtCompany]]&lt;=5,"2–5 years",CleanEmployeeData[[#This Row],[YearsAtCompany]]&lt;=10,"6–10 years",TRUE,"11+ years")</f>
        <v>11+ years</v>
      </c>
    </row>
    <row r="189" spans="1:4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cm="1">
        <f t="array" ref="AJ189">_xlfn.SWITCH(CleanEmployeeData[[#This Row],[Education]],1,"Below College",2,"College",3,"Bachelor",4,"Master",5,"Doctor","Unknown")</f>
        <v>Master</v>
      </c>
      <c r="AK189" t="str" cm="1">
        <f t="array" ref="AK189">_xlfn.SWITCH(CleanEmployeeData[[#This Row],[EnvironmentSatisfaction]],1,"Low",2,"Medium",3,"High",4,"Very High","Unknown")</f>
        <v>High</v>
      </c>
      <c r="AL189" t="str" cm="1">
        <f t="array" ref="AL189">_xlfn.SWITCH(CleanEmployeeData[[#This Row],[JobInvolvement]],1,"Low",2,"Medium",3,"High",4,"Very High","Unknown")</f>
        <v>Very High</v>
      </c>
      <c r="AM189" t="str" cm="1">
        <f t="array" ref="AM189">_xlfn.SWITCH(CleanEmployeeData[[#This Row],[JobSatisfaction]],1,"Low",2,"Medium",3,"High",4,"Very High","Unknown")</f>
        <v>Medium</v>
      </c>
      <c r="AN189" t="str" cm="1">
        <f t="array" ref="AN189">_xlfn.SWITCH(CleanEmployeeData[[#This Row],[PerformanceRating]],1,"Low",2,"Good",3,"Excellent",4,"Outstanding","Unknown")</f>
        <v>Excellent</v>
      </c>
      <c r="AO189" t="str" cm="1">
        <f t="array" ref="AO189">_xlfn.SWITCH(CleanEmployeeData[[#This Row],[WorkLifeBalance]],1,"Bad",2,"Good",3,"Better",4,"Best","Unknown")</f>
        <v>Better</v>
      </c>
      <c r="AP189">
        <f>IF(CleanEmployeeData[[#This Row],[Attrition]]="Yes",1,IF(CleanEmployeeData[[#This Row],[Attrition]]="No",0,""))</f>
        <v>0</v>
      </c>
      <c r="AQ189" t="str" cm="1">
        <f t="array" ref="AQ189">_xlfn.IFS(CleanEmployeeData[[#This Row],[MonthlyIncome]]&lt;=3000,"0–3,000",CleanEmployeeData[[#This Row],[MonthlyIncome]]&lt;=6000,"3,001–6,000",CleanEmployeeData[[#This Row],[MonthlyIncome]]&lt;=10000,"6,001–10,000",TRUE,"10,001+")</f>
        <v>10,001+</v>
      </c>
      <c r="AR189" t="str" cm="1">
        <f t="array" ref="AR189">_xlfn.IFS(CleanEmployeeData[[#This Row],[DistanceFromHome]]&lt;=5,"0–5 miles",CleanEmployeeData[[#This Row],[DistanceFromHome]]&lt;=10,"6–10 miles",CleanEmployeeData[[#This Row],[DistanceFromHome]]&lt;=15,"11–15 miles",TRUE,"16+ miles")</f>
        <v>11–15 miles</v>
      </c>
      <c r="AS189" t="str" cm="1">
        <f t="array" ref="AS189">_xlfn.IFS(CleanEmployeeData[[#This Row],[YearsAtCompany]]&lt;=1,"0–1 years",CleanEmployeeData[[#This Row],[YearsAtCompany]]&lt;=5,"2–5 years",CleanEmployeeData[[#This Row],[YearsAtCompany]]&lt;=10,"6–10 years",TRUE,"11+ years")</f>
        <v>11+ years</v>
      </c>
    </row>
    <row r="190" spans="1:4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cm="1">
        <f t="array" ref="AJ190">_xlfn.SWITCH(CleanEmployeeData[[#This Row],[Education]],1,"Below College",2,"College",3,"Bachelor",4,"Master",5,"Doctor","Unknown")</f>
        <v>Below College</v>
      </c>
      <c r="AK190" t="str" cm="1">
        <f t="array" ref="AK190">_xlfn.SWITCH(CleanEmployeeData[[#This Row],[EnvironmentSatisfaction]],1,"Low",2,"Medium",3,"High",4,"Very High","Unknown")</f>
        <v>Very High</v>
      </c>
      <c r="AL190" t="str" cm="1">
        <f t="array" ref="AL190">_xlfn.SWITCH(CleanEmployeeData[[#This Row],[JobInvolvement]],1,"Low",2,"Medium",3,"High",4,"Very High","Unknown")</f>
        <v>Medium</v>
      </c>
      <c r="AM190" t="str" cm="1">
        <f t="array" ref="AM190">_xlfn.SWITCH(CleanEmployeeData[[#This Row],[JobSatisfaction]],1,"Low",2,"Medium",3,"High",4,"Very High","Unknown")</f>
        <v>High</v>
      </c>
      <c r="AN190" t="str" cm="1">
        <f t="array" ref="AN190">_xlfn.SWITCH(CleanEmployeeData[[#This Row],[PerformanceRating]],1,"Low",2,"Good",3,"Excellent",4,"Outstanding","Unknown")</f>
        <v>Excellent</v>
      </c>
      <c r="AO190" t="str" cm="1">
        <f t="array" ref="AO190">_xlfn.SWITCH(CleanEmployeeData[[#This Row],[WorkLifeBalance]],1,"Bad",2,"Good",3,"Better",4,"Best","Unknown")</f>
        <v>Good</v>
      </c>
      <c r="AP190">
        <f>IF(CleanEmployeeData[[#This Row],[Attrition]]="Yes",1,IF(CleanEmployeeData[[#This Row],[Attrition]]="No",0,""))</f>
        <v>0</v>
      </c>
      <c r="AQ190" t="str" cm="1">
        <f t="array" ref="AQ190">_xlfn.IFS(CleanEmployeeData[[#This Row],[MonthlyIncome]]&lt;=3000,"0–3,000",CleanEmployeeData[[#This Row],[MonthlyIncome]]&lt;=6000,"3,001–6,000",CleanEmployeeData[[#This Row],[MonthlyIncome]]&lt;=10000,"6,001–10,000",TRUE,"10,001+")</f>
        <v>6,001–10,000</v>
      </c>
      <c r="AR190" t="str" cm="1">
        <f t="array" ref="AR190">_xlfn.IFS(CleanEmployeeData[[#This Row],[DistanceFromHome]]&lt;=5,"0–5 miles",CleanEmployeeData[[#This Row],[DistanceFromHome]]&lt;=10,"6–10 miles",CleanEmployeeData[[#This Row],[DistanceFromHome]]&lt;=15,"11–15 miles",TRUE,"16+ miles")</f>
        <v>0–5 miles</v>
      </c>
      <c r="AS190" t="str" cm="1">
        <f t="array" ref="AS190">_xlfn.IFS(CleanEmployeeData[[#This Row],[YearsAtCompany]]&lt;=1,"0–1 years",CleanEmployeeData[[#This Row],[YearsAtCompany]]&lt;=5,"2–5 years",CleanEmployeeData[[#This Row],[YearsAtCompany]]&lt;=10,"6–10 years",TRUE,"11+ years")</f>
        <v>6–10 years</v>
      </c>
    </row>
    <row r="191" spans="1:4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cm="1">
        <f t="array" ref="AJ191">_xlfn.SWITCH(CleanEmployeeData[[#This Row],[Education]],1,"Below College",2,"College",3,"Bachelor",4,"Master",5,"Doctor","Unknown")</f>
        <v>Bachelor</v>
      </c>
      <c r="AK191" t="str" cm="1">
        <f t="array" ref="AK191">_xlfn.SWITCH(CleanEmployeeData[[#This Row],[EnvironmentSatisfaction]],1,"Low",2,"Medium",3,"High",4,"Very High","Unknown")</f>
        <v>Very High</v>
      </c>
      <c r="AL191" t="str" cm="1">
        <f t="array" ref="AL191">_xlfn.SWITCH(CleanEmployeeData[[#This Row],[JobInvolvement]],1,"Low",2,"Medium",3,"High",4,"Very High","Unknown")</f>
        <v>High</v>
      </c>
      <c r="AM191" t="str" cm="1">
        <f t="array" ref="AM191">_xlfn.SWITCH(CleanEmployeeData[[#This Row],[JobSatisfaction]],1,"Low",2,"Medium",3,"High",4,"Very High","Unknown")</f>
        <v>Medium</v>
      </c>
      <c r="AN191" t="str" cm="1">
        <f t="array" ref="AN191">_xlfn.SWITCH(CleanEmployeeData[[#This Row],[PerformanceRating]],1,"Low",2,"Good",3,"Excellent",4,"Outstanding","Unknown")</f>
        <v>Excellent</v>
      </c>
      <c r="AO191" t="str" cm="1">
        <f t="array" ref="AO191">_xlfn.SWITCH(CleanEmployeeData[[#This Row],[WorkLifeBalance]],1,"Bad",2,"Good",3,"Better",4,"Best","Unknown")</f>
        <v>Better</v>
      </c>
      <c r="AP191">
        <f>IF(CleanEmployeeData[[#This Row],[Attrition]]="Yes",1,IF(CleanEmployeeData[[#This Row],[Attrition]]="No",0,""))</f>
        <v>0</v>
      </c>
      <c r="AQ191" t="str" cm="1">
        <f t="array" ref="AQ191">_xlfn.IFS(CleanEmployeeData[[#This Row],[MonthlyIncome]]&lt;=3000,"0–3,000",CleanEmployeeData[[#This Row],[MonthlyIncome]]&lt;=6000,"3,001–6,000",CleanEmployeeData[[#This Row],[MonthlyIncome]]&lt;=10000,"6,001–10,000",TRUE,"10,001+")</f>
        <v>10,001+</v>
      </c>
      <c r="AR191" t="str" cm="1">
        <f t="array" ref="AR191">_xlfn.IFS(CleanEmployeeData[[#This Row],[DistanceFromHome]]&lt;=5,"0–5 miles",CleanEmployeeData[[#This Row],[DistanceFromHome]]&lt;=10,"6–10 miles",CleanEmployeeData[[#This Row],[DistanceFromHome]]&lt;=15,"11–15 miles",TRUE,"16+ miles")</f>
        <v>0–5 miles</v>
      </c>
      <c r="AS191" t="str" cm="1">
        <f t="array" ref="AS191">_xlfn.IFS(CleanEmployeeData[[#This Row],[YearsAtCompany]]&lt;=1,"0–1 years",CleanEmployeeData[[#This Row],[YearsAtCompany]]&lt;=5,"2–5 years",CleanEmployeeData[[#This Row],[YearsAtCompany]]&lt;=10,"6–10 years",TRUE,"11+ years")</f>
        <v>6–10 years</v>
      </c>
    </row>
    <row r="192" spans="1:4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cm="1">
        <f t="array" ref="AJ192">_xlfn.SWITCH(CleanEmployeeData[[#This Row],[Education]],1,"Below College",2,"College",3,"Bachelor",4,"Master",5,"Doctor","Unknown")</f>
        <v>Master</v>
      </c>
      <c r="AK192" t="str" cm="1">
        <f t="array" ref="AK192">_xlfn.SWITCH(CleanEmployeeData[[#This Row],[EnvironmentSatisfaction]],1,"Low",2,"Medium",3,"High",4,"Very High","Unknown")</f>
        <v>High</v>
      </c>
      <c r="AL192" t="str" cm="1">
        <f t="array" ref="AL192">_xlfn.SWITCH(CleanEmployeeData[[#This Row],[JobInvolvement]],1,"Low",2,"Medium",3,"High",4,"Very High","Unknown")</f>
        <v>Medium</v>
      </c>
      <c r="AM192" t="str" cm="1">
        <f t="array" ref="AM192">_xlfn.SWITCH(CleanEmployeeData[[#This Row],[JobSatisfaction]],1,"Low",2,"Medium",3,"High",4,"Very High","Unknown")</f>
        <v>High</v>
      </c>
      <c r="AN192" t="str" cm="1">
        <f t="array" ref="AN192">_xlfn.SWITCH(CleanEmployeeData[[#This Row],[PerformanceRating]],1,"Low",2,"Good",3,"Excellent",4,"Outstanding","Unknown")</f>
        <v>Excellent</v>
      </c>
      <c r="AO192" t="str" cm="1">
        <f t="array" ref="AO192">_xlfn.SWITCH(CleanEmployeeData[[#This Row],[WorkLifeBalance]],1,"Bad",2,"Good",3,"Better",4,"Best","Unknown")</f>
        <v>Better</v>
      </c>
      <c r="AP192">
        <f>IF(CleanEmployeeData[[#This Row],[Attrition]]="Yes",1,IF(CleanEmployeeData[[#This Row],[Attrition]]="No",0,""))</f>
        <v>0</v>
      </c>
      <c r="AQ192" t="str" cm="1">
        <f t="array" ref="AQ192">_xlfn.IFS(CleanEmployeeData[[#This Row],[MonthlyIncome]]&lt;=3000,"0–3,000",CleanEmployeeData[[#This Row],[MonthlyIncome]]&lt;=6000,"3,001–6,000",CleanEmployeeData[[#This Row],[MonthlyIncome]]&lt;=10000,"6,001–10,000",TRUE,"10,001+")</f>
        <v>10,001+</v>
      </c>
      <c r="AR192" t="str" cm="1">
        <f t="array" ref="AR192">_xlfn.IFS(CleanEmployeeData[[#This Row],[DistanceFromHome]]&lt;=5,"0–5 miles",CleanEmployeeData[[#This Row],[DistanceFromHome]]&lt;=10,"6–10 miles",CleanEmployeeData[[#This Row],[DistanceFromHome]]&lt;=15,"11–15 miles",TRUE,"16+ miles")</f>
        <v>0–5 miles</v>
      </c>
      <c r="AS192" t="str" cm="1">
        <f t="array" ref="AS192">_xlfn.IFS(CleanEmployeeData[[#This Row],[YearsAtCompany]]&lt;=1,"0–1 years",CleanEmployeeData[[#This Row],[YearsAtCompany]]&lt;=5,"2–5 years",CleanEmployeeData[[#This Row],[YearsAtCompany]]&lt;=10,"6–10 years",TRUE,"11+ years")</f>
        <v>11+ years</v>
      </c>
    </row>
    <row r="193" spans="1:4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cm="1">
        <f t="array" ref="AJ193">_xlfn.SWITCH(CleanEmployeeData[[#This Row],[Education]],1,"Below College",2,"College",3,"Bachelor",4,"Master",5,"Doctor","Unknown")</f>
        <v>Bachelor</v>
      </c>
      <c r="AK193" t="str" cm="1">
        <f t="array" ref="AK193">_xlfn.SWITCH(CleanEmployeeData[[#This Row],[EnvironmentSatisfaction]],1,"Low",2,"Medium",3,"High",4,"Very High","Unknown")</f>
        <v>Very High</v>
      </c>
      <c r="AL193" t="str" cm="1">
        <f t="array" ref="AL193">_xlfn.SWITCH(CleanEmployeeData[[#This Row],[JobInvolvement]],1,"Low",2,"Medium",3,"High",4,"Very High","Unknown")</f>
        <v>High</v>
      </c>
      <c r="AM193" t="str" cm="1">
        <f t="array" ref="AM193">_xlfn.SWITCH(CleanEmployeeData[[#This Row],[JobSatisfaction]],1,"Low",2,"Medium",3,"High",4,"Very High","Unknown")</f>
        <v>Medium</v>
      </c>
      <c r="AN193" t="str" cm="1">
        <f t="array" ref="AN193">_xlfn.SWITCH(CleanEmployeeData[[#This Row],[PerformanceRating]],1,"Low",2,"Good",3,"Excellent",4,"Outstanding","Unknown")</f>
        <v>Excellent</v>
      </c>
      <c r="AO193" t="str" cm="1">
        <f t="array" ref="AO193">_xlfn.SWITCH(CleanEmployeeData[[#This Row],[WorkLifeBalance]],1,"Bad",2,"Good",3,"Better",4,"Best","Unknown")</f>
        <v>Good</v>
      </c>
      <c r="AP193">
        <f>IF(CleanEmployeeData[[#This Row],[Attrition]]="Yes",1,IF(CleanEmployeeData[[#This Row],[Attrition]]="No",0,""))</f>
        <v>0</v>
      </c>
      <c r="AQ193" t="str" cm="1">
        <f t="array" ref="AQ193">_xlfn.IFS(CleanEmployeeData[[#This Row],[MonthlyIncome]]&lt;=3000,"0–3,000",CleanEmployeeData[[#This Row],[MonthlyIncome]]&lt;=6000,"3,001–6,000",CleanEmployeeData[[#This Row],[MonthlyIncome]]&lt;=10000,"6,001–10,000",TRUE,"10,001+")</f>
        <v>0–3,000</v>
      </c>
      <c r="AR193" t="str" cm="1">
        <f t="array" ref="AR193">_xlfn.IFS(CleanEmployeeData[[#This Row],[DistanceFromHome]]&lt;=5,"0–5 miles",CleanEmployeeData[[#This Row],[DistanceFromHome]]&lt;=10,"6–10 miles",CleanEmployeeData[[#This Row],[DistanceFromHome]]&lt;=15,"11–15 miles",TRUE,"16+ miles")</f>
        <v>6–10 miles</v>
      </c>
      <c r="AS193" t="str" cm="1">
        <f t="array" ref="AS193">_xlfn.IFS(CleanEmployeeData[[#This Row],[YearsAtCompany]]&lt;=1,"0–1 years",CleanEmployeeData[[#This Row],[YearsAtCompany]]&lt;=5,"2–5 years",CleanEmployeeData[[#This Row],[YearsAtCompany]]&lt;=10,"6–10 years",TRUE,"11+ years")</f>
        <v>6–10 years</v>
      </c>
    </row>
    <row r="194" spans="1:4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cm="1">
        <f t="array" ref="AJ194">_xlfn.SWITCH(CleanEmployeeData[[#This Row],[Education]],1,"Below College",2,"College",3,"Bachelor",4,"Master",5,"Doctor","Unknown")</f>
        <v>College</v>
      </c>
      <c r="AK194" t="str" cm="1">
        <f t="array" ref="AK194">_xlfn.SWITCH(CleanEmployeeData[[#This Row],[EnvironmentSatisfaction]],1,"Low",2,"Medium",3,"High",4,"Very High","Unknown")</f>
        <v>Medium</v>
      </c>
      <c r="AL194" t="str" cm="1">
        <f t="array" ref="AL194">_xlfn.SWITCH(CleanEmployeeData[[#This Row],[JobInvolvement]],1,"Low",2,"Medium",3,"High",4,"Very High","Unknown")</f>
        <v>Medium</v>
      </c>
      <c r="AM194" t="str" cm="1">
        <f t="array" ref="AM194">_xlfn.SWITCH(CleanEmployeeData[[#This Row],[JobSatisfaction]],1,"Low",2,"Medium",3,"High",4,"Very High","Unknown")</f>
        <v>High</v>
      </c>
      <c r="AN194" t="str" cm="1">
        <f t="array" ref="AN194">_xlfn.SWITCH(CleanEmployeeData[[#This Row],[PerformanceRating]],1,"Low",2,"Good",3,"Excellent",4,"Outstanding","Unknown")</f>
        <v>Excellent</v>
      </c>
      <c r="AO194" t="str" cm="1">
        <f t="array" ref="AO194">_xlfn.SWITCH(CleanEmployeeData[[#This Row],[WorkLifeBalance]],1,"Bad",2,"Good",3,"Better",4,"Best","Unknown")</f>
        <v>Better</v>
      </c>
      <c r="AP194">
        <f>IF(CleanEmployeeData[[#This Row],[Attrition]]="Yes",1,IF(CleanEmployeeData[[#This Row],[Attrition]]="No",0,""))</f>
        <v>1</v>
      </c>
      <c r="AQ194" t="str" cm="1">
        <f t="array" ref="AQ194">_xlfn.IFS(CleanEmployeeData[[#This Row],[MonthlyIncome]]&lt;=3000,"0–3,000",CleanEmployeeData[[#This Row],[MonthlyIncome]]&lt;=6000,"3,001–6,000",CleanEmployeeData[[#This Row],[MonthlyIncome]]&lt;=10000,"6,001–10,000",TRUE,"10,001+")</f>
        <v>3,001–6,000</v>
      </c>
      <c r="AR194" t="str" cm="1">
        <f t="array" ref="AR194">_xlfn.IFS(CleanEmployeeData[[#This Row],[DistanceFromHome]]&lt;=5,"0–5 miles",CleanEmployeeData[[#This Row],[DistanceFromHome]]&lt;=10,"6–10 miles",CleanEmployeeData[[#This Row],[DistanceFromHome]]&lt;=15,"11–15 miles",TRUE,"16+ miles")</f>
        <v>16+ miles</v>
      </c>
      <c r="AS194" t="str" cm="1">
        <f t="array" ref="AS194">_xlfn.IFS(CleanEmployeeData[[#This Row],[YearsAtCompany]]&lt;=1,"0–1 years",CleanEmployeeData[[#This Row],[YearsAtCompany]]&lt;=5,"2–5 years",CleanEmployeeData[[#This Row],[YearsAtCompany]]&lt;=10,"6–10 years",TRUE,"11+ years")</f>
        <v>0–1 years</v>
      </c>
    </row>
    <row r="195" spans="1:4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cm="1">
        <f t="array" ref="AJ195">_xlfn.SWITCH(CleanEmployeeData[[#This Row],[Education]],1,"Below College",2,"College",3,"Bachelor",4,"Master",5,"Doctor","Unknown")</f>
        <v>Bachelor</v>
      </c>
      <c r="AK195" t="str" cm="1">
        <f t="array" ref="AK195">_xlfn.SWITCH(CleanEmployeeData[[#This Row],[EnvironmentSatisfaction]],1,"Low",2,"Medium",3,"High",4,"Very High","Unknown")</f>
        <v>Very High</v>
      </c>
      <c r="AL195" t="str" cm="1">
        <f t="array" ref="AL195">_xlfn.SWITCH(CleanEmployeeData[[#This Row],[JobInvolvement]],1,"Low",2,"Medium",3,"High",4,"Very High","Unknown")</f>
        <v>Very High</v>
      </c>
      <c r="AM195" t="str" cm="1">
        <f t="array" ref="AM195">_xlfn.SWITCH(CleanEmployeeData[[#This Row],[JobSatisfaction]],1,"Low",2,"Medium",3,"High",4,"Very High","Unknown")</f>
        <v>Very High</v>
      </c>
      <c r="AN195" t="str" cm="1">
        <f t="array" ref="AN195">_xlfn.SWITCH(CleanEmployeeData[[#This Row],[PerformanceRating]],1,"Low",2,"Good",3,"Excellent",4,"Outstanding","Unknown")</f>
        <v>Excellent</v>
      </c>
      <c r="AO195" t="str" cm="1">
        <f t="array" ref="AO195">_xlfn.SWITCH(CleanEmployeeData[[#This Row],[WorkLifeBalance]],1,"Bad",2,"Good",3,"Better",4,"Best","Unknown")</f>
        <v>Best</v>
      </c>
      <c r="AP195">
        <f>IF(CleanEmployeeData[[#This Row],[Attrition]]="Yes",1,IF(CleanEmployeeData[[#This Row],[Attrition]]="No",0,""))</f>
        <v>0</v>
      </c>
      <c r="AQ195" t="str" cm="1">
        <f t="array" ref="AQ195">_xlfn.IFS(CleanEmployeeData[[#This Row],[MonthlyIncome]]&lt;=3000,"0–3,000",CleanEmployeeData[[#This Row],[MonthlyIncome]]&lt;=6000,"3,001–6,000",CleanEmployeeData[[#This Row],[MonthlyIncome]]&lt;=10000,"6,001–10,000",TRUE,"10,001+")</f>
        <v>0–3,000</v>
      </c>
      <c r="AR195" t="str" cm="1">
        <f t="array" ref="AR195">_xlfn.IFS(CleanEmployeeData[[#This Row],[DistanceFromHome]]&lt;=5,"0–5 miles",CleanEmployeeData[[#This Row],[DistanceFromHome]]&lt;=10,"6–10 miles",CleanEmployeeData[[#This Row],[DistanceFromHome]]&lt;=15,"11–15 miles",TRUE,"16+ miles")</f>
        <v>6–10 miles</v>
      </c>
      <c r="AS195" t="str" cm="1">
        <f t="array" ref="AS195">_xlfn.IFS(CleanEmployeeData[[#This Row],[YearsAtCompany]]&lt;=1,"0–1 years",CleanEmployeeData[[#This Row],[YearsAtCompany]]&lt;=5,"2–5 years",CleanEmployeeData[[#This Row],[YearsAtCompany]]&lt;=10,"6–10 years",TRUE,"11+ years")</f>
        <v>2–5 years</v>
      </c>
    </row>
    <row r="196" spans="1:4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cm="1">
        <f t="array" ref="AJ196">_xlfn.SWITCH(CleanEmployeeData[[#This Row],[Education]],1,"Below College",2,"College",3,"Bachelor",4,"Master",5,"Doctor","Unknown")</f>
        <v>College</v>
      </c>
      <c r="AK196" t="str" cm="1">
        <f t="array" ref="AK196">_xlfn.SWITCH(CleanEmployeeData[[#This Row],[EnvironmentSatisfaction]],1,"Low",2,"Medium",3,"High",4,"Very High","Unknown")</f>
        <v>Low</v>
      </c>
      <c r="AL196" t="str" cm="1">
        <f t="array" ref="AL196">_xlfn.SWITCH(CleanEmployeeData[[#This Row],[JobInvolvement]],1,"Low",2,"Medium",3,"High",4,"Very High","Unknown")</f>
        <v>Medium</v>
      </c>
      <c r="AM196" t="str" cm="1">
        <f t="array" ref="AM196">_xlfn.SWITCH(CleanEmployeeData[[#This Row],[JobSatisfaction]],1,"Low",2,"Medium",3,"High",4,"Very High","Unknown")</f>
        <v>Very High</v>
      </c>
      <c r="AN196" t="str" cm="1">
        <f t="array" ref="AN196">_xlfn.SWITCH(CleanEmployeeData[[#This Row],[PerformanceRating]],1,"Low",2,"Good",3,"Excellent",4,"Outstanding","Unknown")</f>
        <v>Outstanding</v>
      </c>
      <c r="AO196" t="str" cm="1">
        <f t="array" ref="AO196">_xlfn.SWITCH(CleanEmployeeData[[#This Row],[WorkLifeBalance]],1,"Bad",2,"Good",3,"Better",4,"Best","Unknown")</f>
        <v>Better</v>
      </c>
      <c r="AP196">
        <f>IF(CleanEmployeeData[[#This Row],[Attrition]]="Yes",1,IF(CleanEmployeeData[[#This Row],[Attrition]]="No",0,""))</f>
        <v>0</v>
      </c>
      <c r="AQ196" t="str" cm="1">
        <f t="array" ref="AQ196">_xlfn.IFS(CleanEmployeeData[[#This Row],[MonthlyIncome]]&lt;=3000,"0–3,000",CleanEmployeeData[[#This Row],[MonthlyIncome]]&lt;=6000,"3,001–6,000",CleanEmployeeData[[#This Row],[MonthlyIncome]]&lt;=10000,"6,001–10,000",TRUE,"10,001+")</f>
        <v>10,001+</v>
      </c>
      <c r="AR196" t="str" cm="1">
        <f t="array" ref="AR196">_xlfn.IFS(CleanEmployeeData[[#This Row],[DistanceFromHome]]&lt;=5,"0–5 miles",CleanEmployeeData[[#This Row],[DistanceFromHome]]&lt;=10,"6–10 miles",CleanEmployeeData[[#This Row],[DistanceFromHome]]&lt;=15,"11–15 miles",TRUE,"16+ miles")</f>
        <v>0–5 miles</v>
      </c>
      <c r="AS196" t="str" cm="1">
        <f t="array" ref="AS196">_xlfn.IFS(CleanEmployeeData[[#This Row],[YearsAtCompany]]&lt;=1,"0–1 years",CleanEmployeeData[[#This Row],[YearsAtCompany]]&lt;=5,"2–5 years",CleanEmployeeData[[#This Row],[YearsAtCompany]]&lt;=10,"6–10 years",TRUE,"11+ years")</f>
        <v>11+ years</v>
      </c>
    </row>
    <row r="197" spans="1:4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cm="1">
        <f t="array" ref="AJ197">_xlfn.SWITCH(CleanEmployeeData[[#This Row],[Education]],1,"Below College",2,"College",3,"Bachelor",4,"Master",5,"Doctor","Unknown")</f>
        <v>Bachelor</v>
      </c>
      <c r="AK197" t="str" cm="1">
        <f t="array" ref="AK197">_xlfn.SWITCH(CleanEmployeeData[[#This Row],[EnvironmentSatisfaction]],1,"Low",2,"Medium",3,"High",4,"Very High","Unknown")</f>
        <v>Medium</v>
      </c>
      <c r="AL197" t="str" cm="1">
        <f t="array" ref="AL197">_xlfn.SWITCH(CleanEmployeeData[[#This Row],[JobInvolvement]],1,"Low",2,"Medium",3,"High",4,"Very High","Unknown")</f>
        <v>Very High</v>
      </c>
      <c r="AM197" t="str" cm="1">
        <f t="array" ref="AM197">_xlfn.SWITCH(CleanEmployeeData[[#This Row],[JobSatisfaction]],1,"Low",2,"Medium",3,"High",4,"Very High","Unknown")</f>
        <v>Low</v>
      </c>
      <c r="AN197" t="str" cm="1">
        <f t="array" ref="AN197">_xlfn.SWITCH(CleanEmployeeData[[#This Row],[PerformanceRating]],1,"Low",2,"Good",3,"Excellent",4,"Outstanding","Unknown")</f>
        <v>Excellent</v>
      </c>
      <c r="AO197" t="str" cm="1">
        <f t="array" ref="AO197">_xlfn.SWITCH(CleanEmployeeData[[#This Row],[WorkLifeBalance]],1,"Bad",2,"Good",3,"Better",4,"Best","Unknown")</f>
        <v>Good</v>
      </c>
      <c r="AP197">
        <f>IF(CleanEmployeeData[[#This Row],[Attrition]]="Yes",1,IF(CleanEmployeeData[[#This Row],[Attrition]]="No",0,""))</f>
        <v>0</v>
      </c>
      <c r="AQ197" t="str" cm="1">
        <f t="array" ref="AQ197">_xlfn.IFS(CleanEmployeeData[[#This Row],[MonthlyIncome]]&lt;=3000,"0–3,000",CleanEmployeeData[[#This Row],[MonthlyIncome]]&lt;=6000,"3,001–6,000",CleanEmployeeData[[#This Row],[MonthlyIncome]]&lt;=10000,"6,001–10,000",TRUE,"10,001+")</f>
        <v>3,001–6,000</v>
      </c>
      <c r="AR197" t="str" cm="1">
        <f t="array" ref="AR197">_xlfn.IFS(CleanEmployeeData[[#This Row],[DistanceFromHome]]&lt;=5,"0–5 miles",CleanEmployeeData[[#This Row],[DistanceFromHome]]&lt;=10,"6–10 miles",CleanEmployeeData[[#This Row],[DistanceFromHome]]&lt;=15,"11–15 miles",TRUE,"16+ miles")</f>
        <v>16+ miles</v>
      </c>
      <c r="AS197" t="str" cm="1">
        <f t="array" ref="AS197">_xlfn.IFS(CleanEmployeeData[[#This Row],[YearsAtCompany]]&lt;=1,"0–1 years",CleanEmployeeData[[#This Row],[YearsAtCompany]]&lt;=5,"2–5 years",CleanEmployeeData[[#This Row],[YearsAtCompany]]&lt;=10,"6–10 years",TRUE,"11+ years")</f>
        <v>6–10 years</v>
      </c>
    </row>
    <row r="198" spans="1:4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cm="1">
        <f t="array" ref="AJ198">_xlfn.SWITCH(CleanEmployeeData[[#This Row],[Education]],1,"Below College",2,"College",3,"Bachelor",4,"Master",5,"Doctor","Unknown")</f>
        <v>Bachelor</v>
      </c>
      <c r="AK198" t="str" cm="1">
        <f t="array" ref="AK198">_xlfn.SWITCH(CleanEmployeeData[[#This Row],[EnvironmentSatisfaction]],1,"Low",2,"Medium",3,"High",4,"Very High","Unknown")</f>
        <v>Medium</v>
      </c>
      <c r="AL198" t="str" cm="1">
        <f t="array" ref="AL198">_xlfn.SWITCH(CleanEmployeeData[[#This Row],[JobInvolvement]],1,"Low",2,"Medium",3,"High",4,"Very High","Unknown")</f>
        <v>High</v>
      </c>
      <c r="AM198" t="str" cm="1">
        <f t="array" ref="AM198">_xlfn.SWITCH(CleanEmployeeData[[#This Row],[JobSatisfaction]],1,"Low",2,"Medium",3,"High",4,"Very High","Unknown")</f>
        <v>Medium</v>
      </c>
      <c r="AN198" t="str" cm="1">
        <f t="array" ref="AN198">_xlfn.SWITCH(CleanEmployeeData[[#This Row],[PerformanceRating]],1,"Low",2,"Good",3,"Excellent",4,"Outstanding","Unknown")</f>
        <v>Excellent</v>
      </c>
      <c r="AO198" t="str" cm="1">
        <f t="array" ref="AO198">_xlfn.SWITCH(CleanEmployeeData[[#This Row],[WorkLifeBalance]],1,"Bad",2,"Good",3,"Better",4,"Best","Unknown")</f>
        <v>Better</v>
      </c>
      <c r="AP198">
        <f>IF(CleanEmployeeData[[#This Row],[Attrition]]="Yes",1,IF(CleanEmployeeData[[#This Row],[Attrition]]="No",0,""))</f>
        <v>0</v>
      </c>
      <c r="AQ198" t="str" cm="1">
        <f t="array" ref="AQ198">_xlfn.IFS(CleanEmployeeData[[#This Row],[MonthlyIncome]]&lt;=3000,"0–3,000",CleanEmployeeData[[#This Row],[MonthlyIncome]]&lt;=6000,"3,001–6,000",CleanEmployeeData[[#This Row],[MonthlyIncome]]&lt;=10000,"6,001–10,000",TRUE,"10,001+")</f>
        <v>3,001–6,000</v>
      </c>
      <c r="AR198" t="str" cm="1">
        <f t="array" ref="AR198">_xlfn.IFS(CleanEmployeeData[[#This Row],[DistanceFromHome]]&lt;=5,"0–5 miles",CleanEmployeeData[[#This Row],[DistanceFromHome]]&lt;=10,"6–10 miles",CleanEmployeeData[[#This Row],[DistanceFromHome]]&lt;=15,"11–15 miles",TRUE,"16+ miles")</f>
        <v>0–5 miles</v>
      </c>
      <c r="AS198" t="str" cm="1">
        <f t="array" ref="AS198">_xlfn.IFS(CleanEmployeeData[[#This Row],[YearsAtCompany]]&lt;=1,"0–1 years",CleanEmployeeData[[#This Row],[YearsAtCompany]]&lt;=5,"2–5 years",CleanEmployeeData[[#This Row],[YearsAtCompany]]&lt;=10,"6–10 years",TRUE,"11+ years")</f>
        <v>6–10 years</v>
      </c>
    </row>
    <row r="199" spans="1:4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cm="1">
        <f t="array" ref="AJ199">_xlfn.SWITCH(CleanEmployeeData[[#This Row],[Education]],1,"Below College",2,"College",3,"Bachelor",4,"Master",5,"Doctor","Unknown")</f>
        <v>College</v>
      </c>
      <c r="AK199" t="str" cm="1">
        <f t="array" ref="AK199">_xlfn.SWITCH(CleanEmployeeData[[#This Row],[EnvironmentSatisfaction]],1,"Low",2,"Medium",3,"High",4,"Very High","Unknown")</f>
        <v>High</v>
      </c>
      <c r="AL199" t="str" cm="1">
        <f t="array" ref="AL199">_xlfn.SWITCH(CleanEmployeeData[[#This Row],[JobInvolvement]],1,"Low",2,"Medium",3,"High",4,"Very High","Unknown")</f>
        <v>High</v>
      </c>
      <c r="AM199" t="str" cm="1">
        <f t="array" ref="AM199">_xlfn.SWITCH(CleanEmployeeData[[#This Row],[JobSatisfaction]],1,"Low",2,"Medium",3,"High",4,"Very High","Unknown")</f>
        <v>High</v>
      </c>
      <c r="AN199" t="str" cm="1">
        <f t="array" ref="AN199">_xlfn.SWITCH(CleanEmployeeData[[#This Row],[PerformanceRating]],1,"Low",2,"Good",3,"Excellent",4,"Outstanding","Unknown")</f>
        <v>Excellent</v>
      </c>
      <c r="AO199" t="str" cm="1">
        <f t="array" ref="AO199">_xlfn.SWITCH(CleanEmployeeData[[#This Row],[WorkLifeBalance]],1,"Bad",2,"Good",3,"Better",4,"Best","Unknown")</f>
        <v>Better</v>
      </c>
      <c r="AP199">
        <f>IF(CleanEmployeeData[[#This Row],[Attrition]]="Yes",1,IF(CleanEmployeeData[[#This Row],[Attrition]]="No",0,""))</f>
        <v>0</v>
      </c>
      <c r="AQ199" t="str" cm="1">
        <f t="array" ref="AQ199">_xlfn.IFS(CleanEmployeeData[[#This Row],[MonthlyIncome]]&lt;=3000,"0–3,000",CleanEmployeeData[[#This Row],[MonthlyIncome]]&lt;=6000,"3,001–6,000",CleanEmployeeData[[#This Row],[MonthlyIncome]]&lt;=10000,"6,001–10,000",TRUE,"10,001+")</f>
        <v>3,001–6,000</v>
      </c>
      <c r="AR199" t="str" cm="1">
        <f t="array" ref="AR199">_xlfn.IFS(CleanEmployeeData[[#This Row],[DistanceFromHome]]&lt;=5,"0–5 miles",CleanEmployeeData[[#This Row],[DistanceFromHome]]&lt;=10,"6–10 miles",CleanEmployeeData[[#This Row],[DistanceFromHome]]&lt;=15,"11–15 miles",TRUE,"16+ miles")</f>
        <v>16+ miles</v>
      </c>
      <c r="AS199" t="str" cm="1">
        <f t="array" ref="AS199">_xlfn.IFS(CleanEmployeeData[[#This Row],[YearsAtCompany]]&lt;=1,"0–1 years",CleanEmployeeData[[#This Row],[YearsAtCompany]]&lt;=5,"2–5 years",CleanEmployeeData[[#This Row],[YearsAtCompany]]&lt;=10,"6–10 years",TRUE,"11+ years")</f>
        <v>2–5 years</v>
      </c>
    </row>
    <row r="200" spans="1:4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cm="1">
        <f t="array" ref="AJ200">_xlfn.SWITCH(CleanEmployeeData[[#This Row],[Education]],1,"Below College",2,"College",3,"Bachelor",4,"Master",5,"Doctor","Unknown")</f>
        <v>Master</v>
      </c>
      <c r="AK200" t="str" cm="1">
        <f t="array" ref="AK200">_xlfn.SWITCH(CleanEmployeeData[[#This Row],[EnvironmentSatisfaction]],1,"Low",2,"Medium",3,"High",4,"Very High","Unknown")</f>
        <v>Very High</v>
      </c>
      <c r="AL200" t="str" cm="1">
        <f t="array" ref="AL200">_xlfn.SWITCH(CleanEmployeeData[[#This Row],[JobInvolvement]],1,"Low",2,"Medium",3,"High",4,"Very High","Unknown")</f>
        <v>High</v>
      </c>
      <c r="AM200" t="str" cm="1">
        <f t="array" ref="AM200">_xlfn.SWITCH(CleanEmployeeData[[#This Row],[JobSatisfaction]],1,"Low",2,"Medium",3,"High",4,"Very High","Unknown")</f>
        <v>High</v>
      </c>
      <c r="AN200" t="str" cm="1">
        <f t="array" ref="AN200">_xlfn.SWITCH(CleanEmployeeData[[#This Row],[PerformanceRating]],1,"Low",2,"Good",3,"Excellent",4,"Outstanding","Unknown")</f>
        <v>Excellent</v>
      </c>
      <c r="AO200" t="str" cm="1">
        <f t="array" ref="AO200">_xlfn.SWITCH(CleanEmployeeData[[#This Row],[WorkLifeBalance]],1,"Bad",2,"Good",3,"Better",4,"Best","Unknown")</f>
        <v>Better</v>
      </c>
      <c r="AP200">
        <f>IF(CleanEmployeeData[[#This Row],[Attrition]]="Yes",1,IF(CleanEmployeeData[[#This Row],[Attrition]]="No",0,""))</f>
        <v>0</v>
      </c>
      <c r="AQ200" t="str" cm="1">
        <f t="array" ref="AQ200">_xlfn.IFS(CleanEmployeeData[[#This Row],[MonthlyIncome]]&lt;=3000,"0–3,000",CleanEmployeeData[[#This Row],[MonthlyIncome]]&lt;=6000,"3,001–6,000",CleanEmployeeData[[#This Row],[MonthlyIncome]]&lt;=10000,"6,001–10,000",TRUE,"10,001+")</f>
        <v>6,001–10,000</v>
      </c>
      <c r="AR200" t="str" cm="1">
        <f t="array" ref="AR200">_xlfn.IFS(CleanEmployeeData[[#This Row],[DistanceFromHome]]&lt;=5,"0–5 miles",CleanEmployeeData[[#This Row],[DistanceFromHome]]&lt;=10,"6–10 miles",CleanEmployeeData[[#This Row],[DistanceFromHome]]&lt;=15,"11–15 miles",TRUE,"16+ miles")</f>
        <v>0–5 miles</v>
      </c>
      <c r="AS200" t="str" cm="1">
        <f t="array" ref="AS200">_xlfn.IFS(CleanEmployeeData[[#This Row],[YearsAtCompany]]&lt;=1,"0–1 years",CleanEmployeeData[[#This Row],[YearsAtCompany]]&lt;=5,"2–5 years",CleanEmployeeData[[#This Row],[YearsAtCompany]]&lt;=10,"6–10 years",TRUE,"11+ years")</f>
        <v>0–1 years</v>
      </c>
    </row>
    <row r="201" spans="1:4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cm="1">
        <f t="array" ref="AJ201">_xlfn.SWITCH(CleanEmployeeData[[#This Row],[Education]],1,"Below College",2,"College",3,"Bachelor",4,"Master",5,"Doctor","Unknown")</f>
        <v>Bachelor</v>
      </c>
      <c r="AK201" t="str" cm="1">
        <f t="array" ref="AK201">_xlfn.SWITCH(CleanEmployeeData[[#This Row],[EnvironmentSatisfaction]],1,"Low",2,"Medium",3,"High",4,"Very High","Unknown")</f>
        <v>Very High</v>
      </c>
      <c r="AL201" t="str" cm="1">
        <f t="array" ref="AL201">_xlfn.SWITCH(CleanEmployeeData[[#This Row],[JobInvolvement]],1,"Low",2,"Medium",3,"High",4,"Very High","Unknown")</f>
        <v>High</v>
      </c>
      <c r="AM201" t="str" cm="1">
        <f t="array" ref="AM201">_xlfn.SWITCH(CleanEmployeeData[[#This Row],[JobSatisfaction]],1,"Low",2,"Medium",3,"High",4,"Very High","Unknown")</f>
        <v>Very High</v>
      </c>
      <c r="AN201" t="str" cm="1">
        <f t="array" ref="AN201">_xlfn.SWITCH(CleanEmployeeData[[#This Row],[PerformanceRating]],1,"Low",2,"Good",3,"Excellent",4,"Outstanding","Unknown")</f>
        <v>Excellent</v>
      </c>
      <c r="AO201" t="str" cm="1">
        <f t="array" ref="AO201">_xlfn.SWITCH(CleanEmployeeData[[#This Row],[WorkLifeBalance]],1,"Bad",2,"Good",3,"Better",4,"Best","Unknown")</f>
        <v>Bad</v>
      </c>
      <c r="AP201">
        <f>IF(CleanEmployeeData[[#This Row],[Attrition]]="Yes",1,IF(CleanEmployeeData[[#This Row],[Attrition]]="No",0,""))</f>
        <v>0</v>
      </c>
      <c r="AQ201" t="str" cm="1">
        <f t="array" ref="AQ201">_xlfn.IFS(CleanEmployeeData[[#This Row],[MonthlyIncome]]&lt;=3000,"0–3,000",CleanEmployeeData[[#This Row],[MonthlyIncome]]&lt;=6000,"3,001–6,000",CleanEmployeeData[[#This Row],[MonthlyIncome]]&lt;=10000,"6,001–10,000",TRUE,"10,001+")</f>
        <v>6,001–10,000</v>
      </c>
      <c r="AR201" t="str" cm="1">
        <f t="array" ref="AR201">_xlfn.IFS(CleanEmployeeData[[#This Row],[DistanceFromHome]]&lt;=5,"0–5 miles",CleanEmployeeData[[#This Row],[DistanceFromHome]]&lt;=10,"6–10 miles",CleanEmployeeData[[#This Row],[DistanceFromHome]]&lt;=15,"11–15 miles",TRUE,"16+ miles")</f>
        <v>16+ miles</v>
      </c>
      <c r="AS201" t="str" cm="1">
        <f t="array" ref="AS201">_xlfn.IFS(CleanEmployeeData[[#This Row],[YearsAtCompany]]&lt;=1,"0–1 years",CleanEmployeeData[[#This Row],[YearsAtCompany]]&lt;=5,"2–5 years",CleanEmployeeData[[#This Row],[YearsAtCompany]]&lt;=10,"6–10 years",TRUE,"11+ years")</f>
        <v>6–10 years</v>
      </c>
    </row>
    <row r="202" spans="1:4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cm="1">
        <f t="array" ref="AJ202">_xlfn.SWITCH(CleanEmployeeData[[#This Row],[Education]],1,"Below College",2,"College",3,"Bachelor",4,"Master",5,"Doctor","Unknown")</f>
        <v>Below College</v>
      </c>
      <c r="AK202" t="str" cm="1">
        <f t="array" ref="AK202">_xlfn.SWITCH(CleanEmployeeData[[#This Row],[EnvironmentSatisfaction]],1,"Low",2,"Medium",3,"High",4,"Very High","Unknown")</f>
        <v>High</v>
      </c>
      <c r="AL202" t="str" cm="1">
        <f t="array" ref="AL202">_xlfn.SWITCH(CleanEmployeeData[[#This Row],[JobInvolvement]],1,"Low",2,"Medium",3,"High",4,"Very High","Unknown")</f>
        <v>Medium</v>
      </c>
      <c r="AM202" t="str" cm="1">
        <f t="array" ref="AM202">_xlfn.SWITCH(CleanEmployeeData[[#This Row],[JobSatisfaction]],1,"Low",2,"Medium",3,"High",4,"Very High","Unknown")</f>
        <v>Low</v>
      </c>
      <c r="AN202" t="str" cm="1">
        <f t="array" ref="AN202">_xlfn.SWITCH(CleanEmployeeData[[#This Row],[PerformanceRating]],1,"Low",2,"Good",3,"Excellent",4,"Outstanding","Unknown")</f>
        <v>Excellent</v>
      </c>
      <c r="AO202" t="str" cm="1">
        <f t="array" ref="AO202">_xlfn.SWITCH(CleanEmployeeData[[#This Row],[WorkLifeBalance]],1,"Bad",2,"Good",3,"Better",4,"Best","Unknown")</f>
        <v>Better</v>
      </c>
      <c r="AP202">
        <f>IF(CleanEmployeeData[[#This Row],[Attrition]]="Yes",1,IF(CleanEmployeeData[[#This Row],[Attrition]]="No",0,""))</f>
        <v>0</v>
      </c>
      <c r="AQ202" t="str" cm="1">
        <f t="array" ref="AQ202">_xlfn.IFS(CleanEmployeeData[[#This Row],[MonthlyIncome]]&lt;=3000,"0–3,000",CleanEmployeeData[[#This Row],[MonthlyIncome]]&lt;=6000,"3,001–6,000",CleanEmployeeData[[#This Row],[MonthlyIncome]]&lt;=10000,"6,001–10,000",TRUE,"10,001+")</f>
        <v>3,001–6,000</v>
      </c>
      <c r="AR202" t="str" cm="1">
        <f t="array" ref="AR202">_xlfn.IFS(CleanEmployeeData[[#This Row],[DistanceFromHome]]&lt;=5,"0–5 miles",CleanEmployeeData[[#This Row],[DistanceFromHome]]&lt;=10,"6–10 miles",CleanEmployeeData[[#This Row],[DistanceFromHome]]&lt;=15,"11–15 miles",TRUE,"16+ miles")</f>
        <v>0–5 miles</v>
      </c>
      <c r="AS202" t="str" cm="1">
        <f t="array" ref="AS202">_xlfn.IFS(CleanEmployeeData[[#This Row],[YearsAtCompany]]&lt;=1,"0–1 years",CleanEmployeeData[[#This Row],[YearsAtCompany]]&lt;=5,"2–5 years",CleanEmployeeData[[#This Row],[YearsAtCompany]]&lt;=10,"6–10 years",TRUE,"11+ years")</f>
        <v>2–5 years</v>
      </c>
    </row>
    <row r="203" spans="1:4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cm="1">
        <f t="array" ref="AJ203">_xlfn.SWITCH(CleanEmployeeData[[#This Row],[Education]],1,"Below College",2,"College",3,"Bachelor",4,"Master",5,"Doctor","Unknown")</f>
        <v>Master</v>
      </c>
      <c r="AK203" t="str" cm="1">
        <f t="array" ref="AK203">_xlfn.SWITCH(CleanEmployeeData[[#This Row],[EnvironmentSatisfaction]],1,"Low",2,"Medium",3,"High",4,"Very High","Unknown")</f>
        <v>Very High</v>
      </c>
      <c r="AL203" t="str" cm="1">
        <f t="array" ref="AL203">_xlfn.SWITCH(CleanEmployeeData[[#This Row],[JobInvolvement]],1,"Low",2,"Medium",3,"High",4,"Very High","Unknown")</f>
        <v>High</v>
      </c>
      <c r="AM203" t="str" cm="1">
        <f t="array" ref="AM203">_xlfn.SWITCH(CleanEmployeeData[[#This Row],[JobSatisfaction]],1,"Low",2,"Medium",3,"High",4,"Very High","Unknown")</f>
        <v>Very High</v>
      </c>
      <c r="AN203" t="str" cm="1">
        <f t="array" ref="AN203">_xlfn.SWITCH(CleanEmployeeData[[#This Row],[PerformanceRating]],1,"Low",2,"Good",3,"Excellent",4,"Outstanding","Unknown")</f>
        <v>Excellent</v>
      </c>
      <c r="AO203" t="str" cm="1">
        <f t="array" ref="AO203">_xlfn.SWITCH(CleanEmployeeData[[#This Row],[WorkLifeBalance]],1,"Bad",2,"Good",3,"Better",4,"Best","Unknown")</f>
        <v>Better</v>
      </c>
      <c r="AP203">
        <f>IF(CleanEmployeeData[[#This Row],[Attrition]]="Yes",1,IF(CleanEmployeeData[[#This Row],[Attrition]]="No",0,""))</f>
        <v>0</v>
      </c>
      <c r="AQ203" t="str" cm="1">
        <f t="array" ref="AQ203">_xlfn.IFS(CleanEmployeeData[[#This Row],[MonthlyIncome]]&lt;=3000,"0–3,000",CleanEmployeeData[[#This Row],[MonthlyIncome]]&lt;=6000,"3,001–6,000",CleanEmployeeData[[#This Row],[MonthlyIncome]]&lt;=10000,"6,001–10,000",TRUE,"10,001+")</f>
        <v>6,001–10,000</v>
      </c>
      <c r="AR203" t="str" cm="1">
        <f t="array" ref="AR203">_xlfn.IFS(CleanEmployeeData[[#This Row],[DistanceFromHome]]&lt;=5,"0–5 miles",CleanEmployeeData[[#This Row],[DistanceFromHome]]&lt;=10,"6–10 miles",CleanEmployeeData[[#This Row],[DistanceFromHome]]&lt;=15,"11–15 miles",TRUE,"16+ miles")</f>
        <v>16+ miles</v>
      </c>
      <c r="AS203" t="str" cm="1">
        <f t="array" ref="AS203">_xlfn.IFS(CleanEmployeeData[[#This Row],[YearsAtCompany]]&lt;=1,"0–1 years",CleanEmployeeData[[#This Row],[YearsAtCompany]]&lt;=5,"2–5 years",CleanEmployeeData[[#This Row],[YearsAtCompany]]&lt;=10,"6–10 years",TRUE,"11+ years")</f>
        <v>6–10 years</v>
      </c>
    </row>
    <row r="204" spans="1:4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cm="1">
        <f t="array" ref="AJ204">_xlfn.SWITCH(CleanEmployeeData[[#This Row],[Education]],1,"Below College",2,"College",3,"Bachelor",4,"Master",5,"Doctor","Unknown")</f>
        <v>Master</v>
      </c>
      <c r="AK204" t="str" cm="1">
        <f t="array" ref="AK204">_xlfn.SWITCH(CleanEmployeeData[[#This Row],[EnvironmentSatisfaction]],1,"Low",2,"Medium",3,"High",4,"Very High","Unknown")</f>
        <v>Very High</v>
      </c>
      <c r="AL204" t="str" cm="1">
        <f t="array" ref="AL204">_xlfn.SWITCH(CleanEmployeeData[[#This Row],[JobInvolvement]],1,"Low",2,"Medium",3,"High",4,"Very High","Unknown")</f>
        <v>High</v>
      </c>
      <c r="AM204" t="str" cm="1">
        <f t="array" ref="AM204">_xlfn.SWITCH(CleanEmployeeData[[#This Row],[JobSatisfaction]],1,"Low",2,"Medium",3,"High",4,"Very High","Unknown")</f>
        <v>High</v>
      </c>
      <c r="AN204" t="str" cm="1">
        <f t="array" ref="AN204">_xlfn.SWITCH(CleanEmployeeData[[#This Row],[PerformanceRating]],1,"Low",2,"Good",3,"Excellent",4,"Outstanding","Unknown")</f>
        <v>Excellent</v>
      </c>
      <c r="AO204" t="str" cm="1">
        <f t="array" ref="AO204">_xlfn.SWITCH(CleanEmployeeData[[#This Row],[WorkLifeBalance]],1,"Bad",2,"Good",3,"Better",4,"Best","Unknown")</f>
        <v>Best</v>
      </c>
      <c r="AP204">
        <f>IF(CleanEmployeeData[[#This Row],[Attrition]]="Yes",1,IF(CleanEmployeeData[[#This Row],[Attrition]]="No",0,""))</f>
        <v>0</v>
      </c>
      <c r="AQ204" t="str" cm="1">
        <f t="array" ref="AQ204">_xlfn.IFS(CleanEmployeeData[[#This Row],[MonthlyIncome]]&lt;=3000,"0–3,000",CleanEmployeeData[[#This Row],[MonthlyIncome]]&lt;=6000,"3,001–6,000",CleanEmployeeData[[#This Row],[MonthlyIncome]]&lt;=10000,"6,001–10,000",TRUE,"10,001+")</f>
        <v>3,001–6,000</v>
      </c>
      <c r="AR204" t="str" cm="1">
        <f t="array" ref="AR204">_xlfn.IFS(CleanEmployeeData[[#This Row],[DistanceFromHome]]&lt;=5,"0–5 miles",CleanEmployeeData[[#This Row],[DistanceFromHome]]&lt;=10,"6–10 miles",CleanEmployeeData[[#This Row],[DistanceFromHome]]&lt;=15,"11–15 miles",TRUE,"16+ miles")</f>
        <v>6–10 miles</v>
      </c>
      <c r="AS204" t="str" cm="1">
        <f t="array" ref="AS204">_xlfn.IFS(CleanEmployeeData[[#This Row],[YearsAtCompany]]&lt;=1,"0–1 years",CleanEmployeeData[[#This Row],[YearsAtCompany]]&lt;=5,"2–5 years",CleanEmployeeData[[#This Row],[YearsAtCompany]]&lt;=10,"6–10 years",TRUE,"11+ years")</f>
        <v>2–5 years</v>
      </c>
    </row>
    <row r="205" spans="1:4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cm="1">
        <f t="array" ref="AJ205">_xlfn.SWITCH(CleanEmployeeData[[#This Row],[Education]],1,"Below College",2,"College",3,"Bachelor",4,"Master",5,"Doctor","Unknown")</f>
        <v>College</v>
      </c>
      <c r="AK205" t="str" cm="1">
        <f t="array" ref="AK205">_xlfn.SWITCH(CleanEmployeeData[[#This Row],[EnvironmentSatisfaction]],1,"Low",2,"Medium",3,"High",4,"Very High","Unknown")</f>
        <v>High</v>
      </c>
      <c r="AL205" t="str" cm="1">
        <f t="array" ref="AL205">_xlfn.SWITCH(CleanEmployeeData[[#This Row],[JobInvolvement]],1,"Low",2,"Medium",3,"High",4,"Very High","Unknown")</f>
        <v>High</v>
      </c>
      <c r="AM205" t="str" cm="1">
        <f t="array" ref="AM205">_xlfn.SWITCH(CleanEmployeeData[[#This Row],[JobSatisfaction]],1,"Low",2,"Medium",3,"High",4,"Very High","Unknown")</f>
        <v>Very High</v>
      </c>
      <c r="AN205" t="str" cm="1">
        <f t="array" ref="AN205">_xlfn.SWITCH(CleanEmployeeData[[#This Row],[PerformanceRating]],1,"Low",2,"Good",3,"Excellent",4,"Outstanding","Unknown")</f>
        <v>Excellent</v>
      </c>
      <c r="AO205" t="str" cm="1">
        <f t="array" ref="AO205">_xlfn.SWITCH(CleanEmployeeData[[#This Row],[WorkLifeBalance]],1,"Bad",2,"Good",3,"Better",4,"Best","Unknown")</f>
        <v>Best</v>
      </c>
      <c r="AP205">
        <f>IF(CleanEmployeeData[[#This Row],[Attrition]]="Yes",1,IF(CleanEmployeeData[[#This Row],[Attrition]]="No",0,""))</f>
        <v>0</v>
      </c>
      <c r="AQ205" t="str" cm="1">
        <f t="array" ref="AQ205">_xlfn.IFS(CleanEmployeeData[[#This Row],[MonthlyIncome]]&lt;=3000,"0–3,000",CleanEmployeeData[[#This Row],[MonthlyIncome]]&lt;=6000,"3,001–6,000",CleanEmployeeData[[#This Row],[MonthlyIncome]]&lt;=10000,"6,001–10,000",TRUE,"10,001+")</f>
        <v>0–3,000</v>
      </c>
      <c r="AR205" t="str" cm="1">
        <f t="array" ref="AR205">_xlfn.IFS(CleanEmployeeData[[#This Row],[DistanceFromHome]]&lt;=5,"0–5 miles",CleanEmployeeData[[#This Row],[DistanceFromHome]]&lt;=10,"6–10 miles",CleanEmployeeData[[#This Row],[DistanceFromHome]]&lt;=15,"11–15 miles",TRUE,"16+ miles")</f>
        <v>16+ miles</v>
      </c>
      <c r="AS205" t="str" cm="1">
        <f t="array" ref="AS205">_xlfn.IFS(CleanEmployeeData[[#This Row],[YearsAtCompany]]&lt;=1,"0–1 years",CleanEmployeeData[[#This Row],[YearsAtCompany]]&lt;=5,"2–5 years",CleanEmployeeData[[#This Row],[YearsAtCompany]]&lt;=10,"6–10 years",TRUE,"11+ years")</f>
        <v>6–10 years</v>
      </c>
    </row>
    <row r="206" spans="1:4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cm="1">
        <f t="array" ref="AJ206">_xlfn.SWITCH(CleanEmployeeData[[#This Row],[Education]],1,"Below College",2,"College",3,"Bachelor",4,"Master",5,"Doctor","Unknown")</f>
        <v>Below College</v>
      </c>
      <c r="AK206" t="str" cm="1">
        <f t="array" ref="AK206">_xlfn.SWITCH(CleanEmployeeData[[#This Row],[EnvironmentSatisfaction]],1,"Low",2,"Medium",3,"High",4,"Very High","Unknown")</f>
        <v>Medium</v>
      </c>
      <c r="AL206" t="str" cm="1">
        <f t="array" ref="AL206">_xlfn.SWITCH(CleanEmployeeData[[#This Row],[JobInvolvement]],1,"Low",2,"Medium",3,"High",4,"Very High","Unknown")</f>
        <v>High</v>
      </c>
      <c r="AM206" t="str" cm="1">
        <f t="array" ref="AM206">_xlfn.SWITCH(CleanEmployeeData[[#This Row],[JobSatisfaction]],1,"Low",2,"Medium",3,"High",4,"Very High","Unknown")</f>
        <v>Low</v>
      </c>
      <c r="AN206" t="str" cm="1">
        <f t="array" ref="AN206">_xlfn.SWITCH(CleanEmployeeData[[#This Row],[PerformanceRating]],1,"Low",2,"Good",3,"Excellent",4,"Outstanding","Unknown")</f>
        <v>Excellent</v>
      </c>
      <c r="AO206" t="str" cm="1">
        <f t="array" ref="AO206">_xlfn.SWITCH(CleanEmployeeData[[#This Row],[WorkLifeBalance]],1,"Bad",2,"Good",3,"Better",4,"Best","Unknown")</f>
        <v>Better</v>
      </c>
      <c r="AP206">
        <f>IF(CleanEmployeeData[[#This Row],[Attrition]]="Yes",1,IF(CleanEmployeeData[[#This Row],[Attrition]]="No",0,""))</f>
        <v>1</v>
      </c>
      <c r="AQ206" t="str" cm="1">
        <f t="array" ref="AQ206">_xlfn.IFS(CleanEmployeeData[[#This Row],[MonthlyIncome]]&lt;=3000,"0–3,000",CleanEmployeeData[[#This Row],[MonthlyIncome]]&lt;=6000,"3,001–6,000",CleanEmployeeData[[#This Row],[MonthlyIncome]]&lt;=10000,"6,001–10,000",TRUE,"10,001+")</f>
        <v>6,001–10,000</v>
      </c>
      <c r="AR206" t="str" cm="1">
        <f t="array" ref="AR206">_xlfn.IFS(CleanEmployeeData[[#This Row],[DistanceFromHome]]&lt;=5,"0–5 miles",CleanEmployeeData[[#This Row],[DistanceFromHome]]&lt;=10,"6–10 miles",CleanEmployeeData[[#This Row],[DistanceFromHome]]&lt;=15,"11–15 miles",TRUE,"16+ miles")</f>
        <v>16+ miles</v>
      </c>
      <c r="AS206" t="str" cm="1">
        <f t="array" ref="AS206">_xlfn.IFS(CleanEmployeeData[[#This Row],[YearsAtCompany]]&lt;=1,"0–1 years",CleanEmployeeData[[#This Row],[YearsAtCompany]]&lt;=5,"2–5 years",CleanEmployeeData[[#This Row],[YearsAtCompany]]&lt;=10,"6–10 years",TRUE,"11+ years")</f>
        <v>0–1 years</v>
      </c>
    </row>
    <row r="207" spans="1:4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cm="1">
        <f t="array" ref="AJ207">_xlfn.SWITCH(CleanEmployeeData[[#This Row],[Education]],1,"Below College",2,"College",3,"Bachelor",4,"Master",5,"Doctor","Unknown")</f>
        <v>Bachelor</v>
      </c>
      <c r="AK207" t="str" cm="1">
        <f t="array" ref="AK207">_xlfn.SWITCH(CleanEmployeeData[[#This Row],[EnvironmentSatisfaction]],1,"Low",2,"Medium",3,"High",4,"Very High","Unknown")</f>
        <v>Medium</v>
      </c>
      <c r="AL207" t="str" cm="1">
        <f t="array" ref="AL207">_xlfn.SWITCH(CleanEmployeeData[[#This Row],[JobInvolvement]],1,"Low",2,"Medium",3,"High",4,"Very High","Unknown")</f>
        <v>High</v>
      </c>
      <c r="AM207" t="str" cm="1">
        <f t="array" ref="AM207">_xlfn.SWITCH(CleanEmployeeData[[#This Row],[JobSatisfaction]],1,"Low",2,"Medium",3,"High",4,"Very High","Unknown")</f>
        <v>Very High</v>
      </c>
      <c r="AN207" t="str" cm="1">
        <f t="array" ref="AN207">_xlfn.SWITCH(CleanEmployeeData[[#This Row],[PerformanceRating]],1,"Low",2,"Good",3,"Excellent",4,"Outstanding","Unknown")</f>
        <v>Outstanding</v>
      </c>
      <c r="AO207" t="str" cm="1">
        <f t="array" ref="AO207">_xlfn.SWITCH(CleanEmployeeData[[#This Row],[WorkLifeBalance]],1,"Bad",2,"Good",3,"Better",4,"Best","Unknown")</f>
        <v>Good</v>
      </c>
      <c r="AP207">
        <f>IF(CleanEmployeeData[[#This Row],[Attrition]]="Yes",1,IF(CleanEmployeeData[[#This Row],[Attrition]]="No",0,""))</f>
        <v>1</v>
      </c>
      <c r="AQ207" t="str" cm="1">
        <f t="array" ref="AQ207">_xlfn.IFS(CleanEmployeeData[[#This Row],[MonthlyIncome]]&lt;=3000,"0–3,000",CleanEmployeeData[[#This Row],[MonthlyIncome]]&lt;=6000,"3,001–6,000",CleanEmployeeData[[#This Row],[MonthlyIncome]]&lt;=10000,"6,001–10,000",TRUE,"10,001+")</f>
        <v>6,001–10,000</v>
      </c>
      <c r="AR207" t="str" cm="1">
        <f t="array" ref="AR207">_xlfn.IFS(CleanEmployeeData[[#This Row],[DistanceFromHome]]&lt;=5,"0–5 miles",CleanEmployeeData[[#This Row],[DistanceFromHome]]&lt;=10,"6–10 miles",CleanEmployeeData[[#This Row],[DistanceFromHome]]&lt;=15,"11–15 miles",TRUE,"16+ miles")</f>
        <v>16+ miles</v>
      </c>
      <c r="AS207" t="str" cm="1">
        <f t="array" ref="AS207">_xlfn.IFS(CleanEmployeeData[[#This Row],[YearsAtCompany]]&lt;=1,"0–1 years",CleanEmployeeData[[#This Row],[YearsAtCompany]]&lt;=5,"2–5 years",CleanEmployeeData[[#This Row],[YearsAtCompany]]&lt;=10,"6–10 years",TRUE,"11+ years")</f>
        <v>6–10 years</v>
      </c>
    </row>
    <row r="208" spans="1:4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cm="1">
        <f t="array" ref="AJ208">_xlfn.SWITCH(CleanEmployeeData[[#This Row],[Education]],1,"Below College",2,"College",3,"Bachelor",4,"Master",5,"Doctor","Unknown")</f>
        <v>Bachelor</v>
      </c>
      <c r="AK208" t="str" cm="1">
        <f t="array" ref="AK208">_xlfn.SWITCH(CleanEmployeeData[[#This Row],[EnvironmentSatisfaction]],1,"Low",2,"Medium",3,"High",4,"Very High","Unknown")</f>
        <v>Very High</v>
      </c>
      <c r="AL208" t="str" cm="1">
        <f t="array" ref="AL208">_xlfn.SWITCH(CleanEmployeeData[[#This Row],[JobInvolvement]],1,"Low",2,"Medium",3,"High",4,"Very High","Unknown")</f>
        <v>Very High</v>
      </c>
      <c r="AM208" t="str" cm="1">
        <f t="array" ref="AM208">_xlfn.SWITCH(CleanEmployeeData[[#This Row],[JobSatisfaction]],1,"Low",2,"Medium",3,"High",4,"Very High","Unknown")</f>
        <v>Medium</v>
      </c>
      <c r="AN208" t="str" cm="1">
        <f t="array" ref="AN208">_xlfn.SWITCH(CleanEmployeeData[[#This Row],[PerformanceRating]],1,"Low",2,"Good",3,"Excellent",4,"Outstanding","Unknown")</f>
        <v>Excellent</v>
      </c>
      <c r="AO208" t="str" cm="1">
        <f t="array" ref="AO208">_xlfn.SWITCH(CleanEmployeeData[[#This Row],[WorkLifeBalance]],1,"Bad",2,"Good",3,"Better",4,"Best","Unknown")</f>
        <v>Good</v>
      </c>
      <c r="AP208">
        <f>IF(CleanEmployeeData[[#This Row],[Attrition]]="Yes",1,IF(CleanEmployeeData[[#This Row],[Attrition]]="No",0,""))</f>
        <v>0</v>
      </c>
      <c r="AQ208" t="str" cm="1">
        <f t="array" ref="AQ208">_xlfn.IFS(CleanEmployeeData[[#This Row],[MonthlyIncome]]&lt;=3000,"0–3,000",CleanEmployeeData[[#This Row],[MonthlyIncome]]&lt;=6000,"3,001–6,000",CleanEmployeeData[[#This Row],[MonthlyIncome]]&lt;=10000,"6,001–10,000",TRUE,"10,001+")</f>
        <v>0–3,000</v>
      </c>
      <c r="AR208" t="str" cm="1">
        <f t="array" ref="AR208">_xlfn.IFS(CleanEmployeeData[[#This Row],[DistanceFromHome]]&lt;=5,"0–5 miles",CleanEmployeeData[[#This Row],[DistanceFromHome]]&lt;=10,"6–10 miles",CleanEmployeeData[[#This Row],[DistanceFromHome]]&lt;=15,"11–15 miles",TRUE,"16+ miles")</f>
        <v>0–5 miles</v>
      </c>
      <c r="AS208" t="str" cm="1">
        <f t="array" ref="AS208">_xlfn.IFS(CleanEmployeeData[[#This Row],[YearsAtCompany]]&lt;=1,"0–1 years",CleanEmployeeData[[#This Row],[YearsAtCompany]]&lt;=5,"2–5 years",CleanEmployeeData[[#This Row],[YearsAtCompany]]&lt;=10,"6–10 years",TRUE,"11+ years")</f>
        <v>2–5 years</v>
      </c>
    </row>
    <row r="209" spans="1:4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cm="1">
        <f t="array" ref="AJ209">_xlfn.SWITCH(CleanEmployeeData[[#This Row],[Education]],1,"Below College",2,"College",3,"Bachelor",4,"Master",5,"Doctor","Unknown")</f>
        <v>Below College</v>
      </c>
      <c r="AK209" t="str" cm="1">
        <f t="array" ref="AK209">_xlfn.SWITCH(CleanEmployeeData[[#This Row],[EnvironmentSatisfaction]],1,"Low",2,"Medium",3,"High",4,"Very High","Unknown")</f>
        <v>Medium</v>
      </c>
      <c r="AL209" t="str" cm="1">
        <f t="array" ref="AL209">_xlfn.SWITCH(CleanEmployeeData[[#This Row],[JobInvolvement]],1,"Low",2,"Medium",3,"High",4,"Very High","Unknown")</f>
        <v>High</v>
      </c>
      <c r="AM209" t="str" cm="1">
        <f t="array" ref="AM209">_xlfn.SWITCH(CleanEmployeeData[[#This Row],[JobSatisfaction]],1,"Low",2,"Medium",3,"High",4,"Very High","Unknown")</f>
        <v>Very High</v>
      </c>
      <c r="AN209" t="str" cm="1">
        <f t="array" ref="AN209">_xlfn.SWITCH(CleanEmployeeData[[#This Row],[PerformanceRating]],1,"Low",2,"Good",3,"Excellent",4,"Outstanding","Unknown")</f>
        <v>Excellent</v>
      </c>
      <c r="AO209" t="str" cm="1">
        <f t="array" ref="AO209">_xlfn.SWITCH(CleanEmployeeData[[#This Row],[WorkLifeBalance]],1,"Bad",2,"Good",3,"Better",4,"Best","Unknown")</f>
        <v>Better</v>
      </c>
      <c r="AP209">
        <f>IF(CleanEmployeeData[[#This Row],[Attrition]]="Yes",1,IF(CleanEmployeeData[[#This Row],[Attrition]]="No",0,""))</f>
        <v>0</v>
      </c>
      <c r="AQ209" t="str" cm="1">
        <f t="array" ref="AQ209">_xlfn.IFS(CleanEmployeeData[[#This Row],[MonthlyIncome]]&lt;=3000,"0–3,000",CleanEmployeeData[[#This Row],[MonthlyIncome]]&lt;=6000,"3,001–6,000",CleanEmployeeData[[#This Row],[MonthlyIncome]]&lt;=10000,"6,001–10,000",TRUE,"10,001+")</f>
        <v>0–3,000</v>
      </c>
      <c r="AR209" t="str" cm="1">
        <f t="array" ref="AR209">_xlfn.IFS(CleanEmployeeData[[#This Row],[DistanceFromHome]]&lt;=5,"0–5 miles",CleanEmployeeData[[#This Row],[DistanceFromHome]]&lt;=10,"6–10 miles",CleanEmployeeData[[#This Row],[DistanceFromHome]]&lt;=15,"11–15 miles",TRUE,"16+ miles")</f>
        <v>16+ miles</v>
      </c>
      <c r="AS209" t="str" cm="1">
        <f t="array" ref="AS209">_xlfn.IFS(CleanEmployeeData[[#This Row],[YearsAtCompany]]&lt;=1,"0–1 years",CleanEmployeeData[[#This Row],[YearsAtCompany]]&lt;=5,"2–5 years",CleanEmployeeData[[#This Row],[YearsAtCompany]]&lt;=10,"6–10 years",TRUE,"11+ years")</f>
        <v>6–10 years</v>
      </c>
    </row>
    <row r="210" spans="1:4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cm="1">
        <f t="array" ref="AJ210">_xlfn.SWITCH(CleanEmployeeData[[#This Row],[Education]],1,"Below College",2,"College",3,"Bachelor",4,"Master",5,"Doctor","Unknown")</f>
        <v>Doctor</v>
      </c>
      <c r="AK210" t="str" cm="1">
        <f t="array" ref="AK210">_xlfn.SWITCH(CleanEmployeeData[[#This Row],[EnvironmentSatisfaction]],1,"Low",2,"Medium",3,"High",4,"Very High","Unknown")</f>
        <v>Very High</v>
      </c>
      <c r="AL210" t="str" cm="1">
        <f t="array" ref="AL210">_xlfn.SWITCH(CleanEmployeeData[[#This Row],[JobInvolvement]],1,"Low",2,"Medium",3,"High",4,"Very High","Unknown")</f>
        <v>Medium</v>
      </c>
      <c r="AM210" t="str" cm="1">
        <f t="array" ref="AM210">_xlfn.SWITCH(CleanEmployeeData[[#This Row],[JobSatisfaction]],1,"Low",2,"Medium",3,"High",4,"Very High","Unknown")</f>
        <v>Very High</v>
      </c>
      <c r="AN210" t="str" cm="1">
        <f t="array" ref="AN210">_xlfn.SWITCH(CleanEmployeeData[[#This Row],[PerformanceRating]],1,"Low",2,"Good",3,"Excellent",4,"Outstanding","Unknown")</f>
        <v>Excellent</v>
      </c>
      <c r="AO210" t="str" cm="1">
        <f t="array" ref="AO210">_xlfn.SWITCH(CleanEmployeeData[[#This Row],[WorkLifeBalance]],1,"Bad",2,"Good",3,"Better",4,"Best","Unknown")</f>
        <v>Bad</v>
      </c>
      <c r="AP210">
        <f>IF(CleanEmployeeData[[#This Row],[Attrition]]="Yes",1,IF(CleanEmployeeData[[#This Row],[Attrition]]="No",0,""))</f>
        <v>0</v>
      </c>
      <c r="AQ210" t="str" cm="1">
        <f t="array" ref="AQ210">_xlfn.IFS(CleanEmployeeData[[#This Row],[MonthlyIncome]]&lt;=3000,"0–3,000",CleanEmployeeData[[#This Row],[MonthlyIncome]]&lt;=6000,"3,001–6,000",CleanEmployeeData[[#This Row],[MonthlyIncome]]&lt;=10000,"6,001–10,000",TRUE,"10,001+")</f>
        <v>3,001–6,000</v>
      </c>
      <c r="AR210" t="str" cm="1">
        <f t="array" ref="AR210">_xlfn.IFS(CleanEmployeeData[[#This Row],[DistanceFromHome]]&lt;=5,"0–5 miles",CleanEmployeeData[[#This Row],[DistanceFromHome]]&lt;=10,"6–10 miles",CleanEmployeeData[[#This Row],[DistanceFromHome]]&lt;=15,"11–15 miles",TRUE,"16+ miles")</f>
        <v>6–10 miles</v>
      </c>
      <c r="AS210" t="str" cm="1">
        <f t="array" ref="AS210">_xlfn.IFS(CleanEmployeeData[[#This Row],[YearsAtCompany]]&lt;=1,"0–1 years",CleanEmployeeData[[#This Row],[YearsAtCompany]]&lt;=5,"2–5 years",CleanEmployeeData[[#This Row],[YearsAtCompany]]&lt;=10,"6–10 years",TRUE,"11+ years")</f>
        <v>2–5 years</v>
      </c>
    </row>
    <row r="211" spans="1:4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cm="1">
        <f t="array" ref="AJ211">_xlfn.SWITCH(CleanEmployeeData[[#This Row],[Education]],1,"Below College",2,"College",3,"Bachelor",4,"Master",5,"Doctor","Unknown")</f>
        <v>Master</v>
      </c>
      <c r="AK211" t="str" cm="1">
        <f t="array" ref="AK211">_xlfn.SWITCH(CleanEmployeeData[[#This Row],[EnvironmentSatisfaction]],1,"Low",2,"Medium",3,"High",4,"Very High","Unknown")</f>
        <v>Very High</v>
      </c>
      <c r="AL211" t="str" cm="1">
        <f t="array" ref="AL211">_xlfn.SWITCH(CleanEmployeeData[[#This Row],[JobInvolvement]],1,"Low",2,"Medium",3,"High",4,"Very High","Unknown")</f>
        <v>High</v>
      </c>
      <c r="AM211" t="str" cm="1">
        <f t="array" ref="AM211">_xlfn.SWITCH(CleanEmployeeData[[#This Row],[JobSatisfaction]],1,"Low",2,"Medium",3,"High",4,"Very High","Unknown")</f>
        <v>Low</v>
      </c>
      <c r="AN211" t="str" cm="1">
        <f t="array" ref="AN211">_xlfn.SWITCH(CleanEmployeeData[[#This Row],[PerformanceRating]],1,"Low",2,"Good",3,"Excellent",4,"Outstanding","Unknown")</f>
        <v>Excellent</v>
      </c>
      <c r="AO211" t="str" cm="1">
        <f t="array" ref="AO211">_xlfn.SWITCH(CleanEmployeeData[[#This Row],[WorkLifeBalance]],1,"Bad",2,"Good",3,"Better",4,"Best","Unknown")</f>
        <v>Better</v>
      </c>
      <c r="AP211">
        <f>IF(CleanEmployeeData[[#This Row],[Attrition]]="Yes",1,IF(CleanEmployeeData[[#This Row],[Attrition]]="No",0,""))</f>
        <v>0</v>
      </c>
      <c r="AQ211" t="str" cm="1">
        <f t="array" ref="AQ211">_xlfn.IFS(CleanEmployeeData[[#This Row],[MonthlyIncome]]&lt;=3000,"0–3,000",CleanEmployeeData[[#This Row],[MonthlyIncome]]&lt;=6000,"3,001–6,000",CleanEmployeeData[[#This Row],[MonthlyIncome]]&lt;=10000,"6,001–10,000",TRUE,"10,001+")</f>
        <v>6,001–10,000</v>
      </c>
      <c r="AR211" t="str" cm="1">
        <f t="array" ref="AR211">_xlfn.IFS(CleanEmployeeData[[#This Row],[DistanceFromHome]]&lt;=5,"0–5 miles",CleanEmployeeData[[#This Row],[DistanceFromHome]]&lt;=10,"6–10 miles",CleanEmployeeData[[#This Row],[DistanceFromHome]]&lt;=15,"11–15 miles",TRUE,"16+ miles")</f>
        <v>0–5 miles</v>
      </c>
      <c r="AS211" t="str" cm="1">
        <f t="array" ref="AS211">_xlfn.IFS(CleanEmployeeData[[#This Row],[YearsAtCompany]]&lt;=1,"0–1 years",CleanEmployeeData[[#This Row],[YearsAtCompany]]&lt;=5,"2–5 years",CleanEmployeeData[[#This Row],[YearsAtCompany]]&lt;=10,"6–10 years",TRUE,"11+ years")</f>
        <v>2–5 years</v>
      </c>
    </row>
    <row r="212" spans="1:4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cm="1">
        <f t="array" ref="AJ212">_xlfn.SWITCH(CleanEmployeeData[[#This Row],[Education]],1,"Below College",2,"College",3,"Bachelor",4,"Master",5,"Doctor","Unknown")</f>
        <v>Master</v>
      </c>
      <c r="AK212" t="str" cm="1">
        <f t="array" ref="AK212">_xlfn.SWITCH(CleanEmployeeData[[#This Row],[EnvironmentSatisfaction]],1,"Low",2,"Medium",3,"High",4,"Very High","Unknown")</f>
        <v>Very High</v>
      </c>
      <c r="AL212" t="str" cm="1">
        <f t="array" ref="AL212">_xlfn.SWITCH(CleanEmployeeData[[#This Row],[JobInvolvement]],1,"Low",2,"Medium",3,"High",4,"Very High","Unknown")</f>
        <v>Low</v>
      </c>
      <c r="AM212" t="str" cm="1">
        <f t="array" ref="AM212">_xlfn.SWITCH(CleanEmployeeData[[#This Row],[JobSatisfaction]],1,"Low",2,"Medium",3,"High",4,"Very High","Unknown")</f>
        <v>Very High</v>
      </c>
      <c r="AN212" t="str" cm="1">
        <f t="array" ref="AN212">_xlfn.SWITCH(CleanEmployeeData[[#This Row],[PerformanceRating]],1,"Low",2,"Good",3,"Excellent",4,"Outstanding","Unknown")</f>
        <v>Excellent</v>
      </c>
      <c r="AO212" t="str" cm="1">
        <f t="array" ref="AO212">_xlfn.SWITCH(CleanEmployeeData[[#This Row],[WorkLifeBalance]],1,"Bad",2,"Good",3,"Better",4,"Best","Unknown")</f>
        <v>Good</v>
      </c>
      <c r="AP212">
        <f>IF(CleanEmployeeData[[#This Row],[Attrition]]="Yes",1,IF(CleanEmployeeData[[#This Row],[Attrition]]="No",0,""))</f>
        <v>1</v>
      </c>
      <c r="AQ212" t="str" cm="1">
        <f t="array" ref="AQ212">_xlfn.IFS(CleanEmployeeData[[#This Row],[MonthlyIncome]]&lt;=3000,"0–3,000",CleanEmployeeData[[#This Row],[MonthlyIncome]]&lt;=6000,"3,001–6,000",CleanEmployeeData[[#This Row],[MonthlyIncome]]&lt;=10000,"6,001–10,000",TRUE,"10,001+")</f>
        <v>10,001+</v>
      </c>
      <c r="AR212" t="str" cm="1">
        <f t="array" ref="AR212">_xlfn.IFS(CleanEmployeeData[[#This Row],[DistanceFromHome]]&lt;=5,"0–5 miles",CleanEmployeeData[[#This Row],[DistanceFromHome]]&lt;=10,"6–10 miles",CleanEmployeeData[[#This Row],[DistanceFromHome]]&lt;=15,"11–15 miles",TRUE,"16+ miles")</f>
        <v>0–5 miles</v>
      </c>
      <c r="AS212" t="str" cm="1">
        <f t="array" ref="AS212">_xlfn.IFS(CleanEmployeeData[[#This Row],[YearsAtCompany]]&lt;=1,"0–1 years",CleanEmployeeData[[#This Row],[YearsAtCompany]]&lt;=5,"2–5 years",CleanEmployeeData[[#This Row],[YearsAtCompany]]&lt;=10,"6–10 years",TRUE,"11+ years")</f>
        <v>11+ years</v>
      </c>
    </row>
    <row r="213" spans="1:4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cm="1">
        <f t="array" ref="AJ213">_xlfn.SWITCH(CleanEmployeeData[[#This Row],[Education]],1,"Below College",2,"College",3,"Bachelor",4,"Master",5,"Doctor","Unknown")</f>
        <v>Below College</v>
      </c>
      <c r="AK213" t="str" cm="1">
        <f t="array" ref="AK213">_xlfn.SWITCH(CleanEmployeeData[[#This Row],[EnvironmentSatisfaction]],1,"Low",2,"Medium",3,"High",4,"Very High","Unknown")</f>
        <v>High</v>
      </c>
      <c r="AL213" t="str" cm="1">
        <f t="array" ref="AL213">_xlfn.SWITCH(CleanEmployeeData[[#This Row],[JobInvolvement]],1,"Low",2,"Medium",3,"High",4,"Very High","Unknown")</f>
        <v>Medium</v>
      </c>
      <c r="AM213" t="str" cm="1">
        <f t="array" ref="AM213">_xlfn.SWITCH(CleanEmployeeData[[#This Row],[JobSatisfaction]],1,"Low",2,"Medium",3,"High",4,"Very High","Unknown")</f>
        <v>High</v>
      </c>
      <c r="AN213" t="str" cm="1">
        <f t="array" ref="AN213">_xlfn.SWITCH(CleanEmployeeData[[#This Row],[PerformanceRating]],1,"Low",2,"Good",3,"Excellent",4,"Outstanding","Unknown")</f>
        <v>Outstanding</v>
      </c>
      <c r="AO213" t="str" cm="1">
        <f t="array" ref="AO213">_xlfn.SWITCH(CleanEmployeeData[[#This Row],[WorkLifeBalance]],1,"Bad",2,"Good",3,"Better",4,"Best","Unknown")</f>
        <v>Better</v>
      </c>
      <c r="AP213">
        <f>IF(CleanEmployeeData[[#This Row],[Attrition]]="Yes",1,IF(CleanEmployeeData[[#This Row],[Attrition]]="No",0,""))</f>
        <v>0</v>
      </c>
      <c r="AQ213" t="str" cm="1">
        <f t="array" ref="AQ213">_xlfn.IFS(CleanEmployeeData[[#This Row],[MonthlyIncome]]&lt;=3000,"0–3,000",CleanEmployeeData[[#This Row],[MonthlyIncome]]&lt;=6000,"3,001–6,000",CleanEmployeeData[[#This Row],[MonthlyIncome]]&lt;=10000,"6,001–10,000",TRUE,"10,001+")</f>
        <v>6,001–10,000</v>
      </c>
      <c r="AR213" t="str" cm="1">
        <f t="array" ref="AR213">_xlfn.IFS(CleanEmployeeData[[#This Row],[DistanceFromHome]]&lt;=5,"0–5 miles",CleanEmployeeData[[#This Row],[DistanceFromHome]]&lt;=10,"6–10 miles",CleanEmployeeData[[#This Row],[DistanceFromHome]]&lt;=15,"11–15 miles",TRUE,"16+ miles")</f>
        <v>0–5 miles</v>
      </c>
      <c r="AS213" t="str" cm="1">
        <f t="array" ref="AS213">_xlfn.IFS(CleanEmployeeData[[#This Row],[YearsAtCompany]]&lt;=1,"0–1 years",CleanEmployeeData[[#This Row],[YearsAtCompany]]&lt;=5,"2–5 years",CleanEmployeeData[[#This Row],[YearsAtCompany]]&lt;=10,"6–10 years",TRUE,"11+ years")</f>
        <v>11+ years</v>
      </c>
    </row>
    <row r="214" spans="1:4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cm="1">
        <f t="array" ref="AJ214">_xlfn.SWITCH(CleanEmployeeData[[#This Row],[Education]],1,"Below College",2,"College",3,"Bachelor",4,"Master",5,"Doctor","Unknown")</f>
        <v>Bachelor</v>
      </c>
      <c r="AK214" t="str" cm="1">
        <f t="array" ref="AK214">_xlfn.SWITCH(CleanEmployeeData[[#This Row],[EnvironmentSatisfaction]],1,"Low",2,"Medium",3,"High",4,"Very High","Unknown")</f>
        <v>Very High</v>
      </c>
      <c r="AL214" t="str" cm="1">
        <f t="array" ref="AL214">_xlfn.SWITCH(CleanEmployeeData[[#This Row],[JobInvolvement]],1,"Low",2,"Medium",3,"High",4,"Very High","Unknown")</f>
        <v>High</v>
      </c>
      <c r="AM214" t="str" cm="1">
        <f t="array" ref="AM214">_xlfn.SWITCH(CleanEmployeeData[[#This Row],[JobSatisfaction]],1,"Low",2,"Medium",3,"High",4,"Very High","Unknown")</f>
        <v>High</v>
      </c>
      <c r="AN214" t="str" cm="1">
        <f t="array" ref="AN214">_xlfn.SWITCH(CleanEmployeeData[[#This Row],[PerformanceRating]],1,"Low",2,"Good",3,"Excellent",4,"Outstanding","Unknown")</f>
        <v>Excellent</v>
      </c>
      <c r="AO214" t="str" cm="1">
        <f t="array" ref="AO214">_xlfn.SWITCH(CleanEmployeeData[[#This Row],[WorkLifeBalance]],1,"Bad",2,"Good",3,"Better",4,"Best","Unknown")</f>
        <v>Better</v>
      </c>
      <c r="AP214">
        <f>IF(CleanEmployeeData[[#This Row],[Attrition]]="Yes",1,IF(CleanEmployeeData[[#This Row],[Attrition]]="No",0,""))</f>
        <v>0</v>
      </c>
      <c r="AQ214" t="str" cm="1">
        <f t="array" ref="AQ214">_xlfn.IFS(CleanEmployeeData[[#This Row],[MonthlyIncome]]&lt;=3000,"0–3,000",CleanEmployeeData[[#This Row],[MonthlyIncome]]&lt;=6000,"3,001–6,000",CleanEmployeeData[[#This Row],[MonthlyIncome]]&lt;=10000,"6,001–10,000",TRUE,"10,001+")</f>
        <v>6,001–10,000</v>
      </c>
      <c r="AR214" t="str" cm="1">
        <f t="array" ref="AR214">_xlfn.IFS(CleanEmployeeData[[#This Row],[DistanceFromHome]]&lt;=5,"0–5 miles",CleanEmployeeData[[#This Row],[DistanceFromHome]]&lt;=10,"6–10 miles",CleanEmployeeData[[#This Row],[DistanceFromHome]]&lt;=15,"11–15 miles",TRUE,"16+ miles")</f>
        <v>16+ miles</v>
      </c>
      <c r="AS214" t="str" cm="1">
        <f t="array" ref="AS214">_xlfn.IFS(CleanEmployeeData[[#This Row],[YearsAtCompany]]&lt;=1,"0–1 years",CleanEmployeeData[[#This Row],[YearsAtCompany]]&lt;=5,"2–5 years",CleanEmployeeData[[#This Row],[YearsAtCompany]]&lt;=10,"6–10 years",TRUE,"11+ years")</f>
        <v>6–10 years</v>
      </c>
    </row>
    <row r="215" spans="1:4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cm="1">
        <f t="array" ref="AJ215">_xlfn.SWITCH(CleanEmployeeData[[#This Row],[Education]],1,"Below College",2,"College",3,"Bachelor",4,"Master",5,"Doctor","Unknown")</f>
        <v>Master</v>
      </c>
      <c r="AK215" t="str" cm="1">
        <f t="array" ref="AK215">_xlfn.SWITCH(CleanEmployeeData[[#This Row],[EnvironmentSatisfaction]],1,"Low",2,"Medium",3,"High",4,"Very High","Unknown")</f>
        <v>Medium</v>
      </c>
      <c r="AL215" t="str" cm="1">
        <f t="array" ref="AL215">_xlfn.SWITCH(CleanEmployeeData[[#This Row],[JobInvolvement]],1,"Low",2,"Medium",3,"High",4,"Very High","Unknown")</f>
        <v>Medium</v>
      </c>
      <c r="AM215" t="str" cm="1">
        <f t="array" ref="AM215">_xlfn.SWITCH(CleanEmployeeData[[#This Row],[JobSatisfaction]],1,"Low",2,"Medium",3,"High",4,"Very High","Unknown")</f>
        <v>Medium</v>
      </c>
      <c r="AN215" t="str" cm="1">
        <f t="array" ref="AN215">_xlfn.SWITCH(CleanEmployeeData[[#This Row],[PerformanceRating]],1,"Low",2,"Good",3,"Excellent",4,"Outstanding","Unknown")</f>
        <v>Excellent</v>
      </c>
      <c r="AO215" t="str" cm="1">
        <f t="array" ref="AO215">_xlfn.SWITCH(CleanEmployeeData[[#This Row],[WorkLifeBalance]],1,"Bad",2,"Good",3,"Better",4,"Best","Unknown")</f>
        <v>Bad</v>
      </c>
      <c r="AP215">
        <f>IF(CleanEmployeeData[[#This Row],[Attrition]]="Yes",1,IF(CleanEmployeeData[[#This Row],[Attrition]]="No",0,""))</f>
        <v>0</v>
      </c>
      <c r="AQ215" t="str" cm="1">
        <f t="array" ref="AQ215">_xlfn.IFS(CleanEmployeeData[[#This Row],[MonthlyIncome]]&lt;=3000,"0–3,000",CleanEmployeeData[[#This Row],[MonthlyIncome]]&lt;=6000,"3,001–6,000",CleanEmployeeData[[#This Row],[MonthlyIncome]]&lt;=10000,"6,001–10,000",TRUE,"10,001+")</f>
        <v>10,001+</v>
      </c>
      <c r="AR215" t="str" cm="1">
        <f t="array" ref="AR215">_xlfn.IFS(CleanEmployeeData[[#This Row],[DistanceFromHome]]&lt;=5,"0–5 miles",CleanEmployeeData[[#This Row],[DistanceFromHome]]&lt;=10,"6–10 miles",CleanEmployeeData[[#This Row],[DistanceFromHome]]&lt;=15,"11–15 miles",TRUE,"16+ miles")</f>
        <v>6–10 miles</v>
      </c>
      <c r="AS215" t="str" cm="1">
        <f t="array" ref="AS215">_xlfn.IFS(CleanEmployeeData[[#This Row],[YearsAtCompany]]&lt;=1,"0–1 years",CleanEmployeeData[[#This Row],[YearsAtCompany]]&lt;=5,"2–5 years",CleanEmployeeData[[#This Row],[YearsAtCompany]]&lt;=10,"6–10 years",TRUE,"11+ years")</f>
        <v>6–10 years</v>
      </c>
    </row>
    <row r="216" spans="1:4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cm="1">
        <f t="array" ref="AJ216">_xlfn.SWITCH(CleanEmployeeData[[#This Row],[Education]],1,"Below College",2,"College",3,"Bachelor",4,"Master",5,"Doctor","Unknown")</f>
        <v>Bachelor</v>
      </c>
      <c r="AK216" t="str" cm="1">
        <f t="array" ref="AK216">_xlfn.SWITCH(CleanEmployeeData[[#This Row],[EnvironmentSatisfaction]],1,"Low",2,"Medium",3,"High",4,"Very High","Unknown")</f>
        <v>Very High</v>
      </c>
      <c r="AL216" t="str" cm="1">
        <f t="array" ref="AL216">_xlfn.SWITCH(CleanEmployeeData[[#This Row],[JobInvolvement]],1,"Low",2,"Medium",3,"High",4,"Very High","Unknown")</f>
        <v>High</v>
      </c>
      <c r="AM216" t="str" cm="1">
        <f t="array" ref="AM216">_xlfn.SWITCH(CleanEmployeeData[[#This Row],[JobSatisfaction]],1,"Low",2,"Medium",3,"High",4,"Very High","Unknown")</f>
        <v>Low</v>
      </c>
      <c r="AN216" t="str" cm="1">
        <f t="array" ref="AN216">_xlfn.SWITCH(CleanEmployeeData[[#This Row],[PerformanceRating]],1,"Low",2,"Good",3,"Excellent",4,"Outstanding","Unknown")</f>
        <v>Excellent</v>
      </c>
      <c r="AO216" t="str" cm="1">
        <f t="array" ref="AO216">_xlfn.SWITCH(CleanEmployeeData[[#This Row],[WorkLifeBalance]],1,"Bad",2,"Good",3,"Better",4,"Best","Unknown")</f>
        <v>Better</v>
      </c>
      <c r="AP216">
        <f>IF(CleanEmployeeData[[#This Row],[Attrition]]="Yes",1,IF(CleanEmployeeData[[#This Row],[Attrition]]="No",0,""))</f>
        <v>1</v>
      </c>
      <c r="AQ216" t="str" cm="1">
        <f t="array" ref="AQ216">_xlfn.IFS(CleanEmployeeData[[#This Row],[MonthlyIncome]]&lt;=3000,"0–3,000",CleanEmployeeData[[#This Row],[MonthlyIncome]]&lt;=6000,"3,001–6,000",CleanEmployeeData[[#This Row],[MonthlyIncome]]&lt;=10000,"6,001–10,000",TRUE,"10,001+")</f>
        <v>0–3,000</v>
      </c>
      <c r="AR216" t="str" cm="1">
        <f t="array" ref="AR216">_xlfn.IFS(CleanEmployeeData[[#This Row],[DistanceFromHome]]&lt;=5,"0–5 miles",CleanEmployeeData[[#This Row],[DistanceFromHome]]&lt;=10,"6–10 miles",CleanEmployeeData[[#This Row],[DistanceFromHome]]&lt;=15,"11–15 miles",TRUE,"16+ miles")</f>
        <v>0–5 miles</v>
      </c>
      <c r="AS216" t="str" cm="1">
        <f t="array" ref="AS216">_xlfn.IFS(CleanEmployeeData[[#This Row],[YearsAtCompany]]&lt;=1,"0–1 years",CleanEmployeeData[[#This Row],[YearsAtCompany]]&lt;=5,"2–5 years",CleanEmployeeData[[#This Row],[YearsAtCompany]]&lt;=10,"6–10 years",TRUE,"11+ years")</f>
        <v>2–5 years</v>
      </c>
    </row>
    <row r="217" spans="1:4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cm="1">
        <f t="array" ref="AJ217">_xlfn.SWITCH(CleanEmployeeData[[#This Row],[Education]],1,"Below College",2,"College",3,"Bachelor",4,"Master",5,"Doctor","Unknown")</f>
        <v>Bachelor</v>
      </c>
      <c r="AK217" t="str" cm="1">
        <f t="array" ref="AK217">_xlfn.SWITCH(CleanEmployeeData[[#This Row],[EnvironmentSatisfaction]],1,"Low",2,"Medium",3,"High",4,"Very High","Unknown")</f>
        <v>Very High</v>
      </c>
      <c r="AL217" t="str" cm="1">
        <f t="array" ref="AL217">_xlfn.SWITCH(CleanEmployeeData[[#This Row],[JobInvolvement]],1,"Low",2,"Medium",3,"High",4,"Very High","Unknown")</f>
        <v>High</v>
      </c>
      <c r="AM217" t="str" cm="1">
        <f t="array" ref="AM217">_xlfn.SWITCH(CleanEmployeeData[[#This Row],[JobSatisfaction]],1,"Low",2,"Medium",3,"High",4,"Very High","Unknown")</f>
        <v>Very High</v>
      </c>
      <c r="AN217" t="str" cm="1">
        <f t="array" ref="AN217">_xlfn.SWITCH(CleanEmployeeData[[#This Row],[PerformanceRating]],1,"Low",2,"Good",3,"Excellent",4,"Outstanding","Unknown")</f>
        <v>Excellent</v>
      </c>
      <c r="AO217" t="str" cm="1">
        <f t="array" ref="AO217">_xlfn.SWITCH(CleanEmployeeData[[#This Row],[WorkLifeBalance]],1,"Bad",2,"Good",3,"Better",4,"Best","Unknown")</f>
        <v>Better</v>
      </c>
      <c r="AP217">
        <f>IF(CleanEmployeeData[[#This Row],[Attrition]]="Yes",1,IF(CleanEmployeeData[[#This Row],[Attrition]]="No",0,""))</f>
        <v>0</v>
      </c>
      <c r="AQ217" t="str" cm="1">
        <f t="array" ref="AQ217">_xlfn.IFS(CleanEmployeeData[[#This Row],[MonthlyIncome]]&lt;=3000,"0–3,000",CleanEmployeeData[[#This Row],[MonthlyIncome]]&lt;=6000,"3,001–6,000",CleanEmployeeData[[#This Row],[MonthlyIncome]]&lt;=10000,"6,001–10,000",TRUE,"10,001+")</f>
        <v>10,001+</v>
      </c>
      <c r="AR217" t="str" cm="1">
        <f t="array" ref="AR217">_xlfn.IFS(CleanEmployeeData[[#This Row],[DistanceFromHome]]&lt;=5,"0–5 miles",CleanEmployeeData[[#This Row],[DistanceFromHome]]&lt;=10,"6–10 miles",CleanEmployeeData[[#This Row],[DistanceFromHome]]&lt;=15,"11–15 miles",TRUE,"16+ miles")</f>
        <v>6–10 miles</v>
      </c>
      <c r="AS217" t="str" cm="1">
        <f t="array" ref="AS217">_xlfn.IFS(CleanEmployeeData[[#This Row],[YearsAtCompany]]&lt;=1,"0–1 years",CleanEmployeeData[[#This Row],[YearsAtCompany]]&lt;=5,"2–5 years",CleanEmployeeData[[#This Row],[YearsAtCompany]]&lt;=10,"6–10 years",TRUE,"11+ years")</f>
        <v>0–1 years</v>
      </c>
    </row>
    <row r="218" spans="1:4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cm="1">
        <f t="array" ref="AJ218">_xlfn.SWITCH(CleanEmployeeData[[#This Row],[Education]],1,"Below College",2,"College",3,"Bachelor",4,"Master",5,"Doctor","Unknown")</f>
        <v>Master</v>
      </c>
      <c r="AK218" t="str" cm="1">
        <f t="array" ref="AK218">_xlfn.SWITCH(CleanEmployeeData[[#This Row],[EnvironmentSatisfaction]],1,"Low",2,"Medium",3,"High",4,"Very High","Unknown")</f>
        <v>High</v>
      </c>
      <c r="AL218" t="str" cm="1">
        <f t="array" ref="AL218">_xlfn.SWITCH(CleanEmployeeData[[#This Row],[JobInvolvement]],1,"Low",2,"Medium",3,"High",4,"Very High","Unknown")</f>
        <v>Medium</v>
      </c>
      <c r="AM218" t="str" cm="1">
        <f t="array" ref="AM218">_xlfn.SWITCH(CleanEmployeeData[[#This Row],[JobSatisfaction]],1,"Low",2,"Medium",3,"High",4,"Very High","Unknown")</f>
        <v>Low</v>
      </c>
      <c r="AN218" t="str" cm="1">
        <f t="array" ref="AN218">_xlfn.SWITCH(CleanEmployeeData[[#This Row],[PerformanceRating]],1,"Low",2,"Good",3,"Excellent",4,"Outstanding","Unknown")</f>
        <v>Excellent</v>
      </c>
      <c r="AO218" t="str" cm="1">
        <f t="array" ref="AO218">_xlfn.SWITCH(CleanEmployeeData[[#This Row],[WorkLifeBalance]],1,"Bad",2,"Good",3,"Better",4,"Best","Unknown")</f>
        <v>Good</v>
      </c>
      <c r="AP218">
        <f>IF(CleanEmployeeData[[#This Row],[Attrition]]="Yes",1,IF(CleanEmployeeData[[#This Row],[Attrition]]="No",0,""))</f>
        <v>1</v>
      </c>
      <c r="AQ218" t="str" cm="1">
        <f t="array" ref="AQ218">_xlfn.IFS(CleanEmployeeData[[#This Row],[MonthlyIncome]]&lt;=3000,"0–3,000",CleanEmployeeData[[#This Row],[MonthlyIncome]]&lt;=6000,"3,001–6,000",CleanEmployeeData[[#This Row],[MonthlyIncome]]&lt;=10000,"6,001–10,000",TRUE,"10,001+")</f>
        <v>6,001–10,000</v>
      </c>
      <c r="AR218" t="str" cm="1">
        <f t="array" ref="AR218">_xlfn.IFS(CleanEmployeeData[[#This Row],[DistanceFromHome]]&lt;=5,"0–5 miles",CleanEmployeeData[[#This Row],[DistanceFromHome]]&lt;=10,"6–10 miles",CleanEmployeeData[[#This Row],[DistanceFromHome]]&lt;=15,"11–15 miles",TRUE,"16+ miles")</f>
        <v>16+ miles</v>
      </c>
      <c r="AS218" t="str" cm="1">
        <f t="array" ref="AS218">_xlfn.IFS(CleanEmployeeData[[#This Row],[YearsAtCompany]]&lt;=1,"0–1 years",CleanEmployeeData[[#This Row],[YearsAtCompany]]&lt;=5,"2–5 years",CleanEmployeeData[[#This Row],[YearsAtCompany]]&lt;=10,"6–10 years",TRUE,"11+ years")</f>
        <v>6–10 years</v>
      </c>
    </row>
    <row r="219" spans="1:4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cm="1">
        <f t="array" ref="AJ219">_xlfn.SWITCH(CleanEmployeeData[[#This Row],[Education]],1,"Below College",2,"College",3,"Bachelor",4,"Master",5,"Doctor","Unknown")</f>
        <v>Bachelor</v>
      </c>
      <c r="AK219" t="str" cm="1">
        <f t="array" ref="AK219">_xlfn.SWITCH(CleanEmployeeData[[#This Row],[EnvironmentSatisfaction]],1,"Low",2,"Medium",3,"High",4,"Very High","Unknown")</f>
        <v>High</v>
      </c>
      <c r="AL219" t="str" cm="1">
        <f t="array" ref="AL219">_xlfn.SWITCH(CleanEmployeeData[[#This Row],[JobInvolvement]],1,"Low",2,"Medium",3,"High",4,"Very High","Unknown")</f>
        <v>High</v>
      </c>
      <c r="AM219" t="str" cm="1">
        <f t="array" ref="AM219">_xlfn.SWITCH(CleanEmployeeData[[#This Row],[JobSatisfaction]],1,"Low",2,"Medium",3,"High",4,"Very High","Unknown")</f>
        <v>High</v>
      </c>
      <c r="AN219" t="str" cm="1">
        <f t="array" ref="AN219">_xlfn.SWITCH(CleanEmployeeData[[#This Row],[PerformanceRating]],1,"Low",2,"Good",3,"Excellent",4,"Outstanding","Unknown")</f>
        <v>Excellent</v>
      </c>
      <c r="AO219" t="str" cm="1">
        <f t="array" ref="AO219">_xlfn.SWITCH(CleanEmployeeData[[#This Row],[WorkLifeBalance]],1,"Bad",2,"Good",3,"Better",4,"Best","Unknown")</f>
        <v>Good</v>
      </c>
      <c r="AP219">
        <f>IF(CleanEmployeeData[[#This Row],[Attrition]]="Yes",1,IF(CleanEmployeeData[[#This Row],[Attrition]]="No",0,""))</f>
        <v>1</v>
      </c>
      <c r="AQ219" t="str" cm="1">
        <f t="array" ref="AQ219">_xlfn.IFS(CleanEmployeeData[[#This Row],[MonthlyIncome]]&lt;=3000,"0–3,000",CleanEmployeeData[[#This Row],[MonthlyIncome]]&lt;=6000,"3,001–6,000",CleanEmployeeData[[#This Row],[MonthlyIncome]]&lt;=10000,"6,001–10,000",TRUE,"10,001+")</f>
        <v>0–3,000</v>
      </c>
      <c r="AR219" t="str" cm="1">
        <f t="array" ref="AR219">_xlfn.IFS(CleanEmployeeData[[#This Row],[DistanceFromHome]]&lt;=5,"0–5 miles",CleanEmployeeData[[#This Row],[DistanceFromHome]]&lt;=10,"6–10 miles",CleanEmployeeData[[#This Row],[DistanceFromHome]]&lt;=15,"11–15 miles",TRUE,"16+ miles")</f>
        <v>0–5 miles</v>
      </c>
      <c r="AS219" t="str" cm="1">
        <f t="array" ref="AS219">_xlfn.IFS(CleanEmployeeData[[#This Row],[YearsAtCompany]]&lt;=1,"0–1 years",CleanEmployeeData[[#This Row],[YearsAtCompany]]&lt;=5,"2–5 years",CleanEmployeeData[[#This Row],[YearsAtCompany]]&lt;=10,"6–10 years",TRUE,"11+ years")</f>
        <v>6–10 years</v>
      </c>
    </row>
    <row r="220" spans="1:4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cm="1">
        <f t="array" ref="AJ220">_xlfn.SWITCH(CleanEmployeeData[[#This Row],[Education]],1,"Below College",2,"College",3,"Bachelor",4,"Master",5,"Doctor","Unknown")</f>
        <v>Bachelor</v>
      </c>
      <c r="AK220" t="str" cm="1">
        <f t="array" ref="AK220">_xlfn.SWITCH(CleanEmployeeData[[#This Row],[EnvironmentSatisfaction]],1,"Low",2,"Medium",3,"High",4,"Very High","Unknown")</f>
        <v>Very High</v>
      </c>
      <c r="AL220" t="str" cm="1">
        <f t="array" ref="AL220">_xlfn.SWITCH(CleanEmployeeData[[#This Row],[JobInvolvement]],1,"Low",2,"Medium",3,"High",4,"Very High","Unknown")</f>
        <v>Medium</v>
      </c>
      <c r="AM220" t="str" cm="1">
        <f t="array" ref="AM220">_xlfn.SWITCH(CleanEmployeeData[[#This Row],[JobSatisfaction]],1,"Low",2,"Medium",3,"High",4,"Very High","Unknown")</f>
        <v>Very High</v>
      </c>
      <c r="AN220" t="str" cm="1">
        <f t="array" ref="AN220">_xlfn.SWITCH(CleanEmployeeData[[#This Row],[PerformanceRating]],1,"Low",2,"Good",3,"Excellent",4,"Outstanding","Unknown")</f>
        <v>Excellent</v>
      </c>
      <c r="AO220" t="str" cm="1">
        <f t="array" ref="AO220">_xlfn.SWITCH(CleanEmployeeData[[#This Row],[WorkLifeBalance]],1,"Bad",2,"Good",3,"Better",4,"Best","Unknown")</f>
        <v>Better</v>
      </c>
      <c r="AP220">
        <f>IF(CleanEmployeeData[[#This Row],[Attrition]]="Yes",1,IF(CleanEmployeeData[[#This Row],[Attrition]]="No",0,""))</f>
        <v>0</v>
      </c>
      <c r="AQ220" t="str" cm="1">
        <f t="array" ref="AQ220">_xlfn.IFS(CleanEmployeeData[[#This Row],[MonthlyIncome]]&lt;=3000,"0–3,000",CleanEmployeeData[[#This Row],[MonthlyIncome]]&lt;=6000,"3,001–6,000",CleanEmployeeData[[#This Row],[MonthlyIncome]]&lt;=10000,"6,001–10,000",TRUE,"10,001+")</f>
        <v>6,001–10,000</v>
      </c>
      <c r="AR220" t="str" cm="1">
        <f t="array" ref="AR220">_xlfn.IFS(CleanEmployeeData[[#This Row],[DistanceFromHome]]&lt;=5,"0–5 miles",CleanEmployeeData[[#This Row],[DistanceFromHome]]&lt;=10,"6–10 miles",CleanEmployeeData[[#This Row],[DistanceFromHome]]&lt;=15,"11–15 miles",TRUE,"16+ miles")</f>
        <v>6–10 miles</v>
      </c>
      <c r="AS220" t="str" cm="1">
        <f t="array" ref="AS220">_xlfn.IFS(CleanEmployeeData[[#This Row],[YearsAtCompany]]&lt;=1,"0–1 years",CleanEmployeeData[[#This Row],[YearsAtCompany]]&lt;=5,"2–5 years",CleanEmployeeData[[#This Row],[YearsAtCompany]]&lt;=10,"6–10 years",TRUE,"11+ years")</f>
        <v>11+ years</v>
      </c>
    </row>
    <row r="221" spans="1:4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cm="1">
        <f t="array" ref="AJ221">_xlfn.SWITCH(CleanEmployeeData[[#This Row],[Education]],1,"Below College",2,"College",3,"Bachelor",4,"Master",5,"Doctor","Unknown")</f>
        <v>Bachelor</v>
      </c>
      <c r="AK221" t="str" cm="1">
        <f t="array" ref="AK221">_xlfn.SWITCH(CleanEmployeeData[[#This Row],[EnvironmentSatisfaction]],1,"Low",2,"Medium",3,"High",4,"Very High","Unknown")</f>
        <v>Very High</v>
      </c>
      <c r="AL221" t="str" cm="1">
        <f t="array" ref="AL221">_xlfn.SWITCH(CleanEmployeeData[[#This Row],[JobInvolvement]],1,"Low",2,"Medium",3,"High",4,"Very High","Unknown")</f>
        <v>High</v>
      </c>
      <c r="AM221" t="str" cm="1">
        <f t="array" ref="AM221">_xlfn.SWITCH(CleanEmployeeData[[#This Row],[JobSatisfaction]],1,"Low",2,"Medium",3,"High",4,"Very High","Unknown")</f>
        <v>Low</v>
      </c>
      <c r="AN221" t="str" cm="1">
        <f t="array" ref="AN221">_xlfn.SWITCH(CleanEmployeeData[[#This Row],[PerformanceRating]],1,"Low",2,"Good",3,"Excellent",4,"Outstanding","Unknown")</f>
        <v>Excellent</v>
      </c>
      <c r="AO221" t="str" cm="1">
        <f t="array" ref="AO221">_xlfn.SWITCH(CleanEmployeeData[[#This Row],[WorkLifeBalance]],1,"Bad",2,"Good",3,"Better",4,"Best","Unknown")</f>
        <v>Better</v>
      </c>
      <c r="AP221">
        <f>IF(CleanEmployeeData[[#This Row],[Attrition]]="Yes",1,IF(CleanEmployeeData[[#This Row],[Attrition]]="No",0,""))</f>
        <v>0</v>
      </c>
      <c r="AQ221" t="str" cm="1">
        <f t="array" ref="AQ221">_xlfn.IFS(CleanEmployeeData[[#This Row],[MonthlyIncome]]&lt;=3000,"0–3,000",CleanEmployeeData[[#This Row],[MonthlyIncome]]&lt;=6000,"3,001–6,000",CleanEmployeeData[[#This Row],[MonthlyIncome]]&lt;=10000,"6,001–10,000",TRUE,"10,001+")</f>
        <v>3,001–6,000</v>
      </c>
      <c r="AR221" t="str" cm="1">
        <f t="array" ref="AR221">_xlfn.IFS(CleanEmployeeData[[#This Row],[DistanceFromHome]]&lt;=5,"0–5 miles",CleanEmployeeData[[#This Row],[DistanceFromHome]]&lt;=10,"6–10 miles",CleanEmployeeData[[#This Row],[DistanceFromHome]]&lt;=15,"11–15 miles",TRUE,"16+ miles")</f>
        <v>0–5 miles</v>
      </c>
      <c r="AS221" t="str" cm="1">
        <f t="array" ref="AS221">_xlfn.IFS(CleanEmployeeData[[#This Row],[YearsAtCompany]]&lt;=1,"0–1 years",CleanEmployeeData[[#This Row],[YearsAtCompany]]&lt;=5,"2–5 years",CleanEmployeeData[[#This Row],[YearsAtCompany]]&lt;=10,"6–10 years",TRUE,"11+ years")</f>
        <v>6–10 years</v>
      </c>
    </row>
    <row r="222" spans="1:4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cm="1">
        <f t="array" ref="AJ222">_xlfn.SWITCH(CleanEmployeeData[[#This Row],[Education]],1,"Below College",2,"College",3,"Bachelor",4,"Master",5,"Doctor","Unknown")</f>
        <v>College</v>
      </c>
      <c r="AK222" t="str" cm="1">
        <f t="array" ref="AK222">_xlfn.SWITCH(CleanEmployeeData[[#This Row],[EnvironmentSatisfaction]],1,"Low",2,"Medium",3,"High",4,"Very High","Unknown")</f>
        <v>Very High</v>
      </c>
      <c r="AL222" t="str" cm="1">
        <f t="array" ref="AL222">_xlfn.SWITCH(CleanEmployeeData[[#This Row],[JobInvolvement]],1,"Low",2,"Medium",3,"High",4,"Very High","Unknown")</f>
        <v>High</v>
      </c>
      <c r="AM222" t="str" cm="1">
        <f t="array" ref="AM222">_xlfn.SWITCH(CleanEmployeeData[[#This Row],[JobSatisfaction]],1,"Low",2,"Medium",3,"High",4,"Very High","Unknown")</f>
        <v>Medium</v>
      </c>
      <c r="AN222" t="str" cm="1">
        <f t="array" ref="AN222">_xlfn.SWITCH(CleanEmployeeData[[#This Row],[PerformanceRating]],1,"Low",2,"Good",3,"Excellent",4,"Outstanding","Unknown")</f>
        <v>Excellent</v>
      </c>
      <c r="AO222" t="str" cm="1">
        <f t="array" ref="AO222">_xlfn.SWITCH(CleanEmployeeData[[#This Row],[WorkLifeBalance]],1,"Bad",2,"Good",3,"Better",4,"Best","Unknown")</f>
        <v>Best</v>
      </c>
      <c r="AP222">
        <f>IF(CleanEmployeeData[[#This Row],[Attrition]]="Yes",1,IF(CleanEmployeeData[[#This Row],[Attrition]]="No",0,""))</f>
        <v>0</v>
      </c>
      <c r="AQ222" t="str" cm="1">
        <f t="array" ref="AQ222">_xlfn.IFS(CleanEmployeeData[[#This Row],[MonthlyIncome]]&lt;=3000,"0–3,000",CleanEmployeeData[[#This Row],[MonthlyIncome]]&lt;=6000,"3,001–6,000",CleanEmployeeData[[#This Row],[MonthlyIncome]]&lt;=10000,"6,001–10,000",TRUE,"10,001+")</f>
        <v>3,001–6,000</v>
      </c>
      <c r="AR222" t="str" cm="1">
        <f t="array" ref="AR222">_xlfn.IFS(CleanEmployeeData[[#This Row],[DistanceFromHome]]&lt;=5,"0–5 miles",CleanEmployeeData[[#This Row],[DistanceFromHome]]&lt;=10,"6–10 miles",CleanEmployeeData[[#This Row],[DistanceFromHome]]&lt;=15,"11–15 miles",TRUE,"16+ miles")</f>
        <v>0–5 miles</v>
      </c>
      <c r="AS222" t="str" cm="1">
        <f t="array" ref="AS222">_xlfn.IFS(CleanEmployeeData[[#This Row],[YearsAtCompany]]&lt;=1,"0–1 years",CleanEmployeeData[[#This Row],[YearsAtCompany]]&lt;=5,"2–5 years",CleanEmployeeData[[#This Row],[YearsAtCompany]]&lt;=10,"6–10 years",TRUE,"11+ years")</f>
        <v>11+ years</v>
      </c>
    </row>
    <row r="223" spans="1:4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cm="1">
        <f t="array" ref="AJ223">_xlfn.SWITCH(CleanEmployeeData[[#This Row],[Education]],1,"Below College",2,"College",3,"Bachelor",4,"Master",5,"Doctor","Unknown")</f>
        <v>Master</v>
      </c>
      <c r="AK223" t="str" cm="1">
        <f t="array" ref="AK223">_xlfn.SWITCH(CleanEmployeeData[[#This Row],[EnvironmentSatisfaction]],1,"Low",2,"Medium",3,"High",4,"Very High","Unknown")</f>
        <v>High</v>
      </c>
      <c r="AL223" t="str" cm="1">
        <f t="array" ref="AL223">_xlfn.SWITCH(CleanEmployeeData[[#This Row],[JobInvolvement]],1,"Low",2,"Medium",3,"High",4,"Very High","Unknown")</f>
        <v>Medium</v>
      </c>
      <c r="AM223" t="str" cm="1">
        <f t="array" ref="AM223">_xlfn.SWITCH(CleanEmployeeData[[#This Row],[JobSatisfaction]],1,"Low",2,"Medium",3,"High",4,"Very High","Unknown")</f>
        <v>Medium</v>
      </c>
      <c r="AN223" t="str" cm="1">
        <f t="array" ref="AN223">_xlfn.SWITCH(CleanEmployeeData[[#This Row],[PerformanceRating]],1,"Low",2,"Good",3,"Excellent",4,"Outstanding","Unknown")</f>
        <v>Outstanding</v>
      </c>
      <c r="AO223" t="str" cm="1">
        <f t="array" ref="AO223">_xlfn.SWITCH(CleanEmployeeData[[#This Row],[WorkLifeBalance]],1,"Bad",2,"Good",3,"Better",4,"Best","Unknown")</f>
        <v>Better</v>
      </c>
      <c r="AP223">
        <f>IF(CleanEmployeeData[[#This Row],[Attrition]]="Yes",1,IF(CleanEmployeeData[[#This Row],[Attrition]]="No",0,""))</f>
        <v>0</v>
      </c>
      <c r="AQ223" t="str" cm="1">
        <f t="array" ref="AQ223">_xlfn.IFS(CleanEmployeeData[[#This Row],[MonthlyIncome]]&lt;=3000,"0–3,000",CleanEmployeeData[[#This Row],[MonthlyIncome]]&lt;=6000,"3,001–6,000",CleanEmployeeData[[#This Row],[MonthlyIncome]]&lt;=10000,"6,001–10,000",TRUE,"10,001+")</f>
        <v>0–3,000</v>
      </c>
      <c r="AR223" t="str" cm="1">
        <f t="array" ref="AR223">_xlfn.IFS(CleanEmployeeData[[#This Row],[DistanceFromHome]]&lt;=5,"0–5 miles",CleanEmployeeData[[#This Row],[DistanceFromHome]]&lt;=10,"6–10 miles",CleanEmployeeData[[#This Row],[DistanceFromHome]]&lt;=15,"11–15 miles",TRUE,"16+ miles")</f>
        <v>0–5 miles</v>
      </c>
      <c r="AS223" t="str" cm="1">
        <f t="array" ref="AS223">_xlfn.IFS(CleanEmployeeData[[#This Row],[YearsAtCompany]]&lt;=1,"0–1 years",CleanEmployeeData[[#This Row],[YearsAtCompany]]&lt;=5,"2–5 years",CleanEmployeeData[[#This Row],[YearsAtCompany]]&lt;=10,"6–10 years",TRUE,"11+ years")</f>
        <v>2–5 years</v>
      </c>
    </row>
    <row r="224" spans="1:4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cm="1">
        <f t="array" ref="AJ224">_xlfn.SWITCH(CleanEmployeeData[[#This Row],[Education]],1,"Below College",2,"College",3,"Bachelor",4,"Master",5,"Doctor","Unknown")</f>
        <v>Bachelor</v>
      </c>
      <c r="AK224" t="str" cm="1">
        <f t="array" ref="AK224">_xlfn.SWITCH(CleanEmployeeData[[#This Row],[EnvironmentSatisfaction]],1,"Low",2,"Medium",3,"High",4,"Very High","Unknown")</f>
        <v>Medium</v>
      </c>
      <c r="AL224" t="str" cm="1">
        <f t="array" ref="AL224">_xlfn.SWITCH(CleanEmployeeData[[#This Row],[JobInvolvement]],1,"Low",2,"Medium",3,"High",4,"Very High","Unknown")</f>
        <v>High</v>
      </c>
      <c r="AM224" t="str" cm="1">
        <f t="array" ref="AM224">_xlfn.SWITCH(CleanEmployeeData[[#This Row],[JobSatisfaction]],1,"Low",2,"Medium",3,"High",4,"Very High","Unknown")</f>
        <v>Very High</v>
      </c>
      <c r="AN224" t="str" cm="1">
        <f t="array" ref="AN224">_xlfn.SWITCH(CleanEmployeeData[[#This Row],[PerformanceRating]],1,"Low",2,"Good",3,"Excellent",4,"Outstanding","Unknown")</f>
        <v>Excellent</v>
      </c>
      <c r="AO224" t="str" cm="1">
        <f t="array" ref="AO224">_xlfn.SWITCH(CleanEmployeeData[[#This Row],[WorkLifeBalance]],1,"Bad",2,"Good",3,"Better",4,"Best","Unknown")</f>
        <v>Better</v>
      </c>
      <c r="AP224">
        <f>IF(CleanEmployeeData[[#This Row],[Attrition]]="Yes",1,IF(CleanEmployeeData[[#This Row],[Attrition]]="No",0,""))</f>
        <v>0</v>
      </c>
      <c r="AQ224" t="str" cm="1">
        <f t="array" ref="AQ224">_xlfn.IFS(CleanEmployeeData[[#This Row],[MonthlyIncome]]&lt;=3000,"0–3,000",CleanEmployeeData[[#This Row],[MonthlyIncome]]&lt;=6000,"3,001–6,000",CleanEmployeeData[[#This Row],[MonthlyIncome]]&lt;=10000,"6,001–10,000",TRUE,"10,001+")</f>
        <v>10,001+</v>
      </c>
      <c r="AR224" t="str" cm="1">
        <f t="array" ref="AR224">_xlfn.IFS(CleanEmployeeData[[#This Row],[DistanceFromHome]]&lt;=5,"0–5 miles",CleanEmployeeData[[#This Row],[DistanceFromHome]]&lt;=10,"6–10 miles",CleanEmployeeData[[#This Row],[DistanceFromHome]]&lt;=15,"11–15 miles",TRUE,"16+ miles")</f>
        <v>11–15 miles</v>
      </c>
      <c r="AS224" t="str" cm="1">
        <f t="array" ref="AS224">_xlfn.IFS(CleanEmployeeData[[#This Row],[YearsAtCompany]]&lt;=1,"0–1 years",CleanEmployeeData[[#This Row],[YearsAtCompany]]&lt;=5,"2–5 years",CleanEmployeeData[[#This Row],[YearsAtCompany]]&lt;=10,"6–10 years",TRUE,"11+ years")</f>
        <v>6–10 years</v>
      </c>
    </row>
    <row r="225" spans="1:4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cm="1">
        <f t="array" ref="AJ225">_xlfn.SWITCH(CleanEmployeeData[[#This Row],[Education]],1,"Below College",2,"College",3,"Bachelor",4,"Master",5,"Doctor","Unknown")</f>
        <v>Bachelor</v>
      </c>
      <c r="AK225" t="str" cm="1">
        <f t="array" ref="AK225">_xlfn.SWITCH(CleanEmployeeData[[#This Row],[EnvironmentSatisfaction]],1,"Low",2,"Medium",3,"High",4,"Very High","Unknown")</f>
        <v>Low</v>
      </c>
      <c r="AL225" t="str" cm="1">
        <f t="array" ref="AL225">_xlfn.SWITCH(CleanEmployeeData[[#This Row],[JobInvolvement]],1,"Low",2,"Medium",3,"High",4,"Very High","Unknown")</f>
        <v>High</v>
      </c>
      <c r="AM225" t="str" cm="1">
        <f t="array" ref="AM225">_xlfn.SWITCH(CleanEmployeeData[[#This Row],[JobSatisfaction]],1,"Low",2,"Medium",3,"High",4,"Very High","Unknown")</f>
        <v>High</v>
      </c>
      <c r="AN225" t="str" cm="1">
        <f t="array" ref="AN225">_xlfn.SWITCH(CleanEmployeeData[[#This Row],[PerformanceRating]],1,"Low",2,"Good",3,"Excellent",4,"Outstanding","Unknown")</f>
        <v>Excellent</v>
      </c>
      <c r="AO225" t="str" cm="1">
        <f t="array" ref="AO225">_xlfn.SWITCH(CleanEmployeeData[[#This Row],[WorkLifeBalance]],1,"Bad",2,"Good",3,"Better",4,"Best","Unknown")</f>
        <v>Good</v>
      </c>
      <c r="AP225">
        <f>IF(CleanEmployeeData[[#This Row],[Attrition]]="Yes",1,IF(CleanEmployeeData[[#This Row],[Attrition]]="No",0,""))</f>
        <v>0</v>
      </c>
      <c r="AQ225" t="str" cm="1">
        <f t="array" ref="AQ225">_xlfn.IFS(CleanEmployeeData[[#This Row],[MonthlyIncome]]&lt;=3000,"0–3,000",CleanEmployeeData[[#This Row],[MonthlyIncome]]&lt;=6000,"3,001–6,000",CleanEmployeeData[[#This Row],[MonthlyIncome]]&lt;=10000,"6,001–10,000",TRUE,"10,001+")</f>
        <v>10,001+</v>
      </c>
      <c r="AR225" t="str" cm="1">
        <f t="array" ref="AR225">_xlfn.IFS(CleanEmployeeData[[#This Row],[DistanceFromHome]]&lt;=5,"0–5 miles",CleanEmployeeData[[#This Row],[DistanceFromHome]]&lt;=10,"6–10 miles",CleanEmployeeData[[#This Row],[DistanceFromHome]]&lt;=15,"11–15 miles",TRUE,"16+ miles")</f>
        <v>0–5 miles</v>
      </c>
      <c r="AS225" t="str" cm="1">
        <f t="array" ref="AS225">_xlfn.IFS(CleanEmployeeData[[#This Row],[YearsAtCompany]]&lt;=1,"0–1 years",CleanEmployeeData[[#This Row],[YearsAtCompany]]&lt;=5,"2–5 years",CleanEmployeeData[[#This Row],[YearsAtCompany]]&lt;=10,"6–10 years",TRUE,"11+ years")</f>
        <v>11+ years</v>
      </c>
    </row>
    <row r="226" spans="1:4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cm="1">
        <f t="array" ref="AJ226">_xlfn.SWITCH(CleanEmployeeData[[#This Row],[Education]],1,"Below College",2,"College",3,"Bachelor",4,"Master",5,"Doctor","Unknown")</f>
        <v>Master</v>
      </c>
      <c r="AK226" t="str" cm="1">
        <f t="array" ref="AK226">_xlfn.SWITCH(CleanEmployeeData[[#This Row],[EnvironmentSatisfaction]],1,"Low",2,"Medium",3,"High",4,"Very High","Unknown")</f>
        <v>High</v>
      </c>
      <c r="AL226" t="str" cm="1">
        <f t="array" ref="AL226">_xlfn.SWITCH(CleanEmployeeData[[#This Row],[JobInvolvement]],1,"Low",2,"Medium",3,"High",4,"Very High","Unknown")</f>
        <v>Low</v>
      </c>
      <c r="AM226" t="str" cm="1">
        <f t="array" ref="AM226">_xlfn.SWITCH(CleanEmployeeData[[#This Row],[JobSatisfaction]],1,"Low",2,"Medium",3,"High",4,"Very High","Unknown")</f>
        <v>High</v>
      </c>
      <c r="AN226" t="str" cm="1">
        <f t="array" ref="AN226">_xlfn.SWITCH(CleanEmployeeData[[#This Row],[PerformanceRating]],1,"Low",2,"Good",3,"Excellent",4,"Outstanding","Unknown")</f>
        <v>Excellent</v>
      </c>
      <c r="AO226" t="str" cm="1">
        <f t="array" ref="AO226">_xlfn.SWITCH(CleanEmployeeData[[#This Row],[WorkLifeBalance]],1,"Bad",2,"Good",3,"Better",4,"Best","Unknown")</f>
        <v>Better</v>
      </c>
      <c r="AP226">
        <f>IF(CleanEmployeeData[[#This Row],[Attrition]]="Yes",1,IF(CleanEmployeeData[[#This Row],[Attrition]]="No",0,""))</f>
        <v>0</v>
      </c>
      <c r="AQ226" t="str" cm="1">
        <f t="array" ref="AQ226">_xlfn.IFS(CleanEmployeeData[[#This Row],[MonthlyIncome]]&lt;=3000,"0–3,000",CleanEmployeeData[[#This Row],[MonthlyIncome]]&lt;=6000,"3,001–6,000",CleanEmployeeData[[#This Row],[MonthlyIncome]]&lt;=10000,"6,001–10,000",TRUE,"10,001+")</f>
        <v>3,001–6,000</v>
      </c>
      <c r="AR226" t="str" cm="1">
        <f t="array" ref="AR226">_xlfn.IFS(CleanEmployeeData[[#This Row],[DistanceFromHome]]&lt;=5,"0–5 miles",CleanEmployeeData[[#This Row],[DistanceFromHome]]&lt;=10,"6–10 miles",CleanEmployeeData[[#This Row],[DistanceFromHome]]&lt;=15,"11–15 miles",TRUE,"16+ miles")</f>
        <v>0–5 miles</v>
      </c>
      <c r="AS226" t="str" cm="1">
        <f t="array" ref="AS226">_xlfn.IFS(CleanEmployeeData[[#This Row],[YearsAtCompany]]&lt;=1,"0–1 years",CleanEmployeeData[[#This Row],[YearsAtCompany]]&lt;=5,"2–5 years",CleanEmployeeData[[#This Row],[YearsAtCompany]]&lt;=10,"6–10 years",TRUE,"11+ years")</f>
        <v>2–5 years</v>
      </c>
    </row>
    <row r="227" spans="1:4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cm="1">
        <f t="array" ref="AJ227">_xlfn.SWITCH(CleanEmployeeData[[#This Row],[Education]],1,"Below College",2,"College",3,"Bachelor",4,"Master",5,"Doctor","Unknown")</f>
        <v>Bachelor</v>
      </c>
      <c r="AK227" t="str" cm="1">
        <f t="array" ref="AK227">_xlfn.SWITCH(CleanEmployeeData[[#This Row],[EnvironmentSatisfaction]],1,"Low",2,"Medium",3,"High",4,"Very High","Unknown")</f>
        <v>High</v>
      </c>
      <c r="AL227" t="str" cm="1">
        <f t="array" ref="AL227">_xlfn.SWITCH(CleanEmployeeData[[#This Row],[JobInvolvement]],1,"Low",2,"Medium",3,"High",4,"Very High","Unknown")</f>
        <v>Medium</v>
      </c>
      <c r="AM227" t="str" cm="1">
        <f t="array" ref="AM227">_xlfn.SWITCH(CleanEmployeeData[[#This Row],[JobSatisfaction]],1,"Low",2,"Medium",3,"High",4,"Very High","Unknown")</f>
        <v>Very High</v>
      </c>
      <c r="AN227" t="str" cm="1">
        <f t="array" ref="AN227">_xlfn.SWITCH(CleanEmployeeData[[#This Row],[PerformanceRating]],1,"Low",2,"Good",3,"Excellent",4,"Outstanding","Unknown")</f>
        <v>Excellent</v>
      </c>
      <c r="AO227" t="str" cm="1">
        <f t="array" ref="AO227">_xlfn.SWITCH(CleanEmployeeData[[#This Row],[WorkLifeBalance]],1,"Bad",2,"Good",3,"Better",4,"Best","Unknown")</f>
        <v>Better</v>
      </c>
      <c r="AP227">
        <f>IF(CleanEmployeeData[[#This Row],[Attrition]]="Yes",1,IF(CleanEmployeeData[[#This Row],[Attrition]]="No",0,""))</f>
        <v>0</v>
      </c>
      <c r="AQ227" t="str" cm="1">
        <f t="array" ref="AQ227">_xlfn.IFS(CleanEmployeeData[[#This Row],[MonthlyIncome]]&lt;=3000,"0–3,000",CleanEmployeeData[[#This Row],[MonthlyIncome]]&lt;=6000,"3,001–6,000",CleanEmployeeData[[#This Row],[MonthlyIncome]]&lt;=10000,"6,001–10,000",TRUE,"10,001+")</f>
        <v>0–3,000</v>
      </c>
      <c r="AR227" t="str" cm="1">
        <f t="array" ref="AR227">_xlfn.IFS(CleanEmployeeData[[#This Row],[DistanceFromHome]]&lt;=5,"0–5 miles",CleanEmployeeData[[#This Row],[DistanceFromHome]]&lt;=10,"6–10 miles",CleanEmployeeData[[#This Row],[DistanceFromHome]]&lt;=15,"11–15 miles",TRUE,"16+ miles")</f>
        <v>0–5 miles</v>
      </c>
      <c r="AS227" t="str" cm="1">
        <f t="array" ref="AS227">_xlfn.IFS(CleanEmployeeData[[#This Row],[YearsAtCompany]]&lt;=1,"0–1 years",CleanEmployeeData[[#This Row],[YearsAtCompany]]&lt;=5,"2–5 years",CleanEmployeeData[[#This Row],[YearsAtCompany]]&lt;=10,"6–10 years",TRUE,"11+ years")</f>
        <v>0–1 years</v>
      </c>
    </row>
    <row r="228" spans="1:4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cm="1">
        <f t="array" ref="AJ228">_xlfn.SWITCH(CleanEmployeeData[[#This Row],[Education]],1,"Below College",2,"College",3,"Bachelor",4,"Master",5,"Doctor","Unknown")</f>
        <v>Master</v>
      </c>
      <c r="AK228" t="str" cm="1">
        <f t="array" ref="AK228">_xlfn.SWITCH(CleanEmployeeData[[#This Row],[EnvironmentSatisfaction]],1,"Low",2,"Medium",3,"High",4,"Very High","Unknown")</f>
        <v>Low</v>
      </c>
      <c r="AL228" t="str" cm="1">
        <f t="array" ref="AL228">_xlfn.SWITCH(CleanEmployeeData[[#This Row],[JobInvolvement]],1,"Low",2,"Medium",3,"High",4,"Very High","Unknown")</f>
        <v>High</v>
      </c>
      <c r="AM228" t="str" cm="1">
        <f t="array" ref="AM228">_xlfn.SWITCH(CleanEmployeeData[[#This Row],[JobSatisfaction]],1,"Low",2,"Medium",3,"High",4,"Very High","Unknown")</f>
        <v>Very High</v>
      </c>
      <c r="AN228" t="str" cm="1">
        <f t="array" ref="AN228">_xlfn.SWITCH(CleanEmployeeData[[#This Row],[PerformanceRating]],1,"Low",2,"Good",3,"Excellent",4,"Outstanding","Unknown")</f>
        <v>Excellent</v>
      </c>
      <c r="AO228" t="str" cm="1">
        <f t="array" ref="AO228">_xlfn.SWITCH(CleanEmployeeData[[#This Row],[WorkLifeBalance]],1,"Bad",2,"Good",3,"Better",4,"Best","Unknown")</f>
        <v>Better</v>
      </c>
      <c r="AP228">
        <f>IF(CleanEmployeeData[[#This Row],[Attrition]]="Yes",1,IF(CleanEmployeeData[[#This Row],[Attrition]]="No",0,""))</f>
        <v>0</v>
      </c>
      <c r="AQ228" t="str" cm="1">
        <f t="array" ref="AQ228">_xlfn.IFS(CleanEmployeeData[[#This Row],[MonthlyIncome]]&lt;=3000,"0–3,000",CleanEmployeeData[[#This Row],[MonthlyIncome]]&lt;=6000,"3,001–6,000",CleanEmployeeData[[#This Row],[MonthlyIncome]]&lt;=10000,"6,001–10,000",TRUE,"10,001+")</f>
        <v>0–3,000</v>
      </c>
      <c r="AR228" t="str" cm="1">
        <f t="array" ref="AR228">_xlfn.IFS(CleanEmployeeData[[#This Row],[DistanceFromHome]]&lt;=5,"0–5 miles",CleanEmployeeData[[#This Row],[DistanceFromHome]]&lt;=10,"6–10 miles",CleanEmployeeData[[#This Row],[DistanceFromHome]]&lt;=15,"11–15 miles",TRUE,"16+ miles")</f>
        <v>0–5 miles</v>
      </c>
      <c r="AS228" t="str" cm="1">
        <f t="array" ref="AS228">_xlfn.IFS(CleanEmployeeData[[#This Row],[YearsAtCompany]]&lt;=1,"0–1 years",CleanEmployeeData[[#This Row],[YearsAtCompany]]&lt;=5,"2–5 years",CleanEmployeeData[[#This Row],[YearsAtCompany]]&lt;=10,"6–10 years",TRUE,"11+ years")</f>
        <v>6–10 years</v>
      </c>
    </row>
    <row r="229" spans="1:4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cm="1">
        <f t="array" ref="AJ229">_xlfn.SWITCH(CleanEmployeeData[[#This Row],[Education]],1,"Below College",2,"College",3,"Bachelor",4,"Master",5,"Doctor","Unknown")</f>
        <v>Below College</v>
      </c>
      <c r="AK229" t="str" cm="1">
        <f t="array" ref="AK229">_xlfn.SWITCH(CleanEmployeeData[[#This Row],[EnvironmentSatisfaction]],1,"Low",2,"Medium",3,"High",4,"Very High","Unknown")</f>
        <v>Medium</v>
      </c>
      <c r="AL229" t="str" cm="1">
        <f t="array" ref="AL229">_xlfn.SWITCH(CleanEmployeeData[[#This Row],[JobInvolvement]],1,"Low",2,"Medium",3,"High",4,"Very High","Unknown")</f>
        <v>High</v>
      </c>
      <c r="AM229" t="str" cm="1">
        <f t="array" ref="AM229">_xlfn.SWITCH(CleanEmployeeData[[#This Row],[JobSatisfaction]],1,"Low",2,"Medium",3,"High",4,"Very High","Unknown")</f>
        <v>Very High</v>
      </c>
      <c r="AN229" t="str" cm="1">
        <f t="array" ref="AN229">_xlfn.SWITCH(CleanEmployeeData[[#This Row],[PerformanceRating]],1,"Low",2,"Good",3,"Excellent",4,"Outstanding","Unknown")</f>
        <v>Excellent</v>
      </c>
      <c r="AO229" t="str" cm="1">
        <f t="array" ref="AO229">_xlfn.SWITCH(CleanEmployeeData[[#This Row],[WorkLifeBalance]],1,"Bad",2,"Good",3,"Better",4,"Best","Unknown")</f>
        <v>Better</v>
      </c>
      <c r="AP229">
        <f>IF(CleanEmployeeData[[#This Row],[Attrition]]="Yes",1,IF(CleanEmployeeData[[#This Row],[Attrition]]="No",0,""))</f>
        <v>0</v>
      </c>
      <c r="AQ229" t="str" cm="1">
        <f t="array" ref="AQ229">_xlfn.IFS(CleanEmployeeData[[#This Row],[MonthlyIncome]]&lt;=3000,"0–3,000",CleanEmployeeData[[#This Row],[MonthlyIncome]]&lt;=6000,"3,001–6,000",CleanEmployeeData[[#This Row],[MonthlyIncome]]&lt;=10000,"6,001–10,000",TRUE,"10,001+")</f>
        <v>6,001–10,000</v>
      </c>
      <c r="AR229" t="str" cm="1">
        <f t="array" ref="AR229">_xlfn.IFS(CleanEmployeeData[[#This Row],[DistanceFromHome]]&lt;=5,"0–5 miles",CleanEmployeeData[[#This Row],[DistanceFromHome]]&lt;=10,"6–10 miles",CleanEmployeeData[[#This Row],[DistanceFromHome]]&lt;=15,"11–15 miles",TRUE,"16+ miles")</f>
        <v>0–5 miles</v>
      </c>
      <c r="AS229" t="str" cm="1">
        <f t="array" ref="AS229">_xlfn.IFS(CleanEmployeeData[[#This Row],[YearsAtCompany]]&lt;=1,"0–1 years",CleanEmployeeData[[#This Row],[YearsAtCompany]]&lt;=5,"2–5 years",CleanEmployeeData[[#This Row],[YearsAtCompany]]&lt;=10,"6–10 years",TRUE,"11+ years")</f>
        <v>11+ years</v>
      </c>
    </row>
    <row r="230" spans="1:4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cm="1">
        <f t="array" ref="AJ230">_xlfn.SWITCH(CleanEmployeeData[[#This Row],[Education]],1,"Below College",2,"College",3,"Bachelor",4,"Master",5,"Doctor","Unknown")</f>
        <v>Bachelor</v>
      </c>
      <c r="AK230" t="str" cm="1">
        <f t="array" ref="AK230">_xlfn.SWITCH(CleanEmployeeData[[#This Row],[EnvironmentSatisfaction]],1,"Low",2,"Medium",3,"High",4,"Very High","Unknown")</f>
        <v>High</v>
      </c>
      <c r="AL230" t="str" cm="1">
        <f t="array" ref="AL230">_xlfn.SWITCH(CleanEmployeeData[[#This Row],[JobInvolvement]],1,"Low",2,"Medium",3,"High",4,"Very High","Unknown")</f>
        <v>High</v>
      </c>
      <c r="AM230" t="str" cm="1">
        <f t="array" ref="AM230">_xlfn.SWITCH(CleanEmployeeData[[#This Row],[JobSatisfaction]],1,"Low",2,"Medium",3,"High",4,"Very High","Unknown")</f>
        <v>High</v>
      </c>
      <c r="AN230" t="str" cm="1">
        <f t="array" ref="AN230">_xlfn.SWITCH(CleanEmployeeData[[#This Row],[PerformanceRating]],1,"Low",2,"Good",3,"Excellent",4,"Outstanding","Unknown")</f>
        <v>Excellent</v>
      </c>
      <c r="AO230" t="str" cm="1">
        <f t="array" ref="AO230">_xlfn.SWITCH(CleanEmployeeData[[#This Row],[WorkLifeBalance]],1,"Bad",2,"Good",3,"Better",4,"Best","Unknown")</f>
        <v>Best</v>
      </c>
      <c r="AP230">
        <f>IF(CleanEmployeeData[[#This Row],[Attrition]]="Yes",1,IF(CleanEmployeeData[[#This Row],[Attrition]]="No",0,""))</f>
        <v>0</v>
      </c>
      <c r="AQ230" t="str" cm="1">
        <f t="array" ref="AQ230">_xlfn.IFS(CleanEmployeeData[[#This Row],[MonthlyIncome]]&lt;=3000,"0–3,000",CleanEmployeeData[[#This Row],[MonthlyIncome]]&lt;=6000,"3,001–6,000",CleanEmployeeData[[#This Row],[MonthlyIncome]]&lt;=10000,"6,001–10,000",TRUE,"10,001+")</f>
        <v>6,001–10,000</v>
      </c>
      <c r="AR230" t="str" cm="1">
        <f t="array" ref="AR230">_xlfn.IFS(CleanEmployeeData[[#This Row],[DistanceFromHome]]&lt;=5,"0–5 miles",CleanEmployeeData[[#This Row],[DistanceFromHome]]&lt;=10,"6–10 miles",CleanEmployeeData[[#This Row],[DistanceFromHome]]&lt;=15,"11–15 miles",TRUE,"16+ miles")</f>
        <v>0–5 miles</v>
      </c>
      <c r="AS230" t="str" cm="1">
        <f t="array" ref="AS230">_xlfn.IFS(CleanEmployeeData[[#This Row],[YearsAtCompany]]&lt;=1,"0–1 years",CleanEmployeeData[[#This Row],[YearsAtCompany]]&lt;=5,"2–5 years",CleanEmployeeData[[#This Row],[YearsAtCompany]]&lt;=10,"6–10 years",TRUE,"11+ years")</f>
        <v>6–10 years</v>
      </c>
    </row>
    <row r="231" spans="1:4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cm="1">
        <f t="array" ref="AJ231">_xlfn.SWITCH(CleanEmployeeData[[#This Row],[Education]],1,"Below College",2,"College",3,"Bachelor",4,"Master",5,"Doctor","Unknown")</f>
        <v>Below College</v>
      </c>
      <c r="AK231" t="str" cm="1">
        <f t="array" ref="AK231">_xlfn.SWITCH(CleanEmployeeData[[#This Row],[EnvironmentSatisfaction]],1,"Low",2,"Medium",3,"High",4,"Very High","Unknown")</f>
        <v>High</v>
      </c>
      <c r="AL231" t="str" cm="1">
        <f t="array" ref="AL231">_xlfn.SWITCH(CleanEmployeeData[[#This Row],[JobInvolvement]],1,"Low",2,"Medium",3,"High",4,"Very High","Unknown")</f>
        <v>Medium</v>
      </c>
      <c r="AM231" t="str" cm="1">
        <f t="array" ref="AM231">_xlfn.SWITCH(CleanEmployeeData[[#This Row],[JobSatisfaction]],1,"Low",2,"Medium",3,"High",4,"Very High","Unknown")</f>
        <v>Very High</v>
      </c>
      <c r="AN231" t="str" cm="1">
        <f t="array" ref="AN231">_xlfn.SWITCH(CleanEmployeeData[[#This Row],[PerformanceRating]],1,"Low",2,"Good",3,"Excellent",4,"Outstanding","Unknown")</f>
        <v>Excellent</v>
      </c>
      <c r="AO231" t="str" cm="1">
        <f t="array" ref="AO231">_xlfn.SWITCH(CleanEmployeeData[[#This Row],[WorkLifeBalance]],1,"Bad",2,"Good",3,"Better",4,"Best","Unknown")</f>
        <v>Good</v>
      </c>
      <c r="AP231">
        <f>IF(CleanEmployeeData[[#This Row],[Attrition]]="Yes",1,IF(CleanEmployeeData[[#This Row],[Attrition]]="No",0,""))</f>
        <v>1</v>
      </c>
      <c r="AQ231" t="str" cm="1">
        <f t="array" ref="AQ231">_xlfn.IFS(CleanEmployeeData[[#This Row],[MonthlyIncome]]&lt;=3000,"0–3,000",CleanEmployeeData[[#This Row],[MonthlyIncome]]&lt;=6000,"3,001–6,000",CleanEmployeeData[[#This Row],[MonthlyIncome]]&lt;=10000,"6,001–10,000",TRUE,"10,001+")</f>
        <v>0–3,000</v>
      </c>
      <c r="AR231" t="str" cm="1">
        <f t="array" ref="AR231">_xlfn.IFS(CleanEmployeeData[[#This Row],[DistanceFromHome]]&lt;=5,"0–5 miles",CleanEmployeeData[[#This Row],[DistanceFromHome]]&lt;=10,"6–10 miles",CleanEmployeeData[[#This Row],[DistanceFromHome]]&lt;=15,"11–15 miles",TRUE,"16+ miles")</f>
        <v>16+ miles</v>
      </c>
      <c r="AS231" t="str" cm="1">
        <f t="array" ref="AS231">_xlfn.IFS(CleanEmployeeData[[#This Row],[YearsAtCompany]]&lt;=1,"0–1 years",CleanEmployeeData[[#This Row],[YearsAtCompany]]&lt;=5,"2–5 years",CleanEmployeeData[[#This Row],[YearsAtCompany]]&lt;=10,"6–10 years",TRUE,"11+ years")</f>
        <v>2–5 years</v>
      </c>
    </row>
    <row r="232" spans="1:4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cm="1">
        <f t="array" ref="AJ232">_xlfn.SWITCH(CleanEmployeeData[[#This Row],[Education]],1,"Below College",2,"College",3,"Bachelor",4,"Master",5,"Doctor","Unknown")</f>
        <v>Bachelor</v>
      </c>
      <c r="AK232" t="str" cm="1">
        <f t="array" ref="AK232">_xlfn.SWITCH(CleanEmployeeData[[#This Row],[EnvironmentSatisfaction]],1,"Low",2,"Medium",3,"High",4,"Very High","Unknown")</f>
        <v>High</v>
      </c>
      <c r="AL232" t="str" cm="1">
        <f t="array" ref="AL232">_xlfn.SWITCH(CleanEmployeeData[[#This Row],[JobInvolvement]],1,"Low",2,"Medium",3,"High",4,"Very High","Unknown")</f>
        <v>Medium</v>
      </c>
      <c r="AM232" t="str" cm="1">
        <f t="array" ref="AM232">_xlfn.SWITCH(CleanEmployeeData[[#This Row],[JobSatisfaction]],1,"Low",2,"Medium",3,"High",4,"Very High","Unknown")</f>
        <v>Very High</v>
      </c>
      <c r="AN232" t="str" cm="1">
        <f t="array" ref="AN232">_xlfn.SWITCH(CleanEmployeeData[[#This Row],[PerformanceRating]],1,"Low",2,"Good",3,"Excellent",4,"Outstanding","Unknown")</f>
        <v>Excellent</v>
      </c>
      <c r="AO232" t="str" cm="1">
        <f t="array" ref="AO232">_xlfn.SWITCH(CleanEmployeeData[[#This Row],[WorkLifeBalance]],1,"Bad",2,"Good",3,"Better",4,"Best","Unknown")</f>
        <v>Good</v>
      </c>
      <c r="AP232">
        <f>IF(CleanEmployeeData[[#This Row],[Attrition]]="Yes",1,IF(CleanEmployeeData[[#This Row],[Attrition]]="No",0,""))</f>
        <v>0</v>
      </c>
      <c r="AQ232" t="str" cm="1">
        <f t="array" ref="AQ232">_xlfn.IFS(CleanEmployeeData[[#This Row],[MonthlyIncome]]&lt;=3000,"0–3,000",CleanEmployeeData[[#This Row],[MonthlyIncome]]&lt;=6000,"3,001–6,000",CleanEmployeeData[[#This Row],[MonthlyIncome]]&lt;=10000,"6,001–10,000",TRUE,"10,001+")</f>
        <v>3,001–6,000</v>
      </c>
      <c r="AR232" t="str" cm="1">
        <f t="array" ref="AR232">_xlfn.IFS(CleanEmployeeData[[#This Row],[DistanceFromHome]]&lt;=5,"0–5 miles",CleanEmployeeData[[#This Row],[DistanceFromHome]]&lt;=10,"6–10 miles",CleanEmployeeData[[#This Row],[DistanceFromHome]]&lt;=15,"11–15 miles",TRUE,"16+ miles")</f>
        <v>0–5 miles</v>
      </c>
      <c r="AS232" t="str" cm="1">
        <f t="array" ref="AS232">_xlfn.IFS(CleanEmployeeData[[#This Row],[YearsAtCompany]]&lt;=1,"0–1 years",CleanEmployeeData[[#This Row],[YearsAtCompany]]&lt;=5,"2–5 years",CleanEmployeeData[[#This Row],[YearsAtCompany]]&lt;=10,"6–10 years",TRUE,"11+ years")</f>
        <v>2–5 years</v>
      </c>
    </row>
    <row r="233" spans="1:4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cm="1">
        <f t="array" ref="AJ233">_xlfn.SWITCH(CleanEmployeeData[[#This Row],[Education]],1,"Below College",2,"College",3,"Bachelor",4,"Master",5,"Doctor","Unknown")</f>
        <v>College</v>
      </c>
      <c r="AK233" t="str" cm="1">
        <f t="array" ref="AK233">_xlfn.SWITCH(CleanEmployeeData[[#This Row],[EnvironmentSatisfaction]],1,"Low",2,"Medium",3,"High",4,"Very High","Unknown")</f>
        <v>High</v>
      </c>
      <c r="AL233" t="str" cm="1">
        <f t="array" ref="AL233">_xlfn.SWITCH(CleanEmployeeData[[#This Row],[JobInvolvement]],1,"Low",2,"Medium",3,"High",4,"Very High","Unknown")</f>
        <v>High</v>
      </c>
      <c r="AM233" t="str" cm="1">
        <f t="array" ref="AM233">_xlfn.SWITCH(CleanEmployeeData[[#This Row],[JobSatisfaction]],1,"Low",2,"Medium",3,"High",4,"Very High","Unknown")</f>
        <v>Very High</v>
      </c>
      <c r="AN233" t="str" cm="1">
        <f t="array" ref="AN233">_xlfn.SWITCH(CleanEmployeeData[[#This Row],[PerformanceRating]],1,"Low",2,"Good",3,"Excellent",4,"Outstanding","Unknown")</f>
        <v>Excellent</v>
      </c>
      <c r="AO233" t="str" cm="1">
        <f t="array" ref="AO233">_xlfn.SWITCH(CleanEmployeeData[[#This Row],[WorkLifeBalance]],1,"Bad",2,"Good",3,"Better",4,"Best","Unknown")</f>
        <v>Better</v>
      </c>
      <c r="AP233">
        <f>IF(CleanEmployeeData[[#This Row],[Attrition]]="Yes",1,IF(CleanEmployeeData[[#This Row],[Attrition]]="No",0,""))</f>
        <v>0</v>
      </c>
      <c r="AQ233" t="str" cm="1">
        <f t="array" ref="AQ233">_xlfn.IFS(CleanEmployeeData[[#This Row],[MonthlyIncome]]&lt;=3000,"0–3,000",CleanEmployeeData[[#This Row],[MonthlyIncome]]&lt;=6000,"3,001–6,000",CleanEmployeeData[[#This Row],[MonthlyIncome]]&lt;=10000,"6,001–10,000",TRUE,"10,001+")</f>
        <v>10,001+</v>
      </c>
      <c r="AR233" t="str" cm="1">
        <f t="array" ref="AR233">_xlfn.IFS(CleanEmployeeData[[#This Row],[DistanceFromHome]]&lt;=5,"0–5 miles",CleanEmployeeData[[#This Row],[DistanceFromHome]]&lt;=10,"6–10 miles",CleanEmployeeData[[#This Row],[DistanceFromHome]]&lt;=15,"11–15 miles",TRUE,"16+ miles")</f>
        <v>0–5 miles</v>
      </c>
      <c r="AS233" t="str" cm="1">
        <f t="array" ref="AS233">_xlfn.IFS(CleanEmployeeData[[#This Row],[YearsAtCompany]]&lt;=1,"0–1 years",CleanEmployeeData[[#This Row],[YearsAtCompany]]&lt;=5,"2–5 years",CleanEmployeeData[[#This Row],[YearsAtCompany]]&lt;=10,"6–10 years",TRUE,"11+ years")</f>
        <v>11+ years</v>
      </c>
    </row>
    <row r="234" spans="1:4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cm="1">
        <f t="array" ref="AJ234">_xlfn.SWITCH(CleanEmployeeData[[#This Row],[Education]],1,"Below College",2,"College",3,"Bachelor",4,"Master",5,"Doctor","Unknown")</f>
        <v>College</v>
      </c>
      <c r="AK234" t="str" cm="1">
        <f t="array" ref="AK234">_xlfn.SWITCH(CleanEmployeeData[[#This Row],[EnvironmentSatisfaction]],1,"Low",2,"Medium",3,"High",4,"Very High","Unknown")</f>
        <v>Medium</v>
      </c>
      <c r="AL234" t="str" cm="1">
        <f t="array" ref="AL234">_xlfn.SWITCH(CleanEmployeeData[[#This Row],[JobInvolvement]],1,"Low",2,"Medium",3,"High",4,"Very High","Unknown")</f>
        <v>High</v>
      </c>
      <c r="AM234" t="str" cm="1">
        <f t="array" ref="AM234">_xlfn.SWITCH(CleanEmployeeData[[#This Row],[JobSatisfaction]],1,"Low",2,"Medium",3,"High",4,"Very High","Unknown")</f>
        <v>High</v>
      </c>
      <c r="AN234" t="str" cm="1">
        <f t="array" ref="AN234">_xlfn.SWITCH(CleanEmployeeData[[#This Row],[PerformanceRating]],1,"Low",2,"Good",3,"Excellent",4,"Outstanding","Unknown")</f>
        <v>Excellent</v>
      </c>
      <c r="AO234" t="str" cm="1">
        <f t="array" ref="AO234">_xlfn.SWITCH(CleanEmployeeData[[#This Row],[WorkLifeBalance]],1,"Bad",2,"Good",3,"Better",4,"Best","Unknown")</f>
        <v>Good</v>
      </c>
      <c r="AP234">
        <f>IF(CleanEmployeeData[[#This Row],[Attrition]]="Yes",1,IF(CleanEmployeeData[[#This Row],[Attrition]]="No",0,""))</f>
        <v>0</v>
      </c>
      <c r="AQ234" t="str" cm="1">
        <f t="array" ref="AQ234">_xlfn.IFS(CleanEmployeeData[[#This Row],[MonthlyIncome]]&lt;=3000,"0–3,000",CleanEmployeeData[[#This Row],[MonthlyIncome]]&lt;=6000,"3,001–6,000",CleanEmployeeData[[#This Row],[MonthlyIncome]]&lt;=10000,"6,001–10,000",TRUE,"10,001+")</f>
        <v>0–3,000</v>
      </c>
      <c r="AR234" t="str" cm="1">
        <f t="array" ref="AR234">_xlfn.IFS(CleanEmployeeData[[#This Row],[DistanceFromHome]]&lt;=5,"0–5 miles",CleanEmployeeData[[#This Row],[DistanceFromHome]]&lt;=10,"6–10 miles",CleanEmployeeData[[#This Row],[DistanceFromHome]]&lt;=15,"11–15 miles",TRUE,"16+ miles")</f>
        <v>6–10 miles</v>
      </c>
      <c r="AS234" t="str" cm="1">
        <f t="array" ref="AS234">_xlfn.IFS(CleanEmployeeData[[#This Row],[YearsAtCompany]]&lt;=1,"0–1 years",CleanEmployeeData[[#This Row],[YearsAtCompany]]&lt;=5,"2–5 years",CleanEmployeeData[[#This Row],[YearsAtCompany]]&lt;=10,"6–10 years",TRUE,"11+ years")</f>
        <v>2–5 years</v>
      </c>
    </row>
    <row r="235" spans="1:4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cm="1">
        <f t="array" ref="AJ235">_xlfn.SWITCH(CleanEmployeeData[[#This Row],[Education]],1,"Below College",2,"College",3,"Bachelor",4,"Master",5,"Doctor","Unknown")</f>
        <v>Master</v>
      </c>
      <c r="AK235" t="str" cm="1">
        <f t="array" ref="AK235">_xlfn.SWITCH(CleanEmployeeData[[#This Row],[EnvironmentSatisfaction]],1,"Low",2,"Medium",3,"High",4,"Very High","Unknown")</f>
        <v>Very High</v>
      </c>
      <c r="AL235" t="str" cm="1">
        <f t="array" ref="AL235">_xlfn.SWITCH(CleanEmployeeData[[#This Row],[JobInvolvement]],1,"Low",2,"Medium",3,"High",4,"Very High","Unknown")</f>
        <v>High</v>
      </c>
      <c r="AM235" t="str" cm="1">
        <f t="array" ref="AM235">_xlfn.SWITCH(CleanEmployeeData[[#This Row],[JobSatisfaction]],1,"Low",2,"Medium",3,"High",4,"Very High","Unknown")</f>
        <v>Very High</v>
      </c>
      <c r="AN235" t="str" cm="1">
        <f t="array" ref="AN235">_xlfn.SWITCH(CleanEmployeeData[[#This Row],[PerformanceRating]],1,"Low",2,"Good",3,"Excellent",4,"Outstanding","Unknown")</f>
        <v>Excellent</v>
      </c>
      <c r="AO235" t="str" cm="1">
        <f t="array" ref="AO235">_xlfn.SWITCH(CleanEmployeeData[[#This Row],[WorkLifeBalance]],1,"Bad",2,"Good",3,"Better",4,"Best","Unknown")</f>
        <v>Good</v>
      </c>
      <c r="AP235">
        <f>IF(CleanEmployeeData[[#This Row],[Attrition]]="Yes",1,IF(CleanEmployeeData[[#This Row],[Attrition]]="No",0,""))</f>
        <v>0</v>
      </c>
      <c r="AQ235" t="str" cm="1">
        <f t="array" ref="AQ235">_xlfn.IFS(CleanEmployeeData[[#This Row],[MonthlyIncome]]&lt;=3000,"0–3,000",CleanEmployeeData[[#This Row],[MonthlyIncome]]&lt;=6000,"3,001–6,000",CleanEmployeeData[[#This Row],[MonthlyIncome]]&lt;=10000,"6,001–10,000",TRUE,"10,001+")</f>
        <v>10,001+</v>
      </c>
      <c r="AR235" t="str" cm="1">
        <f t="array" ref="AR235">_xlfn.IFS(CleanEmployeeData[[#This Row],[DistanceFromHome]]&lt;=5,"0–5 miles",CleanEmployeeData[[#This Row],[DistanceFromHome]]&lt;=10,"6–10 miles",CleanEmployeeData[[#This Row],[DistanceFromHome]]&lt;=15,"11–15 miles",TRUE,"16+ miles")</f>
        <v>0–5 miles</v>
      </c>
      <c r="AS235" t="str" cm="1">
        <f t="array" ref="AS235">_xlfn.IFS(CleanEmployeeData[[#This Row],[YearsAtCompany]]&lt;=1,"0–1 years",CleanEmployeeData[[#This Row],[YearsAtCompany]]&lt;=5,"2–5 years",CleanEmployeeData[[#This Row],[YearsAtCompany]]&lt;=10,"6–10 years",TRUE,"11+ years")</f>
        <v>6–10 years</v>
      </c>
    </row>
    <row r="236" spans="1:4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cm="1">
        <f t="array" ref="AJ236">_xlfn.SWITCH(CleanEmployeeData[[#This Row],[Education]],1,"Below College",2,"College",3,"Bachelor",4,"Master",5,"Doctor","Unknown")</f>
        <v>Bachelor</v>
      </c>
      <c r="AK236" t="str" cm="1">
        <f t="array" ref="AK236">_xlfn.SWITCH(CleanEmployeeData[[#This Row],[EnvironmentSatisfaction]],1,"Low",2,"Medium",3,"High",4,"Very High","Unknown")</f>
        <v>High</v>
      </c>
      <c r="AL236" t="str" cm="1">
        <f t="array" ref="AL236">_xlfn.SWITCH(CleanEmployeeData[[#This Row],[JobInvolvement]],1,"Low",2,"Medium",3,"High",4,"Very High","Unknown")</f>
        <v>High</v>
      </c>
      <c r="AM236" t="str" cm="1">
        <f t="array" ref="AM236">_xlfn.SWITCH(CleanEmployeeData[[#This Row],[JobSatisfaction]],1,"Low",2,"Medium",3,"High",4,"Very High","Unknown")</f>
        <v>Very High</v>
      </c>
      <c r="AN236" t="str" cm="1">
        <f t="array" ref="AN236">_xlfn.SWITCH(CleanEmployeeData[[#This Row],[PerformanceRating]],1,"Low",2,"Good",3,"Excellent",4,"Outstanding","Unknown")</f>
        <v>Excellent</v>
      </c>
      <c r="AO236" t="str" cm="1">
        <f t="array" ref="AO236">_xlfn.SWITCH(CleanEmployeeData[[#This Row],[WorkLifeBalance]],1,"Bad",2,"Good",3,"Better",4,"Best","Unknown")</f>
        <v>Bad</v>
      </c>
      <c r="AP236">
        <f>IF(CleanEmployeeData[[#This Row],[Attrition]]="Yes",1,IF(CleanEmployeeData[[#This Row],[Attrition]]="No",0,""))</f>
        <v>1</v>
      </c>
      <c r="AQ236" t="str" cm="1">
        <f t="array" ref="AQ236">_xlfn.IFS(CleanEmployeeData[[#This Row],[MonthlyIncome]]&lt;=3000,"0–3,000",CleanEmployeeData[[#This Row],[MonthlyIncome]]&lt;=6000,"3,001–6,000",CleanEmployeeData[[#This Row],[MonthlyIncome]]&lt;=10000,"6,001–10,000",TRUE,"10,001+")</f>
        <v>0–3,000</v>
      </c>
      <c r="AR236" t="str" cm="1">
        <f t="array" ref="AR236">_xlfn.IFS(CleanEmployeeData[[#This Row],[DistanceFromHome]]&lt;=5,"0–5 miles",CleanEmployeeData[[#This Row],[DistanceFromHome]]&lt;=10,"6–10 miles",CleanEmployeeData[[#This Row],[DistanceFromHome]]&lt;=15,"11–15 miles",TRUE,"16+ miles")</f>
        <v>11–15 miles</v>
      </c>
      <c r="AS236" t="str" cm="1">
        <f t="array" ref="AS236">_xlfn.IFS(CleanEmployeeData[[#This Row],[YearsAtCompany]]&lt;=1,"0–1 years",CleanEmployeeData[[#This Row],[YearsAtCompany]]&lt;=5,"2–5 years",CleanEmployeeData[[#This Row],[YearsAtCompany]]&lt;=10,"6–10 years",TRUE,"11+ years")</f>
        <v>2–5 years</v>
      </c>
    </row>
    <row r="237" spans="1:4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cm="1">
        <f t="array" ref="AJ237">_xlfn.SWITCH(CleanEmployeeData[[#This Row],[Education]],1,"Below College",2,"College",3,"Bachelor",4,"Master",5,"Doctor","Unknown")</f>
        <v>Bachelor</v>
      </c>
      <c r="AK237" t="str" cm="1">
        <f t="array" ref="AK237">_xlfn.SWITCH(CleanEmployeeData[[#This Row],[EnvironmentSatisfaction]],1,"Low",2,"Medium",3,"High",4,"Very High","Unknown")</f>
        <v>Very High</v>
      </c>
      <c r="AL237" t="str" cm="1">
        <f t="array" ref="AL237">_xlfn.SWITCH(CleanEmployeeData[[#This Row],[JobInvolvement]],1,"Low",2,"Medium",3,"High",4,"Very High","Unknown")</f>
        <v>High</v>
      </c>
      <c r="AM237" t="str" cm="1">
        <f t="array" ref="AM237">_xlfn.SWITCH(CleanEmployeeData[[#This Row],[JobSatisfaction]],1,"Low",2,"Medium",3,"High",4,"Very High","Unknown")</f>
        <v>Very High</v>
      </c>
      <c r="AN237" t="str" cm="1">
        <f t="array" ref="AN237">_xlfn.SWITCH(CleanEmployeeData[[#This Row],[PerformanceRating]],1,"Low",2,"Good",3,"Excellent",4,"Outstanding","Unknown")</f>
        <v>Outstanding</v>
      </c>
      <c r="AO237" t="str" cm="1">
        <f t="array" ref="AO237">_xlfn.SWITCH(CleanEmployeeData[[#This Row],[WorkLifeBalance]],1,"Bad",2,"Good",3,"Better",4,"Best","Unknown")</f>
        <v>Better</v>
      </c>
      <c r="AP237">
        <f>IF(CleanEmployeeData[[#This Row],[Attrition]]="Yes",1,IF(CleanEmployeeData[[#This Row],[Attrition]]="No",0,""))</f>
        <v>0</v>
      </c>
      <c r="AQ237" t="str" cm="1">
        <f t="array" ref="AQ237">_xlfn.IFS(CleanEmployeeData[[#This Row],[MonthlyIncome]]&lt;=3000,"0–3,000",CleanEmployeeData[[#This Row],[MonthlyIncome]]&lt;=6000,"3,001–6,000",CleanEmployeeData[[#This Row],[MonthlyIncome]]&lt;=10000,"6,001–10,000",TRUE,"10,001+")</f>
        <v>10,001+</v>
      </c>
      <c r="AR237" t="str" cm="1">
        <f t="array" ref="AR237">_xlfn.IFS(CleanEmployeeData[[#This Row],[DistanceFromHome]]&lt;=5,"0–5 miles",CleanEmployeeData[[#This Row],[DistanceFromHome]]&lt;=10,"6–10 miles",CleanEmployeeData[[#This Row],[DistanceFromHome]]&lt;=15,"11–15 miles",TRUE,"16+ miles")</f>
        <v>16+ miles</v>
      </c>
      <c r="AS237" t="str" cm="1">
        <f t="array" ref="AS237">_xlfn.IFS(CleanEmployeeData[[#This Row],[YearsAtCompany]]&lt;=1,"0–1 years",CleanEmployeeData[[#This Row],[YearsAtCompany]]&lt;=5,"2–5 years",CleanEmployeeData[[#This Row],[YearsAtCompany]]&lt;=10,"6–10 years",TRUE,"11+ years")</f>
        <v>11+ years</v>
      </c>
    </row>
    <row r="238" spans="1:4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cm="1">
        <f t="array" ref="AJ238">_xlfn.SWITCH(CleanEmployeeData[[#This Row],[Education]],1,"Below College",2,"College",3,"Bachelor",4,"Master",5,"Doctor","Unknown")</f>
        <v>College</v>
      </c>
      <c r="AK238" t="str" cm="1">
        <f t="array" ref="AK238">_xlfn.SWITCH(CleanEmployeeData[[#This Row],[EnvironmentSatisfaction]],1,"Low",2,"Medium",3,"High",4,"Very High","Unknown")</f>
        <v>Low</v>
      </c>
      <c r="AL238" t="str" cm="1">
        <f t="array" ref="AL238">_xlfn.SWITCH(CleanEmployeeData[[#This Row],[JobInvolvement]],1,"Low",2,"Medium",3,"High",4,"Very High","Unknown")</f>
        <v>High</v>
      </c>
      <c r="AM238" t="str" cm="1">
        <f t="array" ref="AM238">_xlfn.SWITCH(CleanEmployeeData[[#This Row],[JobSatisfaction]],1,"Low",2,"Medium",3,"High",4,"Very High","Unknown")</f>
        <v>Low</v>
      </c>
      <c r="AN238" t="str" cm="1">
        <f t="array" ref="AN238">_xlfn.SWITCH(CleanEmployeeData[[#This Row],[PerformanceRating]],1,"Low",2,"Good",3,"Excellent",4,"Outstanding","Unknown")</f>
        <v>Outstanding</v>
      </c>
      <c r="AO238" t="str" cm="1">
        <f t="array" ref="AO238">_xlfn.SWITCH(CleanEmployeeData[[#This Row],[WorkLifeBalance]],1,"Bad",2,"Good",3,"Better",4,"Best","Unknown")</f>
        <v>Best</v>
      </c>
      <c r="AP238">
        <f>IF(CleanEmployeeData[[#This Row],[Attrition]]="Yes",1,IF(CleanEmployeeData[[#This Row],[Attrition]]="No",0,""))</f>
        <v>1</v>
      </c>
      <c r="AQ238" t="str" cm="1">
        <f t="array" ref="AQ238">_xlfn.IFS(CleanEmployeeData[[#This Row],[MonthlyIncome]]&lt;=3000,"0–3,000",CleanEmployeeData[[#This Row],[MonthlyIncome]]&lt;=6000,"3,001–6,000",CleanEmployeeData[[#This Row],[MonthlyIncome]]&lt;=10000,"6,001–10,000",TRUE,"10,001+")</f>
        <v>0–3,000</v>
      </c>
      <c r="AR238" t="str" cm="1">
        <f t="array" ref="AR238">_xlfn.IFS(CleanEmployeeData[[#This Row],[DistanceFromHome]]&lt;=5,"0–5 miles",CleanEmployeeData[[#This Row],[DistanceFromHome]]&lt;=10,"6–10 miles",CleanEmployeeData[[#This Row],[DistanceFromHome]]&lt;=15,"11–15 miles",TRUE,"16+ miles")</f>
        <v>0–5 miles</v>
      </c>
      <c r="AS238" t="str" cm="1">
        <f t="array" ref="AS238">_xlfn.IFS(CleanEmployeeData[[#This Row],[YearsAtCompany]]&lt;=1,"0–1 years",CleanEmployeeData[[#This Row],[YearsAtCompany]]&lt;=5,"2–5 years",CleanEmployeeData[[#This Row],[YearsAtCompany]]&lt;=10,"6–10 years",TRUE,"11+ years")</f>
        <v>6–10 years</v>
      </c>
    </row>
    <row r="239" spans="1:4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cm="1">
        <f t="array" ref="AJ239">_xlfn.SWITCH(CleanEmployeeData[[#This Row],[Education]],1,"Below College",2,"College",3,"Bachelor",4,"Master",5,"Doctor","Unknown")</f>
        <v>Master</v>
      </c>
      <c r="AK239" t="str" cm="1">
        <f t="array" ref="AK239">_xlfn.SWITCH(CleanEmployeeData[[#This Row],[EnvironmentSatisfaction]],1,"Low",2,"Medium",3,"High",4,"Very High","Unknown")</f>
        <v>Low</v>
      </c>
      <c r="AL239" t="str" cm="1">
        <f t="array" ref="AL239">_xlfn.SWITCH(CleanEmployeeData[[#This Row],[JobInvolvement]],1,"Low",2,"Medium",3,"High",4,"Very High","Unknown")</f>
        <v>Medium</v>
      </c>
      <c r="AM239" t="str" cm="1">
        <f t="array" ref="AM239">_xlfn.SWITCH(CleanEmployeeData[[#This Row],[JobSatisfaction]],1,"Low",2,"Medium",3,"High",4,"Very High","Unknown")</f>
        <v>High</v>
      </c>
      <c r="AN239" t="str" cm="1">
        <f t="array" ref="AN239">_xlfn.SWITCH(CleanEmployeeData[[#This Row],[PerformanceRating]],1,"Low",2,"Good",3,"Excellent",4,"Outstanding","Unknown")</f>
        <v>Excellent</v>
      </c>
      <c r="AO239" t="str" cm="1">
        <f t="array" ref="AO239">_xlfn.SWITCH(CleanEmployeeData[[#This Row],[WorkLifeBalance]],1,"Bad",2,"Good",3,"Better",4,"Best","Unknown")</f>
        <v>Best</v>
      </c>
      <c r="AP239">
        <f>IF(CleanEmployeeData[[#This Row],[Attrition]]="Yes",1,IF(CleanEmployeeData[[#This Row],[Attrition]]="No",0,""))</f>
        <v>0</v>
      </c>
      <c r="AQ239" t="str" cm="1">
        <f t="array" ref="AQ239">_xlfn.IFS(CleanEmployeeData[[#This Row],[MonthlyIncome]]&lt;=3000,"0–3,000",CleanEmployeeData[[#This Row],[MonthlyIncome]]&lt;=6000,"3,001–6,000",CleanEmployeeData[[#This Row],[MonthlyIncome]]&lt;=10000,"6,001–10,000",TRUE,"10,001+")</f>
        <v>10,001+</v>
      </c>
      <c r="AR239" t="str" cm="1">
        <f t="array" ref="AR239">_xlfn.IFS(CleanEmployeeData[[#This Row],[DistanceFromHome]]&lt;=5,"0–5 miles",CleanEmployeeData[[#This Row],[DistanceFromHome]]&lt;=10,"6–10 miles",CleanEmployeeData[[#This Row],[DistanceFromHome]]&lt;=15,"11–15 miles",TRUE,"16+ miles")</f>
        <v>0–5 miles</v>
      </c>
      <c r="AS239" t="str" cm="1">
        <f t="array" ref="AS239">_xlfn.IFS(CleanEmployeeData[[#This Row],[YearsAtCompany]]&lt;=1,"0–1 years",CleanEmployeeData[[#This Row],[YearsAtCompany]]&lt;=5,"2–5 years",CleanEmployeeData[[#This Row],[YearsAtCompany]]&lt;=10,"6–10 years",TRUE,"11+ years")</f>
        <v>11+ years</v>
      </c>
    </row>
    <row r="240" spans="1:4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cm="1">
        <f t="array" ref="AJ240">_xlfn.SWITCH(CleanEmployeeData[[#This Row],[Education]],1,"Below College",2,"College",3,"Bachelor",4,"Master",5,"Doctor","Unknown")</f>
        <v>College</v>
      </c>
      <c r="AK240" t="str" cm="1">
        <f t="array" ref="AK240">_xlfn.SWITCH(CleanEmployeeData[[#This Row],[EnvironmentSatisfaction]],1,"Low",2,"Medium",3,"High",4,"Very High","Unknown")</f>
        <v>High</v>
      </c>
      <c r="AL240" t="str" cm="1">
        <f t="array" ref="AL240">_xlfn.SWITCH(CleanEmployeeData[[#This Row],[JobInvolvement]],1,"Low",2,"Medium",3,"High",4,"Very High","Unknown")</f>
        <v>High</v>
      </c>
      <c r="AM240" t="str" cm="1">
        <f t="array" ref="AM240">_xlfn.SWITCH(CleanEmployeeData[[#This Row],[JobSatisfaction]],1,"Low",2,"Medium",3,"High",4,"Very High","Unknown")</f>
        <v>Medium</v>
      </c>
      <c r="AN240" t="str" cm="1">
        <f t="array" ref="AN240">_xlfn.SWITCH(CleanEmployeeData[[#This Row],[PerformanceRating]],1,"Low",2,"Good",3,"Excellent",4,"Outstanding","Unknown")</f>
        <v>Excellent</v>
      </c>
      <c r="AO240" t="str" cm="1">
        <f t="array" ref="AO240">_xlfn.SWITCH(CleanEmployeeData[[#This Row],[WorkLifeBalance]],1,"Bad",2,"Good",3,"Better",4,"Best","Unknown")</f>
        <v>Better</v>
      </c>
      <c r="AP240">
        <f>IF(CleanEmployeeData[[#This Row],[Attrition]]="Yes",1,IF(CleanEmployeeData[[#This Row],[Attrition]]="No",0,""))</f>
        <v>0</v>
      </c>
      <c r="AQ240" t="str" cm="1">
        <f t="array" ref="AQ240">_xlfn.IFS(CleanEmployeeData[[#This Row],[MonthlyIncome]]&lt;=3000,"0–3,000",CleanEmployeeData[[#This Row],[MonthlyIncome]]&lt;=6000,"3,001–6,000",CleanEmployeeData[[#This Row],[MonthlyIncome]]&lt;=10000,"6,001–10,000",TRUE,"10,001+")</f>
        <v>3,001–6,000</v>
      </c>
      <c r="AR240" t="str" cm="1">
        <f t="array" ref="AR240">_xlfn.IFS(CleanEmployeeData[[#This Row],[DistanceFromHome]]&lt;=5,"0–5 miles",CleanEmployeeData[[#This Row],[DistanceFromHome]]&lt;=10,"6–10 miles",CleanEmployeeData[[#This Row],[DistanceFromHome]]&lt;=15,"11–15 miles",TRUE,"16+ miles")</f>
        <v>0–5 miles</v>
      </c>
      <c r="AS240" t="str" cm="1">
        <f t="array" ref="AS240">_xlfn.IFS(CleanEmployeeData[[#This Row],[YearsAtCompany]]&lt;=1,"0–1 years",CleanEmployeeData[[#This Row],[YearsAtCompany]]&lt;=5,"2–5 years",CleanEmployeeData[[#This Row],[YearsAtCompany]]&lt;=10,"6–10 years",TRUE,"11+ years")</f>
        <v>2–5 years</v>
      </c>
    </row>
    <row r="241" spans="1:4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cm="1">
        <f t="array" ref="AJ241">_xlfn.SWITCH(CleanEmployeeData[[#This Row],[Education]],1,"Below College",2,"College",3,"Bachelor",4,"Master",5,"Doctor","Unknown")</f>
        <v>Bachelor</v>
      </c>
      <c r="AK241" t="str" cm="1">
        <f t="array" ref="AK241">_xlfn.SWITCH(CleanEmployeeData[[#This Row],[EnvironmentSatisfaction]],1,"Low",2,"Medium",3,"High",4,"Very High","Unknown")</f>
        <v>Very High</v>
      </c>
      <c r="AL241" t="str" cm="1">
        <f t="array" ref="AL241">_xlfn.SWITCH(CleanEmployeeData[[#This Row],[JobInvolvement]],1,"Low",2,"Medium",3,"High",4,"Very High","Unknown")</f>
        <v>Medium</v>
      </c>
      <c r="AM241" t="str" cm="1">
        <f t="array" ref="AM241">_xlfn.SWITCH(CleanEmployeeData[[#This Row],[JobSatisfaction]],1,"Low",2,"Medium",3,"High",4,"Very High","Unknown")</f>
        <v>High</v>
      </c>
      <c r="AN241" t="str" cm="1">
        <f t="array" ref="AN241">_xlfn.SWITCH(CleanEmployeeData[[#This Row],[PerformanceRating]],1,"Low",2,"Good",3,"Excellent",4,"Outstanding","Unknown")</f>
        <v>Excellent</v>
      </c>
      <c r="AO241" t="str" cm="1">
        <f t="array" ref="AO241">_xlfn.SWITCH(CleanEmployeeData[[#This Row],[WorkLifeBalance]],1,"Bad",2,"Good",3,"Better",4,"Best","Unknown")</f>
        <v>Bad</v>
      </c>
      <c r="AP241">
        <f>IF(CleanEmployeeData[[#This Row],[Attrition]]="Yes",1,IF(CleanEmployeeData[[#This Row],[Attrition]]="No",0,""))</f>
        <v>1</v>
      </c>
      <c r="AQ241" t="str" cm="1">
        <f t="array" ref="AQ241">_xlfn.IFS(CleanEmployeeData[[#This Row],[MonthlyIncome]]&lt;=3000,"0–3,000",CleanEmployeeData[[#This Row],[MonthlyIncome]]&lt;=6000,"3,001–6,000",CleanEmployeeData[[#This Row],[MonthlyIncome]]&lt;=10000,"6,001–10,000",TRUE,"10,001+")</f>
        <v>3,001–6,000</v>
      </c>
      <c r="AR241" t="str" cm="1">
        <f t="array" ref="AR241">_xlfn.IFS(CleanEmployeeData[[#This Row],[DistanceFromHome]]&lt;=5,"0–5 miles",CleanEmployeeData[[#This Row],[DistanceFromHome]]&lt;=10,"6–10 miles",CleanEmployeeData[[#This Row],[DistanceFromHome]]&lt;=15,"11–15 miles",TRUE,"16+ miles")</f>
        <v>0–5 miles</v>
      </c>
      <c r="AS241" t="str" cm="1">
        <f t="array" ref="AS241">_xlfn.IFS(CleanEmployeeData[[#This Row],[YearsAtCompany]]&lt;=1,"0–1 years",CleanEmployeeData[[#This Row],[YearsAtCompany]]&lt;=5,"2–5 years",CleanEmployeeData[[#This Row],[YearsAtCompany]]&lt;=10,"6–10 years",TRUE,"11+ years")</f>
        <v>2–5 years</v>
      </c>
    </row>
    <row r="242" spans="1:4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cm="1">
        <f t="array" ref="AJ242">_xlfn.SWITCH(CleanEmployeeData[[#This Row],[Education]],1,"Below College",2,"College",3,"Bachelor",4,"Master",5,"Doctor","Unknown")</f>
        <v>Master</v>
      </c>
      <c r="AK242" t="str" cm="1">
        <f t="array" ref="AK242">_xlfn.SWITCH(CleanEmployeeData[[#This Row],[EnvironmentSatisfaction]],1,"Low",2,"Medium",3,"High",4,"Very High","Unknown")</f>
        <v>High</v>
      </c>
      <c r="AL242" t="str" cm="1">
        <f t="array" ref="AL242">_xlfn.SWITCH(CleanEmployeeData[[#This Row],[JobInvolvement]],1,"Low",2,"Medium",3,"High",4,"Very High","Unknown")</f>
        <v>High</v>
      </c>
      <c r="AM242" t="str" cm="1">
        <f t="array" ref="AM242">_xlfn.SWITCH(CleanEmployeeData[[#This Row],[JobSatisfaction]],1,"Low",2,"Medium",3,"High",4,"Very High","Unknown")</f>
        <v>High</v>
      </c>
      <c r="AN242" t="str" cm="1">
        <f t="array" ref="AN242">_xlfn.SWITCH(CleanEmployeeData[[#This Row],[PerformanceRating]],1,"Low",2,"Good",3,"Excellent",4,"Outstanding","Unknown")</f>
        <v>Excellent</v>
      </c>
      <c r="AO242" t="str" cm="1">
        <f t="array" ref="AO242">_xlfn.SWITCH(CleanEmployeeData[[#This Row],[WorkLifeBalance]],1,"Bad",2,"Good",3,"Better",4,"Best","Unknown")</f>
        <v>Better</v>
      </c>
      <c r="AP242">
        <f>IF(CleanEmployeeData[[#This Row],[Attrition]]="Yes",1,IF(CleanEmployeeData[[#This Row],[Attrition]]="No",0,""))</f>
        <v>0</v>
      </c>
      <c r="AQ242" t="str" cm="1">
        <f t="array" ref="AQ242">_xlfn.IFS(CleanEmployeeData[[#This Row],[MonthlyIncome]]&lt;=3000,"0–3,000",CleanEmployeeData[[#This Row],[MonthlyIncome]]&lt;=6000,"3,001–6,000",CleanEmployeeData[[#This Row],[MonthlyIncome]]&lt;=10000,"6,001–10,000",TRUE,"10,001+")</f>
        <v>0–3,000</v>
      </c>
      <c r="AR242" t="str" cm="1">
        <f t="array" ref="AR242">_xlfn.IFS(CleanEmployeeData[[#This Row],[DistanceFromHome]]&lt;=5,"0–5 miles",CleanEmployeeData[[#This Row],[DistanceFromHome]]&lt;=10,"6–10 miles",CleanEmployeeData[[#This Row],[DistanceFromHome]]&lt;=15,"11–15 miles",TRUE,"16+ miles")</f>
        <v>0–5 miles</v>
      </c>
      <c r="AS242" t="str" cm="1">
        <f t="array" ref="AS242">_xlfn.IFS(CleanEmployeeData[[#This Row],[YearsAtCompany]]&lt;=1,"0–1 years",CleanEmployeeData[[#This Row],[YearsAtCompany]]&lt;=5,"2–5 years",CleanEmployeeData[[#This Row],[YearsAtCompany]]&lt;=10,"6–10 years",TRUE,"11+ years")</f>
        <v>2–5 years</v>
      </c>
    </row>
    <row r="243" spans="1:4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cm="1">
        <f t="array" ref="AJ243">_xlfn.SWITCH(CleanEmployeeData[[#This Row],[Education]],1,"Below College",2,"College",3,"Bachelor",4,"Master",5,"Doctor","Unknown")</f>
        <v>Master</v>
      </c>
      <c r="AK243" t="str" cm="1">
        <f t="array" ref="AK243">_xlfn.SWITCH(CleanEmployeeData[[#This Row],[EnvironmentSatisfaction]],1,"Low",2,"Medium",3,"High",4,"Very High","Unknown")</f>
        <v>High</v>
      </c>
      <c r="AL243" t="str" cm="1">
        <f t="array" ref="AL243">_xlfn.SWITCH(CleanEmployeeData[[#This Row],[JobInvolvement]],1,"Low",2,"Medium",3,"High",4,"Very High","Unknown")</f>
        <v>High</v>
      </c>
      <c r="AM243" t="str" cm="1">
        <f t="array" ref="AM243">_xlfn.SWITCH(CleanEmployeeData[[#This Row],[JobSatisfaction]],1,"Low",2,"Medium",3,"High",4,"Very High","Unknown")</f>
        <v>Very High</v>
      </c>
      <c r="AN243" t="str" cm="1">
        <f t="array" ref="AN243">_xlfn.SWITCH(CleanEmployeeData[[#This Row],[PerformanceRating]],1,"Low",2,"Good",3,"Excellent",4,"Outstanding","Unknown")</f>
        <v>Excellent</v>
      </c>
      <c r="AO243" t="str" cm="1">
        <f t="array" ref="AO243">_xlfn.SWITCH(CleanEmployeeData[[#This Row],[WorkLifeBalance]],1,"Bad",2,"Good",3,"Better",4,"Best","Unknown")</f>
        <v>Better</v>
      </c>
      <c r="AP243">
        <f>IF(CleanEmployeeData[[#This Row],[Attrition]]="Yes",1,IF(CleanEmployeeData[[#This Row],[Attrition]]="No",0,""))</f>
        <v>0</v>
      </c>
      <c r="AQ243" t="str" cm="1">
        <f t="array" ref="AQ243">_xlfn.IFS(CleanEmployeeData[[#This Row],[MonthlyIncome]]&lt;=3000,"0–3,000",CleanEmployeeData[[#This Row],[MonthlyIncome]]&lt;=6000,"3,001–6,000",CleanEmployeeData[[#This Row],[MonthlyIncome]]&lt;=10000,"6,001–10,000",TRUE,"10,001+")</f>
        <v>3,001–6,000</v>
      </c>
      <c r="AR243" t="str" cm="1">
        <f t="array" ref="AR243">_xlfn.IFS(CleanEmployeeData[[#This Row],[DistanceFromHome]]&lt;=5,"0–5 miles",CleanEmployeeData[[#This Row],[DistanceFromHome]]&lt;=10,"6–10 miles",CleanEmployeeData[[#This Row],[DistanceFromHome]]&lt;=15,"11–15 miles",TRUE,"16+ miles")</f>
        <v>16+ miles</v>
      </c>
      <c r="AS243" t="str" cm="1">
        <f t="array" ref="AS243">_xlfn.IFS(CleanEmployeeData[[#This Row],[YearsAtCompany]]&lt;=1,"0–1 years",CleanEmployeeData[[#This Row],[YearsAtCompany]]&lt;=5,"2–5 years",CleanEmployeeData[[#This Row],[YearsAtCompany]]&lt;=10,"6–10 years",TRUE,"11+ years")</f>
        <v>2–5 years</v>
      </c>
    </row>
    <row r="244" spans="1:4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cm="1">
        <f t="array" ref="AJ244">_xlfn.SWITCH(CleanEmployeeData[[#This Row],[Education]],1,"Below College",2,"College",3,"Bachelor",4,"Master",5,"Doctor","Unknown")</f>
        <v>College</v>
      </c>
      <c r="AK244" t="str" cm="1">
        <f t="array" ref="AK244">_xlfn.SWITCH(CleanEmployeeData[[#This Row],[EnvironmentSatisfaction]],1,"Low",2,"Medium",3,"High",4,"Very High","Unknown")</f>
        <v>High</v>
      </c>
      <c r="AL244" t="str" cm="1">
        <f t="array" ref="AL244">_xlfn.SWITCH(CleanEmployeeData[[#This Row],[JobInvolvement]],1,"Low",2,"Medium",3,"High",4,"Very High","Unknown")</f>
        <v>High</v>
      </c>
      <c r="AM244" t="str" cm="1">
        <f t="array" ref="AM244">_xlfn.SWITCH(CleanEmployeeData[[#This Row],[JobSatisfaction]],1,"Low",2,"Medium",3,"High",4,"Very High","Unknown")</f>
        <v>Low</v>
      </c>
      <c r="AN244" t="str" cm="1">
        <f t="array" ref="AN244">_xlfn.SWITCH(CleanEmployeeData[[#This Row],[PerformanceRating]],1,"Low",2,"Good",3,"Excellent",4,"Outstanding","Unknown")</f>
        <v>Excellent</v>
      </c>
      <c r="AO244" t="str" cm="1">
        <f t="array" ref="AO244">_xlfn.SWITCH(CleanEmployeeData[[#This Row],[WorkLifeBalance]],1,"Bad",2,"Good",3,"Better",4,"Best","Unknown")</f>
        <v>Good</v>
      </c>
      <c r="AP244">
        <f>IF(CleanEmployeeData[[#This Row],[Attrition]]="Yes",1,IF(CleanEmployeeData[[#This Row],[Attrition]]="No",0,""))</f>
        <v>0</v>
      </c>
      <c r="AQ244" t="str" cm="1">
        <f t="array" ref="AQ244">_xlfn.IFS(CleanEmployeeData[[#This Row],[MonthlyIncome]]&lt;=3000,"0–3,000",CleanEmployeeData[[#This Row],[MonthlyIncome]]&lt;=6000,"3,001–6,000",CleanEmployeeData[[#This Row],[MonthlyIncome]]&lt;=10000,"6,001–10,000",TRUE,"10,001+")</f>
        <v>3,001–6,000</v>
      </c>
      <c r="AR244" t="str" cm="1">
        <f t="array" ref="AR244">_xlfn.IFS(CleanEmployeeData[[#This Row],[DistanceFromHome]]&lt;=5,"0–5 miles",CleanEmployeeData[[#This Row],[DistanceFromHome]]&lt;=10,"6–10 miles",CleanEmployeeData[[#This Row],[DistanceFromHome]]&lt;=15,"11–15 miles",TRUE,"16+ miles")</f>
        <v>16+ miles</v>
      </c>
      <c r="AS244" t="str" cm="1">
        <f t="array" ref="AS244">_xlfn.IFS(CleanEmployeeData[[#This Row],[YearsAtCompany]]&lt;=1,"0–1 years",CleanEmployeeData[[#This Row],[YearsAtCompany]]&lt;=5,"2–5 years",CleanEmployeeData[[#This Row],[YearsAtCompany]]&lt;=10,"6–10 years",TRUE,"11+ years")</f>
        <v>0–1 years</v>
      </c>
    </row>
    <row r="245" spans="1:4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cm="1">
        <f t="array" ref="AJ245">_xlfn.SWITCH(CleanEmployeeData[[#This Row],[Education]],1,"Below College",2,"College",3,"Bachelor",4,"Master",5,"Doctor","Unknown")</f>
        <v>College</v>
      </c>
      <c r="AK245" t="str" cm="1">
        <f t="array" ref="AK245">_xlfn.SWITCH(CleanEmployeeData[[#This Row],[EnvironmentSatisfaction]],1,"Low",2,"Medium",3,"High",4,"Very High","Unknown")</f>
        <v>Low</v>
      </c>
      <c r="AL245" t="str" cm="1">
        <f t="array" ref="AL245">_xlfn.SWITCH(CleanEmployeeData[[#This Row],[JobInvolvement]],1,"Low",2,"Medium",3,"High",4,"Very High","Unknown")</f>
        <v>High</v>
      </c>
      <c r="AM245" t="str" cm="1">
        <f t="array" ref="AM245">_xlfn.SWITCH(CleanEmployeeData[[#This Row],[JobSatisfaction]],1,"Low",2,"Medium",3,"High",4,"Very High","Unknown")</f>
        <v>Very High</v>
      </c>
      <c r="AN245" t="str" cm="1">
        <f t="array" ref="AN245">_xlfn.SWITCH(CleanEmployeeData[[#This Row],[PerformanceRating]],1,"Low",2,"Good",3,"Excellent",4,"Outstanding","Unknown")</f>
        <v>Excellent</v>
      </c>
      <c r="AO245" t="str" cm="1">
        <f t="array" ref="AO245">_xlfn.SWITCH(CleanEmployeeData[[#This Row],[WorkLifeBalance]],1,"Bad",2,"Good",3,"Better",4,"Best","Unknown")</f>
        <v>Better</v>
      </c>
      <c r="AP245">
        <f>IF(CleanEmployeeData[[#This Row],[Attrition]]="Yes",1,IF(CleanEmployeeData[[#This Row],[Attrition]]="No",0,""))</f>
        <v>0</v>
      </c>
      <c r="AQ245" t="str" cm="1">
        <f t="array" ref="AQ245">_xlfn.IFS(CleanEmployeeData[[#This Row],[MonthlyIncome]]&lt;=3000,"0–3,000",CleanEmployeeData[[#This Row],[MonthlyIncome]]&lt;=6000,"3,001–6,000",CleanEmployeeData[[#This Row],[MonthlyIncome]]&lt;=10000,"6,001–10,000",TRUE,"10,001+")</f>
        <v>3,001–6,000</v>
      </c>
      <c r="AR245" t="str" cm="1">
        <f t="array" ref="AR245">_xlfn.IFS(CleanEmployeeData[[#This Row],[DistanceFromHome]]&lt;=5,"0–5 miles",CleanEmployeeData[[#This Row],[DistanceFromHome]]&lt;=10,"6–10 miles",CleanEmployeeData[[#This Row],[DistanceFromHome]]&lt;=15,"11–15 miles",TRUE,"16+ miles")</f>
        <v>16+ miles</v>
      </c>
      <c r="AS245" t="str" cm="1">
        <f t="array" ref="AS245">_xlfn.IFS(CleanEmployeeData[[#This Row],[YearsAtCompany]]&lt;=1,"0–1 years",CleanEmployeeData[[#This Row],[YearsAtCompany]]&lt;=5,"2–5 years",CleanEmployeeData[[#This Row],[YearsAtCompany]]&lt;=10,"6–10 years",TRUE,"11+ years")</f>
        <v>6–10 years</v>
      </c>
    </row>
    <row r="246" spans="1:4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cm="1">
        <f t="array" ref="AJ246">_xlfn.SWITCH(CleanEmployeeData[[#This Row],[Education]],1,"Below College",2,"College",3,"Bachelor",4,"Master",5,"Doctor","Unknown")</f>
        <v>Bachelor</v>
      </c>
      <c r="AK246" t="str" cm="1">
        <f t="array" ref="AK246">_xlfn.SWITCH(CleanEmployeeData[[#This Row],[EnvironmentSatisfaction]],1,"Low",2,"Medium",3,"High",4,"Very High","Unknown")</f>
        <v>High</v>
      </c>
      <c r="AL246" t="str" cm="1">
        <f t="array" ref="AL246">_xlfn.SWITCH(CleanEmployeeData[[#This Row],[JobInvolvement]],1,"Low",2,"Medium",3,"High",4,"Very High","Unknown")</f>
        <v>Very High</v>
      </c>
      <c r="AM246" t="str" cm="1">
        <f t="array" ref="AM246">_xlfn.SWITCH(CleanEmployeeData[[#This Row],[JobSatisfaction]],1,"Low",2,"Medium",3,"High",4,"Very High","Unknown")</f>
        <v>Very High</v>
      </c>
      <c r="AN246" t="str" cm="1">
        <f t="array" ref="AN246">_xlfn.SWITCH(CleanEmployeeData[[#This Row],[PerformanceRating]],1,"Low",2,"Good",3,"Excellent",4,"Outstanding","Unknown")</f>
        <v>Excellent</v>
      </c>
      <c r="AO246" t="str" cm="1">
        <f t="array" ref="AO246">_xlfn.SWITCH(CleanEmployeeData[[#This Row],[WorkLifeBalance]],1,"Bad",2,"Good",3,"Better",4,"Best","Unknown")</f>
        <v>Better</v>
      </c>
      <c r="AP246">
        <f>IF(CleanEmployeeData[[#This Row],[Attrition]]="Yes",1,IF(CleanEmployeeData[[#This Row],[Attrition]]="No",0,""))</f>
        <v>0</v>
      </c>
      <c r="AQ246" t="str" cm="1">
        <f t="array" ref="AQ246">_xlfn.IFS(CleanEmployeeData[[#This Row],[MonthlyIncome]]&lt;=3000,"0–3,000",CleanEmployeeData[[#This Row],[MonthlyIncome]]&lt;=6000,"3,001–6,000",CleanEmployeeData[[#This Row],[MonthlyIncome]]&lt;=10000,"6,001–10,000",TRUE,"10,001+")</f>
        <v>10,001+</v>
      </c>
      <c r="AR246" t="str" cm="1">
        <f t="array" ref="AR246">_xlfn.IFS(CleanEmployeeData[[#This Row],[DistanceFromHome]]&lt;=5,"0–5 miles",CleanEmployeeData[[#This Row],[DistanceFromHome]]&lt;=10,"6–10 miles",CleanEmployeeData[[#This Row],[DistanceFromHome]]&lt;=15,"11–15 miles",TRUE,"16+ miles")</f>
        <v>0–5 miles</v>
      </c>
      <c r="AS246" t="str" cm="1">
        <f t="array" ref="AS246">_xlfn.IFS(CleanEmployeeData[[#This Row],[YearsAtCompany]]&lt;=1,"0–1 years",CleanEmployeeData[[#This Row],[YearsAtCompany]]&lt;=5,"2–5 years",CleanEmployeeData[[#This Row],[YearsAtCompany]]&lt;=10,"6–10 years",TRUE,"11+ years")</f>
        <v>11+ years</v>
      </c>
    </row>
    <row r="247" spans="1:4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cm="1">
        <f t="array" ref="AJ247">_xlfn.SWITCH(CleanEmployeeData[[#This Row],[Education]],1,"Below College",2,"College",3,"Bachelor",4,"Master",5,"Doctor","Unknown")</f>
        <v>Master</v>
      </c>
      <c r="AK247" t="str" cm="1">
        <f t="array" ref="AK247">_xlfn.SWITCH(CleanEmployeeData[[#This Row],[EnvironmentSatisfaction]],1,"Low",2,"Medium",3,"High",4,"Very High","Unknown")</f>
        <v>Medium</v>
      </c>
      <c r="AL247" t="str" cm="1">
        <f t="array" ref="AL247">_xlfn.SWITCH(CleanEmployeeData[[#This Row],[JobInvolvement]],1,"Low",2,"Medium",3,"High",4,"Very High","Unknown")</f>
        <v>High</v>
      </c>
      <c r="AM247" t="str" cm="1">
        <f t="array" ref="AM247">_xlfn.SWITCH(CleanEmployeeData[[#This Row],[JobSatisfaction]],1,"Low",2,"Medium",3,"High",4,"Very High","Unknown")</f>
        <v>High</v>
      </c>
      <c r="AN247" t="str" cm="1">
        <f t="array" ref="AN247">_xlfn.SWITCH(CleanEmployeeData[[#This Row],[PerformanceRating]],1,"Low",2,"Good",3,"Excellent",4,"Outstanding","Unknown")</f>
        <v>Excellent</v>
      </c>
      <c r="AO247" t="str" cm="1">
        <f t="array" ref="AO247">_xlfn.SWITCH(CleanEmployeeData[[#This Row],[WorkLifeBalance]],1,"Bad",2,"Good",3,"Better",4,"Best","Unknown")</f>
        <v>Better</v>
      </c>
      <c r="AP247">
        <f>IF(CleanEmployeeData[[#This Row],[Attrition]]="Yes",1,IF(CleanEmployeeData[[#This Row],[Attrition]]="No",0,""))</f>
        <v>0</v>
      </c>
      <c r="AQ247" t="str" cm="1">
        <f t="array" ref="AQ247">_xlfn.IFS(CleanEmployeeData[[#This Row],[MonthlyIncome]]&lt;=3000,"0–3,000",CleanEmployeeData[[#This Row],[MonthlyIncome]]&lt;=6000,"3,001–6,000",CleanEmployeeData[[#This Row],[MonthlyIncome]]&lt;=10000,"6,001–10,000",TRUE,"10,001+")</f>
        <v>10,001+</v>
      </c>
      <c r="AR247" t="str" cm="1">
        <f t="array" ref="AR247">_xlfn.IFS(CleanEmployeeData[[#This Row],[DistanceFromHome]]&lt;=5,"0–5 miles",CleanEmployeeData[[#This Row],[DistanceFromHome]]&lt;=10,"6–10 miles",CleanEmployeeData[[#This Row],[DistanceFromHome]]&lt;=15,"11–15 miles",TRUE,"16+ miles")</f>
        <v>0–5 miles</v>
      </c>
      <c r="AS247" t="str" cm="1">
        <f t="array" ref="AS247">_xlfn.IFS(CleanEmployeeData[[#This Row],[YearsAtCompany]]&lt;=1,"0–1 years",CleanEmployeeData[[#This Row],[YearsAtCompany]]&lt;=5,"2–5 years",CleanEmployeeData[[#This Row],[YearsAtCompany]]&lt;=10,"6–10 years",TRUE,"11+ years")</f>
        <v>2–5 years</v>
      </c>
    </row>
    <row r="248" spans="1:4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cm="1">
        <f t="array" ref="AJ248">_xlfn.SWITCH(CleanEmployeeData[[#This Row],[Education]],1,"Below College",2,"College",3,"Bachelor",4,"Master",5,"Doctor","Unknown")</f>
        <v>Master</v>
      </c>
      <c r="AK248" t="str" cm="1">
        <f t="array" ref="AK248">_xlfn.SWITCH(CleanEmployeeData[[#This Row],[EnvironmentSatisfaction]],1,"Low",2,"Medium",3,"High",4,"Very High","Unknown")</f>
        <v>High</v>
      </c>
      <c r="AL248" t="str" cm="1">
        <f t="array" ref="AL248">_xlfn.SWITCH(CleanEmployeeData[[#This Row],[JobInvolvement]],1,"Low",2,"Medium",3,"High",4,"Very High","Unknown")</f>
        <v>Medium</v>
      </c>
      <c r="AM248" t="str" cm="1">
        <f t="array" ref="AM248">_xlfn.SWITCH(CleanEmployeeData[[#This Row],[JobSatisfaction]],1,"Low",2,"Medium",3,"High",4,"Very High","Unknown")</f>
        <v>Very High</v>
      </c>
      <c r="AN248" t="str" cm="1">
        <f t="array" ref="AN248">_xlfn.SWITCH(CleanEmployeeData[[#This Row],[PerformanceRating]],1,"Low",2,"Good",3,"Excellent",4,"Outstanding","Unknown")</f>
        <v>Excellent</v>
      </c>
      <c r="AO248" t="str" cm="1">
        <f t="array" ref="AO248">_xlfn.SWITCH(CleanEmployeeData[[#This Row],[WorkLifeBalance]],1,"Bad",2,"Good",3,"Better",4,"Best","Unknown")</f>
        <v>Good</v>
      </c>
      <c r="AP248">
        <f>IF(CleanEmployeeData[[#This Row],[Attrition]]="Yes",1,IF(CleanEmployeeData[[#This Row],[Attrition]]="No",0,""))</f>
        <v>0</v>
      </c>
      <c r="AQ248" t="str" cm="1">
        <f t="array" ref="AQ248">_xlfn.IFS(CleanEmployeeData[[#This Row],[MonthlyIncome]]&lt;=3000,"0–3,000",CleanEmployeeData[[#This Row],[MonthlyIncome]]&lt;=6000,"3,001–6,000",CleanEmployeeData[[#This Row],[MonthlyIncome]]&lt;=10000,"6,001–10,000",TRUE,"10,001+")</f>
        <v>0–3,000</v>
      </c>
      <c r="AR248" t="str" cm="1">
        <f t="array" ref="AR248">_xlfn.IFS(CleanEmployeeData[[#This Row],[DistanceFromHome]]&lt;=5,"0–5 miles",CleanEmployeeData[[#This Row],[DistanceFromHome]]&lt;=10,"6–10 miles",CleanEmployeeData[[#This Row],[DistanceFromHome]]&lt;=15,"11–15 miles",TRUE,"16+ miles")</f>
        <v>0–5 miles</v>
      </c>
      <c r="AS248" t="str" cm="1">
        <f t="array" ref="AS248">_xlfn.IFS(CleanEmployeeData[[#This Row],[YearsAtCompany]]&lt;=1,"0–1 years",CleanEmployeeData[[#This Row],[YearsAtCompany]]&lt;=5,"2–5 years",CleanEmployeeData[[#This Row],[YearsAtCompany]]&lt;=10,"6–10 years",TRUE,"11+ years")</f>
        <v>2–5 years</v>
      </c>
    </row>
    <row r="249" spans="1:4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cm="1">
        <f t="array" ref="AJ249">_xlfn.SWITCH(CleanEmployeeData[[#This Row],[Education]],1,"Below College",2,"College",3,"Bachelor",4,"Master",5,"Doctor","Unknown")</f>
        <v>Master</v>
      </c>
      <c r="AK249" t="str" cm="1">
        <f t="array" ref="AK249">_xlfn.SWITCH(CleanEmployeeData[[#This Row],[EnvironmentSatisfaction]],1,"Low",2,"Medium",3,"High",4,"Very High","Unknown")</f>
        <v>Very High</v>
      </c>
      <c r="AL249" t="str" cm="1">
        <f t="array" ref="AL249">_xlfn.SWITCH(CleanEmployeeData[[#This Row],[JobInvolvement]],1,"Low",2,"Medium",3,"High",4,"Very High","Unknown")</f>
        <v>Medium</v>
      </c>
      <c r="AM249" t="str" cm="1">
        <f t="array" ref="AM249">_xlfn.SWITCH(CleanEmployeeData[[#This Row],[JobSatisfaction]],1,"Low",2,"Medium",3,"High",4,"Very High","Unknown")</f>
        <v>Low</v>
      </c>
      <c r="AN249" t="str" cm="1">
        <f t="array" ref="AN249">_xlfn.SWITCH(CleanEmployeeData[[#This Row],[PerformanceRating]],1,"Low",2,"Good",3,"Excellent",4,"Outstanding","Unknown")</f>
        <v>Excellent</v>
      </c>
      <c r="AO249" t="str" cm="1">
        <f t="array" ref="AO249">_xlfn.SWITCH(CleanEmployeeData[[#This Row],[WorkLifeBalance]],1,"Bad",2,"Good",3,"Better",4,"Best","Unknown")</f>
        <v>Better</v>
      </c>
      <c r="AP249">
        <f>IF(CleanEmployeeData[[#This Row],[Attrition]]="Yes",1,IF(CleanEmployeeData[[#This Row],[Attrition]]="No",0,""))</f>
        <v>0</v>
      </c>
      <c r="AQ249" t="str" cm="1">
        <f t="array" ref="AQ249">_xlfn.IFS(CleanEmployeeData[[#This Row],[MonthlyIncome]]&lt;=3000,"0–3,000",CleanEmployeeData[[#This Row],[MonthlyIncome]]&lt;=6000,"3,001–6,000",CleanEmployeeData[[#This Row],[MonthlyIncome]]&lt;=10000,"6,001–10,000",TRUE,"10,001+")</f>
        <v>3,001–6,000</v>
      </c>
      <c r="AR249" t="str" cm="1">
        <f t="array" ref="AR249">_xlfn.IFS(CleanEmployeeData[[#This Row],[DistanceFromHome]]&lt;=5,"0–5 miles",CleanEmployeeData[[#This Row],[DistanceFromHome]]&lt;=10,"6–10 miles",CleanEmployeeData[[#This Row],[DistanceFromHome]]&lt;=15,"11–15 miles",TRUE,"16+ miles")</f>
        <v>0–5 miles</v>
      </c>
      <c r="AS249" t="str" cm="1">
        <f t="array" ref="AS249">_xlfn.IFS(CleanEmployeeData[[#This Row],[YearsAtCompany]]&lt;=1,"0–1 years",CleanEmployeeData[[#This Row],[YearsAtCompany]]&lt;=5,"2–5 years",CleanEmployeeData[[#This Row],[YearsAtCompany]]&lt;=10,"6–10 years",TRUE,"11+ years")</f>
        <v>11+ years</v>
      </c>
    </row>
    <row r="250" spans="1:4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cm="1">
        <f t="array" ref="AJ250">_xlfn.SWITCH(CleanEmployeeData[[#This Row],[Education]],1,"Below College",2,"College",3,"Bachelor",4,"Master",5,"Doctor","Unknown")</f>
        <v>College</v>
      </c>
      <c r="AK250" t="str" cm="1">
        <f t="array" ref="AK250">_xlfn.SWITCH(CleanEmployeeData[[#This Row],[EnvironmentSatisfaction]],1,"Low",2,"Medium",3,"High",4,"Very High","Unknown")</f>
        <v>High</v>
      </c>
      <c r="AL250" t="str" cm="1">
        <f t="array" ref="AL250">_xlfn.SWITCH(CleanEmployeeData[[#This Row],[JobInvolvement]],1,"Low",2,"Medium",3,"High",4,"Very High","Unknown")</f>
        <v>Medium</v>
      </c>
      <c r="AM250" t="str" cm="1">
        <f t="array" ref="AM250">_xlfn.SWITCH(CleanEmployeeData[[#This Row],[JobSatisfaction]],1,"Low",2,"Medium",3,"High",4,"Very High","Unknown")</f>
        <v>Low</v>
      </c>
      <c r="AN250" t="str" cm="1">
        <f t="array" ref="AN250">_xlfn.SWITCH(CleanEmployeeData[[#This Row],[PerformanceRating]],1,"Low",2,"Good",3,"Excellent",4,"Outstanding","Unknown")</f>
        <v>Excellent</v>
      </c>
      <c r="AO250" t="str" cm="1">
        <f t="array" ref="AO250">_xlfn.SWITCH(CleanEmployeeData[[#This Row],[WorkLifeBalance]],1,"Bad",2,"Good",3,"Better",4,"Best","Unknown")</f>
        <v>Good</v>
      </c>
      <c r="AP250">
        <f>IF(CleanEmployeeData[[#This Row],[Attrition]]="Yes",1,IF(CleanEmployeeData[[#This Row],[Attrition]]="No",0,""))</f>
        <v>0</v>
      </c>
      <c r="AQ250" t="str" cm="1">
        <f t="array" ref="AQ250">_xlfn.IFS(CleanEmployeeData[[#This Row],[MonthlyIncome]]&lt;=3000,"0–3,000",CleanEmployeeData[[#This Row],[MonthlyIncome]]&lt;=6000,"3,001–6,000",CleanEmployeeData[[#This Row],[MonthlyIncome]]&lt;=10000,"6,001–10,000",TRUE,"10,001+")</f>
        <v>3,001–6,000</v>
      </c>
      <c r="AR250" t="str" cm="1">
        <f t="array" ref="AR250">_xlfn.IFS(CleanEmployeeData[[#This Row],[DistanceFromHome]]&lt;=5,"0–5 miles",CleanEmployeeData[[#This Row],[DistanceFromHome]]&lt;=10,"6–10 miles",CleanEmployeeData[[#This Row],[DistanceFromHome]]&lt;=15,"11–15 miles",TRUE,"16+ miles")</f>
        <v>0–5 miles</v>
      </c>
      <c r="AS250" t="str" cm="1">
        <f t="array" ref="AS250">_xlfn.IFS(CleanEmployeeData[[#This Row],[YearsAtCompany]]&lt;=1,"0–1 years",CleanEmployeeData[[#This Row],[YearsAtCompany]]&lt;=5,"2–5 years",CleanEmployeeData[[#This Row],[YearsAtCompany]]&lt;=10,"6–10 years",TRUE,"11+ years")</f>
        <v>2–5 years</v>
      </c>
    </row>
    <row r="251" spans="1:4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cm="1">
        <f t="array" ref="AJ251">_xlfn.SWITCH(CleanEmployeeData[[#This Row],[Education]],1,"Below College",2,"College",3,"Bachelor",4,"Master",5,"Doctor","Unknown")</f>
        <v>Master</v>
      </c>
      <c r="AK251" t="str" cm="1">
        <f t="array" ref="AK251">_xlfn.SWITCH(CleanEmployeeData[[#This Row],[EnvironmentSatisfaction]],1,"Low",2,"Medium",3,"High",4,"Very High","Unknown")</f>
        <v>Low</v>
      </c>
      <c r="AL251" t="str" cm="1">
        <f t="array" ref="AL251">_xlfn.SWITCH(CleanEmployeeData[[#This Row],[JobInvolvement]],1,"Low",2,"Medium",3,"High",4,"Very High","Unknown")</f>
        <v>Very High</v>
      </c>
      <c r="AM251" t="str" cm="1">
        <f t="array" ref="AM251">_xlfn.SWITCH(CleanEmployeeData[[#This Row],[JobSatisfaction]],1,"Low",2,"Medium",3,"High",4,"Very High","Unknown")</f>
        <v>High</v>
      </c>
      <c r="AN251" t="str" cm="1">
        <f t="array" ref="AN251">_xlfn.SWITCH(CleanEmployeeData[[#This Row],[PerformanceRating]],1,"Low",2,"Good",3,"Excellent",4,"Outstanding","Unknown")</f>
        <v>Excellent</v>
      </c>
      <c r="AO251" t="str" cm="1">
        <f t="array" ref="AO251">_xlfn.SWITCH(CleanEmployeeData[[#This Row],[WorkLifeBalance]],1,"Bad",2,"Good",3,"Better",4,"Best","Unknown")</f>
        <v>Better</v>
      </c>
      <c r="AP251">
        <f>IF(CleanEmployeeData[[#This Row],[Attrition]]="Yes",1,IF(CleanEmployeeData[[#This Row],[Attrition]]="No",0,""))</f>
        <v>0</v>
      </c>
      <c r="AQ251" t="str" cm="1">
        <f t="array" ref="AQ251">_xlfn.IFS(CleanEmployeeData[[#This Row],[MonthlyIncome]]&lt;=3000,"0–3,000",CleanEmployeeData[[#This Row],[MonthlyIncome]]&lt;=6000,"3,001–6,000",CleanEmployeeData[[#This Row],[MonthlyIncome]]&lt;=10000,"6,001–10,000",TRUE,"10,001+")</f>
        <v>6,001–10,000</v>
      </c>
      <c r="AR251" t="str" cm="1">
        <f t="array" ref="AR251">_xlfn.IFS(CleanEmployeeData[[#This Row],[DistanceFromHome]]&lt;=5,"0–5 miles",CleanEmployeeData[[#This Row],[DistanceFromHome]]&lt;=10,"6–10 miles",CleanEmployeeData[[#This Row],[DistanceFromHome]]&lt;=15,"11–15 miles",TRUE,"16+ miles")</f>
        <v>6–10 miles</v>
      </c>
      <c r="AS251" t="str" cm="1">
        <f t="array" ref="AS251">_xlfn.IFS(CleanEmployeeData[[#This Row],[YearsAtCompany]]&lt;=1,"0–1 years",CleanEmployeeData[[#This Row],[YearsAtCompany]]&lt;=5,"2–5 years",CleanEmployeeData[[#This Row],[YearsAtCompany]]&lt;=10,"6–10 years",TRUE,"11+ years")</f>
        <v>2–5 years</v>
      </c>
    </row>
    <row r="252" spans="1:4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cm="1">
        <f t="array" ref="AJ252">_xlfn.SWITCH(CleanEmployeeData[[#This Row],[Education]],1,"Below College",2,"College",3,"Bachelor",4,"Master",5,"Doctor","Unknown")</f>
        <v>Bachelor</v>
      </c>
      <c r="AK252" t="str" cm="1">
        <f t="array" ref="AK252">_xlfn.SWITCH(CleanEmployeeData[[#This Row],[EnvironmentSatisfaction]],1,"Low",2,"Medium",3,"High",4,"Very High","Unknown")</f>
        <v>Low</v>
      </c>
      <c r="AL252" t="str" cm="1">
        <f t="array" ref="AL252">_xlfn.SWITCH(CleanEmployeeData[[#This Row],[JobInvolvement]],1,"Low",2,"Medium",3,"High",4,"Very High","Unknown")</f>
        <v>High</v>
      </c>
      <c r="AM252" t="str" cm="1">
        <f t="array" ref="AM252">_xlfn.SWITCH(CleanEmployeeData[[#This Row],[JobSatisfaction]],1,"Low",2,"Medium",3,"High",4,"Very High","Unknown")</f>
        <v>High</v>
      </c>
      <c r="AN252" t="str" cm="1">
        <f t="array" ref="AN252">_xlfn.SWITCH(CleanEmployeeData[[#This Row],[PerformanceRating]],1,"Low",2,"Good",3,"Excellent",4,"Outstanding","Unknown")</f>
        <v>Excellent</v>
      </c>
      <c r="AO252" t="str" cm="1">
        <f t="array" ref="AO252">_xlfn.SWITCH(CleanEmployeeData[[#This Row],[WorkLifeBalance]],1,"Bad",2,"Good",3,"Better",4,"Best","Unknown")</f>
        <v>Better</v>
      </c>
      <c r="AP252">
        <f>IF(CleanEmployeeData[[#This Row],[Attrition]]="Yes",1,IF(CleanEmployeeData[[#This Row],[Attrition]]="No",0,""))</f>
        <v>1</v>
      </c>
      <c r="AQ252" t="str" cm="1">
        <f t="array" ref="AQ252">_xlfn.IFS(CleanEmployeeData[[#This Row],[MonthlyIncome]]&lt;=3000,"0–3,000",CleanEmployeeData[[#This Row],[MonthlyIncome]]&lt;=6000,"3,001–6,000",CleanEmployeeData[[#This Row],[MonthlyIncome]]&lt;=10000,"6,001–10,000",TRUE,"10,001+")</f>
        <v>10,001+</v>
      </c>
      <c r="AR252" t="str" cm="1">
        <f t="array" ref="AR252">_xlfn.IFS(CleanEmployeeData[[#This Row],[DistanceFromHome]]&lt;=5,"0–5 miles",CleanEmployeeData[[#This Row],[DistanceFromHome]]&lt;=10,"6–10 miles",CleanEmployeeData[[#This Row],[DistanceFromHome]]&lt;=15,"11–15 miles",TRUE,"16+ miles")</f>
        <v>6–10 miles</v>
      </c>
      <c r="AS252" t="str" cm="1">
        <f t="array" ref="AS252">_xlfn.IFS(CleanEmployeeData[[#This Row],[YearsAtCompany]]&lt;=1,"0–1 years",CleanEmployeeData[[#This Row],[YearsAtCompany]]&lt;=5,"2–5 years",CleanEmployeeData[[#This Row],[YearsAtCompany]]&lt;=10,"6–10 years",TRUE,"11+ years")</f>
        <v>0–1 years</v>
      </c>
    </row>
    <row r="253" spans="1:4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cm="1">
        <f t="array" ref="AJ253">_xlfn.SWITCH(CleanEmployeeData[[#This Row],[Education]],1,"Below College",2,"College",3,"Bachelor",4,"Master",5,"Doctor","Unknown")</f>
        <v>Master</v>
      </c>
      <c r="AK253" t="str" cm="1">
        <f t="array" ref="AK253">_xlfn.SWITCH(CleanEmployeeData[[#This Row],[EnvironmentSatisfaction]],1,"Low",2,"Medium",3,"High",4,"Very High","Unknown")</f>
        <v>High</v>
      </c>
      <c r="AL253" t="str" cm="1">
        <f t="array" ref="AL253">_xlfn.SWITCH(CleanEmployeeData[[#This Row],[JobInvolvement]],1,"Low",2,"Medium",3,"High",4,"Very High","Unknown")</f>
        <v>High</v>
      </c>
      <c r="AM253" t="str" cm="1">
        <f t="array" ref="AM253">_xlfn.SWITCH(CleanEmployeeData[[#This Row],[JobSatisfaction]],1,"Low",2,"Medium",3,"High",4,"Very High","Unknown")</f>
        <v>High</v>
      </c>
      <c r="AN253" t="str" cm="1">
        <f t="array" ref="AN253">_xlfn.SWITCH(CleanEmployeeData[[#This Row],[PerformanceRating]],1,"Low",2,"Good",3,"Excellent",4,"Outstanding","Unknown")</f>
        <v>Outstanding</v>
      </c>
      <c r="AO253" t="str" cm="1">
        <f t="array" ref="AO253">_xlfn.SWITCH(CleanEmployeeData[[#This Row],[WorkLifeBalance]],1,"Bad",2,"Good",3,"Better",4,"Best","Unknown")</f>
        <v>Better</v>
      </c>
      <c r="AP253">
        <f>IF(CleanEmployeeData[[#This Row],[Attrition]]="Yes",1,IF(CleanEmployeeData[[#This Row],[Attrition]]="No",0,""))</f>
        <v>0</v>
      </c>
      <c r="AQ253" t="str" cm="1">
        <f t="array" ref="AQ253">_xlfn.IFS(CleanEmployeeData[[#This Row],[MonthlyIncome]]&lt;=3000,"0–3,000",CleanEmployeeData[[#This Row],[MonthlyIncome]]&lt;=6000,"3,001–6,000",CleanEmployeeData[[#This Row],[MonthlyIncome]]&lt;=10000,"6,001–10,000",TRUE,"10,001+")</f>
        <v>10,001+</v>
      </c>
      <c r="AR253" t="str" cm="1">
        <f t="array" ref="AR253">_xlfn.IFS(CleanEmployeeData[[#This Row],[DistanceFromHome]]&lt;=5,"0–5 miles",CleanEmployeeData[[#This Row],[DistanceFromHome]]&lt;=10,"6–10 miles",CleanEmployeeData[[#This Row],[DistanceFromHome]]&lt;=15,"11–15 miles",TRUE,"16+ miles")</f>
        <v>0–5 miles</v>
      </c>
      <c r="AS253" t="str" cm="1">
        <f t="array" ref="AS253">_xlfn.IFS(CleanEmployeeData[[#This Row],[YearsAtCompany]]&lt;=1,"0–1 years",CleanEmployeeData[[#This Row],[YearsAtCompany]]&lt;=5,"2–5 years",CleanEmployeeData[[#This Row],[YearsAtCompany]]&lt;=10,"6–10 years",TRUE,"11+ years")</f>
        <v>11+ years</v>
      </c>
    </row>
    <row r="254" spans="1:4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cm="1">
        <f t="array" ref="AJ254">_xlfn.SWITCH(CleanEmployeeData[[#This Row],[Education]],1,"Below College",2,"College",3,"Bachelor",4,"Master",5,"Doctor","Unknown")</f>
        <v>Bachelor</v>
      </c>
      <c r="AK254" t="str" cm="1">
        <f t="array" ref="AK254">_xlfn.SWITCH(CleanEmployeeData[[#This Row],[EnvironmentSatisfaction]],1,"Low",2,"Medium",3,"High",4,"Very High","Unknown")</f>
        <v>High</v>
      </c>
      <c r="AL254" t="str" cm="1">
        <f t="array" ref="AL254">_xlfn.SWITCH(CleanEmployeeData[[#This Row],[JobInvolvement]],1,"Low",2,"Medium",3,"High",4,"Very High","Unknown")</f>
        <v>High</v>
      </c>
      <c r="AM254" t="str" cm="1">
        <f t="array" ref="AM254">_xlfn.SWITCH(CleanEmployeeData[[#This Row],[JobSatisfaction]],1,"Low",2,"Medium",3,"High",4,"Very High","Unknown")</f>
        <v>Very High</v>
      </c>
      <c r="AN254" t="str" cm="1">
        <f t="array" ref="AN254">_xlfn.SWITCH(CleanEmployeeData[[#This Row],[PerformanceRating]],1,"Low",2,"Good",3,"Excellent",4,"Outstanding","Unknown")</f>
        <v>Excellent</v>
      </c>
      <c r="AO254" t="str" cm="1">
        <f t="array" ref="AO254">_xlfn.SWITCH(CleanEmployeeData[[#This Row],[WorkLifeBalance]],1,"Bad",2,"Good",3,"Better",4,"Best","Unknown")</f>
        <v>Better</v>
      </c>
      <c r="AP254">
        <f>IF(CleanEmployeeData[[#This Row],[Attrition]]="Yes",1,IF(CleanEmployeeData[[#This Row],[Attrition]]="No",0,""))</f>
        <v>0</v>
      </c>
      <c r="AQ254" t="str" cm="1">
        <f t="array" ref="AQ254">_xlfn.IFS(CleanEmployeeData[[#This Row],[MonthlyIncome]]&lt;=3000,"0–3,000",CleanEmployeeData[[#This Row],[MonthlyIncome]]&lt;=6000,"3,001–6,000",CleanEmployeeData[[#This Row],[MonthlyIncome]]&lt;=10000,"6,001–10,000",TRUE,"10,001+")</f>
        <v>0–3,000</v>
      </c>
      <c r="AR254" t="str" cm="1">
        <f t="array" ref="AR254">_xlfn.IFS(CleanEmployeeData[[#This Row],[DistanceFromHome]]&lt;=5,"0–5 miles",CleanEmployeeData[[#This Row],[DistanceFromHome]]&lt;=10,"6–10 miles",CleanEmployeeData[[#This Row],[DistanceFromHome]]&lt;=15,"11–15 miles",TRUE,"16+ miles")</f>
        <v>11–15 miles</v>
      </c>
      <c r="AS254" t="str" cm="1">
        <f t="array" ref="AS254">_xlfn.IFS(CleanEmployeeData[[#This Row],[YearsAtCompany]]&lt;=1,"0–1 years",CleanEmployeeData[[#This Row],[YearsAtCompany]]&lt;=5,"2–5 years",CleanEmployeeData[[#This Row],[YearsAtCompany]]&lt;=10,"6–10 years",TRUE,"11+ years")</f>
        <v>6–10 years</v>
      </c>
    </row>
    <row r="255" spans="1:4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cm="1">
        <f t="array" ref="AJ255">_xlfn.SWITCH(CleanEmployeeData[[#This Row],[Education]],1,"Below College",2,"College",3,"Bachelor",4,"Master",5,"Doctor","Unknown")</f>
        <v>College</v>
      </c>
      <c r="AK255" t="str" cm="1">
        <f t="array" ref="AK255">_xlfn.SWITCH(CleanEmployeeData[[#This Row],[EnvironmentSatisfaction]],1,"Low",2,"Medium",3,"High",4,"Very High","Unknown")</f>
        <v>Very High</v>
      </c>
      <c r="AL255" t="str" cm="1">
        <f t="array" ref="AL255">_xlfn.SWITCH(CleanEmployeeData[[#This Row],[JobInvolvement]],1,"Low",2,"Medium",3,"High",4,"Very High","Unknown")</f>
        <v>Very High</v>
      </c>
      <c r="AM255" t="str" cm="1">
        <f t="array" ref="AM255">_xlfn.SWITCH(CleanEmployeeData[[#This Row],[JobSatisfaction]],1,"Low",2,"Medium",3,"High",4,"Very High","Unknown")</f>
        <v>Low</v>
      </c>
      <c r="AN255" t="str" cm="1">
        <f t="array" ref="AN255">_xlfn.SWITCH(CleanEmployeeData[[#This Row],[PerformanceRating]],1,"Low",2,"Good",3,"Excellent",4,"Outstanding","Unknown")</f>
        <v>Excellent</v>
      </c>
      <c r="AO255" t="str" cm="1">
        <f t="array" ref="AO255">_xlfn.SWITCH(CleanEmployeeData[[#This Row],[WorkLifeBalance]],1,"Bad",2,"Good",3,"Better",4,"Best","Unknown")</f>
        <v>Better</v>
      </c>
      <c r="AP255">
        <f>IF(CleanEmployeeData[[#This Row],[Attrition]]="Yes",1,IF(CleanEmployeeData[[#This Row],[Attrition]]="No",0,""))</f>
        <v>0</v>
      </c>
      <c r="AQ255" t="str" cm="1">
        <f t="array" ref="AQ255">_xlfn.IFS(CleanEmployeeData[[#This Row],[MonthlyIncome]]&lt;=3000,"0–3,000",CleanEmployeeData[[#This Row],[MonthlyIncome]]&lt;=6000,"3,001–6,000",CleanEmployeeData[[#This Row],[MonthlyIncome]]&lt;=10000,"6,001–10,000",TRUE,"10,001+")</f>
        <v>6,001–10,000</v>
      </c>
      <c r="AR255" t="str" cm="1">
        <f t="array" ref="AR255">_xlfn.IFS(CleanEmployeeData[[#This Row],[DistanceFromHome]]&lt;=5,"0–5 miles",CleanEmployeeData[[#This Row],[DistanceFromHome]]&lt;=10,"6–10 miles",CleanEmployeeData[[#This Row],[DistanceFromHome]]&lt;=15,"11–15 miles",TRUE,"16+ miles")</f>
        <v>16+ miles</v>
      </c>
      <c r="AS255" t="str" cm="1">
        <f t="array" ref="AS255">_xlfn.IFS(CleanEmployeeData[[#This Row],[YearsAtCompany]]&lt;=1,"0–1 years",CleanEmployeeData[[#This Row],[YearsAtCompany]]&lt;=5,"2–5 years",CleanEmployeeData[[#This Row],[YearsAtCompany]]&lt;=10,"6–10 years",TRUE,"11+ years")</f>
        <v>2–5 years</v>
      </c>
    </row>
    <row r="256" spans="1:4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cm="1">
        <f t="array" ref="AJ256">_xlfn.SWITCH(CleanEmployeeData[[#This Row],[Education]],1,"Below College",2,"College",3,"Bachelor",4,"Master",5,"Doctor","Unknown")</f>
        <v>College</v>
      </c>
      <c r="AK256" t="str" cm="1">
        <f t="array" ref="AK256">_xlfn.SWITCH(CleanEmployeeData[[#This Row],[EnvironmentSatisfaction]],1,"Low",2,"Medium",3,"High",4,"Very High","Unknown")</f>
        <v>Very High</v>
      </c>
      <c r="AL256" t="str" cm="1">
        <f t="array" ref="AL256">_xlfn.SWITCH(CleanEmployeeData[[#This Row],[JobInvolvement]],1,"Low",2,"Medium",3,"High",4,"Very High","Unknown")</f>
        <v>High</v>
      </c>
      <c r="AM256" t="str" cm="1">
        <f t="array" ref="AM256">_xlfn.SWITCH(CleanEmployeeData[[#This Row],[JobSatisfaction]],1,"Low",2,"Medium",3,"High",4,"Very High","Unknown")</f>
        <v>Very High</v>
      </c>
      <c r="AN256" t="str" cm="1">
        <f t="array" ref="AN256">_xlfn.SWITCH(CleanEmployeeData[[#This Row],[PerformanceRating]],1,"Low",2,"Good",3,"Excellent",4,"Outstanding","Unknown")</f>
        <v>Excellent</v>
      </c>
      <c r="AO256" t="str" cm="1">
        <f t="array" ref="AO256">_xlfn.SWITCH(CleanEmployeeData[[#This Row],[WorkLifeBalance]],1,"Bad",2,"Good",3,"Better",4,"Best","Unknown")</f>
        <v>Better</v>
      </c>
      <c r="AP256">
        <f>IF(CleanEmployeeData[[#This Row],[Attrition]]="Yes",1,IF(CleanEmployeeData[[#This Row],[Attrition]]="No",0,""))</f>
        <v>0</v>
      </c>
      <c r="AQ256" t="str" cm="1">
        <f t="array" ref="AQ256">_xlfn.IFS(CleanEmployeeData[[#This Row],[MonthlyIncome]]&lt;=3000,"0–3,000",CleanEmployeeData[[#This Row],[MonthlyIncome]]&lt;=6000,"3,001–6,000",CleanEmployeeData[[#This Row],[MonthlyIncome]]&lt;=10000,"6,001–10,000",TRUE,"10,001+")</f>
        <v>6,001–10,000</v>
      </c>
      <c r="AR256" t="str" cm="1">
        <f t="array" ref="AR256">_xlfn.IFS(CleanEmployeeData[[#This Row],[DistanceFromHome]]&lt;=5,"0–5 miles",CleanEmployeeData[[#This Row],[DistanceFromHome]]&lt;=10,"6–10 miles",CleanEmployeeData[[#This Row],[DistanceFromHome]]&lt;=15,"11–15 miles",TRUE,"16+ miles")</f>
        <v>16+ miles</v>
      </c>
      <c r="AS256" t="str" cm="1">
        <f t="array" ref="AS256">_xlfn.IFS(CleanEmployeeData[[#This Row],[YearsAtCompany]]&lt;=1,"0–1 years",CleanEmployeeData[[#This Row],[YearsAtCompany]]&lt;=5,"2–5 years",CleanEmployeeData[[#This Row],[YearsAtCompany]]&lt;=10,"6–10 years",TRUE,"11+ years")</f>
        <v>2–5 years</v>
      </c>
    </row>
    <row r="257" spans="1:4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cm="1">
        <f t="array" ref="AJ257">_xlfn.SWITCH(CleanEmployeeData[[#This Row],[Education]],1,"Below College",2,"College",3,"Bachelor",4,"Master",5,"Doctor","Unknown")</f>
        <v>Bachelor</v>
      </c>
      <c r="AK257" t="str" cm="1">
        <f t="array" ref="AK257">_xlfn.SWITCH(CleanEmployeeData[[#This Row],[EnvironmentSatisfaction]],1,"Low",2,"Medium",3,"High",4,"Very High","Unknown")</f>
        <v>Low</v>
      </c>
      <c r="AL257" t="str" cm="1">
        <f t="array" ref="AL257">_xlfn.SWITCH(CleanEmployeeData[[#This Row],[JobInvolvement]],1,"Low",2,"Medium",3,"High",4,"Very High","Unknown")</f>
        <v>High</v>
      </c>
      <c r="AM257" t="str" cm="1">
        <f t="array" ref="AM257">_xlfn.SWITCH(CleanEmployeeData[[#This Row],[JobSatisfaction]],1,"Low",2,"Medium",3,"High",4,"Very High","Unknown")</f>
        <v>High</v>
      </c>
      <c r="AN257" t="str" cm="1">
        <f t="array" ref="AN257">_xlfn.SWITCH(CleanEmployeeData[[#This Row],[PerformanceRating]],1,"Low",2,"Good",3,"Excellent",4,"Outstanding","Unknown")</f>
        <v>Excellent</v>
      </c>
      <c r="AO257" t="str" cm="1">
        <f t="array" ref="AO257">_xlfn.SWITCH(CleanEmployeeData[[#This Row],[WorkLifeBalance]],1,"Bad",2,"Good",3,"Better",4,"Best","Unknown")</f>
        <v>Better</v>
      </c>
      <c r="AP257">
        <f>IF(CleanEmployeeData[[#This Row],[Attrition]]="Yes",1,IF(CleanEmployeeData[[#This Row],[Attrition]]="No",0,""))</f>
        <v>0</v>
      </c>
      <c r="AQ257" t="str" cm="1">
        <f t="array" ref="AQ257">_xlfn.IFS(CleanEmployeeData[[#This Row],[MonthlyIncome]]&lt;=3000,"0–3,000",CleanEmployeeData[[#This Row],[MonthlyIncome]]&lt;=6000,"3,001–6,000",CleanEmployeeData[[#This Row],[MonthlyIncome]]&lt;=10000,"6,001–10,000",TRUE,"10,001+")</f>
        <v>3,001–6,000</v>
      </c>
      <c r="AR257" t="str" cm="1">
        <f t="array" ref="AR257">_xlfn.IFS(CleanEmployeeData[[#This Row],[DistanceFromHome]]&lt;=5,"0–5 miles",CleanEmployeeData[[#This Row],[DistanceFromHome]]&lt;=10,"6–10 miles",CleanEmployeeData[[#This Row],[DistanceFromHome]]&lt;=15,"11–15 miles",TRUE,"16+ miles")</f>
        <v>0–5 miles</v>
      </c>
      <c r="AS257" t="str" cm="1">
        <f t="array" ref="AS257">_xlfn.IFS(CleanEmployeeData[[#This Row],[YearsAtCompany]]&lt;=1,"0–1 years",CleanEmployeeData[[#This Row],[YearsAtCompany]]&lt;=5,"2–5 years",CleanEmployeeData[[#This Row],[YearsAtCompany]]&lt;=10,"6–10 years",TRUE,"11+ years")</f>
        <v>2–5 years</v>
      </c>
    </row>
    <row r="258" spans="1:4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cm="1">
        <f t="array" ref="AJ258">_xlfn.SWITCH(CleanEmployeeData[[#This Row],[Education]],1,"Below College",2,"College",3,"Bachelor",4,"Master",5,"Doctor","Unknown")</f>
        <v>Bachelor</v>
      </c>
      <c r="AK258" t="str" cm="1">
        <f t="array" ref="AK258">_xlfn.SWITCH(CleanEmployeeData[[#This Row],[EnvironmentSatisfaction]],1,"Low",2,"Medium",3,"High",4,"Very High","Unknown")</f>
        <v>Very High</v>
      </c>
      <c r="AL258" t="str" cm="1">
        <f t="array" ref="AL258">_xlfn.SWITCH(CleanEmployeeData[[#This Row],[JobInvolvement]],1,"Low",2,"Medium",3,"High",4,"Very High","Unknown")</f>
        <v>Medium</v>
      </c>
      <c r="AM258" t="str" cm="1">
        <f t="array" ref="AM258">_xlfn.SWITCH(CleanEmployeeData[[#This Row],[JobSatisfaction]],1,"Low",2,"Medium",3,"High",4,"Very High","Unknown")</f>
        <v>Low</v>
      </c>
      <c r="AN258" t="str" cm="1">
        <f t="array" ref="AN258">_xlfn.SWITCH(CleanEmployeeData[[#This Row],[PerformanceRating]],1,"Low",2,"Good",3,"Excellent",4,"Outstanding","Unknown")</f>
        <v>Excellent</v>
      </c>
      <c r="AO258" t="str" cm="1">
        <f t="array" ref="AO258">_xlfn.SWITCH(CleanEmployeeData[[#This Row],[WorkLifeBalance]],1,"Bad",2,"Good",3,"Better",4,"Best","Unknown")</f>
        <v>Better</v>
      </c>
      <c r="AP258">
        <f>IF(CleanEmployeeData[[#This Row],[Attrition]]="Yes",1,IF(CleanEmployeeData[[#This Row],[Attrition]]="No",0,""))</f>
        <v>0</v>
      </c>
      <c r="AQ258" t="str" cm="1">
        <f t="array" ref="AQ258">_xlfn.IFS(CleanEmployeeData[[#This Row],[MonthlyIncome]]&lt;=3000,"0–3,000",CleanEmployeeData[[#This Row],[MonthlyIncome]]&lt;=6000,"3,001–6,000",CleanEmployeeData[[#This Row],[MonthlyIncome]]&lt;=10000,"6,001–10,000",TRUE,"10,001+")</f>
        <v>0–3,000</v>
      </c>
      <c r="AR258" t="str" cm="1">
        <f t="array" ref="AR258">_xlfn.IFS(CleanEmployeeData[[#This Row],[DistanceFromHome]]&lt;=5,"0–5 miles",CleanEmployeeData[[#This Row],[DistanceFromHome]]&lt;=10,"6–10 miles",CleanEmployeeData[[#This Row],[DistanceFromHome]]&lt;=15,"11–15 miles",TRUE,"16+ miles")</f>
        <v>0–5 miles</v>
      </c>
      <c r="AS258" t="str" cm="1">
        <f t="array" ref="AS258">_xlfn.IFS(CleanEmployeeData[[#This Row],[YearsAtCompany]]&lt;=1,"0–1 years",CleanEmployeeData[[#This Row],[YearsAtCompany]]&lt;=5,"2–5 years",CleanEmployeeData[[#This Row],[YearsAtCompany]]&lt;=10,"6–10 years",TRUE,"11+ years")</f>
        <v>6–10 years</v>
      </c>
    </row>
    <row r="259" spans="1:4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cm="1">
        <f t="array" ref="AJ259">_xlfn.SWITCH(CleanEmployeeData[[#This Row],[Education]],1,"Below College",2,"College",3,"Bachelor",4,"Master",5,"Doctor","Unknown")</f>
        <v>College</v>
      </c>
      <c r="AK259" t="str" cm="1">
        <f t="array" ref="AK259">_xlfn.SWITCH(CleanEmployeeData[[#This Row],[EnvironmentSatisfaction]],1,"Low",2,"Medium",3,"High",4,"Very High","Unknown")</f>
        <v>Low</v>
      </c>
      <c r="AL259" t="str" cm="1">
        <f t="array" ref="AL259">_xlfn.SWITCH(CleanEmployeeData[[#This Row],[JobInvolvement]],1,"Low",2,"Medium",3,"High",4,"Very High","Unknown")</f>
        <v>High</v>
      </c>
      <c r="AM259" t="str" cm="1">
        <f t="array" ref="AM259">_xlfn.SWITCH(CleanEmployeeData[[#This Row],[JobSatisfaction]],1,"Low",2,"Medium",3,"High",4,"Very High","Unknown")</f>
        <v>High</v>
      </c>
      <c r="AN259" t="str" cm="1">
        <f t="array" ref="AN259">_xlfn.SWITCH(CleanEmployeeData[[#This Row],[PerformanceRating]],1,"Low",2,"Good",3,"Excellent",4,"Outstanding","Unknown")</f>
        <v>Excellent</v>
      </c>
      <c r="AO259" t="str" cm="1">
        <f t="array" ref="AO259">_xlfn.SWITCH(CleanEmployeeData[[#This Row],[WorkLifeBalance]],1,"Bad",2,"Good",3,"Better",4,"Best","Unknown")</f>
        <v>Better</v>
      </c>
      <c r="AP259">
        <f>IF(CleanEmployeeData[[#This Row],[Attrition]]="Yes",1,IF(CleanEmployeeData[[#This Row],[Attrition]]="No",0,""))</f>
        <v>0</v>
      </c>
      <c r="AQ259" t="str" cm="1">
        <f t="array" ref="AQ259">_xlfn.IFS(CleanEmployeeData[[#This Row],[MonthlyIncome]]&lt;=3000,"0–3,000",CleanEmployeeData[[#This Row],[MonthlyIncome]]&lt;=6000,"3,001–6,000",CleanEmployeeData[[#This Row],[MonthlyIncome]]&lt;=10000,"6,001–10,000",TRUE,"10,001+")</f>
        <v>10,001+</v>
      </c>
      <c r="AR259" t="str" cm="1">
        <f t="array" ref="AR259">_xlfn.IFS(CleanEmployeeData[[#This Row],[DistanceFromHome]]&lt;=5,"0–5 miles",CleanEmployeeData[[#This Row],[DistanceFromHome]]&lt;=10,"6–10 miles",CleanEmployeeData[[#This Row],[DistanceFromHome]]&lt;=15,"11–15 miles",TRUE,"16+ miles")</f>
        <v>0–5 miles</v>
      </c>
      <c r="AS259" t="str" cm="1">
        <f t="array" ref="AS259">_xlfn.IFS(CleanEmployeeData[[#This Row],[YearsAtCompany]]&lt;=1,"0–1 years",CleanEmployeeData[[#This Row],[YearsAtCompany]]&lt;=5,"2–5 years",CleanEmployeeData[[#This Row],[YearsAtCompany]]&lt;=10,"6–10 years",TRUE,"11+ years")</f>
        <v>11+ years</v>
      </c>
    </row>
    <row r="260" spans="1:4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cm="1">
        <f t="array" ref="AJ260">_xlfn.SWITCH(CleanEmployeeData[[#This Row],[Education]],1,"Below College",2,"College",3,"Bachelor",4,"Master",5,"Doctor","Unknown")</f>
        <v>Bachelor</v>
      </c>
      <c r="AK260" t="str" cm="1">
        <f t="array" ref="AK260">_xlfn.SWITCH(CleanEmployeeData[[#This Row],[EnvironmentSatisfaction]],1,"Low",2,"Medium",3,"High",4,"Very High","Unknown")</f>
        <v>High</v>
      </c>
      <c r="AL260" t="str" cm="1">
        <f t="array" ref="AL260">_xlfn.SWITCH(CleanEmployeeData[[#This Row],[JobInvolvement]],1,"Low",2,"Medium",3,"High",4,"Very High","Unknown")</f>
        <v>High</v>
      </c>
      <c r="AM260" t="str" cm="1">
        <f t="array" ref="AM260">_xlfn.SWITCH(CleanEmployeeData[[#This Row],[JobSatisfaction]],1,"Low",2,"Medium",3,"High",4,"Very High","Unknown")</f>
        <v>Very High</v>
      </c>
      <c r="AN260" t="str" cm="1">
        <f t="array" ref="AN260">_xlfn.SWITCH(CleanEmployeeData[[#This Row],[PerformanceRating]],1,"Low",2,"Good",3,"Excellent",4,"Outstanding","Unknown")</f>
        <v>Excellent</v>
      </c>
      <c r="AO260" t="str" cm="1">
        <f t="array" ref="AO260">_xlfn.SWITCH(CleanEmployeeData[[#This Row],[WorkLifeBalance]],1,"Bad",2,"Good",3,"Better",4,"Best","Unknown")</f>
        <v>Good</v>
      </c>
      <c r="AP260">
        <f>IF(CleanEmployeeData[[#This Row],[Attrition]]="Yes",1,IF(CleanEmployeeData[[#This Row],[Attrition]]="No",0,""))</f>
        <v>0</v>
      </c>
      <c r="AQ260" t="str" cm="1">
        <f t="array" ref="AQ260">_xlfn.IFS(CleanEmployeeData[[#This Row],[MonthlyIncome]]&lt;=3000,"0–3,000",CleanEmployeeData[[#This Row],[MonthlyIncome]]&lt;=6000,"3,001–6,000",CleanEmployeeData[[#This Row],[MonthlyIncome]]&lt;=10000,"6,001–10,000",TRUE,"10,001+")</f>
        <v>0–3,000</v>
      </c>
      <c r="AR260" t="str" cm="1">
        <f t="array" ref="AR260">_xlfn.IFS(CleanEmployeeData[[#This Row],[DistanceFromHome]]&lt;=5,"0–5 miles",CleanEmployeeData[[#This Row],[DistanceFromHome]]&lt;=10,"6–10 miles",CleanEmployeeData[[#This Row],[DistanceFromHome]]&lt;=15,"11–15 miles",TRUE,"16+ miles")</f>
        <v>0–5 miles</v>
      </c>
      <c r="AS260" t="str" cm="1">
        <f t="array" ref="AS260">_xlfn.IFS(CleanEmployeeData[[#This Row],[YearsAtCompany]]&lt;=1,"0–1 years",CleanEmployeeData[[#This Row],[YearsAtCompany]]&lt;=5,"2–5 years",CleanEmployeeData[[#This Row],[YearsAtCompany]]&lt;=10,"6–10 years",TRUE,"11+ years")</f>
        <v>0–1 years</v>
      </c>
    </row>
    <row r="261" spans="1:4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cm="1">
        <f t="array" ref="AJ261">_xlfn.SWITCH(CleanEmployeeData[[#This Row],[Education]],1,"Below College",2,"College",3,"Bachelor",4,"Master",5,"Doctor","Unknown")</f>
        <v>College</v>
      </c>
      <c r="AK261" t="str" cm="1">
        <f t="array" ref="AK261">_xlfn.SWITCH(CleanEmployeeData[[#This Row],[EnvironmentSatisfaction]],1,"Low",2,"Medium",3,"High",4,"Very High","Unknown")</f>
        <v>High</v>
      </c>
      <c r="AL261" t="str" cm="1">
        <f t="array" ref="AL261">_xlfn.SWITCH(CleanEmployeeData[[#This Row],[JobInvolvement]],1,"Low",2,"Medium",3,"High",4,"Very High","Unknown")</f>
        <v>Medium</v>
      </c>
      <c r="AM261" t="str" cm="1">
        <f t="array" ref="AM261">_xlfn.SWITCH(CleanEmployeeData[[#This Row],[JobSatisfaction]],1,"Low",2,"Medium",3,"High",4,"Very High","Unknown")</f>
        <v>Medium</v>
      </c>
      <c r="AN261" t="str" cm="1">
        <f t="array" ref="AN261">_xlfn.SWITCH(CleanEmployeeData[[#This Row],[PerformanceRating]],1,"Low",2,"Good",3,"Excellent",4,"Outstanding","Unknown")</f>
        <v>Excellent</v>
      </c>
      <c r="AO261" t="str" cm="1">
        <f t="array" ref="AO261">_xlfn.SWITCH(CleanEmployeeData[[#This Row],[WorkLifeBalance]],1,"Bad",2,"Good",3,"Better",4,"Best","Unknown")</f>
        <v>Best</v>
      </c>
      <c r="AP261">
        <f>IF(CleanEmployeeData[[#This Row],[Attrition]]="Yes",1,IF(CleanEmployeeData[[#This Row],[Attrition]]="No",0,""))</f>
        <v>1</v>
      </c>
      <c r="AQ261" t="str" cm="1">
        <f t="array" ref="AQ261">_xlfn.IFS(CleanEmployeeData[[#This Row],[MonthlyIncome]]&lt;=3000,"0–3,000",CleanEmployeeData[[#This Row],[MonthlyIncome]]&lt;=6000,"3,001–6,000",CleanEmployeeData[[#This Row],[MonthlyIncome]]&lt;=10000,"6,001–10,000",TRUE,"10,001+")</f>
        <v>3,001–6,000</v>
      </c>
      <c r="AR261" t="str" cm="1">
        <f t="array" ref="AR261">_xlfn.IFS(CleanEmployeeData[[#This Row],[DistanceFromHome]]&lt;=5,"0–5 miles",CleanEmployeeData[[#This Row],[DistanceFromHome]]&lt;=10,"6–10 miles",CleanEmployeeData[[#This Row],[DistanceFromHome]]&lt;=15,"11–15 miles",TRUE,"16+ miles")</f>
        <v>16+ miles</v>
      </c>
      <c r="AS261" t="str" cm="1">
        <f t="array" ref="AS261">_xlfn.IFS(CleanEmployeeData[[#This Row],[YearsAtCompany]]&lt;=1,"0–1 years",CleanEmployeeData[[#This Row],[YearsAtCompany]]&lt;=5,"2–5 years",CleanEmployeeData[[#This Row],[YearsAtCompany]]&lt;=10,"6–10 years",TRUE,"11+ years")</f>
        <v>2–5 years</v>
      </c>
    </row>
    <row r="262" spans="1:4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cm="1">
        <f t="array" ref="AJ262">_xlfn.SWITCH(CleanEmployeeData[[#This Row],[Education]],1,"Below College",2,"College",3,"Bachelor",4,"Master",5,"Doctor","Unknown")</f>
        <v>Bachelor</v>
      </c>
      <c r="AK262" t="str" cm="1">
        <f t="array" ref="AK262">_xlfn.SWITCH(CleanEmployeeData[[#This Row],[EnvironmentSatisfaction]],1,"Low",2,"Medium",3,"High",4,"Very High","Unknown")</f>
        <v>Medium</v>
      </c>
      <c r="AL262" t="str" cm="1">
        <f t="array" ref="AL262">_xlfn.SWITCH(CleanEmployeeData[[#This Row],[JobInvolvement]],1,"Low",2,"Medium",3,"High",4,"Very High","Unknown")</f>
        <v>Very High</v>
      </c>
      <c r="AM262" t="str" cm="1">
        <f t="array" ref="AM262">_xlfn.SWITCH(CleanEmployeeData[[#This Row],[JobSatisfaction]],1,"Low",2,"Medium",3,"High",4,"Very High","Unknown")</f>
        <v>Medium</v>
      </c>
      <c r="AN262" t="str" cm="1">
        <f t="array" ref="AN262">_xlfn.SWITCH(CleanEmployeeData[[#This Row],[PerformanceRating]],1,"Low",2,"Good",3,"Excellent",4,"Outstanding","Unknown")</f>
        <v>Outstanding</v>
      </c>
      <c r="AO262" t="str" cm="1">
        <f t="array" ref="AO262">_xlfn.SWITCH(CleanEmployeeData[[#This Row],[WorkLifeBalance]],1,"Bad",2,"Good",3,"Better",4,"Best","Unknown")</f>
        <v>Bad</v>
      </c>
      <c r="AP262">
        <f>IF(CleanEmployeeData[[#This Row],[Attrition]]="Yes",1,IF(CleanEmployeeData[[#This Row],[Attrition]]="No",0,""))</f>
        <v>0</v>
      </c>
      <c r="AQ262" t="str" cm="1">
        <f t="array" ref="AQ262">_xlfn.IFS(CleanEmployeeData[[#This Row],[MonthlyIncome]]&lt;=3000,"0–3,000",CleanEmployeeData[[#This Row],[MonthlyIncome]]&lt;=6000,"3,001–6,000",CleanEmployeeData[[#This Row],[MonthlyIncome]]&lt;=10000,"6,001–10,000",TRUE,"10,001+")</f>
        <v>0–3,000</v>
      </c>
      <c r="AR262" t="str" cm="1">
        <f t="array" ref="AR262">_xlfn.IFS(CleanEmployeeData[[#This Row],[DistanceFromHome]]&lt;=5,"0–5 miles",CleanEmployeeData[[#This Row],[DistanceFromHome]]&lt;=10,"6–10 miles",CleanEmployeeData[[#This Row],[DistanceFromHome]]&lt;=15,"11–15 miles",TRUE,"16+ miles")</f>
        <v>6–10 miles</v>
      </c>
      <c r="AS262" t="str" cm="1">
        <f t="array" ref="AS262">_xlfn.IFS(CleanEmployeeData[[#This Row],[YearsAtCompany]]&lt;=1,"0–1 years",CleanEmployeeData[[#This Row],[YearsAtCompany]]&lt;=5,"2–5 years",CleanEmployeeData[[#This Row],[YearsAtCompany]]&lt;=10,"6–10 years",TRUE,"11+ years")</f>
        <v>2–5 years</v>
      </c>
    </row>
    <row r="263" spans="1:4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cm="1">
        <f t="array" ref="AJ263">_xlfn.SWITCH(CleanEmployeeData[[#This Row],[Education]],1,"Below College",2,"College",3,"Bachelor",4,"Master",5,"Doctor","Unknown")</f>
        <v>College</v>
      </c>
      <c r="AK263" t="str" cm="1">
        <f t="array" ref="AK263">_xlfn.SWITCH(CleanEmployeeData[[#This Row],[EnvironmentSatisfaction]],1,"Low",2,"Medium",3,"High",4,"Very High","Unknown")</f>
        <v>Very High</v>
      </c>
      <c r="AL263" t="str" cm="1">
        <f t="array" ref="AL263">_xlfn.SWITCH(CleanEmployeeData[[#This Row],[JobInvolvement]],1,"Low",2,"Medium",3,"High",4,"Very High","Unknown")</f>
        <v>Medium</v>
      </c>
      <c r="AM263" t="str" cm="1">
        <f t="array" ref="AM263">_xlfn.SWITCH(CleanEmployeeData[[#This Row],[JobSatisfaction]],1,"Low",2,"Medium",3,"High",4,"Very High","Unknown")</f>
        <v>Very High</v>
      </c>
      <c r="AN263" t="str" cm="1">
        <f t="array" ref="AN263">_xlfn.SWITCH(CleanEmployeeData[[#This Row],[PerformanceRating]],1,"Low",2,"Good",3,"Excellent",4,"Outstanding","Unknown")</f>
        <v>Excellent</v>
      </c>
      <c r="AO263" t="str" cm="1">
        <f t="array" ref="AO263">_xlfn.SWITCH(CleanEmployeeData[[#This Row],[WorkLifeBalance]],1,"Bad",2,"Good",3,"Better",4,"Best","Unknown")</f>
        <v>Better</v>
      </c>
      <c r="AP263">
        <f>IF(CleanEmployeeData[[#This Row],[Attrition]]="Yes",1,IF(CleanEmployeeData[[#This Row],[Attrition]]="No",0,""))</f>
        <v>0</v>
      </c>
      <c r="AQ263" t="str" cm="1">
        <f t="array" ref="AQ263">_xlfn.IFS(CleanEmployeeData[[#This Row],[MonthlyIncome]]&lt;=3000,"0–3,000",CleanEmployeeData[[#This Row],[MonthlyIncome]]&lt;=6000,"3,001–6,000",CleanEmployeeData[[#This Row],[MonthlyIncome]]&lt;=10000,"6,001–10,000",TRUE,"10,001+")</f>
        <v>3,001–6,000</v>
      </c>
      <c r="AR263" t="str" cm="1">
        <f t="array" ref="AR263">_xlfn.IFS(CleanEmployeeData[[#This Row],[DistanceFromHome]]&lt;=5,"0–5 miles",CleanEmployeeData[[#This Row],[DistanceFromHome]]&lt;=10,"6–10 miles",CleanEmployeeData[[#This Row],[DistanceFromHome]]&lt;=15,"11–15 miles",TRUE,"16+ miles")</f>
        <v>0–5 miles</v>
      </c>
      <c r="AS263" t="str" cm="1">
        <f t="array" ref="AS263">_xlfn.IFS(CleanEmployeeData[[#This Row],[YearsAtCompany]]&lt;=1,"0–1 years",CleanEmployeeData[[#This Row],[YearsAtCompany]]&lt;=5,"2–5 years",CleanEmployeeData[[#This Row],[YearsAtCompany]]&lt;=10,"6–10 years",TRUE,"11+ years")</f>
        <v>6–10 years</v>
      </c>
    </row>
    <row r="264" spans="1:4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cm="1">
        <f t="array" ref="AJ264">_xlfn.SWITCH(CleanEmployeeData[[#This Row],[Education]],1,"Below College",2,"College",3,"Bachelor",4,"Master",5,"Doctor","Unknown")</f>
        <v>Below College</v>
      </c>
      <c r="AK264" t="str" cm="1">
        <f t="array" ref="AK264">_xlfn.SWITCH(CleanEmployeeData[[#This Row],[EnvironmentSatisfaction]],1,"Low",2,"Medium",3,"High",4,"Very High","Unknown")</f>
        <v>Very High</v>
      </c>
      <c r="AL264" t="str" cm="1">
        <f t="array" ref="AL264">_xlfn.SWITCH(CleanEmployeeData[[#This Row],[JobInvolvement]],1,"Low",2,"Medium",3,"High",4,"Very High","Unknown")</f>
        <v>Medium</v>
      </c>
      <c r="AM264" t="str" cm="1">
        <f t="array" ref="AM264">_xlfn.SWITCH(CleanEmployeeData[[#This Row],[JobSatisfaction]],1,"Low",2,"Medium",3,"High",4,"Very High","Unknown")</f>
        <v>Low</v>
      </c>
      <c r="AN264" t="str" cm="1">
        <f t="array" ref="AN264">_xlfn.SWITCH(CleanEmployeeData[[#This Row],[PerformanceRating]],1,"Low",2,"Good",3,"Excellent",4,"Outstanding","Unknown")</f>
        <v>Excellent</v>
      </c>
      <c r="AO264" t="str" cm="1">
        <f t="array" ref="AO264">_xlfn.SWITCH(CleanEmployeeData[[#This Row],[WorkLifeBalance]],1,"Bad",2,"Good",3,"Better",4,"Best","Unknown")</f>
        <v>Better</v>
      </c>
      <c r="AP264">
        <f>IF(CleanEmployeeData[[#This Row],[Attrition]]="Yes",1,IF(CleanEmployeeData[[#This Row],[Attrition]]="No",0,""))</f>
        <v>0</v>
      </c>
      <c r="AQ264" t="str" cm="1">
        <f t="array" ref="AQ264">_xlfn.IFS(CleanEmployeeData[[#This Row],[MonthlyIncome]]&lt;=3000,"0–3,000",CleanEmployeeData[[#This Row],[MonthlyIncome]]&lt;=6000,"3,001–6,000",CleanEmployeeData[[#This Row],[MonthlyIncome]]&lt;=10000,"6,001–10,000",TRUE,"10,001+")</f>
        <v>0–3,000</v>
      </c>
      <c r="AR264" t="str" cm="1">
        <f t="array" ref="AR264">_xlfn.IFS(CleanEmployeeData[[#This Row],[DistanceFromHome]]&lt;=5,"0–5 miles",CleanEmployeeData[[#This Row],[DistanceFromHome]]&lt;=10,"6–10 miles",CleanEmployeeData[[#This Row],[DistanceFromHome]]&lt;=15,"11–15 miles",TRUE,"16+ miles")</f>
        <v>0–5 miles</v>
      </c>
      <c r="AS264" t="str" cm="1">
        <f t="array" ref="AS264">_xlfn.IFS(CleanEmployeeData[[#This Row],[YearsAtCompany]]&lt;=1,"0–1 years",CleanEmployeeData[[#This Row],[YearsAtCompany]]&lt;=5,"2–5 years",CleanEmployeeData[[#This Row],[YearsAtCompany]]&lt;=10,"6–10 years",TRUE,"11+ years")</f>
        <v>6–10 years</v>
      </c>
    </row>
    <row r="265" spans="1:4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cm="1">
        <f t="array" ref="AJ265">_xlfn.SWITCH(CleanEmployeeData[[#This Row],[Education]],1,"Below College",2,"College",3,"Bachelor",4,"Master",5,"Doctor","Unknown")</f>
        <v>Bachelor</v>
      </c>
      <c r="AK265" t="str" cm="1">
        <f t="array" ref="AK265">_xlfn.SWITCH(CleanEmployeeData[[#This Row],[EnvironmentSatisfaction]],1,"Low",2,"Medium",3,"High",4,"Very High","Unknown")</f>
        <v>High</v>
      </c>
      <c r="AL265" t="str" cm="1">
        <f t="array" ref="AL265">_xlfn.SWITCH(CleanEmployeeData[[#This Row],[JobInvolvement]],1,"Low",2,"Medium",3,"High",4,"Very High","Unknown")</f>
        <v>Low</v>
      </c>
      <c r="AM265" t="str" cm="1">
        <f t="array" ref="AM265">_xlfn.SWITCH(CleanEmployeeData[[#This Row],[JobSatisfaction]],1,"Low",2,"Medium",3,"High",4,"Very High","Unknown")</f>
        <v>Medium</v>
      </c>
      <c r="AN265" t="str" cm="1">
        <f t="array" ref="AN265">_xlfn.SWITCH(CleanEmployeeData[[#This Row],[PerformanceRating]],1,"Low",2,"Good",3,"Excellent",4,"Outstanding","Unknown")</f>
        <v>Excellent</v>
      </c>
      <c r="AO265" t="str" cm="1">
        <f t="array" ref="AO265">_xlfn.SWITCH(CleanEmployeeData[[#This Row],[WorkLifeBalance]],1,"Bad",2,"Good",3,"Better",4,"Best","Unknown")</f>
        <v>Good</v>
      </c>
      <c r="AP265">
        <f>IF(CleanEmployeeData[[#This Row],[Attrition]]="Yes",1,IF(CleanEmployeeData[[#This Row],[Attrition]]="No",0,""))</f>
        <v>0</v>
      </c>
      <c r="AQ265" t="str" cm="1">
        <f t="array" ref="AQ265">_xlfn.IFS(CleanEmployeeData[[#This Row],[MonthlyIncome]]&lt;=3000,"0–3,000",CleanEmployeeData[[#This Row],[MonthlyIncome]]&lt;=6000,"3,001–6,000",CleanEmployeeData[[#This Row],[MonthlyIncome]]&lt;=10000,"6,001–10,000",TRUE,"10,001+")</f>
        <v>10,001+</v>
      </c>
      <c r="AR265" t="str" cm="1">
        <f t="array" ref="AR265">_xlfn.IFS(CleanEmployeeData[[#This Row],[DistanceFromHome]]&lt;=5,"0–5 miles",CleanEmployeeData[[#This Row],[DistanceFromHome]]&lt;=10,"6–10 miles",CleanEmployeeData[[#This Row],[DistanceFromHome]]&lt;=15,"11–15 miles",TRUE,"16+ miles")</f>
        <v>0–5 miles</v>
      </c>
      <c r="AS265" t="str" cm="1">
        <f t="array" ref="AS265">_xlfn.IFS(CleanEmployeeData[[#This Row],[YearsAtCompany]]&lt;=1,"0–1 years",CleanEmployeeData[[#This Row],[YearsAtCompany]]&lt;=5,"2–5 years",CleanEmployeeData[[#This Row],[YearsAtCompany]]&lt;=10,"6–10 years",TRUE,"11+ years")</f>
        <v>6–10 years</v>
      </c>
    </row>
    <row r="266" spans="1:4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cm="1">
        <f t="array" ref="AJ266">_xlfn.SWITCH(CleanEmployeeData[[#This Row],[Education]],1,"Below College",2,"College",3,"Bachelor",4,"Master",5,"Doctor","Unknown")</f>
        <v>Master</v>
      </c>
      <c r="AK266" t="str" cm="1">
        <f t="array" ref="AK266">_xlfn.SWITCH(CleanEmployeeData[[#This Row],[EnvironmentSatisfaction]],1,"Low",2,"Medium",3,"High",4,"Very High","Unknown")</f>
        <v>Low</v>
      </c>
      <c r="AL266" t="str" cm="1">
        <f t="array" ref="AL266">_xlfn.SWITCH(CleanEmployeeData[[#This Row],[JobInvolvement]],1,"Low",2,"Medium",3,"High",4,"Very High","Unknown")</f>
        <v>High</v>
      </c>
      <c r="AM266" t="str" cm="1">
        <f t="array" ref="AM266">_xlfn.SWITCH(CleanEmployeeData[[#This Row],[JobSatisfaction]],1,"Low",2,"Medium",3,"High",4,"Very High","Unknown")</f>
        <v>High</v>
      </c>
      <c r="AN266" t="str" cm="1">
        <f t="array" ref="AN266">_xlfn.SWITCH(CleanEmployeeData[[#This Row],[PerformanceRating]],1,"Low",2,"Good",3,"Excellent",4,"Outstanding","Unknown")</f>
        <v>Excellent</v>
      </c>
      <c r="AO266" t="str" cm="1">
        <f t="array" ref="AO266">_xlfn.SWITCH(CleanEmployeeData[[#This Row],[WorkLifeBalance]],1,"Bad",2,"Good",3,"Better",4,"Best","Unknown")</f>
        <v>Bad</v>
      </c>
      <c r="AP266">
        <f>IF(CleanEmployeeData[[#This Row],[Attrition]]="Yes",1,IF(CleanEmployeeData[[#This Row],[Attrition]]="No",0,""))</f>
        <v>1</v>
      </c>
      <c r="AQ266" t="str" cm="1">
        <f t="array" ref="AQ266">_xlfn.IFS(CleanEmployeeData[[#This Row],[MonthlyIncome]]&lt;=3000,"0–3,000",CleanEmployeeData[[#This Row],[MonthlyIncome]]&lt;=6000,"3,001–6,000",CleanEmployeeData[[#This Row],[MonthlyIncome]]&lt;=10000,"6,001–10,000",TRUE,"10,001+")</f>
        <v>3,001–6,000</v>
      </c>
      <c r="AR266" t="str" cm="1">
        <f t="array" ref="AR266">_xlfn.IFS(CleanEmployeeData[[#This Row],[DistanceFromHome]]&lt;=5,"0–5 miles",CleanEmployeeData[[#This Row],[DistanceFromHome]]&lt;=10,"6–10 miles",CleanEmployeeData[[#This Row],[DistanceFromHome]]&lt;=15,"11–15 miles",TRUE,"16+ miles")</f>
        <v>0–5 miles</v>
      </c>
      <c r="AS266" t="str" cm="1">
        <f t="array" ref="AS266">_xlfn.IFS(CleanEmployeeData[[#This Row],[YearsAtCompany]]&lt;=1,"0–1 years",CleanEmployeeData[[#This Row],[YearsAtCompany]]&lt;=5,"2–5 years",CleanEmployeeData[[#This Row],[YearsAtCompany]]&lt;=10,"6–10 years",TRUE,"11+ years")</f>
        <v>0–1 years</v>
      </c>
    </row>
    <row r="267" spans="1:4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cm="1">
        <f t="array" ref="AJ267">_xlfn.SWITCH(CleanEmployeeData[[#This Row],[Education]],1,"Below College",2,"College",3,"Bachelor",4,"Master",5,"Doctor","Unknown")</f>
        <v>Bachelor</v>
      </c>
      <c r="AK267" t="str" cm="1">
        <f t="array" ref="AK267">_xlfn.SWITCH(CleanEmployeeData[[#This Row],[EnvironmentSatisfaction]],1,"Low",2,"Medium",3,"High",4,"Very High","Unknown")</f>
        <v>Low</v>
      </c>
      <c r="AL267" t="str" cm="1">
        <f t="array" ref="AL267">_xlfn.SWITCH(CleanEmployeeData[[#This Row],[JobInvolvement]],1,"Low",2,"Medium",3,"High",4,"Very High","Unknown")</f>
        <v>Medium</v>
      </c>
      <c r="AM267" t="str" cm="1">
        <f t="array" ref="AM267">_xlfn.SWITCH(CleanEmployeeData[[#This Row],[JobSatisfaction]],1,"Low",2,"Medium",3,"High",4,"Very High","Unknown")</f>
        <v>Medium</v>
      </c>
      <c r="AN267" t="str" cm="1">
        <f t="array" ref="AN267">_xlfn.SWITCH(CleanEmployeeData[[#This Row],[PerformanceRating]],1,"Low",2,"Good",3,"Excellent",4,"Outstanding","Unknown")</f>
        <v>Excellent</v>
      </c>
      <c r="AO267" t="str" cm="1">
        <f t="array" ref="AO267">_xlfn.SWITCH(CleanEmployeeData[[#This Row],[WorkLifeBalance]],1,"Bad",2,"Good",3,"Better",4,"Best","Unknown")</f>
        <v>Better</v>
      </c>
      <c r="AP267">
        <f>IF(CleanEmployeeData[[#This Row],[Attrition]]="Yes",1,IF(CleanEmployeeData[[#This Row],[Attrition]]="No",0,""))</f>
        <v>0</v>
      </c>
      <c r="AQ267" t="str" cm="1">
        <f t="array" ref="AQ267">_xlfn.IFS(CleanEmployeeData[[#This Row],[MonthlyIncome]]&lt;=3000,"0–3,000",CleanEmployeeData[[#This Row],[MonthlyIncome]]&lt;=6000,"3,001–6,000",CleanEmployeeData[[#This Row],[MonthlyIncome]]&lt;=10000,"6,001–10,000",TRUE,"10,001+")</f>
        <v>6,001–10,000</v>
      </c>
      <c r="AR267" t="str" cm="1">
        <f t="array" ref="AR267">_xlfn.IFS(CleanEmployeeData[[#This Row],[DistanceFromHome]]&lt;=5,"0–5 miles",CleanEmployeeData[[#This Row],[DistanceFromHome]]&lt;=10,"6–10 miles",CleanEmployeeData[[#This Row],[DistanceFromHome]]&lt;=15,"11–15 miles",TRUE,"16+ miles")</f>
        <v>0–5 miles</v>
      </c>
      <c r="AS267" t="str" cm="1">
        <f t="array" ref="AS267">_xlfn.IFS(CleanEmployeeData[[#This Row],[YearsAtCompany]]&lt;=1,"0–1 years",CleanEmployeeData[[#This Row],[YearsAtCompany]]&lt;=5,"2–5 years",CleanEmployeeData[[#This Row],[YearsAtCompany]]&lt;=10,"6–10 years",TRUE,"11+ years")</f>
        <v>0–1 years</v>
      </c>
    </row>
    <row r="268" spans="1:4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cm="1">
        <f t="array" ref="AJ268">_xlfn.SWITCH(CleanEmployeeData[[#This Row],[Education]],1,"Below College",2,"College",3,"Bachelor",4,"Master",5,"Doctor","Unknown")</f>
        <v>Bachelor</v>
      </c>
      <c r="AK268" t="str" cm="1">
        <f t="array" ref="AK268">_xlfn.SWITCH(CleanEmployeeData[[#This Row],[EnvironmentSatisfaction]],1,"Low",2,"Medium",3,"High",4,"Very High","Unknown")</f>
        <v>Medium</v>
      </c>
      <c r="AL268" t="str" cm="1">
        <f t="array" ref="AL268">_xlfn.SWITCH(CleanEmployeeData[[#This Row],[JobInvolvement]],1,"Low",2,"Medium",3,"High",4,"Very High","Unknown")</f>
        <v>Medium</v>
      </c>
      <c r="AM268" t="str" cm="1">
        <f t="array" ref="AM268">_xlfn.SWITCH(CleanEmployeeData[[#This Row],[JobSatisfaction]],1,"Low",2,"Medium",3,"High",4,"Very High","Unknown")</f>
        <v>Very High</v>
      </c>
      <c r="AN268" t="str" cm="1">
        <f t="array" ref="AN268">_xlfn.SWITCH(CleanEmployeeData[[#This Row],[PerformanceRating]],1,"Low",2,"Good",3,"Excellent",4,"Outstanding","Unknown")</f>
        <v>Outstanding</v>
      </c>
      <c r="AO268" t="str" cm="1">
        <f t="array" ref="AO268">_xlfn.SWITCH(CleanEmployeeData[[#This Row],[WorkLifeBalance]],1,"Bad",2,"Good",3,"Better",4,"Best","Unknown")</f>
        <v>Better</v>
      </c>
      <c r="AP268">
        <f>IF(CleanEmployeeData[[#This Row],[Attrition]]="Yes",1,IF(CleanEmployeeData[[#This Row],[Attrition]]="No",0,""))</f>
        <v>0</v>
      </c>
      <c r="AQ268" t="str" cm="1">
        <f t="array" ref="AQ268">_xlfn.IFS(CleanEmployeeData[[#This Row],[MonthlyIncome]]&lt;=3000,"0–3,000",CleanEmployeeData[[#This Row],[MonthlyIncome]]&lt;=6000,"3,001–6,000",CleanEmployeeData[[#This Row],[MonthlyIncome]]&lt;=10000,"6,001–10,000",TRUE,"10,001+")</f>
        <v>3,001–6,000</v>
      </c>
      <c r="AR268" t="str" cm="1">
        <f t="array" ref="AR268">_xlfn.IFS(CleanEmployeeData[[#This Row],[DistanceFromHome]]&lt;=5,"0–5 miles",CleanEmployeeData[[#This Row],[DistanceFromHome]]&lt;=10,"6–10 miles",CleanEmployeeData[[#This Row],[DistanceFromHome]]&lt;=15,"11–15 miles",TRUE,"16+ miles")</f>
        <v>16+ miles</v>
      </c>
      <c r="AS268" t="str" cm="1">
        <f t="array" ref="AS268">_xlfn.IFS(CleanEmployeeData[[#This Row],[YearsAtCompany]]&lt;=1,"0–1 years",CleanEmployeeData[[#This Row],[YearsAtCompany]]&lt;=5,"2–5 years",CleanEmployeeData[[#This Row],[YearsAtCompany]]&lt;=10,"6–10 years",TRUE,"11+ years")</f>
        <v>6–10 years</v>
      </c>
    </row>
    <row r="269" spans="1:4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cm="1">
        <f t="array" ref="AJ269">_xlfn.SWITCH(CleanEmployeeData[[#This Row],[Education]],1,"Below College",2,"College",3,"Bachelor",4,"Master",5,"Doctor","Unknown")</f>
        <v>College</v>
      </c>
      <c r="AK269" t="str" cm="1">
        <f t="array" ref="AK269">_xlfn.SWITCH(CleanEmployeeData[[#This Row],[EnvironmentSatisfaction]],1,"Low",2,"Medium",3,"High",4,"Very High","Unknown")</f>
        <v>Medium</v>
      </c>
      <c r="AL269" t="str" cm="1">
        <f t="array" ref="AL269">_xlfn.SWITCH(CleanEmployeeData[[#This Row],[JobInvolvement]],1,"Low",2,"Medium",3,"High",4,"Very High","Unknown")</f>
        <v>Very High</v>
      </c>
      <c r="AM269" t="str" cm="1">
        <f t="array" ref="AM269">_xlfn.SWITCH(CleanEmployeeData[[#This Row],[JobSatisfaction]],1,"Low",2,"Medium",3,"High",4,"Very High","Unknown")</f>
        <v>Low</v>
      </c>
      <c r="AN269" t="str" cm="1">
        <f t="array" ref="AN269">_xlfn.SWITCH(CleanEmployeeData[[#This Row],[PerformanceRating]],1,"Low",2,"Good",3,"Excellent",4,"Outstanding","Unknown")</f>
        <v>Excellent</v>
      </c>
      <c r="AO269" t="str" cm="1">
        <f t="array" ref="AO269">_xlfn.SWITCH(CleanEmployeeData[[#This Row],[WorkLifeBalance]],1,"Bad",2,"Good",3,"Better",4,"Best","Unknown")</f>
        <v>Better</v>
      </c>
      <c r="AP269">
        <f>IF(CleanEmployeeData[[#This Row],[Attrition]]="Yes",1,IF(CleanEmployeeData[[#This Row],[Attrition]]="No",0,""))</f>
        <v>0</v>
      </c>
      <c r="AQ269" t="str" cm="1">
        <f t="array" ref="AQ269">_xlfn.IFS(CleanEmployeeData[[#This Row],[MonthlyIncome]]&lt;=3000,"0–3,000",CleanEmployeeData[[#This Row],[MonthlyIncome]]&lt;=6000,"3,001–6,000",CleanEmployeeData[[#This Row],[MonthlyIncome]]&lt;=10000,"6,001–10,000",TRUE,"10,001+")</f>
        <v>3,001–6,000</v>
      </c>
      <c r="AR269" t="str" cm="1">
        <f t="array" ref="AR269">_xlfn.IFS(CleanEmployeeData[[#This Row],[DistanceFromHome]]&lt;=5,"0–5 miles",CleanEmployeeData[[#This Row],[DistanceFromHome]]&lt;=10,"6–10 miles",CleanEmployeeData[[#This Row],[DistanceFromHome]]&lt;=15,"11–15 miles",TRUE,"16+ miles")</f>
        <v>0–5 miles</v>
      </c>
      <c r="AS269" t="str" cm="1">
        <f t="array" ref="AS269">_xlfn.IFS(CleanEmployeeData[[#This Row],[YearsAtCompany]]&lt;=1,"0–1 years",CleanEmployeeData[[#This Row],[YearsAtCompany]]&lt;=5,"2–5 years",CleanEmployeeData[[#This Row],[YearsAtCompany]]&lt;=10,"6–10 years",TRUE,"11+ years")</f>
        <v>6–10 years</v>
      </c>
    </row>
    <row r="270" spans="1:4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cm="1">
        <f t="array" ref="AJ270">_xlfn.SWITCH(CleanEmployeeData[[#This Row],[Education]],1,"Below College",2,"College",3,"Bachelor",4,"Master",5,"Doctor","Unknown")</f>
        <v>College</v>
      </c>
      <c r="AK270" t="str" cm="1">
        <f t="array" ref="AK270">_xlfn.SWITCH(CleanEmployeeData[[#This Row],[EnvironmentSatisfaction]],1,"Low",2,"Medium",3,"High",4,"Very High","Unknown")</f>
        <v>High</v>
      </c>
      <c r="AL270" t="str" cm="1">
        <f t="array" ref="AL270">_xlfn.SWITCH(CleanEmployeeData[[#This Row],[JobInvolvement]],1,"Low",2,"Medium",3,"High",4,"Very High","Unknown")</f>
        <v>High</v>
      </c>
      <c r="AM270" t="str" cm="1">
        <f t="array" ref="AM270">_xlfn.SWITCH(CleanEmployeeData[[#This Row],[JobSatisfaction]],1,"Low",2,"Medium",3,"High",4,"Very High","Unknown")</f>
        <v>Very High</v>
      </c>
      <c r="AN270" t="str" cm="1">
        <f t="array" ref="AN270">_xlfn.SWITCH(CleanEmployeeData[[#This Row],[PerformanceRating]],1,"Low",2,"Good",3,"Excellent",4,"Outstanding","Unknown")</f>
        <v>Excellent</v>
      </c>
      <c r="AO270" t="str" cm="1">
        <f t="array" ref="AO270">_xlfn.SWITCH(CleanEmployeeData[[#This Row],[WorkLifeBalance]],1,"Bad",2,"Good",3,"Better",4,"Best","Unknown")</f>
        <v>Better</v>
      </c>
      <c r="AP270">
        <f>IF(CleanEmployeeData[[#This Row],[Attrition]]="Yes",1,IF(CleanEmployeeData[[#This Row],[Attrition]]="No",0,""))</f>
        <v>0</v>
      </c>
      <c r="AQ270" t="str" cm="1">
        <f t="array" ref="AQ270">_xlfn.IFS(CleanEmployeeData[[#This Row],[MonthlyIncome]]&lt;=3000,"0–3,000",CleanEmployeeData[[#This Row],[MonthlyIncome]]&lt;=6000,"3,001–6,000",CleanEmployeeData[[#This Row],[MonthlyIncome]]&lt;=10000,"6,001–10,000",TRUE,"10,001+")</f>
        <v>10,001+</v>
      </c>
      <c r="AR270" t="str" cm="1">
        <f t="array" ref="AR270">_xlfn.IFS(CleanEmployeeData[[#This Row],[DistanceFromHome]]&lt;=5,"0–5 miles",CleanEmployeeData[[#This Row],[DistanceFromHome]]&lt;=10,"6–10 miles",CleanEmployeeData[[#This Row],[DistanceFromHome]]&lt;=15,"11–15 miles",TRUE,"16+ miles")</f>
        <v>16+ miles</v>
      </c>
      <c r="AS270" t="str" cm="1">
        <f t="array" ref="AS270">_xlfn.IFS(CleanEmployeeData[[#This Row],[YearsAtCompany]]&lt;=1,"0–1 years",CleanEmployeeData[[#This Row],[YearsAtCompany]]&lt;=5,"2–5 years",CleanEmployeeData[[#This Row],[YearsAtCompany]]&lt;=10,"6–10 years",TRUE,"11+ years")</f>
        <v>11+ years</v>
      </c>
    </row>
    <row r="271" spans="1:4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cm="1">
        <f t="array" ref="AJ271">_xlfn.SWITCH(CleanEmployeeData[[#This Row],[Education]],1,"Below College",2,"College",3,"Bachelor",4,"Master",5,"Doctor","Unknown")</f>
        <v>Bachelor</v>
      </c>
      <c r="AK271" t="str" cm="1">
        <f t="array" ref="AK271">_xlfn.SWITCH(CleanEmployeeData[[#This Row],[EnvironmentSatisfaction]],1,"Low",2,"Medium",3,"High",4,"Very High","Unknown")</f>
        <v>Very High</v>
      </c>
      <c r="AL271" t="str" cm="1">
        <f t="array" ref="AL271">_xlfn.SWITCH(CleanEmployeeData[[#This Row],[JobInvolvement]],1,"Low",2,"Medium",3,"High",4,"Very High","Unknown")</f>
        <v>High</v>
      </c>
      <c r="AM271" t="str" cm="1">
        <f t="array" ref="AM271">_xlfn.SWITCH(CleanEmployeeData[[#This Row],[JobSatisfaction]],1,"Low",2,"Medium",3,"High",4,"Very High","Unknown")</f>
        <v>Very High</v>
      </c>
      <c r="AN271" t="str" cm="1">
        <f t="array" ref="AN271">_xlfn.SWITCH(CleanEmployeeData[[#This Row],[PerformanceRating]],1,"Low",2,"Good",3,"Excellent",4,"Outstanding","Unknown")</f>
        <v>Excellent</v>
      </c>
      <c r="AO271" t="str" cm="1">
        <f t="array" ref="AO271">_xlfn.SWITCH(CleanEmployeeData[[#This Row],[WorkLifeBalance]],1,"Bad",2,"Good",3,"Better",4,"Best","Unknown")</f>
        <v>Better</v>
      </c>
      <c r="AP271">
        <f>IF(CleanEmployeeData[[#This Row],[Attrition]]="Yes",1,IF(CleanEmployeeData[[#This Row],[Attrition]]="No",0,""))</f>
        <v>0</v>
      </c>
      <c r="AQ271" t="str" cm="1">
        <f t="array" ref="AQ271">_xlfn.IFS(CleanEmployeeData[[#This Row],[MonthlyIncome]]&lt;=3000,"0–3,000",CleanEmployeeData[[#This Row],[MonthlyIncome]]&lt;=6000,"3,001–6,000",CleanEmployeeData[[#This Row],[MonthlyIncome]]&lt;=10000,"6,001–10,000",TRUE,"10,001+")</f>
        <v>3,001–6,000</v>
      </c>
      <c r="AR271" t="str" cm="1">
        <f t="array" ref="AR271">_xlfn.IFS(CleanEmployeeData[[#This Row],[DistanceFromHome]]&lt;=5,"0–5 miles",CleanEmployeeData[[#This Row],[DistanceFromHome]]&lt;=10,"6–10 miles",CleanEmployeeData[[#This Row],[DistanceFromHome]]&lt;=15,"11–15 miles",TRUE,"16+ miles")</f>
        <v>6–10 miles</v>
      </c>
      <c r="AS271" t="str" cm="1">
        <f t="array" ref="AS271">_xlfn.IFS(CleanEmployeeData[[#This Row],[YearsAtCompany]]&lt;=1,"0–1 years",CleanEmployeeData[[#This Row],[YearsAtCompany]]&lt;=5,"2–5 years",CleanEmployeeData[[#This Row],[YearsAtCompany]]&lt;=10,"6–10 years",TRUE,"11+ years")</f>
        <v>11+ years</v>
      </c>
    </row>
    <row r="272" spans="1:4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cm="1">
        <f t="array" ref="AJ272">_xlfn.SWITCH(CleanEmployeeData[[#This Row],[Education]],1,"Below College",2,"College",3,"Bachelor",4,"Master",5,"Doctor","Unknown")</f>
        <v>Bachelor</v>
      </c>
      <c r="AK272" t="str" cm="1">
        <f t="array" ref="AK272">_xlfn.SWITCH(CleanEmployeeData[[#This Row],[EnvironmentSatisfaction]],1,"Low",2,"Medium",3,"High",4,"Very High","Unknown")</f>
        <v>Very High</v>
      </c>
      <c r="AL272" t="str" cm="1">
        <f t="array" ref="AL272">_xlfn.SWITCH(CleanEmployeeData[[#This Row],[JobInvolvement]],1,"Low",2,"Medium",3,"High",4,"Very High","Unknown")</f>
        <v>High</v>
      </c>
      <c r="AM272" t="str" cm="1">
        <f t="array" ref="AM272">_xlfn.SWITCH(CleanEmployeeData[[#This Row],[JobSatisfaction]],1,"Low",2,"Medium",3,"High",4,"Very High","Unknown")</f>
        <v>Low</v>
      </c>
      <c r="AN272" t="str" cm="1">
        <f t="array" ref="AN272">_xlfn.SWITCH(CleanEmployeeData[[#This Row],[PerformanceRating]],1,"Low",2,"Good",3,"Excellent",4,"Outstanding","Unknown")</f>
        <v>Excellent</v>
      </c>
      <c r="AO272" t="str" cm="1">
        <f t="array" ref="AO272">_xlfn.SWITCH(CleanEmployeeData[[#This Row],[WorkLifeBalance]],1,"Bad",2,"Good",3,"Better",4,"Best","Unknown")</f>
        <v>Better</v>
      </c>
      <c r="AP272">
        <f>IF(CleanEmployeeData[[#This Row],[Attrition]]="Yes",1,IF(CleanEmployeeData[[#This Row],[Attrition]]="No",0,""))</f>
        <v>0</v>
      </c>
      <c r="AQ272" t="str" cm="1">
        <f t="array" ref="AQ272">_xlfn.IFS(CleanEmployeeData[[#This Row],[MonthlyIncome]]&lt;=3000,"0–3,000",CleanEmployeeData[[#This Row],[MonthlyIncome]]&lt;=6000,"3,001–6,000",CleanEmployeeData[[#This Row],[MonthlyIncome]]&lt;=10000,"6,001–10,000",TRUE,"10,001+")</f>
        <v>10,001+</v>
      </c>
      <c r="AR272" t="str" cm="1">
        <f t="array" ref="AR272">_xlfn.IFS(CleanEmployeeData[[#This Row],[DistanceFromHome]]&lt;=5,"0–5 miles",CleanEmployeeData[[#This Row],[DistanceFromHome]]&lt;=10,"6–10 miles",CleanEmployeeData[[#This Row],[DistanceFromHome]]&lt;=15,"11–15 miles",TRUE,"16+ miles")</f>
        <v>0–5 miles</v>
      </c>
      <c r="AS272" t="str" cm="1">
        <f t="array" ref="AS272">_xlfn.IFS(CleanEmployeeData[[#This Row],[YearsAtCompany]]&lt;=1,"0–1 years",CleanEmployeeData[[#This Row],[YearsAtCompany]]&lt;=5,"2–5 years",CleanEmployeeData[[#This Row],[YearsAtCompany]]&lt;=10,"6–10 years",TRUE,"11+ years")</f>
        <v>11+ years</v>
      </c>
    </row>
    <row r="273" spans="1:4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cm="1">
        <f t="array" ref="AJ273">_xlfn.SWITCH(CleanEmployeeData[[#This Row],[Education]],1,"Below College",2,"College",3,"Bachelor",4,"Master",5,"Doctor","Unknown")</f>
        <v>Master</v>
      </c>
      <c r="AK273" t="str" cm="1">
        <f t="array" ref="AK273">_xlfn.SWITCH(CleanEmployeeData[[#This Row],[EnvironmentSatisfaction]],1,"Low",2,"Medium",3,"High",4,"Very High","Unknown")</f>
        <v>Low</v>
      </c>
      <c r="AL273" t="str" cm="1">
        <f t="array" ref="AL273">_xlfn.SWITCH(CleanEmployeeData[[#This Row],[JobInvolvement]],1,"Low",2,"Medium",3,"High",4,"Very High","Unknown")</f>
        <v>High</v>
      </c>
      <c r="AM273" t="str" cm="1">
        <f t="array" ref="AM273">_xlfn.SWITCH(CleanEmployeeData[[#This Row],[JobSatisfaction]],1,"Low",2,"Medium",3,"High",4,"Very High","Unknown")</f>
        <v>Medium</v>
      </c>
      <c r="AN273" t="str" cm="1">
        <f t="array" ref="AN273">_xlfn.SWITCH(CleanEmployeeData[[#This Row],[PerformanceRating]],1,"Low",2,"Good",3,"Excellent",4,"Outstanding","Unknown")</f>
        <v>Excellent</v>
      </c>
      <c r="AO273" t="str" cm="1">
        <f t="array" ref="AO273">_xlfn.SWITCH(CleanEmployeeData[[#This Row],[WorkLifeBalance]],1,"Bad",2,"Good",3,"Better",4,"Best","Unknown")</f>
        <v>Good</v>
      </c>
      <c r="AP273">
        <f>IF(CleanEmployeeData[[#This Row],[Attrition]]="Yes",1,IF(CleanEmployeeData[[#This Row],[Attrition]]="No",0,""))</f>
        <v>1</v>
      </c>
      <c r="AQ273" t="str" cm="1">
        <f t="array" ref="AQ273">_xlfn.IFS(CleanEmployeeData[[#This Row],[MonthlyIncome]]&lt;=3000,"0–3,000",CleanEmployeeData[[#This Row],[MonthlyIncome]]&lt;=6000,"3,001–6,000",CleanEmployeeData[[#This Row],[MonthlyIncome]]&lt;=10000,"6,001–10,000",TRUE,"10,001+")</f>
        <v>10,001+</v>
      </c>
      <c r="AR273" t="str" cm="1">
        <f t="array" ref="AR273">_xlfn.IFS(CleanEmployeeData[[#This Row],[DistanceFromHome]]&lt;=5,"0–5 miles",CleanEmployeeData[[#This Row],[DistanceFromHome]]&lt;=10,"6–10 miles",CleanEmployeeData[[#This Row],[DistanceFromHome]]&lt;=15,"11–15 miles",TRUE,"16+ miles")</f>
        <v>16+ miles</v>
      </c>
      <c r="AS273" t="str" cm="1">
        <f t="array" ref="AS273">_xlfn.IFS(CleanEmployeeData[[#This Row],[YearsAtCompany]]&lt;=1,"0–1 years",CleanEmployeeData[[#This Row],[YearsAtCompany]]&lt;=5,"2–5 years",CleanEmployeeData[[#This Row],[YearsAtCompany]]&lt;=10,"6–10 years",TRUE,"11+ years")</f>
        <v>6–10 years</v>
      </c>
    </row>
    <row r="274" spans="1:4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cm="1">
        <f t="array" ref="AJ274">_xlfn.SWITCH(CleanEmployeeData[[#This Row],[Education]],1,"Below College",2,"College",3,"Bachelor",4,"Master",5,"Doctor","Unknown")</f>
        <v>Bachelor</v>
      </c>
      <c r="AK274" t="str" cm="1">
        <f t="array" ref="AK274">_xlfn.SWITCH(CleanEmployeeData[[#This Row],[EnvironmentSatisfaction]],1,"Low",2,"Medium",3,"High",4,"Very High","Unknown")</f>
        <v>Very High</v>
      </c>
      <c r="AL274" t="str" cm="1">
        <f t="array" ref="AL274">_xlfn.SWITCH(CleanEmployeeData[[#This Row],[JobInvolvement]],1,"Low",2,"Medium",3,"High",4,"Very High","Unknown")</f>
        <v>High</v>
      </c>
      <c r="AM274" t="str" cm="1">
        <f t="array" ref="AM274">_xlfn.SWITCH(CleanEmployeeData[[#This Row],[JobSatisfaction]],1,"Low",2,"Medium",3,"High",4,"Very High","Unknown")</f>
        <v>Very High</v>
      </c>
      <c r="AN274" t="str" cm="1">
        <f t="array" ref="AN274">_xlfn.SWITCH(CleanEmployeeData[[#This Row],[PerformanceRating]],1,"Low",2,"Good",3,"Excellent",4,"Outstanding","Unknown")</f>
        <v>Outstanding</v>
      </c>
      <c r="AO274" t="str" cm="1">
        <f t="array" ref="AO274">_xlfn.SWITCH(CleanEmployeeData[[#This Row],[WorkLifeBalance]],1,"Bad",2,"Good",3,"Better",4,"Best","Unknown")</f>
        <v>Good</v>
      </c>
      <c r="AP274">
        <f>IF(CleanEmployeeData[[#This Row],[Attrition]]="Yes",1,IF(CleanEmployeeData[[#This Row],[Attrition]]="No",0,""))</f>
        <v>0</v>
      </c>
      <c r="AQ274" t="str" cm="1">
        <f t="array" ref="AQ274">_xlfn.IFS(CleanEmployeeData[[#This Row],[MonthlyIncome]]&lt;=3000,"0–3,000",CleanEmployeeData[[#This Row],[MonthlyIncome]]&lt;=6000,"3,001–6,000",CleanEmployeeData[[#This Row],[MonthlyIncome]]&lt;=10000,"6,001–10,000",TRUE,"10,001+")</f>
        <v>0–3,000</v>
      </c>
      <c r="AR274" t="str" cm="1">
        <f t="array" ref="AR274">_xlfn.IFS(CleanEmployeeData[[#This Row],[DistanceFromHome]]&lt;=5,"0–5 miles",CleanEmployeeData[[#This Row],[DistanceFromHome]]&lt;=10,"6–10 miles",CleanEmployeeData[[#This Row],[DistanceFromHome]]&lt;=15,"11–15 miles",TRUE,"16+ miles")</f>
        <v>6–10 miles</v>
      </c>
      <c r="AS274" t="str" cm="1">
        <f t="array" ref="AS274">_xlfn.IFS(CleanEmployeeData[[#This Row],[YearsAtCompany]]&lt;=1,"0–1 years",CleanEmployeeData[[#This Row],[YearsAtCompany]]&lt;=5,"2–5 years",CleanEmployeeData[[#This Row],[YearsAtCompany]]&lt;=10,"6–10 years",TRUE,"11+ years")</f>
        <v>2–5 years</v>
      </c>
    </row>
    <row r="275" spans="1:4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cm="1">
        <f t="array" ref="AJ275">_xlfn.SWITCH(CleanEmployeeData[[#This Row],[Education]],1,"Below College",2,"College",3,"Bachelor",4,"Master",5,"Doctor","Unknown")</f>
        <v>Master</v>
      </c>
      <c r="AK275" t="str" cm="1">
        <f t="array" ref="AK275">_xlfn.SWITCH(CleanEmployeeData[[#This Row],[EnvironmentSatisfaction]],1,"Low",2,"Medium",3,"High",4,"Very High","Unknown")</f>
        <v>High</v>
      </c>
      <c r="AL275" t="str" cm="1">
        <f t="array" ref="AL275">_xlfn.SWITCH(CleanEmployeeData[[#This Row],[JobInvolvement]],1,"Low",2,"Medium",3,"High",4,"Very High","Unknown")</f>
        <v>High</v>
      </c>
      <c r="AM275" t="str" cm="1">
        <f t="array" ref="AM275">_xlfn.SWITCH(CleanEmployeeData[[#This Row],[JobSatisfaction]],1,"Low",2,"Medium",3,"High",4,"Very High","Unknown")</f>
        <v>Very High</v>
      </c>
      <c r="AN275" t="str" cm="1">
        <f t="array" ref="AN275">_xlfn.SWITCH(CleanEmployeeData[[#This Row],[PerformanceRating]],1,"Low",2,"Good",3,"Excellent",4,"Outstanding","Unknown")</f>
        <v>Excellent</v>
      </c>
      <c r="AO275" t="str" cm="1">
        <f t="array" ref="AO275">_xlfn.SWITCH(CleanEmployeeData[[#This Row],[WorkLifeBalance]],1,"Bad",2,"Good",3,"Better",4,"Best","Unknown")</f>
        <v>Best</v>
      </c>
      <c r="AP275">
        <f>IF(CleanEmployeeData[[#This Row],[Attrition]]="Yes",1,IF(CleanEmployeeData[[#This Row],[Attrition]]="No",0,""))</f>
        <v>0</v>
      </c>
      <c r="AQ275" t="str" cm="1">
        <f t="array" ref="AQ275">_xlfn.IFS(CleanEmployeeData[[#This Row],[MonthlyIncome]]&lt;=3000,"0–3,000",CleanEmployeeData[[#This Row],[MonthlyIncome]]&lt;=6000,"3,001–6,000",CleanEmployeeData[[#This Row],[MonthlyIncome]]&lt;=10000,"6,001–10,000",TRUE,"10,001+")</f>
        <v>6,001–10,000</v>
      </c>
      <c r="AR275" t="str" cm="1">
        <f t="array" ref="AR275">_xlfn.IFS(CleanEmployeeData[[#This Row],[DistanceFromHome]]&lt;=5,"0–5 miles",CleanEmployeeData[[#This Row],[DistanceFromHome]]&lt;=10,"6–10 miles",CleanEmployeeData[[#This Row],[DistanceFromHome]]&lt;=15,"11–15 miles",TRUE,"16+ miles")</f>
        <v>6–10 miles</v>
      </c>
      <c r="AS275" t="str" cm="1">
        <f t="array" ref="AS275">_xlfn.IFS(CleanEmployeeData[[#This Row],[YearsAtCompany]]&lt;=1,"0–1 years",CleanEmployeeData[[#This Row],[YearsAtCompany]]&lt;=5,"2–5 years",CleanEmployeeData[[#This Row],[YearsAtCompany]]&lt;=10,"6–10 years",TRUE,"11+ years")</f>
        <v>2–5 years</v>
      </c>
    </row>
    <row r="276" spans="1:4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cm="1">
        <f t="array" ref="AJ276">_xlfn.SWITCH(CleanEmployeeData[[#This Row],[Education]],1,"Below College",2,"College",3,"Bachelor",4,"Master",5,"Doctor","Unknown")</f>
        <v>College</v>
      </c>
      <c r="AK276" t="str" cm="1">
        <f t="array" ref="AK276">_xlfn.SWITCH(CleanEmployeeData[[#This Row],[EnvironmentSatisfaction]],1,"Low",2,"Medium",3,"High",4,"Very High","Unknown")</f>
        <v>Very High</v>
      </c>
      <c r="AL276" t="str" cm="1">
        <f t="array" ref="AL276">_xlfn.SWITCH(CleanEmployeeData[[#This Row],[JobInvolvement]],1,"Low",2,"Medium",3,"High",4,"Very High","Unknown")</f>
        <v>Medium</v>
      </c>
      <c r="AM276" t="str" cm="1">
        <f t="array" ref="AM276">_xlfn.SWITCH(CleanEmployeeData[[#This Row],[JobSatisfaction]],1,"Low",2,"Medium",3,"High",4,"Very High","Unknown")</f>
        <v>High</v>
      </c>
      <c r="AN276" t="str" cm="1">
        <f t="array" ref="AN276">_xlfn.SWITCH(CleanEmployeeData[[#This Row],[PerformanceRating]],1,"Low",2,"Good",3,"Excellent",4,"Outstanding","Unknown")</f>
        <v>Excellent</v>
      </c>
      <c r="AO276" t="str" cm="1">
        <f t="array" ref="AO276">_xlfn.SWITCH(CleanEmployeeData[[#This Row],[WorkLifeBalance]],1,"Bad",2,"Good",3,"Better",4,"Best","Unknown")</f>
        <v>Best</v>
      </c>
      <c r="AP276">
        <f>IF(CleanEmployeeData[[#This Row],[Attrition]]="Yes",1,IF(CleanEmployeeData[[#This Row],[Attrition]]="No",0,""))</f>
        <v>0</v>
      </c>
      <c r="AQ276" t="str" cm="1">
        <f t="array" ref="AQ276">_xlfn.IFS(CleanEmployeeData[[#This Row],[MonthlyIncome]]&lt;=3000,"0–3,000",CleanEmployeeData[[#This Row],[MonthlyIncome]]&lt;=6000,"3,001–6,000",CleanEmployeeData[[#This Row],[MonthlyIncome]]&lt;=10000,"6,001–10,000",TRUE,"10,001+")</f>
        <v>3,001–6,000</v>
      </c>
      <c r="AR276" t="str" cm="1">
        <f t="array" ref="AR276">_xlfn.IFS(CleanEmployeeData[[#This Row],[DistanceFromHome]]&lt;=5,"0–5 miles",CleanEmployeeData[[#This Row],[DistanceFromHome]]&lt;=10,"6–10 miles",CleanEmployeeData[[#This Row],[DistanceFromHome]]&lt;=15,"11–15 miles",TRUE,"16+ miles")</f>
        <v>0–5 miles</v>
      </c>
      <c r="AS276" t="str" cm="1">
        <f t="array" ref="AS276">_xlfn.IFS(CleanEmployeeData[[#This Row],[YearsAtCompany]]&lt;=1,"0–1 years",CleanEmployeeData[[#This Row],[YearsAtCompany]]&lt;=5,"2–5 years",CleanEmployeeData[[#This Row],[YearsAtCompany]]&lt;=10,"6–10 years",TRUE,"11+ years")</f>
        <v>2–5 years</v>
      </c>
    </row>
    <row r="277" spans="1:4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cm="1">
        <f t="array" ref="AJ277">_xlfn.SWITCH(CleanEmployeeData[[#This Row],[Education]],1,"Below College",2,"College",3,"Bachelor",4,"Master",5,"Doctor","Unknown")</f>
        <v>Master</v>
      </c>
      <c r="AK277" t="str" cm="1">
        <f t="array" ref="AK277">_xlfn.SWITCH(CleanEmployeeData[[#This Row],[EnvironmentSatisfaction]],1,"Low",2,"Medium",3,"High",4,"Very High","Unknown")</f>
        <v>Low</v>
      </c>
      <c r="AL277" t="str" cm="1">
        <f t="array" ref="AL277">_xlfn.SWITCH(CleanEmployeeData[[#This Row],[JobInvolvement]],1,"Low",2,"Medium",3,"High",4,"Very High","Unknown")</f>
        <v>High</v>
      </c>
      <c r="AM277" t="str" cm="1">
        <f t="array" ref="AM277">_xlfn.SWITCH(CleanEmployeeData[[#This Row],[JobSatisfaction]],1,"Low",2,"Medium",3,"High",4,"Very High","Unknown")</f>
        <v>Very High</v>
      </c>
      <c r="AN277" t="str" cm="1">
        <f t="array" ref="AN277">_xlfn.SWITCH(CleanEmployeeData[[#This Row],[PerformanceRating]],1,"Low",2,"Good",3,"Excellent",4,"Outstanding","Unknown")</f>
        <v>Excellent</v>
      </c>
      <c r="AO277" t="str" cm="1">
        <f t="array" ref="AO277">_xlfn.SWITCH(CleanEmployeeData[[#This Row],[WorkLifeBalance]],1,"Bad",2,"Good",3,"Better",4,"Best","Unknown")</f>
        <v>Better</v>
      </c>
      <c r="AP277">
        <f>IF(CleanEmployeeData[[#This Row],[Attrition]]="Yes",1,IF(CleanEmployeeData[[#This Row],[Attrition]]="No",0,""))</f>
        <v>0</v>
      </c>
      <c r="AQ277" t="str" cm="1">
        <f t="array" ref="AQ277">_xlfn.IFS(CleanEmployeeData[[#This Row],[MonthlyIncome]]&lt;=3000,"0–3,000",CleanEmployeeData[[#This Row],[MonthlyIncome]]&lt;=6000,"3,001–6,000",CleanEmployeeData[[#This Row],[MonthlyIncome]]&lt;=10000,"6,001–10,000",TRUE,"10,001+")</f>
        <v>10,001+</v>
      </c>
      <c r="AR277" t="str" cm="1">
        <f t="array" ref="AR277">_xlfn.IFS(CleanEmployeeData[[#This Row],[DistanceFromHome]]&lt;=5,"0–5 miles",CleanEmployeeData[[#This Row],[DistanceFromHome]]&lt;=10,"6–10 miles",CleanEmployeeData[[#This Row],[DistanceFromHome]]&lt;=15,"11–15 miles",TRUE,"16+ miles")</f>
        <v>0–5 miles</v>
      </c>
      <c r="AS277" t="str" cm="1">
        <f t="array" ref="AS277">_xlfn.IFS(CleanEmployeeData[[#This Row],[YearsAtCompany]]&lt;=1,"0–1 years",CleanEmployeeData[[#This Row],[YearsAtCompany]]&lt;=5,"2–5 years",CleanEmployeeData[[#This Row],[YearsAtCompany]]&lt;=10,"6–10 years",TRUE,"11+ years")</f>
        <v>2–5 years</v>
      </c>
    </row>
    <row r="278" spans="1:4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cm="1">
        <f t="array" ref="AJ278">_xlfn.SWITCH(CleanEmployeeData[[#This Row],[Education]],1,"Below College",2,"College",3,"Bachelor",4,"Master",5,"Doctor","Unknown")</f>
        <v>Bachelor</v>
      </c>
      <c r="AK278" t="str" cm="1">
        <f t="array" ref="AK278">_xlfn.SWITCH(CleanEmployeeData[[#This Row],[EnvironmentSatisfaction]],1,"Low",2,"Medium",3,"High",4,"Very High","Unknown")</f>
        <v>Medium</v>
      </c>
      <c r="AL278" t="str" cm="1">
        <f t="array" ref="AL278">_xlfn.SWITCH(CleanEmployeeData[[#This Row],[JobInvolvement]],1,"Low",2,"Medium",3,"High",4,"Very High","Unknown")</f>
        <v>Very High</v>
      </c>
      <c r="AM278" t="str" cm="1">
        <f t="array" ref="AM278">_xlfn.SWITCH(CleanEmployeeData[[#This Row],[JobSatisfaction]],1,"Low",2,"Medium",3,"High",4,"Very High","Unknown")</f>
        <v>Medium</v>
      </c>
      <c r="AN278" t="str" cm="1">
        <f t="array" ref="AN278">_xlfn.SWITCH(CleanEmployeeData[[#This Row],[PerformanceRating]],1,"Low",2,"Good",3,"Excellent",4,"Outstanding","Unknown")</f>
        <v>Excellent</v>
      </c>
      <c r="AO278" t="str" cm="1">
        <f t="array" ref="AO278">_xlfn.SWITCH(CleanEmployeeData[[#This Row],[WorkLifeBalance]],1,"Bad",2,"Good",3,"Better",4,"Best","Unknown")</f>
        <v>Good</v>
      </c>
      <c r="AP278">
        <f>IF(CleanEmployeeData[[#This Row],[Attrition]]="Yes",1,IF(CleanEmployeeData[[#This Row],[Attrition]]="No",0,""))</f>
        <v>0</v>
      </c>
      <c r="AQ278" t="str" cm="1">
        <f t="array" ref="AQ278">_xlfn.IFS(CleanEmployeeData[[#This Row],[MonthlyIncome]]&lt;=3000,"0–3,000",CleanEmployeeData[[#This Row],[MonthlyIncome]]&lt;=6000,"3,001–6,000",CleanEmployeeData[[#This Row],[MonthlyIncome]]&lt;=10000,"6,001–10,000",TRUE,"10,001+")</f>
        <v>10,001+</v>
      </c>
      <c r="AR278" t="str" cm="1">
        <f t="array" ref="AR278">_xlfn.IFS(CleanEmployeeData[[#This Row],[DistanceFromHome]]&lt;=5,"0–5 miles",CleanEmployeeData[[#This Row],[DistanceFromHome]]&lt;=10,"6–10 miles",CleanEmployeeData[[#This Row],[DistanceFromHome]]&lt;=15,"11–15 miles",TRUE,"16+ miles")</f>
        <v>16+ miles</v>
      </c>
      <c r="AS278" t="str" cm="1">
        <f t="array" ref="AS278">_xlfn.IFS(CleanEmployeeData[[#This Row],[YearsAtCompany]]&lt;=1,"0–1 years",CleanEmployeeData[[#This Row],[YearsAtCompany]]&lt;=5,"2–5 years",CleanEmployeeData[[#This Row],[YearsAtCompany]]&lt;=10,"6–10 years",TRUE,"11+ years")</f>
        <v>6–10 years</v>
      </c>
    </row>
    <row r="279" spans="1:4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cm="1">
        <f t="array" ref="AJ279">_xlfn.SWITCH(CleanEmployeeData[[#This Row],[Education]],1,"Below College",2,"College",3,"Bachelor",4,"Master",5,"Doctor","Unknown")</f>
        <v>College</v>
      </c>
      <c r="AK279" t="str" cm="1">
        <f t="array" ref="AK279">_xlfn.SWITCH(CleanEmployeeData[[#This Row],[EnvironmentSatisfaction]],1,"Low",2,"Medium",3,"High",4,"Very High","Unknown")</f>
        <v>Low</v>
      </c>
      <c r="AL279" t="str" cm="1">
        <f t="array" ref="AL279">_xlfn.SWITCH(CleanEmployeeData[[#This Row],[JobInvolvement]],1,"Low",2,"Medium",3,"High",4,"Very High","Unknown")</f>
        <v>Very High</v>
      </c>
      <c r="AM279" t="str" cm="1">
        <f t="array" ref="AM279">_xlfn.SWITCH(CleanEmployeeData[[#This Row],[JobSatisfaction]],1,"Low",2,"Medium",3,"High",4,"Very High","Unknown")</f>
        <v>Low</v>
      </c>
      <c r="AN279" t="str" cm="1">
        <f t="array" ref="AN279">_xlfn.SWITCH(CleanEmployeeData[[#This Row],[PerformanceRating]],1,"Low",2,"Good",3,"Excellent",4,"Outstanding","Unknown")</f>
        <v>Outstanding</v>
      </c>
      <c r="AO279" t="str" cm="1">
        <f t="array" ref="AO279">_xlfn.SWITCH(CleanEmployeeData[[#This Row],[WorkLifeBalance]],1,"Bad",2,"Good",3,"Better",4,"Best","Unknown")</f>
        <v>Better</v>
      </c>
      <c r="AP279">
        <f>IF(CleanEmployeeData[[#This Row],[Attrition]]="Yes",1,IF(CleanEmployeeData[[#This Row],[Attrition]]="No",0,""))</f>
        <v>0</v>
      </c>
      <c r="AQ279" t="str" cm="1">
        <f t="array" ref="AQ279">_xlfn.IFS(CleanEmployeeData[[#This Row],[MonthlyIncome]]&lt;=3000,"0–3,000",CleanEmployeeData[[#This Row],[MonthlyIncome]]&lt;=6000,"3,001–6,000",CleanEmployeeData[[#This Row],[MonthlyIncome]]&lt;=10000,"6,001–10,000",TRUE,"10,001+")</f>
        <v>3,001–6,000</v>
      </c>
      <c r="AR279" t="str" cm="1">
        <f t="array" ref="AR279">_xlfn.IFS(CleanEmployeeData[[#This Row],[DistanceFromHome]]&lt;=5,"0–5 miles",CleanEmployeeData[[#This Row],[DistanceFromHome]]&lt;=10,"6–10 miles",CleanEmployeeData[[#This Row],[DistanceFromHome]]&lt;=15,"11–15 miles",TRUE,"16+ miles")</f>
        <v>6–10 miles</v>
      </c>
      <c r="AS279" t="str" cm="1">
        <f t="array" ref="AS279">_xlfn.IFS(CleanEmployeeData[[#This Row],[YearsAtCompany]]&lt;=1,"0–1 years",CleanEmployeeData[[#This Row],[YearsAtCompany]]&lt;=5,"2–5 years",CleanEmployeeData[[#This Row],[YearsAtCompany]]&lt;=10,"6–10 years",TRUE,"11+ years")</f>
        <v>6–10 years</v>
      </c>
    </row>
    <row r="280" spans="1:4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cm="1">
        <f t="array" ref="AJ280">_xlfn.SWITCH(CleanEmployeeData[[#This Row],[Education]],1,"Below College",2,"College",3,"Bachelor",4,"Master",5,"Doctor","Unknown")</f>
        <v>Bachelor</v>
      </c>
      <c r="AK280" t="str" cm="1">
        <f t="array" ref="AK280">_xlfn.SWITCH(CleanEmployeeData[[#This Row],[EnvironmentSatisfaction]],1,"Low",2,"Medium",3,"High",4,"Very High","Unknown")</f>
        <v>High</v>
      </c>
      <c r="AL280" t="str" cm="1">
        <f t="array" ref="AL280">_xlfn.SWITCH(CleanEmployeeData[[#This Row],[JobInvolvement]],1,"Low",2,"Medium",3,"High",4,"Very High","Unknown")</f>
        <v>High</v>
      </c>
      <c r="AM280" t="str" cm="1">
        <f t="array" ref="AM280">_xlfn.SWITCH(CleanEmployeeData[[#This Row],[JobSatisfaction]],1,"Low",2,"Medium",3,"High",4,"Very High","Unknown")</f>
        <v>Medium</v>
      </c>
      <c r="AN280" t="str" cm="1">
        <f t="array" ref="AN280">_xlfn.SWITCH(CleanEmployeeData[[#This Row],[PerformanceRating]],1,"Low",2,"Good",3,"Excellent",4,"Outstanding","Unknown")</f>
        <v>Outstanding</v>
      </c>
      <c r="AO280" t="str" cm="1">
        <f t="array" ref="AO280">_xlfn.SWITCH(CleanEmployeeData[[#This Row],[WorkLifeBalance]],1,"Bad",2,"Good",3,"Better",4,"Best","Unknown")</f>
        <v>Bad</v>
      </c>
      <c r="AP280">
        <f>IF(CleanEmployeeData[[#This Row],[Attrition]]="Yes",1,IF(CleanEmployeeData[[#This Row],[Attrition]]="No",0,""))</f>
        <v>0</v>
      </c>
      <c r="AQ280" t="str" cm="1">
        <f t="array" ref="AQ280">_xlfn.IFS(CleanEmployeeData[[#This Row],[MonthlyIncome]]&lt;=3000,"0–3,000",CleanEmployeeData[[#This Row],[MonthlyIncome]]&lt;=6000,"3,001–6,000",CleanEmployeeData[[#This Row],[MonthlyIncome]]&lt;=10000,"6,001–10,000",TRUE,"10,001+")</f>
        <v>6,001–10,000</v>
      </c>
      <c r="AR280" t="str" cm="1">
        <f t="array" ref="AR280">_xlfn.IFS(CleanEmployeeData[[#This Row],[DistanceFromHome]]&lt;=5,"0–5 miles",CleanEmployeeData[[#This Row],[DistanceFromHome]]&lt;=10,"6–10 miles",CleanEmployeeData[[#This Row],[DistanceFromHome]]&lt;=15,"11–15 miles",TRUE,"16+ miles")</f>
        <v>0–5 miles</v>
      </c>
      <c r="AS280" t="str" cm="1">
        <f t="array" ref="AS280">_xlfn.IFS(CleanEmployeeData[[#This Row],[YearsAtCompany]]&lt;=1,"0–1 years",CleanEmployeeData[[#This Row],[YearsAtCompany]]&lt;=5,"2–5 years",CleanEmployeeData[[#This Row],[YearsAtCompany]]&lt;=10,"6–10 years",TRUE,"11+ years")</f>
        <v>6–10 years</v>
      </c>
    </row>
    <row r="281" spans="1:4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cm="1">
        <f t="array" ref="AJ281">_xlfn.SWITCH(CleanEmployeeData[[#This Row],[Education]],1,"Below College",2,"College",3,"Bachelor",4,"Master",5,"Doctor","Unknown")</f>
        <v>Below College</v>
      </c>
      <c r="AK281" t="str" cm="1">
        <f t="array" ref="AK281">_xlfn.SWITCH(CleanEmployeeData[[#This Row],[EnvironmentSatisfaction]],1,"Low",2,"Medium",3,"High",4,"Very High","Unknown")</f>
        <v>Low</v>
      </c>
      <c r="AL281" t="str" cm="1">
        <f t="array" ref="AL281">_xlfn.SWITCH(CleanEmployeeData[[#This Row],[JobInvolvement]],1,"Low",2,"Medium",3,"High",4,"Very High","Unknown")</f>
        <v>High</v>
      </c>
      <c r="AM281" t="str" cm="1">
        <f t="array" ref="AM281">_xlfn.SWITCH(CleanEmployeeData[[#This Row],[JobSatisfaction]],1,"Low",2,"Medium",3,"High",4,"Very High","Unknown")</f>
        <v>Medium</v>
      </c>
      <c r="AN281" t="str" cm="1">
        <f t="array" ref="AN281">_xlfn.SWITCH(CleanEmployeeData[[#This Row],[PerformanceRating]],1,"Low",2,"Good",3,"Excellent",4,"Outstanding","Unknown")</f>
        <v>Excellent</v>
      </c>
      <c r="AO281" t="str" cm="1">
        <f t="array" ref="AO281">_xlfn.SWITCH(CleanEmployeeData[[#This Row],[WorkLifeBalance]],1,"Bad",2,"Good",3,"Better",4,"Best","Unknown")</f>
        <v>Good</v>
      </c>
      <c r="AP281">
        <f>IF(CleanEmployeeData[[#This Row],[Attrition]]="Yes",1,IF(CleanEmployeeData[[#This Row],[Attrition]]="No",0,""))</f>
        <v>0</v>
      </c>
      <c r="AQ281" t="str" cm="1">
        <f t="array" ref="AQ281">_xlfn.IFS(CleanEmployeeData[[#This Row],[MonthlyIncome]]&lt;=3000,"0–3,000",CleanEmployeeData[[#This Row],[MonthlyIncome]]&lt;=6000,"3,001–6,000",CleanEmployeeData[[#This Row],[MonthlyIncome]]&lt;=10000,"6,001–10,000",TRUE,"10,001+")</f>
        <v>10,001+</v>
      </c>
      <c r="AR281" t="str" cm="1">
        <f t="array" ref="AR281">_xlfn.IFS(CleanEmployeeData[[#This Row],[DistanceFromHome]]&lt;=5,"0–5 miles",CleanEmployeeData[[#This Row],[DistanceFromHome]]&lt;=10,"6–10 miles",CleanEmployeeData[[#This Row],[DistanceFromHome]]&lt;=15,"11–15 miles",TRUE,"16+ miles")</f>
        <v>0–5 miles</v>
      </c>
      <c r="AS281" t="str" cm="1">
        <f t="array" ref="AS281">_xlfn.IFS(CleanEmployeeData[[#This Row],[YearsAtCompany]]&lt;=1,"0–1 years",CleanEmployeeData[[#This Row],[YearsAtCompany]]&lt;=5,"2–5 years",CleanEmployeeData[[#This Row],[YearsAtCompany]]&lt;=10,"6–10 years",TRUE,"11+ years")</f>
        <v>6–10 years</v>
      </c>
    </row>
    <row r="282" spans="1:4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cm="1">
        <f t="array" ref="AJ282">_xlfn.SWITCH(CleanEmployeeData[[#This Row],[Education]],1,"Below College",2,"College",3,"Bachelor",4,"Master",5,"Doctor","Unknown")</f>
        <v>Master</v>
      </c>
      <c r="AK282" t="str" cm="1">
        <f t="array" ref="AK282">_xlfn.SWITCH(CleanEmployeeData[[#This Row],[EnvironmentSatisfaction]],1,"Low",2,"Medium",3,"High",4,"Very High","Unknown")</f>
        <v>High</v>
      </c>
      <c r="AL282" t="str" cm="1">
        <f t="array" ref="AL282">_xlfn.SWITCH(CleanEmployeeData[[#This Row],[JobInvolvement]],1,"Low",2,"Medium",3,"High",4,"Very High","Unknown")</f>
        <v>High</v>
      </c>
      <c r="AM282" t="str" cm="1">
        <f t="array" ref="AM282">_xlfn.SWITCH(CleanEmployeeData[[#This Row],[JobSatisfaction]],1,"Low",2,"Medium",3,"High",4,"Very High","Unknown")</f>
        <v>High</v>
      </c>
      <c r="AN282" t="str" cm="1">
        <f t="array" ref="AN282">_xlfn.SWITCH(CleanEmployeeData[[#This Row],[PerformanceRating]],1,"Low",2,"Good",3,"Excellent",4,"Outstanding","Unknown")</f>
        <v>Excellent</v>
      </c>
      <c r="AO282" t="str" cm="1">
        <f t="array" ref="AO282">_xlfn.SWITCH(CleanEmployeeData[[#This Row],[WorkLifeBalance]],1,"Bad",2,"Good",3,"Better",4,"Best","Unknown")</f>
        <v>Good</v>
      </c>
      <c r="AP282">
        <f>IF(CleanEmployeeData[[#This Row],[Attrition]]="Yes",1,IF(CleanEmployeeData[[#This Row],[Attrition]]="No",0,""))</f>
        <v>0</v>
      </c>
      <c r="AQ282" t="str" cm="1">
        <f t="array" ref="AQ282">_xlfn.IFS(CleanEmployeeData[[#This Row],[MonthlyIncome]]&lt;=3000,"0–3,000",CleanEmployeeData[[#This Row],[MonthlyIncome]]&lt;=6000,"3,001–6,000",CleanEmployeeData[[#This Row],[MonthlyIncome]]&lt;=10000,"6,001–10,000",TRUE,"10,001+")</f>
        <v>10,001+</v>
      </c>
      <c r="AR282" t="str" cm="1">
        <f t="array" ref="AR282">_xlfn.IFS(CleanEmployeeData[[#This Row],[DistanceFromHome]]&lt;=5,"0–5 miles",CleanEmployeeData[[#This Row],[DistanceFromHome]]&lt;=10,"6–10 miles",CleanEmployeeData[[#This Row],[DistanceFromHome]]&lt;=15,"11–15 miles",TRUE,"16+ miles")</f>
        <v>0–5 miles</v>
      </c>
      <c r="AS282" t="str" cm="1">
        <f t="array" ref="AS282">_xlfn.IFS(CleanEmployeeData[[#This Row],[YearsAtCompany]]&lt;=1,"0–1 years",CleanEmployeeData[[#This Row],[YearsAtCompany]]&lt;=5,"2–5 years",CleanEmployeeData[[#This Row],[YearsAtCompany]]&lt;=10,"6–10 years",TRUE,"11+ years")</f>
        <v>2–5 years</v>
      </c>
    </row>
    <row r="283" spans="1:4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cm="1">
        <f t="array" ref="AJ283">_xlfn.SWITCH(CleanEmployeeData[[#This Row],[Education]],1,"Below College",2,"College",3,"Bachelor",4,"Master",5,"Doctor","Unknown")</f>
        <v>Below College</v>
      </c>
      <c r="AK283" t="str" cm="1">
        <f t="array" ref="AK283">_xlfn.SWITCH(CleanEmployeeData[[#This Row],[EnvironmentSatisfaction]],1,"Low",2,"Medium",3,"High",4,"Very High","Unknown")</f>
        <v>Medium</v>
      </c>
      <c r="AL283" t="str" cm="1">
        <f t="array" ref="AL283">_xlfn.SWITCH(CleanEmployeeData[[#This Row],[JobInvolvement]],1,"Low",2,"Medium",3,"High",4,"Very High","Unknown")</f>
        <v>High</v>
      </c>
      <c r="AM283" t="str" cm="1">
        <f t="array" ref="AM283">_xlfn.SWITCH(CleanEmployeeData[[#This Row],[JobSatisfaction]],1,"Low",2,"Medium",3,"High",4,"Very High","Unknown")</f>
        <v>High</v>
      </c>
      <c r="AN283" t="str" cm="1">
        <f t="array" ref="AN283">_xlfn.SWITCH(CleanEmployeeData[[#This Row],[PerformanceRating]],1,"Low",2,"Good",3,"Excellent",4,"Outstanding","Unknown")</f>
        <v>Outstanding</v>
      </c>
      <c r="AO283" t="str" cm="1">
        <f t="array" ref="AO283">_xlfn.SWITCH(CleanEmployeeData[[#This Row],[WorkLifeBalance]],1,"Bad",2,"Good",3,"Better",4,"Best","Unknown")</f>
        <v>Better</v>
      </c>
      <c r="AP283">
        <f>IF(CleanEmployeeData[[#This Row],[Attrition]]="Yes",1,IF(CleanEmployeeData[[#This Row],[Attrition]]="No",0,""))</f>
        <v>0</v>
      </c>
      <c r="AQ283" t="str" cm="1">
        <f t="array" ref="AQ283">_xlfn.IFS(CleanEmployeeData[[#This Row],[MonthlyIncome]]&lt;=3000,"0–3,000",CleanEmployeeData[[#This Row],[MonthlyIncome]]&lt;=6000,"3,001–6,000",CleanEmployeeData[[#This Row],[MonthlyIncome]]&lt;=10000,"6,001–10,000",TRUE,"10,001+")</f>
        <v>3,001–6,000</v>
      </c>
      <c r="AR283" t="str" cm="1">
        <f t="array" ref="AR283">_xlfn.IFS(CleanEmployeeData[[#This Row],[DistanceFromHome]]&lt;=5,"0–5 miles",CleanEmployeeData[[#This Row],[DistanceFromHome]]&lt;=10,"6–10 miles",CleanEmployeeData[[#This Row],[DistanceFromHome]]&lt;=15,"11–15 miles",TRUE,"16+ miles")</f>
        <v>0–5 miles</v>
      </c>
      <c r="AS283" t="str" cm="1">
        <f t="array" ref="AS283">_xlfn.IFS(CleanEmployeeData[[#This Row],[YearsAtCompany]]&lt;=1,"0–1 years",CleanEmployeeData[[#This Row],[YearsAtCompany]]&lt;=5,"2–5 years",CleanEmployeeData[[#This Row],[YearsAtCompany]]&lt;=10,"6–10 years",TRUE,"11+ years")</f>
        <v>11+ years</v>
      </c>
    </row>
    <row r="284" spans="1:4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cm="1">
        <f t="array" ref="AJ284">_xlfn.SWITCH(CleanEmployeeData[[#This Row],[Education]],1,"Below College",2,"College",3,"Bachelor",4,"Master",5,"Doctor","Unknown")</f>
        <v>College</v>
      </c>
      <c r="AK284" t="str" cm="1">
        <f t="array" ref="AK284">_xlfn.SWITCH(CleanEmployeeData[[#This Row],[EnvironmentSatisfaction]],1,"Low",2,"Medium",3,"High",4,"Very High","Unknown")</f>
        <v>Medium</v>
      </c>
      <c r="AL284" t="str" cm="1">
        <f t="array" ref="AL284">_xlfn.SWITCH(CleanEmployeeData[[#This Row],[JobInvolvement]],1,"Low",2,"Medium",3,"High",4,"Very High","Unknown")</f>
        <v>High</v>
      </c>
      <c r="AM284" t="str" cm="1">
        <f t="array" ref="AM284">_xlfn.SWITCH(CleanEmployeeData[[#This Row],[JobSatisfaction]],1,"Low",2,"Medium",3,"High",4,"Very High","Unknown")</f>
        <v>Very High</v>
      </c>
      <c r="AN284" t="str" cm="1">
        <f t="array" ref="AN284">_xlfn.SWITCH(CleanEmployeeData[[#This Row],[PerformanceRating]],1,"Low",2,"Good",3,"Excellent",4,"Outstanding","Unknown")</f>
        <v>Excellent</v>
      </c>
      <c r="AO284" t="str" cm="1">
        <f t="array" ref="AO284">_xlfn.SWITCH(CleanEmployeeData[[#This Row],[WorkLifeBalance]],1,"Bad",2,"Good",3,"Better",4,"Best","Unknown")</f>
        <v>Good</v>
      </c>
      <c r="AP284">
        <f>IF(CleanEmployeeData[[#This Row],[Attrition]]="Yes",1,IF(CleanEmployeeData[[#This Row],[Attrition]]="No",0,""))</f>
        <v>0</v>
      </c>
      <c r="AQ284" t="str" cm="1">
        <f t="array" ref="AQ284">_xlfn.IFS(CleanEmployeeData[[#This Row],[MonthlyIncome]]&lt;=3000,"0–3,000",CleanEmployeeData[[#This Row],[MonthlyIncome]]&lt;=6000,"3,001–6,000",CleanEmployeeData[[#This Row],[MonthlyIncome]]&lt;=10000,"6,001–10,000",TRUE,"10,001+")</f>
        <v>3,001–6,000</v>
      </c>
      <c r="AR284" t="str" cm="1">
        <f t="array" ref="AR284">_xlfn.IFS(CleanEmployeeData[[#This Row],[DistanceFromHome]]&lt;=5,"0–5 miles",CleanEmployeeData[[#This Row],[DistanceFromHome]]&lt;=10,"6–10 miles",CleanEmployeeData[[#This Row],[DistanceFromHome]]&lt;=15,"11–15 miles",TRUE,"16+ miles")</f>
        <v>0–5 miles</v>
      </c>
      <c r="AS284" t="str" cm="1">
        <f t="array" ref="AS284">_xlfn.IFS(CleanEmployeeData[[#This Row],[YearsAtCompany]]&lt;=1,"0–1 years",CleanEmployeeData[[#This Row],[YearsAtCompany]]&lt;=5,"2–5 years",CleanEmployeeData[[#This Row],[YearsAtCompany]]&lt;=10,"6–10 years",TRUE,"11+ years")</f>
        <v>6–10 years</v>
      </c>
    </row>
    <row r="285" spans="1:4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cm="1">
        <f t="array" ref="AJ285">_xlfn.SWITCH(CleanEmployeeData[[#This Row],[Education]],1,"Below College",2,"College",3,"Bachelor",4,"Master",5,"Doctor","Unknown")</f>
        <v>College</v>
      </c>
      <c r="AK285" t="str" cm="1">
        <f t="array" ref="AK285">_xlfn.SWITCH(CleanEmployeeData[[#This Row],[EnvironmentSatisfaction]],1,"Low",2,"Medium",3,"High",4,"Very High","Unknown")</f>
        <v>Medium</v>
      </c>
      <c r="AL285" t="str" cm="1">
        <f t="array" ref="AL285">_xlfn.SWITCH(CleanEmployeeData[[#This Row],[JobInvolvement]],1,"Low",2,"Medium",3,"High",4,"Very High","Unknown")</f>
        <v>High</v>
      </c>
      <c r="AM285" t="str" cm="1">
        <f t="array" ref="AM285">_xlfn.SWITCH(CleanEmployeeData[[#This Row],[JobSatisfaction]],1,"Low",2,"Medium",3,"High",4,"Very High","Unknown")</f>
        <v>Very High</v>
      </c>
      <c r="AN285" t="str" cm="1">
        <f t="array" ref="AN285">_xlfn.SWITCH(CleanEmployeeData[[#This Row],[PerformanceRating]],1,"Low",2,"Good",3,"Excellent",4,"Outstanding","Unknown")</f>
        <v>Excellent</v>
      </c>
      <c r="AO285" t="str" cm="1">
        <f t="array" ref="AO285">_xlfn.SWITCH(CleanEmployeeData[[#This Row],[WorkLifeBalance]],1,"Bad",2,"Good",3,"Better",4,"Best","Unknown")</f>
        <v>Better</v>
      </c>
      <c r="AP285">
        <f>IF(CleanEmployeeData[[#This Row],[Attrition]]="Yes",1,IF(CleanEmployeeData[[#This Row],[Attrition]]="No",0,""))</f>
        <v>0</v>
      </c>
      <c r="AQ285" t="str" cm="1">
        <f t="array" ref="AQ285">_xlfn.IFS(CleanEmployeeData[[#This Row],[MonthlyIncome]]&lt;=3000,"0–3,000",CleanEmployeeData[[#This Row],[MonthlyIncome]]&lt;=6000,"3,001–6,000",CleanEmployeeData[[#This Row],[MonthlyIncome]]&lt;=10000,"6,001–10,000",TRUE,"10,001+")</f>
        <v>3,001–6,000</v>
      </c>
      <c r="AR285" t="str" cm="1">
        <f t="array" ref="AR285">_xlfn.IFS(CleanEmployeeData[[#This Row],[DistanceFromHome]]&lt;=5,"0–5 miles",CleanEmployeeData[[#This Row],[DistanceFromHome]]&lt;=10,"6–10 miles",CleanEmployeeData[[#This Row],[DistanceFromHome]]&lt;=15,"11–15 miles",TRUE,"16+ miles")</f>
        <v>16+ miles</v>
      </c>
      <c r="AS285" t="str" cm="1">
        <f t="array" ref="AS285">_xlfn.IFS(CleanEmployeeData[[#This Row],[YearsAtCompany]]&lt;=1,"0–1 years",CleanEmployeeData[[#This Row],[YearsAtCompany]]&lt;=5,"2–5 years",CleanEmployeeData[[#This Row],[YearsAtCompany]]&lt;=10,"6–10 years",TRUE,"11+ years")</f>
        <v>6–10 years</v>
      </c>
    </row>
    <row r="286" spans="1:4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cm="1">
        <f t="array" ref="AJ286">_xlfn.SWITCH(CleanEmployeeData[[#This Row],[Education]],1,"Below College",2,"College",3,"Bachelor",4,"Master",5,"Doctor","Unknown")</f>
        <v>College</v>
      </c>
      <c r="AK286" t="str" cm="1">
        <f t="array" ref="AK286">_xlfn.SWITCH(CleanEmployeeData[[#This Row],[EnvironmentSatisfaction]],1,"Low",2,"Medium",3,"High",4,"Very High","Unknown")</f>
        <v>Low</v>
      </c>
      <c r="AL286" t="str" cm="1">
        <f t="array" ref="AL286">_xlfn.SWITCH(CleanEmployeeData[[#This Row],[JobInvolvement]],1,"Low",2,"Medium",3,"High",4,"Very High","Unknown")</f>
        <v>High</v>
      </c>
      <c r="AM286" t="str" cm="1">
        <f t="array" ref="AM286">_xlfn.SWITCH(CleanEmployeeData[[#This Row],[JobSatisfaction]],1,"Low",2,"Medium",3,"High",4,"Very High","Unknown")</f>
        <v>Low</v>
      </c>
      <c r="AN286" t="str" cm="1">
        <f t="array" ref="AN286">_xlfn.SWITCH(CleanEmployeeData[[#This Row],[PerformanceRating]],1,"Low",2,"Good",3,"Excellent",4,"Outstanding","Unknown")</f>
        <v>Excellent</v>
      </c>
      <c r="AO286" t="str" cm="1">
        <f t="array" ref="AO286">_xlfn.SWITCH(CleanEmployeeData[[#This Row],[WorkLifeBalance]],1,"Bad",2,"Good",3,"Better",4,"Best","Unknown")</f>
        <v>Better</v>
      </c>
      <c r="AP286">
        <f>IF(CleanEmployeeData[[#This Row],[Attrition]]="Yes",1,IF(CleanEmployeeData[[#This Row],[Attrition]]="No",0,""))</f>
        <v>0</v>
      </c>
      <c r="AQ286" t="str" cm="1">
        <f t="array" ref="AQ286">_xlfn.IFS(CleanEmployeeData[[#This Row],[MonthlyIncome]]&lt;=3000,"0–3,000",CleanEmployeeData[[#This Row],[MonthlyIncome]]&lt;=6000,"3,001–6,000",CleanEmployeeData[[#This Row],[MonthlyIncome]]&lt;=10000,"6,001–10,000",TRUE,"10,001+")</f>
        <v>3,001–6,000</v>
      </c>
      <c r="AR286" t="str" cm="1">
        <f t="array" ref="AR286">_xlfn.IFS(CleanEmployeeData[[#This Row],[DistanceFromHome]]&lt;=5,"0–5 miles",CleanEmployeeData[[#This Row],[DistanceFromHome]]&lt;=10,"6–10 miles",CleanEmployeeData[[#This Row],[DistanceFromHome]]&lt;=15,"11–15 miles",TRUE,"16+ miles")</f>
        <v>11–15 miles</v>
      </c>
      <c r="AS286" t="str" cm="1">
        <f t="array" ref="AS286">_xlfn.IFS(CleanEmployeeData[[#This Row],[YearsAtCompany]]&lt;=1,"0–1 years",CleanEmployeeData[[#This Row],[YearsAtCompany]]&lt;=5,"2–5 years",CleanEmployeeData[[#This Row],[YearsAtCompany]]&lt;=10,"6–10 years",TRUE,"11+ years")</f>
        <v>2–5 years</v>
      </c>
    </row>
    <row r="287" spans="1:4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cm="1">
        <f t="array" ref="AJ287">_xlfn.SWITCH(CleanEmployeeData[[#This Row],[Education]],1,"Below College",2,"College",3,"Bachelor",4,"Master",5,"Doctor","Unknown")</f>
        <v>Bachelor</v>
      </c>
      <c r="AK287" t="str" cm="1">
        <f t="array" ref="AK287">_xlfn.SWITCH(CleanEmployeeData[[#This Row],[EnvironmentSatisfaction]],1,"Low",2,"Medium",3,"High",4,"Very High","Unknown")</f>
        <v>Very High</v>
      </c>
      <c r="AL287" t="str" cm="1">
        <f t="array" ref="AL287">_xlfn.SWITCH(CleanEmployeeData[[#This Row],[JobInvolvement]],1,"Low",2,"Medium",3,"High",4,"Very High","Unknown")</f>
        <v>High</v>
      </c>
      <c r="AM287" t="str" cm="1">
        <f t="array" ref="AM287">_xlfn.SWITCH(CleanEmployeeData[[#This Row],[JobSatisfaction]],1,"Low",2,"Medium",3,"High",4,"Very High","Unknown")</f>
        <v>Very High</v>
      </c>
      <c r="AN287" t="str" cm="1">
        <f t="array" ref="AN287">_xlfn.SWITCH(CleanEmployeeData[[#This Row],[PerformanceRating]],1,"Low",2,"Good",3,"Excellent",4,"Outstanding","Unknown")</f>
        <v>Excellent</v>
      </c>
      <c r="AO287" t="str" cm="1">
        <f t="array" ref="AO287">_xlfn.SWITCH(CleanEmployeeData[[#This Row],[WorkLifeBalance]],1,"Bad",2,"Good",3,"Better",4,"Best","Unknown")</f>
        <v>Better</v>
      </c>
      <c r="AP287">
        <f>IF(CleanEmployeeData[[#This Row],[Attrition]]="Yes",1,IF(CleanEmployeeData[[#This Row],[Attrition]]="No",0,""))</f>
        <v>0</v>
      </c>
      <c r="AQ287" t="str" cm="1">
        <f t="array" ref="AQ287">_xlfn.IFS(CleanEmployeeData[[#This Row],[MonthlyIncome]]&lt;=3000,"0–3,000",CleanEmployeeData[[#This Row],[MonthlyIncome]]&lt;=6000,"3,001–6,000",CleanEmployeeData[[#This Row],[MonthlyIncome]]&lt;=10000,"6,001–10,000",TRUE,"10,001+")</f>
        <v>0–3,000</v>
      </c>
      <c r="AR287" t="str" cm="1">
        <f t="array" ref="AR287">_xlfn.IFS(CleanEmployeeData[[#This Row],[DistanceFromHome]]&lt;=5,"0–5 miles",CleanEmployeeData[[#This Row],[DistanceFromHome]]&lt;=10,"6–10 miles",CleanEmployeeData[[#This Row],[DistanceFromHome]]&lt;=15,"11–15 miles",TRUE,"16+ miles")</f>
        <v>0–5 miles</v>
      </c>
      <c r="AS287" t="str" cm="1">
        <f t="array" ref="AS287">_xlfn.IFS(CleanEmployeeData[[#This Row],[YearsAtCompany]]&lt;=1,"0–1 years",CleanEmployeeData[[#This Row],[YearsAtCompany]]&lt;=5,"2–5 years",CleanEmployeeData[[#This Row],[YearsAtCompany]]&lt;=10,"6–10 years",TRUE,"11+ years")</f>
        <v>11+ years</v>
      </c>
    </row>
    <row r="288" spans="1:4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cm="1">
        <f t="array" ref="AJ288">_xlfn.SWITCH(CleanEmployeeData[[#This Row],[Education]],1,"Below College",2,"College",3,"Bachelor",4,"Master",5,"Doctor","Unknown")</f>
        <v>Bachelor</v>
      </c>
      <c r="AK288" t="str" cm="1">
        <f t="array" ref="AK288">_xlfn.SWITCH(CleanEmployeeData[[#This Row],[EnvironmentSatisfaction]],1,"Low",2,"Medium",3,"High",4,"Very High","Unknown")</f>
        <v>Very High</v>
      </c>
      <c r="AL288" t="str" cm="1">
        <f t="array" ref="AL288">_xlfn.SWITCH(CleanEmployeeData[[#This Row],[JobInvolvement]],1,"Low",2,"Medium",3,"High",4,"Very High","Unknown")</f>
        <v>High</v>
      </c>
      <c r="AM288" t="str" cm="1">
        <f t="array" ref="AM288">_xlfn.SWITCH(CleanEmployeeData[[#This Row],[JobSatisfaction]],1,"Low",2,"Medium",3,"High",4,"Very High","Unknown")</f>
        <v>High</v>
      </c>
      <c r="AN288" t="str" cm="1">
        <f t="array" ref="AN288">_xlfn.SWITCH(CleanEmployeeData[[#This Row],[PerformanceRating]],1,"Low",2,"Good",3,"Excellent",4,"Outstanding","Unknown")</f>
        <v>Outstanding</v>
      </c>
      <c r="AO288" t="str" cm="1">
        <f t="array" ref="AO288">_xlfn.SWITCH(CleanEmployeeData[[#This Row],[WorkLifeBalance]],1,"Bad",2,"Good",3,"Better",4,"Best","Unknown")</f>
        <v>Bad</v>
      </c>
      <c r="AP288">
        <f>IF(CleanEmployeeData[[#This Row],[Attrition]]="Yes",1,IF(CleanEmployeeData[[#This Row],[Attrition]]="No",0,""))</f>
        <v>1</v>
      </c>
      <c r="AQ288" t="str" cm="1">
        <f t="array" ref="AQ288">_xlfn.IFS(CleanEmployeeData[[#This Row],[MonthlyIncome]]&lt;=3000,"0–3,000",CleanEmployeeData[[#This Row],[MonthlyIncome]]&lt;=6000,"3,001–6,000",CleanEmployeeData[[#This Row],[MonthlyIncome]]&lt;=10000,"6,001–10,000",TRUE,"10,001+")</f>
        <v>3,001–6,000</v>
      </c>
      <c r="AR288" t="str" cm="1">
        <f t="array" ref="AR288">_xlfn.IFS(CleanEmployeeData[[#This Row],[DistanceFromHome]]&lt;=5,"0–5 miles",CleanEmployeeData[[#This Row],[DistanceFromHome]]&lt;=10,"6–10 miles",CleanEmployeeData[[#This Row],[DistanceFromHome]]&lt;=15,"11–15 miles",TRUE,"16+ miles")</f>
        <v>16+ miles</v>
      </c>
      <c r="AS288" t="str" cm="1">
        <f t="array" ref="AS288">_xlfn.IFS(CleanEmployeeData[[#This Row],[YearsAtCompany]]&lt;=1,"0–1 years",CleanEmployeeData[[#This Row],[YearsAtCompany]]&lt;=5,"2–5 years",CleanEmployeeData[[#This Row],[YearsAtCompany]]&lt;=10,"6–10 years",TRUE,"11+ years")</f>
        <v>0–1 years</v>
      </c>
    </row>
    <row r="289" spans="1:4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cm="1">
        <f t="array" ref="AJ289">_xlfn.SWITCH(CleanEmployeeData[[#This Row],[Education]],1,"Below College",2,"College",3,"Bachelor",4,"Master",5,"Doctor","Unknown")</f>
        <v>Master</v>
      </c>
      <c r="AK289" t="str" cm="1">
        <f t="array" ref="AK289">_xlfn.SWITCH(CleanEmployeeData[[#This Row],[EnvironmentSatisfaction]],1,"Low",2,"Medium",3,"High",4,"Very High","Unknown")</f>
        <v>Very High</v>
      </c>
      <c r="AL289" t="str" cm="1">
        <f t="array" ref="AL289">_xlfn.SWITCH(CleanEmployeeData[[#This Row],[JobInvolvement]],1,"Low",2,"Medium",3,"High",4,"Very High","Unknown")</f>
        <v>High</v>
      </c>
      <c r="AM289" t="str" cm="1">
        <f t="array" ref="AM289">_xlfn.SWITCH(CleanEmployeeData[[#This Row],[JobSatisfaction]],1,"Low",2,"Medium",3,"High",4,"Very High","Unknown")</f>
        <v>Very High</v>
      </c>
      <c r="AN289" t="str" cm="1">
        <f t="array" ref="AN289">_xlfn.SWITCH(CleanEmployeeData[[#This Row],[PerformanceRating]],1,"Low",2,"Good",3,"Excellent",4,"Outstanding","Unknown")</f>
        <v>Excellent</v>
      </c>
      <c r="AO289" t="str" cm="1">
        <f t="array" ref="AO289">_xlfn.SWITCH(CleanEmployeeData[[#This Row],[WorkLifeBalance]],1,"Bad",2,"Good",3,"Better",4,"Best","Unknown")</f>
        <v>Better</v>
      </c>
      <c r="AP289">
        <f>IF(CleanEmployeeData[[#This Row],[Attrition]]="Yes",1,IF(CleanEmployeeData[[#This Row],[Attrition]]="No",0,""))</f>
        <v>0</v>
      </c>
      <c r="AQ289" t="str" cm="1">
        <f t="array" ref="AQ289">_xlfn.IFS(CleanEmployeeData[[#This Row],[MonthlyIncome]]&lt;=3000,"0–3,000",CleanEmployeeData[[#This Row],[MonthlyIncome]]&lt;=6000,"3,001–6,000",CleanEmployeeData[[#This Row],[MonthlyIncome]]&lt;=10000,"6,001–10,000",TRUE,"10,001+")</f>
        <v>3,001–6,000</v>
      </c>
      <c r="AR289" t="str" cm="1">
        <f t="array" ref="AR289">_xlfn.IFS(CleanEmployeeData[[#This Row],[DistanceFromHome]]&lt;=5,"0–5 miles",CleanEmployeeData[[#This Row],[DistanceFromHome]]&lt;=10,"6–10 miles",CleanEmployeeData[[#This Row],[DistanceFromHome]]&lt;=15,"11–15 miles",TRUE,"16+ miles")</f>
        <v>16+ miles</v>
      </c>
      <c r="AS289" t="str" cm="1">
        <f t="array" ref="AS289">_xlfn.IFS(CleanEmployeeData[[#This Row],[YearsAtCompany]]&lt;=1,"0–1 years",CleanEmployeeData[[#This Row],[YearsAtCompany]]&lt;=5,"2–5 years",CleanEmployeeData[[#This Row],[YearsAtCompany]]&lt;=10,"6–10 years",TRUE,"11+ years")</f>
        <v>2–5 years</v>
      </c>
    </row>
    <row r="290" spans="1:4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cm="1">
        <f t="array" ref="AJ290">_xlfn.SWITCH(CleanEmployeeData[[#This Row],[Education]],1,"Below College",2,"College",3,"Bachelor",4,"Master",5,"Doctor","Unknown")</f>
        <v>Master</v>
      </c>
      <c r="AK290" t="str" cm="1">
        <f t="array" ref="AK290">_xlfn.SWITCH(CleanEmployeeData[[#This Row],[EnvironmentSatisfaction]],1,"Low",2,"Medium",3,"High",4,"Very High","Unknown")</f>
        <v>Low</v>
      </c>
      <c r="AL290" t="str" cm="1">
        <f t="array" ref="AL290">_xlfn.SWITCH(CleanEmployeeData[[#This Row],[JobInvolvement]],1,"Low",2,"Medium",3,"High",4,"Very High","Unknown")</f>
        <v>High</v>
      </c>
      <c r="AM290" t="str" cm="1">
        <f t="array" ref="AM290">_xlfn.SWITCH(CleanEmployeeData[[#This Row],[JobSatisfaction]],1,"Low",2,"Medium",3,"High",4,"Very High","Unknown")</f>
        <v>Medium</v>
      </c>
      <c r="AN290" t="str" cm="1">
        <f t="array" ref="AN290">_xlfn.SWITCH(CleanEmployeeData[[#This Row],[PerformanceRating]],1,"Low",2,"Good",3,"Excellent",4,"Outstanding","Unknown")</f>
        <v>Excellent</v>
      </c>
      <c r="AO290" t="str" cm="1">
        <f t="array" ref="AO290">_xlfn.SWITCH(CleanEmployeeData[[#This Row],[WorkLifeBalance]],1,"Bad",2,"Good",3,"Better",4,"Best","Unknown")</f>
        <v>Better</v>
      </c>
      <c r="AP290">
        <f>IF(CleanEmployeeData[[#This Row],[Attrition]]="Yes",1,IF(CleanEmployeeData[[#This Row],[Attrition]]="No",0,""))</f>
        <v>1</v>
      </c>
      <c r="AQ290" t="str" cm="1">
        <f t="array" ref="AQ290">_xlfn.IFS(CleanEmployeeData[[#This Row],[MonthlyIncome]]&lt;=3000,"0–3,000",CleanEmployeeData[[#This Row],[MonthlyIncome]]&lt;=6000,"3,001–6,000",CleanEmployeeData[[#This Row],[MonthlyIncome]]&lt;=10000,"6,001–10,000",TRUE,"10,001+")</f>
        <v>0–3,000</v>
      </c>
      <c r="AR290" t="str" cm="1">
        <f t="array" ref="AR290">_xlfn.IFS(CleanEmployeeData[[#This Row],[DistanceFromHome]]&lt;=5,"0–5 miles",CleanEmployeeData[[#This Row],[DistanceFromHome]]&lt;=10,"6–10 miles",CleanEmployeeData[[#This Row],[DistanceFromHome]]&lt;=15,"11–15 miles",TRUE,"16+ miles")</f>
        <v>16+ miles</v>
      </c>
      <c r="AS290" t="str" cm="1">
        <f t="array" ref="AS290">_xlfn.IFS(CleanEmployeeData[[#This Row],[YearsAtCompany]]&lt;=1,"0–1 years",CleanEmployeeData[[#This Row],[YearsAtCompany]]&lt;=5,"2–5 years",CleanEmployeeData[[#This Row],[YearsAtCompany]]&lt;=10,"6–10 years",TRUE,"11+ years")</f>
        <v>2–5 years</v>
      </c>
    </row>
    <row r="291" spans="1:4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cm="1">
        <f t="array" ref="AJ291">_xlfn.SWITCH(CleanEmployeeData[[#This Row],[Education]],1,"Below College",2,"College",3,"Bachelor",4,"Master",5,"Doctor","Unknown")</f>
        <v>College</v>
      </c>
      <c r="AK291" t="str" cm="1">
        <f t="array" ref="AK291">_xlfn.SWITCH(CleanEmployeeData[[#This Row],[EnvironmentSatisfaction]],1,"Low",2,"Medium",3,"High",4,"Very High","Unknown")</f>
        <v>Very High</v>
      </c>
      <c r="AL291" t="str" cm="1">
        <f t="array" ref="AL291">_xlfn.SWITCH(CleanEmployeeData[[#This Row],[JobInvolvement]],1,"Low",2,"Medium",3,"High",4,"Very High","Unknown")</f>
        <v>High</v>
      </c>
      <c r="AM291" t="str" cm="1">
        <f t="array" ref="AM291">_xlfn.SWITCH(CleanEmployeeData[[#This Row],[JobSatisfaction]],1,"Low",2,"Medium",3,"High",4,"Very High","Unknown")</f>
        <v>Very High</v>
      </c>
      <c r="AN291" t="str" cm="1">
        <f t="array" ref="AN291">_xlfn.SWITCH(CleanEmployeeData[[#This Row],[PerformanceRating]],1,"Low",2,"Good",3,"Excellent",4,"Outstanding","Unknown")</f>
        <v>Outstanding</v>
      </c>
      <c r="AO291" t="str" cm="1">
        <f t="array" ref="AO291">_xlfn.SWITCH(CleanEmployeeData[[#This Row],[WorkLifeBalance]],1,"Bad",2,"Good",3,"Better",4,"Best","Unknown")</f>
        <v>Better</v>
      </c>
      <c r="AP291">
        <f>IF(CleanEmployeeData[[#This Row],[Attrition]]="Yes",1,IF(CleanEmployeeData[[#This Row],[Attrition]]="No",0,""))</f>
        <v>0</v>
      </c>
      <c r="AQ291" t="str" cm="1">
        <f t="array" ref="AQ291">_xlfn.IFS(CleanEmployeeData[[#This Row],[MonthlyIncome]]&lt;=3000,"0–3,000",CleanEmployeeData[[#This Row],[MonthlyIncome]]&lt;=6000,"3,001–6,000",CleanEmployeeData[[#This Row],[MonthlyIncome]]&lt;=10000,"6,001–10,000",TRUE,"10,001+")</f>
        <v>3,001–6,000</v>
      </c>
      <c r="AR291" t="str" cm="1">
        <f t="array" ref="AR291">_xlfn.IFS(CleanEmployeeData[[#This Row],[DistanceFromHome]]&lt;=5,"0–5 miles",CleanEmployeeData[[#This Row],[DistanceFromHome]]&lt;=10,"6–10 miles",CleanEmployeeData[[#This Row],[DistanceFromHome]]&lt;=15,"11–15 miles",TRUE,"16+ miles")</f>
        <v>6–10 miles</v>
      </c>
      <c r="AS291" t="str" cm="1">
        <f t="array" ref="AS291">_xlfn.IFS(CleanEmployeeData[[#This Row],[YearsAtCompany]]&lt;=1,"0–1 years",CleanEmployeeData[[#This Row],[YearsAtCompany]]&lt;=5,"2–5 years",CleanEmployeeData[[#This Row],[YearsAtCompany]]&lt;=10,"6–10 years",TRUE,"11+ years")</f>
        <v>2–5 years</v>
      </c>
    </row>
    <row r="292" spans="1:4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cm="1">
        <f t="array" ref="AJ292">_xlfn.SWITCH(CleanEmployeeData[[#This Row],[Education]],1,"Below College",2,"College",3,"Bachelor",4,"Master",5,"Doctor","Unknown")</f>
        <v>Master</v>
      </c>
      <c r="AK292" t="str" cm="1">
        <f t="array" ref="AK292">_xlfn.SWITCH(CleanEmployeeData[[#This Row],[EnvironmentSatisfaction]],1,"Low",2,"Medium",3,"High",4,"Very High","Unknown")</f>
        <v>High</v>
      </c>
      <c r="AL292" t="str" cm="1">
        <f t="array" ref="AL292">_xlfn.SWITCH(CleanEmployeeData[[#This Row],[JobInvolvement]],1,"Low",2,"Medium",3,"High",4,"Very High","Unknown")</f>
        <v>High</v>
      </c>
      <c r="AM292" t="str" cm="1">
        <f t="array" ref="AM292">_xlfn.SWITCH(CleanEmployeeData[[#This Row],[JobSatisfaction]],1,"Low",2,"Medium",3,"High",4,"Very High","Unknown")</f>
        <v>Low</v>
      </c>
      <c r="AN292" t="str" cm="1">
        <f t="array" ref="AN292">_xlfn.SWITCH(CleanEmployeeData[[#This Row],[PerformanceRating]],1,"Low",2,"Good",3,"Excellent",4,"Outstanding","Unknown")</f>
        <v>Excellent</v>
      </c>
      <c r="AO292" t="str" cm="1">
        <f t="array" ref="AO292">_xlfn.SWITCH(CleanEmployeeData[[#This Row],[WorkLifeBalance]],1,"Bad",2,"Good",3,"Better",4,"Best","Unknown")</f>
        <v>Better</v>
      </c>
      <c r="AP292">
        <f>IF(CleanEmployeeData[[#This Row],[Attrition]]="Yes",1,IF(CleanEmployeeData[[#This Row],[Attrition]]="No",0,""))</f>
        <v>0</v>
      </c>
      <c r="AQ292" t="str" cm="1">
        <f t="array" ref="AQ292">_xlfn.IFS(CleanEmployeeData[[#This Row],[MonthlyIncome]]&lt;=3000,"0–3,000",CleanEmployeeData[[#This Row],[MonthlyIncome]]&lt;=6000,"3,001–6,000",CleanEmployeeData[[#This Row],[MonthlyIncome]]&lt;=10000,"6,001–10,000",TRUE,"10,001+")</f>
        <v>10,001+</v>
      </c>
      <c r="AR292" t="str" cm="1">
        <f t="array" ref="AR292">_xlfn.IFS(CleanEmployeeData[[#This Row],[DistanceFromHome]]&lt;=5,"0–5 miles",CleanEmployeeData[[#This Row],[DistanceFromHome]]&lt;=10,"6–10 miles",CleanEmployeeData[[#This Row],[DistanceFromHome]]&lt;=15,"11–15 miles",TRUE,"16+ miles")</f>
        <v>6–10 miles</v>
      </c>
      <c r="AS292" t="str" cm="1">
        <f t="array" ref="AS292">_xlfn.IFS(CleanEmployeeData[[#This Row],[YearsAtCompany]]&lt;=1,"0–1 years",CleanEmployeeData[[#This Row],[YearsAtCompany]]&lt;=5,"2–5 years",CleanEmployeeData[[#This Row],[YearsAtCompany]]&lt;=10,"6–10 years",TRUE,"11+ years")</f>
        <v>2–5 years</v>
      </c>
    </row>
    <row r="293" spans="1:4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cm="1">
        <f t="array" ref="AJ293">_xlfn.SWITCH(CleanEmployeeData[[#This Row],[Education]],1,"Below College",2,"College",3,"Bachelor",4,"Master",5,"Doctor","Unknown")</f>
        <v>Bachelor</v>
      </c>
      <c r="AK293" t="str" cm="1">
        <f t="array" ref="AK293">_xlfn.SWITCH(CleanEmployeeData[[#This Row],[EnvironmentSatisfaction]],1,"Low",2,"Medium",3,"High",4,"Very High","Unknown")</f>
        <v>High</v>
      </c>
      <c r="AL293" t="str" cm="1">
        <f t="array" ref="AL293">_xlfn.SWITCH(CleanEmployeeData[[#This Row],[JobInvolvement]],1,"Low",2,"Medium",3,"High",4,"Very High","Unknown")</f>
        <v>High</v>
      </c>
      <c r="AM293" t="str" cm="1">
        <f t="array" ref="AM293">_xlfn.SWITCH(CleanEmployeeData[[#This Row],[JobSatisfaction]],1,"Low",2,"Medium",3,"High",4,"Very High","Unknown")</f>
        <v>Medium</v>
      </c>
      <c r="AN293" t="str" cm="1">
        <f t="array" ref="AN293">_xlfn.SWITCH(CleanEmployeeData[[#This Row],[PerformanceRating]],1,"Low",2,"Good",3,"Excellent",4,"Outstanding","Unknown")</f>
        <v>Excellent</v>
      </c>
      <c r="AO293" t="str" cm="1">
        <f t="array" ref="AO293">_xlfn.SWITCH(CleanEmployeeData[[#This Row],[WorkLifeBalance]],1,"Bad",2,"Good",3,"Better",4,"Best","Unknown")</f>
        <v>Better</v>
      </c>
      <c r="AP293">
        <f>IF(CleanEmployeeData[[#This Row],[Attrition]]="Yes",1,IF(CleanEmployeeData[[#This Row],[Attrition]]="No",0,""))</f>
        <v>0</v>
      </c>
      <c r="AQ293" t="str" cm="1">
        <f t="array" ref="AQ293">_xlfn.IFS(CleanEmployeeData[[#This Row],[MonthlyIncome]]&lt;=3000,"0–3,000",CleanEmployeeData[[#This Row],[MonthlyIncome]]&lt;=6000,"3,001–6,000",CleanEmployeeData[[#This Row],[MonthlyIncome]]&lt;=10000,"6,001–10,000",TRUE,"10,001+")</f>
        <v>3,001–6,000</v>
      </c>
      <c r="AR293" t="str" cm="1">
        <f t="array" ref="AR293">_xlfn.IFS(CleanEmployeeData[[#This Row],[DistanceFromHome]]&lt;=5,"0–5 miles",CleanEmployeeData[[#This Row],[DistanceFromHome]]&lt;=10,"6–10 miles",CleanEmployeeData[[#This Row],[DistanceFromHome]]&lt;=15,"11–15 miles",TRUE,"16+ miles")</f>
        <v>0–5 miles</v>
      </c>
      <c r="AS293" t="str" cm="1">
        <f t="array" ref="AS293">_xlfn.IFS(CleanEmployeeData[[#This Row],[YearsAtCompany]]&lt;=1,"0–1 years",CleanEmployeeData[[#This Row],[YearsAtCompany]]&lt;=5,"2–5 years",CleanEmployeeData[[#This Row],[YearsAtCompany]]&lt;=10,"6–10 years",TRUE,"11+ years")</f>
        <v>6–10 years</v>
      </c>
    </row>
    <row r="294" spans="1:4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cm="1">
        <f t="array" ref="AJ294">_xlfn.SWITCH(CleanEmployeeData[[#This Row],[Education]],1,"Below College",2,"College",3,"Bachelor",4,"Master",5,"Doctor","Unknown")</f>
        <v>Bachelor</v>
      </c>
      <c r="AK294" t="str" cm="1">
        <f t="array" ref="AK294">_xlfn.SWITCH(CleanEmployeeData[[#This Row],[EnvironmentSatisfaction]],1,"Low",2,"Medium",3,"High",4,"Very High","Unknown")</f>
        <v>Very High</v>
      </c>
      <c r="AL294" t="str" cm="1">
        <f t="array" ref="AL294">_xlfn.SWITCH(CleanEmployeeData[[#This Row],[JobInvolvement]],1,"Low",2,"Medium",3,"High",4,"Very High","Unknown")</f>
        <v>High</v>
      </c>
      <c r="AM294" t="str" cm="1">
        <f t="array" ref="AM294">_xlfn.SWITCH(CleanEmployeeData[[#This Row],[JobSatisfaction]],1,"Low",2,"Medium",3,"High",4,"Very High","Unknown")</f>
        <v>Medium</v>
      </c>
      <c r="AN294" t="str" cm="1">
        <f t="array" ref="AN294">_xlfn.SWITCH(CleanEmployeeData[[#This Row],[PerformanceRating]],1,"Low",2,"Good",3,"Excellent",4,"Outstanding","Unknown")</f>
        <v>Excellent</v>
      </c>
      <c r="AO294" t="str" cm="1">
        <f t="array" ref="AO294">_xlfn.SWITCH(CleanEmployeeData[[#This Row],[WorkLifeBalance]],1,"Bad",2,"Good",3,"Better",4,"Best","Unknown")</f>
        <v>Good</v>
      </c>
      <c r="AP294">
        <f>IF(CleanEmployeeData[[#This Row],[Attrition]]="Yes",1,IF(CleanEmployeeData[[#This Row],[Attrition]]="No",0,""))</f>
        <v>0</v>
      </c>
      <c r="AQ294" t="str" cm="1">
        <f t="array" ref="AQ294">_xlfn.IFS(CleanEmployeeData[[#This Row],[MonthlyIncome]]&lt;=3000,"0–3,000",CleanEmployeeData[[#This Row],[MonthlyIncome]]&lt;=6000,"3,001–6,000",CleanEmployeeData[[#This Row],[MonthlyIncome]]&lt;=10000,"6,001–10,000",TRUE,"10,001+")</f>
        <v>0–3,000</v>
      </c>
      <c r="AR294" t="str" cm="1">
        <f t="array" ref="AR294">_xlfn.IFS(CleanEmployeeData[[#This Row],[DistanceFromHome]]&lt;=5,"0–5 miles",CleanEmployeeData[[#This Row],[DistanceFromHome]]&lt;=10,"6–10 miles",CleanEmployeeData[[#This Row],[DistanceFromHome]]&lt;=15,"11–15 miles",TRUE,"16+ miles")</f>
        <v>0–5 miles</v>
      </c>
      <c r="AS294" t="str" cm="1">
        <f t="array" ref="AS294">_xlfn.IFS(CleanEmployeeData[[#This Row],[YearsAtCompany]]&lt;=1,"0–1 years",CleanEmployeeData[[#This Row],[YearsAtCompany]]&lt;=5,"2–5 years",CleanEmployeeData[[#This Row],[YearsAtCompany]]&lt;=10,"6–10 years",TRUE,"11+ years")</f>
        <v>2–5 years</v>
      </c>
    </row>
    <row r="295" spans="1:4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cm="1">
        <f t="array" ref="AJ295">_xlfn.SWITCH(CleanEmployeeData[[#This Row],[Education]],1,"Below College",2,"College",3,"Bachelor",4,"Master",5,"Doctor","Unknown")</f>
        <v>Master</v>
      </c>
      <c r="AK295" t="str" cm="1">
        <f t="array" ref="AK295">_xlfn.SWITCH(CleanEmployeeData[[#This Row],[EnvironmentSatisfaction]],1,"Low",2,"Medium",3,"High",4,"Very High","Unknown")</f>
        <v>Very High</v>
      </c>
      <c r="AL295" t="str" cm="1">
        <f t="array" ref="AL295">_xlfn.SWITCH(CleanEmployeeData[[#This Row],[JobInvolvement]],1,"Low",2,"Medium",3,"High",4,"Very High","Unknown")</f>
        <v>Medium</v>
      </c>
      <c r="AM295" t="str" cm="1">
        <f t="array" ref="AM295">_xlfn.SWITCH(CleanEmployeeData[[#This Row],[JobSatisfaction]],1,"Low",2,"Medium",3,"High",4,"Very High","Unknown")</f>
        <v>Very High</v>
      </c>
      <c r="AN295" t="str" cm="1">
        <f t="array" ref="AN295">_xlfn.SWITCH(CleanEmployeeData[[#This Row],[PerformanceRating]],1,"Low",2,"Good",3,"Excellent",4,"Outstanding","Unknown")</f>
        <v>Excellent</v>
      </c>
      <c r="AO295" t="str" cm="1">
        <f t="array" ref="AO295">_xlfn.SWITCH(CleanEmployeeData[[#This Row],[WorkLifeBalance]],1,"Bad",2,"Good",3,"Better",4,"Best","Unknown")</f>
        <v>Better</v>
      </c>
      <c r="AP295">
        <f>IF(CleanEmployeeData[[#This Row],[Attrition]]="Yes",1,IF(CleanEmployeeData[[#This Row],[Attrition]]="No",0,""))</f>
        <v>1</v>
      </c>
      <c r="AQ295" t="str" cm="1">
        <f t="array" ref="AQ295">_xlfn.IFS(CleanEmployeeData[[#This Row],[MonthlyIncome]]&lt;=3000,"0–3,000",CleanEmployeeData[[#This Row],[MonthlyIncome]]&lt;=6000,"3,001–6,000",CleanEmployeeData[[#This Row],[MonthlyIncome]]&lt;=10000,"6,001–10,000",TRUE,"10,001+")</f>
        <v>3,001–6,000</v>
      </c>
      <c r="AR295" t="str" cm="1">
        <f t="array" ref="AR295">_xlfn.IFS(CleanEmployeeData[[#This Row],[DistanceFromHome]]&lt;=5,"0–5 miles",CleanEmployeeData[[#This Row],[DistanceFromHome]]&lt;=10,"6–10 miles",CleanEmployeeData[[#This Row],[DistanceFromHome]]&lt;=15,"11–15 miles",TRUE,"16+ miles")</f>
        <v>0–5 miles</v>
      </c>
      <c r="AS295" t="str" cm="1">
        <f t="array" ref="AS295">_xlfn.IFS(CleanEmployeeData[[#This Row],[YearsAtCompany]]&lt;=1,"0–1 years",CleanEmployeeData[[#This Row],[YearsAtCompany]]&lt;=5,"2–5 years",CleanEmployeeData[[#This Row],[YearsAtCompany]]&lt;=10,"6–10 years",TRUE,"11+ years")</f>
        <v>6–10 years</v>
      </c>
    </row>
    <row r="296" spans="1:4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cm="1">
        <f t="array" ref="AJ296">_xlfn.SWITCH(CleanEmployeeData[[#This Row],[Education]],1,"Below College",2,"College",3,"Bachelor",4,"Master",5,"Doctor","Unknown")</f>
        <v>Bachelor</v>
      </c>
      <c r="AK296" t="str" cm="1">
        <f t="array" ref="AK296">_xlfn.SWITCH(CleanEmployeeData[[#This Row],[EnvironmentSatisfaction]],1,"Low",2,"Medium",3,"High",4,"Very High","Unknown")</f>
        <v>Medium</v>
      </c>
      <c r="AL296" t="str" cm="1">
        <f t="array" ref="AL296">_xlfn.SWITCH(CleanEmployeeData[[#This Row],[JobInvolvement]],1,"Low",2,"Medium",3,"High",4,"Very High","Unknown")</f>
        <v>High</v>
      </c>
      <c r="AM296" t="str" cm="1">
        <f t="array" ref="AM296">_xlfn.SWITCH(CleanEmployeeData[[#This Row],[JobSatisfaction]],1,"Low",2,"Medium",3,"High",4,"Very High","Unknown")</f>
        <v>Very High</v>
      </c>
      <c r="AN296" t="str" cm="1">
        <f t="array" ref="AN296">_xlfn.SWITCH(CleanEmployeeData[[#This Row],[PerformanceRating]],1,"Low",2,"Good",3,"Excellent",4,"Outstanding","Unknown")</f>
        <v>Excellent</v>
      </c>
      <c r="AO296" t="str" cm="1">
        <f t="array" ref="AO296">_xlfn.SWITCH(CleanEmployeeData[[#This Row],[WorkLifeBalance]],1,"Bad",2,"Good",3,"Better",4,"Best","Unknown")</f>
        <v>Good</v>
      </c>
      <c r="AP296">
        <f>IF(CleanEmployeeData[[#This Row],[Attrition]]="Yes",1,IF(CleanEmployeeData[[#This Row],[Attrition]]="No",0,""))</f>
        <v>0</v>
      </c>
      <c r="AQ296" t="str" cm="1">
        <f t="array" ref="AQ296">_xlfn.IFS(CleanEmployeeData[[#This Row],[MonthlyIncome]]&lt;=3000,"0–3,000",CleanEmployeeData[[#This Row],[MonthlyIncome]]&lt;=6000,"3,001–6,000",CleanEmployeeData[[#This Row],[MonthlyIncome]]&lt;=10000,"6,001–10,000",TRUE,"10,001+")</f>
        <v>0–3,000</v>
      </c>
      <c r="AR296" t="str" cm="1">
        <f t="array" ref="AR296">_xlfn.IFS(CleanEmployeeData[[#This Row],[DistanceFromHome]]&lt;=5,"0–5 miles",CleanEmployeeData[[#This Row],[DistanceFromHome]]&lt;=10,"6–10 miles",CleanEmployeeData[[#This Row],[DistanceFromHome]]&lt;=15,"11–15 miles",TRUE,"16+ miles")</f>
        <v>6–10 miles</v>
      </c>
      <c r="AS296" t="str" cm="1">
        <f t="array" ref="AS296">_xlfn.IFS(CleanEmployeeData[[#This Row],[YearsAtCompany]]&lt;=1,"0–1 years",CleanEmployeeData[[#This Row],[YearsAtCompany]]&lt;=5,"2–5 years",CleanEmployeeData[[#This Row],[YearsAtCompany]]&lt;=10,"6–10 years",TRUE,"11+ years")</f>
        <v>2–5 years</v>
      </c>
    </row>
    <row r="297" spans="1:4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cm="1">
        <f t="array" ref="AJ297">_xlfn.SWITCH(CleanEmployeeData[[#This Row],[Education]],1,"Below College",2,"College",3,"Bachelor",4,"Master",5,"Doctor","Unknown")</f>
        <v>Bachelor</v>
      </c>
      <c r="AK297" t="str" cm="1">
        <f t="array" ref="AK297">_xlfn.SWITCH(CleanEmployeeData[[#This Row],[EnvironmentSatisfaction]],1,"Low",2,"Medium",3,"High",4,"Very High","Unknown")</f>
        <v>High</v>
      </c>
      <c r="AL297" t="str" cm="1">
        <f t="array" ref="AL297">_xlfn.SWITCH(CleanEmployeeData[[#This Row],[JobInvolvement]],1,"Low",2,"Medium",3,"High",4,"Very High","Unknown")</f>
        <v>High</v>
      </c>
      <c r="AM297" t="str" cm="1">
        <f t="array" ref="AM297">_xlfn.SWITCH(CleanEmployeeData[[#This Row],[JobSatisfaction]],1,"Low",2,"Medium",3,"High",4,"Very High","Unknown")</f>
        <v>Medium</v>
      </c>
      <c r="AN297" t="str" cm="1">
        <f t="array" ref="AN297">_xlfn.SWITCH(CleanEmployeeData[[#This Row],[PerformanceRating]],1,"Low",2,"Good",3,"Excellent",4,"Outstanding","Unknown")</f>
        <v>Excellent</v>
      </c>
      <c r="AO297" t="str" cm="1">
        <f t="array" ref="AO297">_xlfn.SWITCH(CleanEmployeeData[[#This Row],[WorkLifeBalance]],1,"Bad",2,"Good",3,"Better",4,"Best","Unknown")</f>
        <v>Best</v>
      </c>
      <c r="AP297">
        <f>IF(CleanEmployeeData[[#This Row],[Attrition]]="Yes",1,IF(CleanEmployeeData[[#This Row],[Attrition]]="No",0,""))</f>
        <v>0</v>
      </c>
      <c r="AQ297" t="str" cm="1">
        <f t="array" ref="AQ297">_xlfn.IFS(CleanEmployeeData[[#This Row],[MonthlyIncome]]&lt;=3000,"0–3,000",CleanEmployeeData[[#This Row],[MonthlyIncome]]&lt;=6000,"3,001–6,000",CleanEmployeeData[[#This Row],[MonthlyIncome]]&lt;=10000,"6,001–10,000",TRUE,"10,001+")</f>
        <v>10,001+</v>
      </c>
      <c r="AR297" t="str" cm="1">
        <f t="array" ref="AR297">_xlfn.IFS(CleanEmployeeData[[#This Row],[DistanceFromHome]]&lt;=5,"0–5 miles",CleanEmployeeData[[#This Row],[DistanceFromHome]]&lt;=10,"6–10 miles",CleanEmployeeData[[#This Row],[DistanceFromHome]]&lt;=15,"11–15 miles",TRUE,"16+ miles")</f>
        <v>16+ miles</v>
      </c>
      <c r="AS297" t="str" cm="1">
        <f t="array" ref="AS297">_xlfn.IFS(CleanEmployeeData[[#This Row],[YearsAtCompany]]&lt;=1,"0–1 years",CleanEmployeeData[[#This Row],[YearsAtCompany]]&lt;=5,"2–5 years",CleanEmployeeData[[#This Row],[YearsAtCompany]]&lt;=10,"6–10 years",TRUE,"11+ years")</f>
        <v>11+ years</v>
      </c>
    </row>
    <row r="298" spans="1:4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cm="1">
        <f t="array" ref="AJ298">_xlfn.SWITCH(CleanEmployeeData[[#This Row],[Education]],1,"Below College",2,"College",3,"Bachelor",4,"Master",5,"Doctor","Unknown")</f>
        <v>Bachelor</v>
      </c>
      <c r="AK298" t="str" cm="1">
        <f t="array" ref="AK298">_xlfn.SWITCH(CleanEmployeeData[[#This Row],[EnvironmentSatisfaction]],1,"Low",2,"Medium",3,"High",4,"Very High","Unknown")</f>
        <v>High</v>
      </c>
      <c r="AL298" t="str" cm="1">
        <f t="array" ref="AL298">_xlfn.SWITCH(CleanEmployeeData[[#This Row],[JobInvolvement]],1,"Low",2,"Medium",3,"High",4,"Very High","Unknown")</f>
        <v>High</v>
      </c>
      <c r="AM298" t="str" cm="1">
        <f t="array" ref="AM298">_xlfn.SWITCH(CleanEmployeeData[[#This Row],[JobSatisfaction]],1,"Low",2,"Medium",3,"High",4,"Very High","Unknown")</f>
        <v>High</v>
      </c>
      <c r="AN298" t="str" cm="1">
        <f t="array" ref="AN298">_xlfn.SWITCH(CleanEmployeeData[[#This Row],[PerformanceRating]],1,"Low",2,"Good",3,"Excellent",4,"Outstanding","Unknown")</f>
        <v>Excellent</v>
      </c>
      <c r="AO298" t="str" cm="1">
        <f t="array" ref="AO298">_xlfn.SWITCH(CleanEmployeeData[[#This Row],[WorkLifeBalance]],1,"Bad",2,"Good",3,"Better",4,"Best","Unknown")</f>
        <v>Better</v>
      </c>
      <c r="AP298">
        <f>IF(CleanEmployeeData[[#This Row],[Attrition]]="Yes",1,IF(CleanEmployeeData[[#This Row],[Attrition]]="No",0,""))</f>
        <v>1</v>
      </c>
      <c r="AQ298" t="str" cm="1">
        <f t="array" ref="AQ298">_xlfn.IFS(CleanEmployeeData[[#This Row],[MonthlyIncome]]&lt;=3000,"0–3,000",CleanEmployeeData[[#This Row],[MonthlyIncome]]&lt;=6000,"3,001–6,000",CleanEmployeeData[[#This Row],[MonthlyIncome]]&lt;=10000,"6,001–10,000",TRUE,"10,001+")</f>
        <v>0–3,000</v>
      </c>
      <c r="AR298" t="str" cm="1">
        <f t="array" ref="AR298">_xlfn.IFS(CleanEmployeeData[[#This Row],[DistanceFromHome]]&lt;=5,"0–5 miles",CleanEmployeeData[[#This Row],[DistanceFromHome]]&lt;=10,"6–10 miles",CleanEmployeeData[[#This Row],[DistanceFromHome]]&lt;=15,"11–15 miles",TRUE,"16+ miles")</f>
        <v>0–5 miles</v>
      </c>
      <c r="AS298" t="str" cm="1">
        <f t="array" ref="AS298">_xlfn.IFS(CleanEmployeeData[[#This Row],[YearsAtCompany]]&lt;=1,"0–1 years",CleanEmployeeData[[#This Row],[YearsAtCompany]]&lt;=5,"2–5 years",CleanEmployeeData[[#This Row],[YearsAtCompany]]&lt;=10,"6–10 years",TRUE,"11+ years")</f>
        <v>0–1 years</v>
      </c>
    </row>
    <row r="299" spans="1:4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cm="1">
        <f t="array" ref="AJ299">_xlfn.SWITCH(CleanEmployeeData[[#This Row],[Education]],1,"Below College",2,"College",3,"Bachelor",4,"Master",5,"Doctor","Unknown")</f>
        <v>Bachelor</v>
      </c>
      <c r="AK299" t="str" cm="1">
        <f t="array" ref="AK299">_xlfn.SWITCH(CleanEmployeeData[[#This Row],[EnvironmentSatisfaction]],1,"Low",2,"Medium",3,"High",4,"Very High","Unknown")</f>
        <v>High</v>
      </c>
      <c r="AL299" t="str" cm="1">
        <f t="array" ref="AL299">_xlfn.SWITCH(CleanEmployeeData[[#This Row],[JobInvolvement]],1,"Low",2,"Medium",3,"High",4,"Very High","Unknown")</f>
        <v>High</v>
      </c>
      <c r="AM299" t="str" cm="1">
        <f t="array" ref="AM299">_xlfn.SWITCH(CleanEmployeeData[[#This Row],[JobSatisfaction]],1,"Low",2,"Medium",3,"High",4,"Very High","Unknown")</f>
        <v>Medium</v>
      </c>
      <c r="AN299" t="str" cm="1">
        <f t="array" ref="AN299">_xlfn.SWITCH(CleanEmployeeData[[#This Row],[PerformanceRating]],1,"Low",2,"Good",3,"Excellent",4,"Outstanding","Unknown")</f>
        <v>Excellent</v>
      </c>
      <c r="AO299" t="str" cm="1">
        <f t="array" ref="AO299">_xlfn.SWITCH(CleanEmployeeData[[#This Row],[WorkLifeBalance]],1,"Bad",2,"Good",3,"Better",4,"Best","Unknown")</f>
        <v>Good</v>
      </c>
      <c r="AP299">
        <f>IF(CleanEmployeeData[[#This Row],[Attrition]]="Yes",1,IF(CleanEmployeeData[[#This Row],[Attrition]]="No",0,""))</f>
        <v>0</v>
      </c>
      <c r="AQ299" t="str" cm="1">
        <f t="array" ref="AQ299">_xlfn.IFS(CleanEmployeeData[[#This Row],[MonthlyIncome]]&lt;=3000,"0–3,000",CleanEmployeeData[[#This Row],[MonthlyIncome]]&lt;=6000,"3,001–6,000",CleanEmployeeData[[#This Row],[MonthlyIncome]]&lt;=10000,"6,001–10,000",TRUE,"10,001+")</f>
        <v>6,001–10,000</v>
      </c>
      <c r="AR299" t="str" cm="1">
        <f t="array" ref="AR299">_xlfn.IFS(CleanEmployeeData[[#This Row],[DistanceFromHome]]&lt;=5,"0–5 miles",CleanEmployeeData[[#This Row],[DistanceFromHome]]&lt;=10,"6–10 miles",CleanEmployeeData[[#This Row],[DistanceFromHome]]&lt;=15,"11–15 miles",TRUE,"16+ miles")</f>
        <v>16+ miles</v>
      </c>
      <c r="AS299" t="str" cm="1">
        <f t="array" ref="AS299">_xlfn.IFS(CleanEmployeeData[[#This Row],[YearsAtCompany]]&lt;=1,"0–1 years",CleanEmployeeData[[#This Row],[YearsAtCompany]]&lt;=5,"2–5 years",CleanEmployeeData[[#This Row],[YearsAtCompany]]&lt;=10,"6–10 years",TRUE,"11+ years")</f>
        <v>11+ years</v>
      </c>
    </row>
    <row r="300" spans="1:4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cm="1">
        <f t="array" ref="AJ300">_xlfn.SWITCH(CleanEmployeeData[[#This Row],[Education]],1,"Below College",2,"College",3,"Bachelor",4,"Master",5,"Doctor","Unknown")</f>
        <v>Master</v>
      </c>
      <c r="AK300" t="str" cm="1">
        <f t="array" ref="AK300">_xlfn.SWITCH(CleanEmployeeData[[#This Row],[EnvironmentSatisfaction]],1,"Low",2,"Medium",3,"High",4,"Very High","Unknown")</f>
        <v>High</v>
      </c>
      <c r="AL300" t="str" cm="1">
        <f t="array" ref="AL300">_xlfn.SWITCH(CleanEmployeeData[[#This Row],[JobInvolvement]],1,"Low",2,"Medium",3,"High",4,"Very High","Unknown")</f>
        <v>Very High</v>
      </c>
      <c r="AM300" t="str" cm="1">
        <f t="array" ref="AM300">_xlfn.SWITCH(CleanEmployeeData[[#This Row],[JobSatisfaction]],1,"Low",2,"Medium",3,"High",4,"Very High","Unknown")</f>
        <v>Very High</v>
      </c>
      <c r="AN300" t="str" cm="1">
        <f t="array" ref="AN300">_xlfn.SWITCH(CleanEmployeeData[[#This Row],[PerformanceRating]],1,"Low",2,"Good",3,"Excellent",4,"Outstanding","Unknown")</f>
        <v>Excellent</v>
      </c>
      <c r="AO300" t="str" cm="1">
        <f t="array" ref="AO300">_xlfn.SWITCH(CleanEmployeeData[[#This Row],[WorkLifeBalance]],1,"Bad",2,"Good",3,"Better",4,"Best","Unknown")</f>
        <v>Better</v>
      </c>
      <c r="AP300">
        <f>IF(CleanEmployeeData[[#This Row],[Attrition]]="Yes",1,IF(CleanEmployeeData[[#This Row],[Attrition]]="No",0,""))</f>
        <v>0</v>
      </c>
      <c r="AQ300" t="str" cm="1">
        <f t="array" ref="AQ300">_xlfn.IFS(CleanEmployeeData[[#This Row],[MonthlyIncome]]&lt;=3000,"0–3,000",CleanEmployeeData[[#This Row],[MonthlyIncome]]&lt;=6000,"3,001–6,000",CleanEmployeeData[[#This Row],[MonthlyIncome]]&lt;=10000,"6,001–10,000",TRUE,"10,001+")</f>
        <v>3,001–6,000</v>
      </c>
      <c r="AR300" t="str" cm="1">
        <f t="array" ref="AR300">_xlfn.IFS(CleanEmployeeData[[#This Row],[DistanceFromHome]]&lt;=5,"0–5 miles",CleanEmployeeData[[#This Row],[DistanceFromHome]]&lt;=10,"6–10 miles",CleanEmployeeData[[#This Row],[DistanceFromHome]]&lt;=15,"11–15 miles",TRUE,"16+ miles")</f>
        <v>16+ miles</v>
      </c>
      <c r="AS300" t="str" cm="1">
        <f t="array" ref="AS300">_xlfn.IFS(CleanEmployeeData[[#This Row],[YearsAtCompany]]&lt;=1,"0–1 years",CleanEmployeeData[[#This Row],[YearsAtCompany]]&lt;=5,"2–5 years",CleanEmployeeData[[#This Row],[YearsAtCompany]]&lt;=10,"6–10 years",TRUE,"11+ years")</f>
        <v>0–1 years</v>
      </c>
    </row>
    <row r="301" spans="1:4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cm="1">
        <f t="array" ref="AJ301">_xlfn.SWITCH(CleanEmployeeData[[#This Row],[Education]],1,"Below College",2,"College",3,"Bachelor",4,"Master",5,"Doctor","Unknown")</f>
        <v>Bachelor</v>
      </c>
      <c r="AK301" t="str" cm="1">
        <f t="array" ref="AK301">_xlfn.SWITCH(CleanEmployeeData[[#This Row],[EnvironmentSatisfaction]],1,"Low",2,"Medium",3,"High",4,"Very High","Unknown")</f>
        <v>Very High</v>
      </c>
      <c r="AL301" t="str" cm="1">
        <f t="array" ref="AL301">_xlfn.SWITCH(CleanEmployeeData[[#This Row],[JobInvolvement]],1,"Low",2,"Medium",3,"High",4,"Very High","Unknown")</f>
        <v>Low</v>
      </c>
      <c r="AM301" t="str" cm="1">
        <f t="array" ref="AM301">_xlfn.SWITCH(CleanEmployeeData[[#This Row],[JobSatisfaction]],1,"Low",2,"Medium",3,"High",4,"Very High","Unknown")</f>
        <v>Medium</v>
      </c>
      <c r="AN301" t="str" cm="1">
        <f t="array" ref="AN301">_xlfn.SWITCH(CleanEmployeeData[[#This Row],[PerformanceRating]],1,"Low",2,"Good",3,"Excellent",4,"Outstanding","Unknown")</f>
        <v>Excellent</v>
      </c>
      <c r="AO301" t="str" cm="1">
        <f t="array" ref="AO301">_xlfn.SWITCH(CleanEmployeeData[[#This Row],[WorkLifeBalance]],1,"Bad",2,"Good",3,"Better",4,"Best","Unknown")</f>
        <v>Better</v>
      </c>
      <c r="AP301">
        <f>IF(CleanEmployeeData[[#This Row],[Attrition]]="Yes",1,IF(CleanEmployeeData[[#This Row],[Attrition]]="No",0,""))</f>
        <v>0</v>
      </c>
      <c r="AQ301" t="str" cm="1">
        <f t="array" ref="AQ301">_xlfn.IFS(CleanEmployeeData[[#This Row],[MonthlyIncome]]&lt;=3000,"0–3,000",CleanEmployeeData[[#This Row],[MonthlyIncome]]&lt;=6000,"3,001–6,000",CleanEmployeeData[[#This Row],[MonthlyIncome]]&lt;=10000,"6,001–10,000",TRUE,"10,001+")</f>
        <v>3,001–6,000</v>
      </c>
      <c r="AR301" t="str" cm="1">
        <f t="array" ref="AR301">_xlfn.IFS(CleanEmployeeData[[#This Row],[DistanceFromHome]]&lt;=5,"0–5 miles",CleanEmployeeData[[#This Row],[DistanceFromHome]]&lt;=10,"6–10 miles",CleanEmployeeData[[#This Row],[DistanceFromHome]]&lt;=15,"11–15 miles",TRUE,"16+ miles")</f>
        <v>0–5 miles</v>
      </c>
      <c r="AS301" t="str" cm="1">
        <f t="array" ref="AS301">_xlfn.IFS(CleanEmployeeData[[#This Row],[YearsAtCompany]]&lt;=1,"0–1 years",CleanEmployeeData[[#This Row],[YearsAtCompany]]&lt;=5,"2–5 years",CleanEmployeeData[[#This Row],[YearsAtCompany]]&lt;=10,"6–10 years",TRUE,"11+ years")</f>
        <v>2–5 years</v>
      </c>
    </row>
    <row r="302" spans="1:4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cm="1">
        <f t="array" ref="AJ302">_xlfn.SWITCH(CleanEmployeeData[[#This Row],[Education]],1,"Below College",2,"College",3,"Bachelor",4,"Master",5,"Doctor","Unknown")</f>
        <v>Master</v>
      </c>
      <c r="AK302" t="str" cm="1">
        <f t="array" ref="AK302">_xlfn.SWITCH(CleanEmployeeData[[#This Row],[EnvironmentSatisfaction]],1,"Low",2,"Medium",3,"High",4,"Very High","Unknown")</f>
        <v>Very High</v>
      </c>
      <c r="AL302" t="str" cm="1">
        <f t="array" ref="AL302">_xlfn.SWITCH(CleanEmployeeData[[#This Row],[JobInvolvement]],1,"Low",2,"Medium",3,"High",4,"Very High","Unknown")</f>
        <v>High</v>
      </c>
      <c r="AM302" t="str" cm="1">
        <f t="array" ref="AM302">_xlfn.SWITCH(CleanEmployeeData[[#This Row],[JobSatisfaction]],1,"Low",2,"Medium",3,"High",4,"Very High","Unknown")</f>
        <v>Medium</v>
      </c>
      <c r="AN302" t="str" cm="1">
        <f t="array" ref="AN302">_xlfn.SWITCH(CleanEmployeeData[[#This Row],[PerformanceRating]],1,"Low",2,"Good",3,"Excellent",4,"Outstanding","Unknown")</f>
        <v>Excellent</v>
      </c>
      <c r="AO302" t="str" cm="1">
        <f t="array" ref="AO302">_xlfn.SWITCH(CleanEmployeeData[[#This Row],[WorkLifeBalance]],1,"Bad",2,"Good",3,"Better",4,"Best","Unknown")</f>
        <v>Better</v>
      </c>
      <c r="AP302">
        <f>IF(CleanEmployeeData[[#This Row],[Attrition]]="Yes",1,IF(CleanEmployeeData[[#This Row],[Attrition]]="No",0,""))</f>
        <v>0</v>
      </c>
      <c r="AQ302" t="str" cm="1">
        <f t="array" ref="AQ302">_xlfn.IFS(CleanEmployeeData[[#This Row],[MonthlyIncome]]&lt;=3000,"0–3,000",CleanEmployeeData[[#This Row],[MonthlyIncome]]&lt;=6000,"3,001–6,000",CleanEmployeeData[[#This Row],[MonthlyIncome]]&lt;=10000,"6,001–10,000",TRUE,"10,001+")</f>
        <v>10,001+</v>
      </c>
      <c r="AR302" t="str" cm="1">
        <f t="array" ref="AR302">_xlfn.IFS(CleanEmployeeData[[#This Row],[DistanceFromHome]]&lt;=5,"0–5 miles",CleanEmployeeData[[#This Row],[DistanceFromHome]]&lt;=10,"6–10 miles",CleanEmployeeData[[#This Row],[DistanceFromHome]]&lt;=15,"11–15 miles",TRUE,"16+ miles")</f>
        <v>0–5 miles</v>
      </c>
      <c r="AS302" t="str" cm="1">
        <f t="array" ref="AS302">_xlfn.IFS(CleanEmployeeData[[#This Row],[YearsAtCompany]]&lt;=1,"0–1 years",CleanEmployeeData[[#This Row],[YearsAtCompany]]&lt;=5,"2–5 years",CleanEmployeeData[[#This Row],[YearsAtCompany]]&lt;=10,"6–10 years",TRUE,"11+ years")</f>
        <v>11+ years</v>
      </c>
    </row>
    <row r="303" spans="1:4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cm="1">
        <f t="array" ref="AJ303">_xlfn.SWITCH(CleanEmployeeData[[#This Row],[Education]],1,"Below College",2,"College",3,"Bachelor",4,"Master",5,"Doctor","Unknown")</f>
        <v>Bachelor</v>
      </c>
      <c r="AK303" t="str" cm="1">
        <f t="array" ref="AK303">_xlfn.SWITCH(CleanEmployeeData[[#This Row],[EnvironmentSatisfaction]],1,"Low",2,"Medium",3,"High",4,"Very High","Unknown")</f>
        <v>Very High</v>
      </c>
      <c r="AL303" t="str" cm="1">
        <f t="array" ref="AL303">_xlfn.SWITCH(CleanEmployeeData[[#This Row],[JobInvolvement]],1,"Low",2,"Medium",3,"High",4,"Very High","Unknown")</f>
        <v>Medium</v>
      </c>
      <c r="AM303" t="str" cm="1">
        <f t="array" ref="AM303">_xlfn.SWITCH(CleanEmployeeData[[#This Row],[JobSatisfaction]],1,"Low",2,"Medium",3,"High",4,"Very High","Unknown")</f>
        <v>High</v>
      </c>
      <c r="AN303" t="str" cm="1">
        <f t="array" ref="AN303">_xlfn.SWITCH(CleanEmployeeData[[#This Row],[PerformanceRating]],1,"Low",2,"Good",3,"Excellent",4,"Outstanding","Unknown")</f>
        <v>Excellent</v>
      </c>
      <c r="AO303" t="str" cm="1">
        <f t="array" ref="AO303">_xlfn.SWITCH(CleanEmployeeData[[#This Row],[WorkLifeBalance]],1,"Bad",2,"Good",3,"Better",4,"Best","Unknown")</f>
        <v>Better</v>
      </c>
      <c r="AP303">
        <f>IF(CleanEmployeeData[[#This Row],[Attrition]]="Yes",1,IF(CleanEmployeeData[[#This Row],[Attrition]]="No",0,""))</f>
        <v>0</v>
      </c>
      <c r="AQ303" t="str" cm="1">
        <f t="array" ref="AQ303">_xlfn.IFS(CleanEmployeeData[[#This Row],[MonthlyIncome]]&lt;=3000,"0–3,000",CleanEmployeeData[[#This Row],[MonthlyIncome]]&lt;=6000,"3,001–6,000",CleanEmployeeData[[#This Row],[MonthlyIncome]]&lt;=10000,"6,001–10,000",TRUE,"10,001+")</f>
        <v>0–3,000</v>
      </c>
      <c r="AR303" t="str" cm="1">
        <f t="array" ref="AR303">_xlfn.IFS(CleanEmployeeData[[#This Row],[DistanceFromHome]]&lt;=5,"0–5 miles",CleanEmployeeData[[#This Row],[DistanceFromHome]]&lt;=10,"6–10 miles",CleanEmployeeData[[#This Row],[DistanceFromHome]]&lt;=15,"11–15 miles",TRUE,"16+ miles")</f>
        <v>6–10 miles</v>
      </c>
      <c r="AS303" t="str" cm="1">
        <f t="array" ref="AS303">_xlfn.IFS(CleanEmployeeData[[#This Row],[YearsAtCompany]]&lt;=1,"0–1 years",CleanEmployeeData[[#This Row],[YearsAtCompany]]&lt;=5,"2–5 years",CleanEmployeeData[[#This Row],[YearsAtCompany]]&lt;=10,"6–10 years",TRUE,"11+ years")</f>
        <v>0–1 years</v>
      </c>
    </row>
    <row r="304" spans="1:4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cm="1">
        <f t="array" ref="AJ304">_xlfn.SWITCH(CleanEmployeeData[[#This Row],[Education]],1,"Below College",2,"College",3,"Bachelor",4,"Master",5,"Doctor","Unknown")</f>
        <v>College</v>
      </c>
      <c r="AK304" t="str" cm="1">
        <f t="array" ref="AK304">_xlfn.SWITCH(CleanEmployeeData[[#This Row],[EnvironmentSatisfaction]],1,"Low",2,"Medium",3,"High",4,"Very High","Unknown")</f>
        <v>Medium</v>
      </c>
      <c r="AL304" t="str" cm="1">
        <f t="array" ref="AL304">_xlfn.SWITCH(CleanEmployeeData[[#This Row],[JobInvolvement]],1,"Low",2,"Medium",3,"High",4,"Very High","Unknown")</f>
        <v>Very High</v>
      </c>
      <c r="AM304" t="str" cm="1">
        <f t="array" ref="AM304">_xlfn.SWITCH(CleanEmployeeData[[#This Row],[JobSatisfaction]],1,"Low",2,"Medium",3,"High",4,"Very High","Unknown")</f>
        <v>Low</v>
      </c>
      <c r="AN304" t="str" cm="1">
        <f t="array" ref="AN304">_xlfn.SWITCH(CleanEmployeeData[[#This Row],[PerformanceRating]],1,"Low",2,"Good",3,"Excellent",4,"Outstanding","Unknown")</f>
        <v>Excellent</v>
      </c>
      <c r="AO304" t="str" cm="1">
        <f t="array" ref="AO304">_xlfn.SWITCH(CleanEmployeeData[[#This Row],[WorkLifeBalance]],1,"Bad",2,"Good",3,"Better",4,"Best","Unknown")</f>
        <v>Better</v>
      </c>
      <c r="AP304">
        <f>IF(CleanEmployeeData[[#This Row],[Attrition]]="Yes",1,IF(CleanEmployeeData[[#This Row],[Attrition]]="No",0,""))</f>
        <v>0</v>
      </c>
      <c r="AQ304" t="str" cm="1">
        <f t="array" ref="AQ304">_xlfn.IFS(CleanEmployeeData[[#This Row],[MonthlyIncome]]&lt;=3000,"0–3,000",CleanEmployeeData[[#This Row],[MonthlyIncome]]&lt;=6000,"3,001–6,000",CleanEmployeeData[[#This Row],[MonthlyIncome]]&lt;=10000,"6,001–10,000",TRUE,"10,001+")</f>
        <v>3,001–6,000</v>
      </c>
      <c r="AR304" t="str" cm="1">
        <f t="array" ref="AR304">_xlfn.IFS(CleanEmployeeData[[#This Row],[DistanceFromHome]]&lt;=5,"0–5 miles",CleanEmployeeData[[#This Row],[DistanceFromHome]]&lt;=10,"6–10 miles",CleanEmployeeData[[#This Row],[DistanceFromHome]]&lt;=15,"11–15 miles",TRUE,"16+ miles")</f>
        <v>16+ miles</v>
      </c>
      <c r="AS304" t="str" cm="1">
        <f t="array" ref="AS304">_xlfn.IFS(CleanEmployeeData[[#This Row],[YearsAtCompany]]&lt;=1,"0–1 years",CleanEmployeeData[[#This Row],[YearsAtCompany]]&lt;=5,"2–5 years",CleanEmployeeData[[#This Row],[YearsAtCompany]]&lt;=10,"6–10 years",TRUE,"11+ years")</f>
        <v>6–10 years</v>
      </c>
    </row>
    <row r="305" spans="1:4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cm="1">
        <f t="array" ref="AJ305">_xlfn.SWITCH(CleanEmployeeData[[#This Row],[Education]],1,"Below College",2,"College",3,"Bachelor",4,"Master",5,"Doctor","Unknown")</f>
        <v>Bachelor</v>
      </c>
      <c r="AK305" t="str" cm="1">
        <f t="array" ref="AK305">_xlfn.SWITCH(CleanEmployeeData[[#This Row],[EnvironmentSatisfaction]],1,"Low",2,"Medium",3,"High",4,"Very High","Unknown")</f>
        <v>Medium</v>
      </c>
      <c r="AL305" t="str" cm="1">
        <f t="array" ref="AL305">_xlfn.SWITCH(CleanEmployeeData[[#This Row],[JobInvolvement]],1,"Low",2,"Medium",3,"High",4,"Very High","Unknown")</f>
        <v>Very High</v>
      </c>
      <c r="AM305" t="str" cm="1">
        <f t="array" ref="AM305">_xlfn.SWITCH(CleanEmployeeData[[#This Row],[JobSatisfaction]],1,"Low",2,"Medium",3,"High",4,"Very High","Unknown")</f>
        <v>Very High</v>
      </c>
      <c r="AN305" t="str" cm="1">
        <f t="array" ref="AN305">_xlfn.SWITCH(CleanEmployeeData[[#This Row],[PerformanceRating]],1,"Low",2,"Good",3,"Excellent",4,"Outstanding","Unknown")</f>
        <v>Excellent</v>
      </c>
      <c r="AO305" t="str" cm="1">
        <f t="array" ref="AO305">_xlfn.SWITCH(CleanEmployeeData[[#This Row],[WorkLifeBalance]],1,"Bad",2,"Good",3,"Better",4,"Best","Unknown")</f>
        <v>Good</v>
      </c>
      <c r="AP305">
        <f>IF(CleanEmployeeData[[#This Row],[Attrition]]="Yes",1,IF(CleanEmployeeData[[#This Row],[Attrition]]="No",0,""))</f>
        <v>0</v>
      </c>
      <c r="AQ305" t="str" cm="1">
        <f t="array" ref="AQ305">_xlfn.IFS(CleanEmployeeData[[#This Row],[MonthlyIncome]]&lt;=3000,"0–3,000",CleanEmployeeData[[#This Row],[MonthlyIncome]]&lt;=6000,"3,001–6,000",CleanEmployeeData[[#This Row],[MonthlyIncome]]&lt;=10000,"6,001–10,000",TRUE,"10,001+")</f>
        <v>6,001–10,000</v>
      </c>
      <c r="AR305" t="str" cm="1">
        <f t="array" ref="AR305">_xlfn.IFS(CleanEmployeeData[[#This Row],[DistanceFromHome]]&lt;=5,"0–5 miles",CleanEmployeeData[[#This Row],[DistanceFromHome]]&lt;=10,"6–10 miles",CleanEmployeeData[[#This Row],[DistanceFromHome]]&lt;=15,"11–15 miles",TRUE,"16+ miles")</f>
        <v>6–10 miles</v>
      </c>
      <c r="AS305" t="str" cm="1">
        <f t="array" ref="AS305">_xlfn.IFS(CleanEmployeeData[[#This Row],[YearsAtCompany]]&lt;=1,"0–1 years",CleanEmployeeData[[#This Row],[YearsAtCompany]]&lt;=5,"2–5 years",CleanEmployeeData[[#This Row],[YearsAtCompany]]&lt;=10,"6–10 years",TRUE,"11+ years")</f>
        <v>6–10 years</v>
      </c>
    </row>
    <row r="306" spans="1:4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cm="1">
        <f t="array" ref="AJ306">_xlfn.SWITCH(CleanEmployeeData[[#This Row],[Education]],1,"Below College",2,"College",3,"Bachelor",4,"Master",5,"Doctor","Unknown")</f>
        <v>Bachelor</v>
      </c>
      <c r="AK306" t="str" cm="1">
        <f t="array" ref="AK306">_xlfn.SWITCH(CleanEmployeeData[[#This Row],[EnvironmentSatisfaction]],1,"Low",2,"Medium",3,"High",4,"Very High","Unknown")</f>
        <v>High</v>
      </c>
      <c r="AL306" t="str" cm="1">
        <f t="array" ref="AL306">_xlfn.SWITCH(CleanEmployeeData[[#This Row],[JobInvolvement]],1,"Low",2,"Medium",3,"High",4,"Very High","Unknown")</f>
        <v>Very High</v>
      </c>
      <c r="AM306" t="str" cm="1">
        <f t="array" ref="AM306">_xlfn.SWITCH(CleanEmployeeData[[#This Row],[JobSatisfaction]],1,"Low",2,"Medium",3,"High",4,"Very High","Unknown")</f>
        <v>Very High</v>
      </c>
      <c r="AN306" t="str" cm="1">
        <f t="array" ref="AN306">_xlfn.SWITCH(CleanEmployeeData[[#This Row],[PerformanceRating]],1,"Low",2,"Good",3,"Excellent",4,"Outstanding","Unknown")</f>
        <v>Excellent</v>
      </c>
      <c r="AO306" t="str" cm="1">
        <f t="array" ref="AO306">_xlfn.SWITCH(CleanEmployeeData[[#This Row],[WorkLifeBalance]],1,"Bad",2,"Good",3,"Better",4,"Best","Unknown")</f>
        <v>Good</v>
      </c>
      <c r="AP306">
        <f>IF(CleanEmployeeData[[#This Row],[Attrition]]="Yes",1,IF(CleanEmployeeData[[#This Row],[Attrition]]="No",0,""))</f>
        <v>0</v>
      </c>
      <c r="AQ306" t="str" cm="1">
        <f t="array" ref="AQ306">_xlfn.IFS(CleanEmployeeData[[#This Row],[MonthlyIncome]]&lt;=3000,"0–3,000",CleanEmployeeData[[#This Row],[MonthlyIncome]]&lt;=6000,"3,001–6,000",CleanEmployeeData[[#This Row],[MonthlyIncome]]&lt;=10000,"6,001–10,000",TRUE,"10,001+")</f>
        <v>6,001–10,000</v>
      </c>
      <c r="AR306" t="str" cm="1">
        <f t="array" ref="AR306">_xlfn.IFS(CleanEmployeeData[[#This Row],[DistanceFromHome]]&lt;=5,"0–5 miles",CleanEmployeeData[[#This Row],[DistanceFromHome]]&lt;=10,"6–10 miles",CleanEmployeeData[[#This Row],[DistanceFromHome]]&lt;=15,"11–15 miles",TRUE,"16+ miles")</f>
        <v>0–5 miles</v>
      </c>
      <c r="AS306" t="str" cm="1">
        <f t="array" ref="AS306">_xlfn.IFS(CleanEmployeeData[[#This Row],[YearsAtCompany]]&lt;=1,"0–1 years",CleanEmployeeData[[#This Row],[YearsAtCompany]]&lt;=5,"2–5 years",CleanEmployeeData[[#This Row],[YearsAtCompany]]&lt;=10,"6–10 years",TRUE,"11+ years")</f>
        <v>11+ years</v>
      </c>
    </row>
    <row r="307" spans="1:4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cm="1">
        <f t="array" ref="AJ307">_xlfn.SWITCH(CleanEmployeeData[[#This Row],[Education]],1,"Below College",2,"College",3,"Bachelor",4,"Master",5,"Doctor","Unknown")</f>
        <v>Master</v>
      </c>
      <c r="AK307" t="str" cm="1">
        <f t="array" ref="AK307">_xlfn.SWITCH(CleanEmployeeData[[#This Row],[EnvironmentSatisfaction]],1,"Low",2,"Medium",3,"High",4,"Very High","Unknown")</f>
        <v>Medium</v>
      </c>
      <c r="AL307" t="str" cm="1">
        <f t="array" ref="AL307">_xlfn.SWITCH(CleanEmployeeData[[#This Row],[JobInvolvement]],1,"Low",2,"Medium",3,"High",4,"Very High","Unknown")</f>
        <v>High</v>
      </c>
      <c r="AM307" t="str" cm="1">
        <f t="array" ref="AM307">_xlfn.SWITCH(CleanEmployeeData[[#This Row],[JobSatisfaction]],1,"Low",2,"Medium",3,"High",4,"Very High","Unknown")</f>
        <v>Medium</v>
      </c>
      <c r="AN307" t="str" cm="1">
        <f t="array" ref="AN307">_xlfn.SWITCH(CleanEmployeeData[[#This Row],[PerformanceRating]],1,"Low",2,"Good",3,"Excellent",4,"Outstanding","Unknown")</f>
        <v>Excellent</v>
      </c>
      <c r="AO307" t="str" cm="1">
        <f t="array" ref="AO307">_xlfn.SWITCH(CleanEmployeeData[[#This Row],[WorkLifeBalance]],1,"Bad",2,"Good",3,"Better",4,"Best","Unknown")</f>
        <v>Better</v>
      </c>
      <c r="AP307">
        <f>IF(CleanEmployeeData[[#This Row],[Attrition]]="Yes",1,IF(CleanEmployeeData[[#This Row],[Attrition]]="No",0,""))</f>
        <v>0</v>
      </c>
      <c r="AQ307" t="str" cm="1">
        <f t="array" ref="AQ307">_xlfn.IFS(CleanEmployeeData[[#This Row],[MonthlyIncome]]&lt;=3000,"0–3,000",CleanEmployeeData[[#This Row],[MonthlyIncome]]&lt;=6000,"3,001–6,000",CleanEmployeeData[[#This Row],[MonthlyIncome]]&lt;=10000,"6,001–10,000",TRUE,"10,001+")</f>
        <v>3,001–6,000</v>
      </c>
      <c r="AR307" t="str" cm="1">
        <f t="array" ref="AR307">_xlfn.IFS(CleanEmployeeData[[#This Row],[DistanceFromHome]]&lt;=5,"0–5 miles",CleanEmployeeData[[#This Row],[DistanceFromHome]]&lt;=10,"6–10 miles",CleanEmployeeData[[#This Row],[DistanceFromHome]]&lt;=15,"11–15 miles",TRUE,"16+ miles")</f>
        <v>16+ miles</v>
      </c>
      <c r="AS307" t="str" cm="1">
        <f t="array" ref="AS307">_xlfn.IFS(CleanEmployeeData[[#This Row],[YearsAtCompany]]&lt;=1,"0–1 years",CleanEmployeeData[[#This Row],[YearsAtCompany]]&lt;=5,"2–5 years",CleanEmployeeData[[#This Row],[YearsAtCompany]]&lt;=10,"6–10 years",TRUE,"11+ years")</f>
        <v>6–10 years</v>
      </c>
    </row>
    <row r="308" spans="1:4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cm="1">
        <f t="array" ref="AJ308">_xlfn.SWITCH(CleanEmployeeData[[#This Row],[Education]],1,"Below College",2,"College",3,"Bachelor",4,"Master",5,"Doctor","Unknown")</f>
        <v>Bachelor</v>
      </c>
      <c r="AK308" t="str" cm="1">
        <f t="array" ref="AK308">_xlfn.SWITCH(CleanEmployeeData[[#This Row],[EnvironmentSatisfaction]],1,"Low",2,"Medium",3,"High",4,"Very High","Unknown")</f>
        <v>Very High</v>
      </c>
      <c r="AL308" t="str" cm="1">
        <f t="array" ref="AL308">_xlfn.SWITCH(CleanEmployeeData[[#This Row],[JobInvolvement]],1,"Low",2,"Medium",3,"High",4,"Very High","Unknown")</f>
        <v>Medium</v>
      </c>
      <c r="AM308" t="str" cm="1">
        <f t="array" ref="AM308">_xlfn.SWITCH(CleanEmployeeData[[#This Row],[JobSatisfaction]],1,"Low",2,"Medium",3,"High",4,"Very High","Unknown")</f>
        <v>High</v>
      </c>
      <c r="AN308" t="str" cm="1">
        <f t="array" ref="AN308">_xlfn.SWITCH(CleanEmployeeData[[#This Row],[PerformanceRating]],1,"Low",2,"Good",3,"Excellent",4,"Outstanding","Unknown")</f>
        <v>Excellent</v>
      </c>
      <c r="AO308" t="str" cm="1">
        <f t="array" ref="AO308">_xlfn.SWITCH(CleanEmployeeData[[#This Row],[WorkLifeBalance]],1,"Bad",2,"Good",3,"Better",4,"Best","Unknown")</f>
        <v>Good</v>
      </c>
      <c r="AP308">
        <f>IF(CleanEmployeeData[[#This Row],[Attrition]]="Yes",1,IF(CleanEmployeeData[[#This Row],[Attrition]]="No",0,""))</f>
        <v>0</v>
      </c>
      <c r="AQ308" t="str" cm="1">
        <f t="array" ref="AQ308">_xlfn.IFS(CleanEmployeeData[[#This Row],[MonthlyIncome]]&lt;=3000,"0–3,000",CleanEmployeeData[[#This Row],[MonthlyIncome]]&lt;=6000,"3,001–6,000",CleanEmployeeData[[#This Row],[MonthlyIncome]]&lt;=10000,"6,001–10,000",TRUE,"10,001+")</f>
        <v>3,001–6,000</v>
      </c>
      <c r="AR308" t="str" cm="1">
        <f t="array" ref="AR308">_xlfn.IFS(CleanEmployeeData[[#This Row],[DistanceFromHome]]&lt;=5,"0–5 miles",CleanEmployeeData[[#This Row],[DistanceFromHome]]&lt;=10,"6–10 miles",CleanEmployeeData[[#This Row],[DistanceFromHome]]&lt;=15,"11–15 miles",TRUE,"16+ miles")</f>
        <v>6–10 miles</v>
      </c>
      <c r="AS308" t="str" cm="1">
        <f t="array" ref="AS308">_xlfn.IFS(CleanEmployeeData[[#This Row],[YearsAtCompany]]&lt;=1,"0–1 years",CleanEmployeeData[[#This Row],[YearsAtCompany]]&lt;=5,"2–5 years",CleanEmployeeData[[#This Row],[YearsAtCompany]]&lt;=10,"6–10 years",TRUE,"11+ years")</f>
        <v>11+ years</v>
      </c>
    </row>
    <row r="309" spans="1:4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cm="1">
        <f t="array" ref="AJ309">_xlfn.SWITCH(CleanEmployeeData[[#This Row],[Education]],1,"Below College",2,"College",3,"Bachelor",4,"Master",5,"Doctor","Unknown")</f>
        <v>College</v>
      </c>
      <c r="AK309" t="str" cm="1">
        <f t="array" ref="AK309">_xlfn.SWITCH(CleanEmployeeData[[#This Row],[EnvironmentSatisfaction]],1,"Low",2,"Medium",3,"High",4,"Very High","Unknown")</f>
        <v>Low</v>
      </c>
      <c r="AL309" t="str" cm="1">
        <f t="array" ref="AL309">_xlfn.SWITCH(CleanEmployeeData[[#This Row],[JobInvolvement]],1,"Low",2,"Medium",3,"High",4,"Very High","Unknown")</f>
        <v>Medium</v>
      </c>
      <c r="AM309" t="str" cm="1">
        <f t="array" ref="AM309">_xlfn.SWITCH(CleanEmployeeData[[#This Row],[JobSatisfaction]],1,"Low",2,"Medium",3,"High",4,"Very High","Unknown")</f>
        <v>Medium</v>
      </c>
      <c r="AN309" t="str" cm="1">
        <f t="array" ref="AN309">_xlfn.SWITCH(CleanEmployeeData[[#This Row],[PerformanceRating]],1,"Low",2,"Good",3,"Excellent",4,"Outstanding","Unknown")</f>
        <v>Excellent</v>
      </c>
      <c r="AO309" t="str" cm="1">
        <f t="array" ref="AO309">_xlfn.SWITCH(CleanEmployeeData[[#This Row],[WorkLifeBalance]],1,"Bad",2,"Good",3,"Better",4,"Best","Unknown")</f>
        <v>Better</v>
      </c>
      <c r="AP309">
        <f>IF(CleanEmployeeData[[#This Row],[Attrition]]="Yes",1,IF(CleanEmployeeData[[#This Row],[Attrition]]="No",0,""))</f>
        <v>0</v>
      </c>
      <c r="AQ309" t="str" cm="1">
        <f t="array" ref="AQ309">_xlfn.IFS(CleanEmployeeData[[#This Row],[MonthlyIncome]]&lt;=3000,"0–3,000",CleanEmployeeData[[#This Row],[MonthlyIncome]]&lt;=6000,"3,001–6,000",CleanEmployeeData[[#This Row],[MonthlyIncome]]&lt;=10000,"6,001–10,000",TRUE,"10,001+")</f>
        <v>10,001+</v>
      </c>
      <c r="AR309" t="str" cm="1">
        <f t="array" ref="AR309">_xlfn.IFS(CleanEmployeeData[[#This Row],[DistanceFromHome]]&lt;=5,"0–5 miles",CleanEmployeeData[[#This Row],[DistanceFromHome]]&lt;=10,"6–10 miles",CleanEmployeeData[[#This Row],[DistanceFromHome]]&lt;=15,"11–15 miles",TRUE,"16+ miles")</f>
        <v>16+ miles</v>
      </c>
      <c r="AS309" t="str" cm="1">
        <f t="array" ref="AS309">_xlfn.IFS(CleanEmployeeData[[#This Row],[YearsAtCompany]]&lt;=1,"0–1 years",CleanEmployeeData[[#This Row],[YearsAtCompany]]&lt;=5,"2–5 years",CleanEmployeeData[[#This Row],[YearsAtCompany]]&lt;=10,"6–10 years",TRUE,"11+ years")</f>
        <v>6–10 years</v>
      </c>
    </row>
    <row r="310" spans="1:4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cm="1">
        <f t="array" ref="AJ310">_xlfn.SWITCH(CleanEmployeeData[[#This Row],[Education]],1,"Below College",2,"College",3,"Bachelor",4,"Master",5,"Doctor","Unknown")</f>
        <v>Master</v>
      </c>
      <c r="AK310" t="str" cm="1">
        <f t="array" ref="AK310">_xlfn.SWITCH(CleanEmployeeData[[#This Row],[EnvironmentSatisfaction]],1,"Low",2,"Medium",3,"High",4,"Very High","Unknown")</f>
        <v>Very High</v>
      </c>
      <c r="AL310" t="str" cm="1">
        <f t="array" ref="AL310">_xlfn.SWITCH(CleanEmployeeData[[#This Row],[JobInvolvement]],1,"Low",2,"Medium",3,"High",4,"Very High","Unknown")</f>
        <v>Low</v>
      </c>
      <c r="AM310" t="str" cm="1">
        <f t="array" ref="AM310">_xlfn.SWITCH(CleanEmployeeData[[#This Row],[JobSatisfaction]],1,"Low",2,"Medium",3,"High",4,"Very High","Unknown")</f>
        <v>High</v>
      </c>
      <c r="AN310" t="str" cm="1">
        <f t="array" ref="AN310">_xlfn.SWITCH(CleanEmployeeData[[#This Row],[PerformanceRating]],1,"Low",2,"Good",3,"Excellent",4,"Outstanding","Unknown")</f>
        <v>Excellent</v>
      </c>
      <c r="AO310" t="str" cm="1">
        <f t="array" ref="AO310">_xlfn.SWITCH(CleanEmployeeData[[#This Row],[WorkLifeBalance]],1,"Bad",2,"Good",3,"Better",4,"Best","Unknown")</f>
        <v>Better</v>
      </c>
      <c r="AP310">
        <f>IF(CleanEmployeeData[[#This Row],[Attrition]]="Yes",1,IF(CleanEmployeeData[[#This Row],[Attrition]]="No",0,""))</f>
        <v>0</v>
      </c>
      <c r="AQ310" t="str" cm="1">
        <f t="array" ref="AQ310">_xlfn.IFS(CleanEmployeeData[[#This Row],[MonthlyIncome]]&lt;=3000,"0–3,000",CleanEmployeeData[[#This Row],[MonthlyIncome]]&lt;=6000,"3,001–6,000",CleanEmployeeData[[#This Row],[MonthlyIncome]]&lt;=10000,"6,001–10,000",TRUE,"10,001+")</f>
        <v>3,001–6,000</v>
      </c>
      <c r="AR310" t="str" cm="1">
        <f t="array" ref="AR310">_xlfn.IFS(CleanEmployeeData[[#This Row],[DistanceFromHome]]&lt;=5,"0–5 miles",CleanEmployeeData[[#This Row],[DistanceFromHome]]&lt;=10,"6–10 miles",CleanEmployeeData[[#This Row],[DistanceFromHome]]&lt;=15,"11–15 miles",TRUE,"16+ miles")</f>
        <v>0–5 miles</v>
      </c>
      <c r="AS310" t="str" cm="1">
        <f t="array" ref="AS310">_xlfn.IFS(CleanEmployeeData[[#This Row],[YearsAtCompany]]&lt;=1,"0–1 years",CleanEmployeeData[[#This Row],[YearsAtCompany]]&lt;=5,"2–5 years",CleanEmployeeData[[#This Row],[YearsAtCompany]]&lt;=10,"6–10 years",TRUE,"11+ years")</f>
        <v>2–5 years</v>
      </c>
    </row>
    <row r="311" spans="1:4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cm="1">
        <f t="array" ref="AJ311">_xlfn.SWITCH(CleanEmployeeData[[#This Row],[Education]],1,"Below College",2,"College",3,"Bachelor",4,"Master",5,"Doctor","Unknown")</f>
        <v>Master</v>
      </c>
      <c r="AK311" t="str" cm="1">
        <f t="array" ref="AK311">_xlfn.SWITCH(CleanEmployeeData[[#This Row],[EnvironmentSatisfaction]],1,"Low",2,"Medium",3,"High",4,"Very High","Unknown")</f>
        <v>High</v>
      </c>
      <c r="AL311" t="str" cm="1">
        <f t="array" ref="AL311">_xlfn.SWITCH(CleanEmployeeData[[#This Row],[JobInvolvement]],1,"Low",2,"Medium",3,"High",4,"Very High","Unknown")</f>
        <v>High</v>
      </c>
      <c r="AM311" t="str" cm="1">
        <f t="array" ref="AM311">_xlfn.SWITCH(CleanEmployeeData[[#This Row],[JobSatisfaction]],1,"Low",2,"Medium",3,"High",4,"Very High","Unknown")</f>
        <v>Very High</v>
      </c>
      <c r="AN311" t="str" cm="1">
        <f t="array" ref="AN311">_xlfn.SWITCH(CleanEmployeeData[[#This Row],[PerformanceRating]],1,"Low",2,"Good",3,"Excellent",4,"Outstanding","Unknown")</f>
        <v>Excellent</v>
      </c>
      <c r="AO311" t="str" cm="1">
        <f t="array" ref="AO311">_xlfn.SWITCH(CleanEmployeeData[[#This Row],[WorkLifeBalance]],1,"Bad",2,"Good",3,"Better",4,"Best","Unknown")</f>
        <v>Better</v>
      </c>
      <c r="AP311">
        <f>IF(CleanEmployeeData[[#This Row],[Attrition]]="Yes",1,IF(CleanEmployeeData[[#This Row],[Attrition]]="No",0,""))</f>
        <v>0</v>
      </c>
      <c r="AQ311" t="str" cm="1">
        <f t="array" ref="AQ311">_xlfn.IFS(CleanEmployeeData[[#This Row],[MonthlyIncome]]&lt;=3000,"0–3,000",CleanEmployeeData[[#This Row],[MonthlyIncome]]&lt;=6000,"3,001–6,000",CleanEmployeeData[[#This Row],[MonthlyIncome]]&lt;=10000,"6,001–10,000",TRUE,"10,001+")</f>
        <v>3,001–6,000</v>
      </c>
      <c r="AR311" t="str" cm="1">
        <f t="array" ref="AR311">_xlfn.IFS(CleanEmployeeData[[#This Row],[DistanceFromHome]]&lt;=5,"0–5 miles",CleanEmployeeData[[#This Row],[DistanceFromHome]]&lt;=10,"6–10 miles",CleanEmployeeData[[#This Row],[DistanceFromHome]]&lt;=15,"11–15 miles",TRUE,"16+ miles")</f>
        <v>0–5 miles</v>
      </c>
      <c r="AS311" t="str" cm="1">
        <f t="array" ref="AS311">_xlfn.IFS(CleanEmployeeData[[#This Row],[YearsAtCompany]]&lt;=1,"0–1 years",CleanEmployeeData[[#This Row],[YearsAtCompany]]&lt;=5,"2–5 years",CleanEmployeeData[[#This Row],[YearsAtCompany]]&lt;=10,"6–10 years",TRUE,"11+ years")</f>
        <v>2–5 years</v>
      </c>
    </row>
    <row r="312" spans="1:4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cm="1">
        <f t="array" ref="AJ312">_xlfn.SWITCH(CleanEmployeeData[[#This Row],[Education]],1,"Below College",2,"College",3,"Bachelor",4,"Master",5,"Doctor","Unknown")</f>
        <v>Bachelor</v>
      </c>
      <c r="AK312" t="str" cm="1">
        <f t="array" ref="AK312">_xlfn.SWITCH(CleanEmployeeData[[#This Row],[EnvironmentSatisfaction]],1,"Low",2,"Medium",3,"High",4,"Very High","Unknown")</f>
        <v>Low</v>
      </c>
      <c r="AL312" t="str" cm="1">
        <f t="array" ref="AL312">_xlfn.SWITCH(CleanEmployeeData[[#This Row],[JobInvolvement]],1,"Low",2,"Medium",3,"High",4,"Very High","Unknown")</f>
        <v>Medium</v>
      </c>
      <c r="AM312" t="str" cm="1">
        <f t="array" ref="AM312">_xlfn.SWITCH(CleanEmployeeData[[#This Row],[JobSatisfaction]],1,"Low",2,"Medium",3,"High",4,"Very High","Unknown")</f>
        <v>Low</v>
      </c>
      <c r="AN312" t="str" cm="1">
        <f t="array" ref="AN312">_xlfn.SWITCH(CleanEmployeeData[[#This Row],[PerformanceRating]],1,"Low",2,"Good",3,"Excellent",4,"Outstanding","Unknown")</f>
        <v>Excellent</v>
      </c>
      <c r="AO312" t="str" cm="1">
        <f t="array" ref="AO312">_xlfn.SWITCH(CleanEmployeeData[[#This Row],[WorkLifeBalance]],1,"Bad",2,"Good",3,"Better",4,"Best","Unknown")</f>
        <v>Better</v>
      </c>
      <c r="AP312">
        <f>IF(CleanEmployeeData[[#This Row],[Attrition]]="Yes",1,IF(CleanEmployeeData[[#This Row],[Attrition]]="No",0,""))</f>
        <v>0</v>
      </c>
      <c r="AQ312" t="str" cm="1">
        <f t="array" ref="AQ312">_xlfn.IFS(CleanEmployeeData[[#This Row],[MonthlyIncome]]&lt;=3000,"0–3,000",CleanEmployeeData[[#This Row],[MonthlyIncome]]&lt;=6000,"3,001–6,000",CleanEmployeeData[[#This Row],[MonthlyIncome]]&lt;=10000,"6,001–10,000",TRUE,"10,001+")</f>
        <v>6,001–10,000</v>
      </c>
      <c r="AR312" t="str" cm="1">
        <f t="array" ref="AR312">_xlfn.IFS(CleanEmployeeData[[#This Row],[DistanceFromHome]]&lt;=5,"0–5 miles",CleanEmployeeData[[#This Row],[DistanceFromHome]]&lt;=10,"6–10 miles",CleanEmployeeData[[#This Row],[DistanceFromHome]]&lt;=15,"11–15 miles",TRUE,"16+ miles")</f>
        <v>0–5 miles</v>
      </c>
      <c r="AS312" t="str" cm="1">
        <f t="array" ref="AS312">_xlfn.IFS(CleanEmployeeData[[#This Row],[YearsAtCompany]]&lt;=1,"0–1 years",CleanEmployeeData[[#This Row],[YearsAtCompany]]&lt;=5,"2–5 years",CleanEmployeeData[[#This Row],[YearsAtCompany]]&lt;=10,"6–10 years",TRUE,"11+ years")</f>
        <v>2–5 years</v>
      </c>
    </row>
    <row r="313" spans="1:4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cm="1">
        <f t="array" ref="AJ313">_xlfn.SWITCH(CleanEmployeeData[[#This Row],[Education]],1,"Below College",2,"College",3,"Bachelor",4,"Master",5,"Doctor","Unknown")</f>
        <v>Bachelor</v>
      </c>
      <c r="AK313" t="str" cm="1">
        <f t="array" ref="AK313">_xlfn.SWITCH(CleanEmployeeData[[#This Row],[EnvironmentSatisfaction]],1,"Low",2,"Medium",3,"High",4,"Very High","Unknown")</f>
        <v>Low</v>
      </c>
      <c r="AL313" t="str" cm="1">
        <f t="array" ref="AL313">_xlfn.SWITCH(CleanEmployeeData[[#This Row],[JobInvolvement]],1,"Low",2,"Medium",3,"High",4,"Very High","Unknown")</f>
        <v>High</v>
      </c>
      <c r="AM313" t="str" cm="1">
        <f t="array" ref="AM313">_xlfn.SWITCH(CleanEmployeeData[[#This Row],[JobSatisfaction]],1,"Low",2,"Medium",3,"High",4,"Very High","Unknown")</f>
        <v>Low</v>
      </c>
      <c r="AN313" t="str" cm="1">
        <f t="array" ref="AN313">_xlfn.SWITCH(CleanEmployeeData[[#This Row],[PerformanceRating]],1,"Low",2,"Good",3,"Excellent",4,"Outstanding","Unknown")</f>
        <v>Excellent</v>
      </c>
      <c r="AO313" t="str" cm="1">
        <f t="array" ref="AO313">_xlfn.SWITCH(CleanEmployeeData[[#This Row],[WorkLifeBalance]],1,"Bad",2,"Good",3,"Better",4,"Best","Unknown")</f>
        <v>Better</v>
      </c>
      <c r="AP313">
        <f>IF(CleanEmployeeData[[#This Row],[Attrition]]="Yes",1,IF(CleanEmployeeData[[#This Row],[Attrition]]="No",0,""))</f>
        <v>0</v>
      </c>
      <c r="AQ313" t="str" cm="1">
        <f t="array" ref="AQ313">_xlfn.IFS(CleanEmployeeData[[#This Row],[MonthlyIncome]]&lt;=3000,"0–3,000",CleanEmployeeData[[#This Row],[MonthlyIncome]]&lt;=6000,"3,001–6,000",CleanEmployeeData[[#This Row],[MonthlyIncome]]&lt;=10000,"6,001–10,000",TRUE,"10,001+")</f>
        <v>3,001–6,000</v>
      </c>
      <c r="AR313" t="str" cm="1">
        <f t="array" ref="AR313">_xlfn.IFS(CleanEmployeeData[[#This Row],[DistanceFromHome]]&lt;=5,"0–5 miles",CleanEmployeeData[[#This Row],[DistanceFromHome]]&lt;=10,"6–10 miles",CleanEmployeeData[[#This Row],[DistanceFromHome]]&lt;=15,"11–15 miles",TRUE,"16+ miles")</f>
        <v>6–10 miles</v>
      </c>
      <c r="AS313" t="str" cm="1">
        <f t="array" ref="AS313">_xlfn.IFS(CleanEmployeeData[[#This Row],[YearsAtCompany]]&lt;=1,"0–1 years",CleanEmployeeData[[#This Row],[YearsAtCompany]]&lt;=5,"2–5 years",CleanEmployeeData[[#This Row],[YearsAtCompany]]&lt;=10,"6–10 years",TRUE,"11+ years")</f>
        <v>11+ years</v>
      </c>
    </row>
    <row r="314" spans="1:4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cm="1">
        <f t="array" ref="AJ314">_xlfn.SWITCH(CleanEmployeeData[[#This Row],[Education]],1,"Below College",2,"College",3,"Bachelor",4,"Master",5,"Doctor","Unknown")</f>
        <v>Master</v>
      </c>
      <c r="AK314" t="str" cm="1">
        <f t="array" ref="AK314">_xlfn.SWITCH(CleanEmployeeData[[#This Row],[EnvironmentSatisfaction]],1,"Low",2,"Medium",3,"High",4,"Very High","Unknown")</f>
        <v>High</v>
      </c>
      <c r="AL314" t="str" cm="1">
        <f t="array" ref="AL314">_xlfn.SWITCH(CleanEmployeeData[[#This Row],[JobInvolvement]],1,"Low",2,"Medium",3,"High",4,"Very High","Unknown")</f>
        <v>High</v>
      </c>
      <c r="AM314" t="str" cm="1">
        <f t="array" ref="AM314">_xlfn.SWITCH(CleanEmployeeData[[#This Row],[JobSatisfaction]],1,"Low",2,"Medium",3,"High",4,"Very High","Unknown")</f>
        <v>Very High</v>
      </c>
      <c r="AN314" t="str" cm="1">
        <f t="array" ref="AN314">_xlfn.SWITCH(CleanEmployeeData[[#This Row],[PerformanceRating]],1,"Low",2,"Good",3,"Excellent",4,"Outstanding","Unknown")</f>
        <v>Excellent</v>
      </c>
      <c r="AO314" t="str" cm="1">
        <f t="array" ref="AO314">_xlfn.SWITCH(CleanEmployeeData[[#This Row],[WorkLifeBalance]],1,"Bad",2,"Good",3,"Better",4,"Best","Unknown")</f>
        <v>Bad</v>
      </c>
      <c r="AP314">
        <f>IF(CleanEmployeeData[[#This Row],[Attrition]]="Yes",1,IF(CleanEmployeeData[[#This Row],[Attrition]]="No",0,""))</f>
        <v>0</v>
      </c>
      <c r="AQ314" t="str" cm="1">
        <f t="array" ref="AQ314">_xlfn.IFS(CleanEmployeeData[[#This Row],[MonthlyIncome]]&lt;=3000,"0–3,000",CleanEmployeeData[[#This Row],[MonthlyIncome]]&lt;=6000,"3,001–6,000",CleanEmployeeData[[#This Row],[MonthlyIncome]]&lt;=10000,"6,001–10,000",TRUE,"10,001+")</f>
        <v>0–3,000</v>
      </c>
      <c r="AR314" t="str" cm="1">
        <f t="array" ref="AR314">_xlfn.IFS(CleanEmployeeData[[#This Row],[DistanceFromHome]]&lt;=5,"0–5 miles",CleanEmployeeData[[#This Row],[DistanceFromHome]]&lt;=10,"6–10 miles",CleanEmployeeData[[#This Row],[DistanceFromHome]]&lt;=15,"11–15 miles",TRUE,"16+ miles")</f>
        <v>0–5 miles</v>
      </c>
      <c r="AS314" t="str" cm="1">
        <f t="array" ref="AS314">_xlfn.IFS(CleanEmployeeData[[#This Row],[YearsAtCompany]]&lt;=1,"0–1 years",CleanEmployeeData[[#This Row],[YearsAtCompany]]&lt;=5,"2–5 years",CleanEmployeeData[[#This Row],[YearsAtCompany]]&lt;=10,"6–10 years",TRUE,"11+ years")</f>
        <v>2–5 years</v>
      </c>
    </row>
    <row r="315" spans="1:4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cm="1">
        <f t="array" ref="AJ315">_xlfn.SWITCH(CleanEmployeeData[[#This Row],[Education]],1,"Below College",2,"College",3,"Bachelor",4,"Master",5,"Doctor","Unknown")</f>
        <v>Master</v>
      </c>
      <c r="AK315" t="str" cm="1">
        <f t="array" ref="AK315">_xlfn.SWITCH(CleanEmployeeData[[#This Row],[EnvironmentSatisfaction]],1,"Low",2,"Medium",3,"High",4,"Very High","Unknown")</f>
        <v>Very High</v>
      </c>
      <c r="AL315" t="str" cm="1">
        <f t="array" ref="AL315">_xlfn.SWITCH(CleanEmployeeData[[#This Row],[JobInvolvement]],1,"Low",2,"Medium",3,"High",4,"Very High","Unknown")</f>
        <v>High</v>
      </c>
      <c r="AM315" t="str" cm="1">
        <f t="array" ref="AM315">_xlfn.SWITCH(CleanEmployeeData[[#This Row],[JobSatisfaction]],1,"Low",2,"Medium",3,"High",4,"Very High","Unknown")</f>
        <v>Medium</v>
      </c>
      <c r="AN315" t="str" cm="1">
        <f t="array" ref="AN315">_xlfn.SWITCH(CleanEmployeeData[[#This Row],[PerformanceRating]],1,"Low",2,"Good",3,"Excellent",4,"Outstanding","Unknown")</f>
        <v>Excellent</v>
      </c>
      <c r="AO315" t="str" cm="1">
        <f t="array" ref="AO315">_xlfn.SWITCH(CleanEmployeeData[[#This Row],[WorkLifeBalance]],1,"Bad",2,"Good",3,"Better",4,"Best","Unknown")</f>
        <v>Better</v>
      </c>
      <c r="AP315">
        <f>IF(CleanEmployeeData[[#This Row],[Attrition]]="Yes",1,IF(CleanEmployeeData[[#This Row],[Attrition]]="No",0,""))</f>
        <v>0</v>
      </c>
      <c r="AQ315" t="str" cm="1">
        <f t="array" ref="AQ315">_xlfn.IFS(CleanEmployeeData[[#This Row],[MonthlyIncome]]&lt;=3000,"0–3,000",CleanEmployeeData[[#This Row],[MonthlyIncome]]&lt;=6000,"3,001–6,000",CleanEmployeeData[[#This Row],[MonthlyIncome]]&lt;=10000,"6,001–10,000",TRUE,"10,001+")</f>
        <v>10,001+</v>
      </c>
      <c r="AR315" t="str" cm="1">
        <f t="array" ref="AR315">_xlfn.IFS(CleanEmployeeData[[#This Row],[DistanceFromHome]]&lt;=5,"0–5 miles",CleanEmployeeData[[#This Row],[DistanceFromHome]]&lt;=10,"6–10 miles",CleanEmployeeData[[#This Row],[DistanceFromHome]]&lt;=15,"11–15 miles",TRUE,"16+ miles")</f>
        <v>0–5 miles</v>
      </c>
      <c r="AS315" t="str" cm="1">
        <f t="array" ref="AS315">_xlfn.IFS(CleanEmployeeData[[#This Row],[YearsAtCompany]]&lt;=1,"0–1 years",CleanEmployeeData[[#This Row],[YearsAtCompany]]&lt;=5,"2–5 years",CleanEmployeeData[[#This Row],[YearsAtCompany]]&lt;=10,"6–10 years",TRUE,"11+ years")</f>
        <v>6–10 years</v>
      </c>
    </row>
    <row r="316" spans="1:4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cm="1">
        <f t="array" ref="AJ316">_xlfn.SWITCH(CleanEmployeeData[[#This Row],[Education]],1,"Below College",2,"College",3,"Bachelor",4,"Master",5,"Doctor","Unknown")</f>
        <v>Below College</v>
      </c>
      <c r="AK316" t="str" cm="1">
        <f t="array" ref="AK316">_xlfn.SWITCH(CleanEmployeeData[[#This Row],[EnvironmentSatisfaction]],1,"Low",2,"Medium",3,"High",4,"Very High","Unknown")</f>
        <v>High</v>
      </c>
      <c r="AL316" t="str" cm="1">
        <f t="array" ref="AL316">_xlfn.SWITCH(CleanEmployeeData[[#This Row],[JobInvolvement]],1,"Low",2,"Medium",3,"High",4,"Very High","Unknown")</f>
        <v>High</v>
      </c>
      <c r="AM316" t="str" cm="1">
        <f t="array" ref="AM316">_xlfn.SWITCH(CleanEmployeeData[[#This Row],[JobSatisfaction]],1,"Low",2,"Medium",3,"High",4,"Very High","Unknown")</f>
        <v>Low</v>
      </c>
      <c r="AN316" t="str" cm="1">
        <f t="array" ref="AN316">_xlfn.SWITCH(CleanEmployeeData[[#This Row],[PerformanceRating]],1,"Low",2,"Good",3,"Excellent",4,"Outstanding","Unknown")</f>
        <v>Excellent</v>
      </c>
      <c r="AO316" t="str" cm="1">
        <f t="array" ref="AO316">_xlfn.SWITCH(CleanEmployeeData[[#This Row],[WorkLifeBalance]],1,"Bad",2,"Good",3,"Better",4,"Best","Unknown")</f>
        <v>Better</v>
      </c>
      <c r="AP316">
        <f>IF(CleanEmployeeData[[#This Row],[Attrition]]="Yes",1,IF(CleanEmployeeData[[#This Row],[Attrition]]="No",0,""))</f>
        <v>0</v>
      </c>
      <c r="AQ316" t="str" cm="1">
        <f t="array" ref="AQ316">_xlfn.IFS(CleanEmployeeData[[#This Row],[MonthlyIncome]]&lt;=3000,"0–3,000",CleanEmployeeData[[#This Row],[MonthlyIncome]]&lt;=6000,"3,001–6,000",CleanEmployeeData[[#This Row],[MonthlyIncome]]&lt;=10000,"6,001–10,000",TRUE,"10,001+")</f>
        <v>10,001+</v>
      </c>
      <c r="AR316" t="str" cm="1">
        <f t="array" ref="AR316">_xlfn.IFS(CleanEmployeeData[[#This Row],[DistanceFromHome]]&lt;=5,"0–5 miles",CleanEmployeeData[[#This Row],[DistanceFromHome]]&lt;=10,"6–10 miles",CleanEmployeeData[[#This Row],[DistanceFromHome]]&lt;=15,"11–15 miles",TRUE,"16+ miles")</f>
        <v>6–10 miles</v>
      </c>
      <c r="AS316" t="str" cm="1">
        <f t="array" ref="AS316">_xlfn.IFS(CleanEmployeeData[[#This Row],[YearsAtCompany]]&lt;=1,"0–1 years",CleanEmployeeData[[#This Row],[YearsAtCompany]]&lt;=5,"2–5 years",CleanEmployeeData[[#This Row],[YearsAtCompany]]&lt;=10,"6–10 years",TRUE,"11+ years")</f>
        <v>11+ years</v>
      </c>
    </row>
    <row r="317" spans="1:4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cm="1">
        <f t="array" ref="AJ317">_xlfn.SWITCH(CleanEmployeeData[[#This Row],[Education]],1,"Below College",2,"College",3,"Bachelor",4,"Master",5,"Doctor","Unknown")</f>
        <v>Master</v>
      </c>
      <c r="AK317" t="str" cm="1">
        <f t="array" ref="AK317">_xlfn.SWITCH(CleanEmployeeData[[#This Row],[EnvironmentSatisfaction]],1,"Low",2,"Medium",3,"High",4,"Very High","Unknown")</f>
        <v>High</v>
      </c>
      <c r="AL317" t="str" cm="1">
        <f t="array" ref="AL317">_xlfn.SWITCH(CleanEmployeeData[[#This Row],[JobInvolvement]],1,"Low",2,"Medium",3,"High",4,"Very High","Unknown")</f>
        <v>High</v>
      </c>
      <c r="AM317" t="str" cm="1">
        <f t="array" ref="AM317">_xlfn.SWITCH(CleanEmployeeData[[#This Row],[JobSatisfaction]],1,"Low",2,"Medium",3,"High",4,"Very High","Unknown")</f>
        <v>Very High</v>
      </c>
      <c r="AN317" t="str" cm="1">
        <f t="array" ref="AN317">_xlfn.SWITCH(CleanEmployeeData[[#This Row],[PerformanceRating]],1,"Low",2,"Good",3,"Excellent",4,"Outstanding","Unknown")</f>
        <v>Excellent</v>
      </c>
      <c r="AO317" t="str" cm="1">
        <f t="array" ref="AO317">_xlfn.SWITCH(CleanEmployeeData[[#This Row],[WorkLifeBalance]],1,"Bad",2,"Good",3,"Better",4,"Best","Unknown")</f>
        <v>Better</v>
      </c>
      <c r="AP317">
        <f>IF(CleanEmployeeData[[#This Row],[Attrition]]="Yes",1,IF(CleanEmployeeData[[#This Row],[Attrition]]="No",0,""))</f>
        <v>0</v>
      </c>
      <c r="AQ317" t="str" cm="1">
        <f t="array" ref="AQ317">_xlfn.IFS(CleanEmployeeData[[#This Row],[MonthlyIncome]]&lt;=3000,"0–3,000",CleanEmployeeData[[#This Row],[MonthlyIncome]]&lt;=6000,"3,001–6,000",CleanEmployeeData[[#This Row],[MonthlyIncome]]&lt;=10000,"6,001–10,000",TRUE,"10,001+")</f>
        <v>0–3,000</v>
      </c>
      <c r="AR317" t="str" cm="1">
        <f t="array" ref="AR317">_xlfn.IFS(CleanEmployeeData[[#This Row],[DistanceFromHome]]&lt;=5,"0–5 miles",CleanEmployeeData[[#This Row],[DistanceFromHome]]&lt;=10,"6–10 miles",CleanEmployeeData[[#This Row],[DistanceFromHome]]&lt;=15,"11–15 miles",TRUE,"16+ miles")</f>
        <v>6–10 miles</v>
      </c>
      <c r="AS317" t="str" cm="1">
        <f t="array" ref="AS317">_xlfn.IFS(CleanEmployeeData[[#This Row],[YearsAtCompany]]&lt;=1,"0–1 years",CleanEmployeeData[[#This Row],[YearsAtCompany]]&lt;=5,"2–5 years",CleanEmployeeData[[#This Row],[YearsAtCompany]]&lt;=10,"6–10 years",TRUE,"11+ years")</f>
        <v>6–10 years</v>
      </c>
    </row>
    <row r="318" spans="1:4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cm="1">
        <f t="array" ref="AJ318">_xlfn.SWITCH(CleanEmployeeData[[#This Row],[Education]],1,"Below College",2,"College",3,"Bachelor",4,"Master",5,"Doctor","Unknown")</f>
        <v>College</v>
      </c>
      <c r="AK318" t="str" cm="1">
        <f t="array" ref="AK318">_xlfn.SWITCH(CleanEmployeeData[[#This Row],[EnvironmentSatisfaction]],1,"Low",2,"Medium",3,"High",4,"Very High","Unknown")</f>
        <v>High</v>
      </c>
      <c r="AL318" t="str" cm="1">
        <f t="array" ref="AL318">_xlfn.SWITCH(CleanEmployeeData[[#This Row],[JobInvolvement]],1,"Low",2,"Medium",3,"High",4,"Very High","Unknown")</f>
        <v>Medium</v>
      </c>
      <c r="AM318" t="str" cm="1">
        <f t="array" ref="AM318">_xlfn.SWITCH(CleanEmployeeData[[#This Row],[JobSatisfaction]],1,"Low",2,"Medium",3,"High",4,"Very High","Unknown")</f>
        <v>High</v>
      </c>
      <c r="AN318" t="str" cm="1">
        <f t="array" ref="AN318">_xlfn.SWITCH(CleanEmployeeData[[#This Row],[PerformanceRating]],1,"Low",2,"Good",3,"Excellent",4,"Outstanding","Unknown")</f>
        <v>Excellent</v>
      </c>
      <c r="AO318" t="str" cm="1">
        <f t="array" ref="AO318">_xlfn.SWITCH(CleanEmployeeData[[#This Row],[WorkLifeBalance]],1,"Bad",2,"Good",3,"Better",4,"Best","Unknown")</f>
        <v>Better</v>
      </c>
      <c r="AP318">
        <f>IF(CleanEmployeeData[[#This Row],[Attrition]]="Yes",1,IF(CleanEmployeeData[[#This Row],[Attrition]]="No",0,""))</f>
        <v>0</v>
      </c>
      <c r="AQ318" t="str" cm="1">
        <f t="array" ref="AQ318">_xlfn.IFS(CleanEmployeeData[[#This Row],[MonthlyIncome]]&lt;=3000,"0–3,000",CleanEmployeeData[[#This Row],[MonthlyIncome]]&lt;=6000,"3,001–6,000",CleanEmployeeData[[#This Row],[MonthlyIncome]]&lt;=10000,"6,001–10,000",TRUE,"10,001+")</f>
        <v>10,001+</v>
      </c>
      <c r="AR318" t="str" cm="1">
        <f t="array" ref="AR318">_xlfn.IFS(CleanEmployeeData[[#This Row],[DistanceFromHome]]&lt;=5,"0–5 miles",CleanEmployeeData[[#This Row],[DistanceFromHome]]&lt;=10,"6–10 miles",CleanEmployeeData[[#This Row],[DistanceFromHome]]&lt;=15,"11–15 miles",TRUE,"16+ miles")</f>
        <v>0–5 miles</v>
      </c>
      <c r="AS318" t="str" cm="1">
        <f t="array" ref="AS318">_xlfn.IFS(CleanEmployeeData[[#This Row],[YearsAtCompany]]&lt;=1,"0–1 years",CleanEmployeeData[[#This Row],[YearsAtCompany]]&lt;=5,"2–5 years",CleanEmployeeData[[#This Row],[YearsAtCompany]]&lt;=10,"6–10 years",TRUE,"11+ years")</f>
        <v>6–10 years</v>
      </c>
    </row>
    <row r="319" spans="1:4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cm="1">
        <f t="array" ref="AJ319">_xlfn.SWITCH(CleanEmployeeData[[#This Row],[Education]],1,"Below College",2,"College",3,"Bachelor",4,"Master",5,"Doctor","Unknown")</f>
        <v>Master</v>
      </c>
      <c r="AK319" t="str" cm="1">
        <f t="array" ref="AK319">_xlfn.SWITCH(CleanEmployeeData[[#This Row],[EnvironmentSatisfaction]],1,"Low",2,"Medium",3,"High",4,"Very High","Unknown")</f>
        <v>High</v>
      </c>
      <c r="AL319" t="str" cm="1">
        <f t="array" ref="AL319">_xlfn.SWITCH(CleanEmployeeData[[#This Row],[JobInvolvement]],1,"Low",2,"Medium",3,"High",4,"Very High","Unknown")</f>
        <v>Medium</v>
      </c>
      <c r="AM319" t="str" cm="1">
        <f t="array" ref="AM319">_xlfn.SWITCH(CleanEmployeeData[[#This Row],[JobSatisfaction]],1,"Low",2,"Medium",3,"High",4,"Very High","Unknown")</f>
        <v>Medium</v>
      </c>
      <c r="AN319" t="str" cm="1">
        <f t="array" ref="AN319">_xlfn.SWITCH(CleanEmployeeData[[#This Row],[PerformanceRating]],1,"Low",2,"Good",3,"Excellent",4,"Outstanding","Unknown")</f>
        <v>Excellent</v>
      </c>
      <c r="AO319" t="str" cm="1">
        <f t="array" ref="AO319">_xlfn.SWITCH(CleanEmployeeData[[#This Row],[WorkLifeBalance]],1,"Bad",2,"Good",3,"Better",4,"Best","Unknown")</f>
        <v>Good</v>
      </c>
      <c r="AP319">
        <f>IF(CleanEmployeeData[[#This Row],[Attrition]]="Yes",1,IF(CleanEmployeeData[[#This Row],[Attrition]]="No",0,""))</f>
        <v>1</v>
      </c>
      <c r="AQ319" t="str" cm="1">
        <f t="array" ref="AQ319">_xlfn.IFS(CleanEmployeeData[[#This Row],[MonthlyIncome]]&lt;=3000,"0–3,000",CleanEmployeeData[[#This Row],[MonthlyIncome]]&lt;=6000,"3,001–6,000",CleanEmployeeData[[#This Row],[MonthlyIncome]]&lt;=10000,"6,001–10,000",TRUE,"10,001+")</f>
        <v>3,001–6,000</v>
      </c>
      <c r="AR319" t="str" cm="1">
        <f t="array" ref="AR319">_xlfn.IFS(CleanEmployeeData[[#This Row],[DistanceFromHome]]&lt;=5,"0–5 miles",CleanEmployeeData[[#This Row],[DistanceFromHome]]&lt;=10,"6–10 miles",CleanEmployeeData[[#This Row],[DistanceFromHome]]&lt;=15,"11–15 miles",TRUE,"16+ miles")</f>
        <v>6–10 miles</v>
      </c>
      <c r="AS319" t="str" cm="1">
        <f t="array" ref="AS319">_xlfn.IFS(CleanEmployeeData[[#This Row],[YearsAtCompany]]&lt;=1,"0–1 years",CleanEmployeeData[[#This Row],[YearsAtCompany]]&lt;=5,"2–5 years",CleanEmployeeData[[#This Row],[YearsAtCompany]]&lt;=10,"6–10 years",TRUE,"11+ years")</f>
        <v>6–10 years</v>
      </c>
    </row>
    <row r="320" spans="1:4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cm="1">
        <f t="array" ref="AJ320">_xlfn.SWITCH(CleanEmployeeData[[#This Row],[Education]],1,"Below College",2,"College",3,"Bachelor",4,"Master",5,"Doctor","Unknown")</f>
        <v>Bachelor</v>
      </c>
      <c r="AK320" t="str" cm="1">
        <f t="array" ref="AK320">_xlfn.SWITCH(CleanEmployeeData[[#This Row],[EnvironmentSatisfaction]],1,"Low",2,"Medium",3,"High",4,"Very High","Unknown")</f>
        <v>High</v>
      </c>
      <c r="AL320" t="str" cm="1">
        <f t="array" ref="AL320">_xlfn.SWITCH(CleanEmployeeData[[#This Row],[JobInvolvement]],1,"Low",2,"Medium",3,"High",4,"Very High","Unknown")</f>
        <v>High</v>
      </c>
      <c r="AM320" t="str" cm="1">
        <f t="array" ref="AM320">_xlfn.SWITCH(CleanEmployeeData[[#This Row],[JobSatisfaction]],1,"Low",2,"Medium",3,"High",4,"Very High","Unknown")</f>
        <v>Medium</v>
      </c>
      <c r="AN320" t="str" cm="1">
        <f t="array" ref="AN320">_xlfn.SWITCH(CleanEmployeeData[[#This Row],[PerformanceRating]],1,"Low",2,"Good",3,"Excellent",4,"Outstanding","Unknown")</f>
        <v>Excellent</v>
      </c>
      <c r="AO320" t="str" cm="1">
        <f t="array" ref="AO320">_xlfn.SWITCH(CleanEmployeeData[[#This Row],[WorkLifeBalance]],1,"Bad",2,"Good",3,"Better",4,"Best","Unknown")</f>
        <v>Good</v>
      </c>
      <c r="AP320">
        <f>IF(CleanEmployeeData[[#This Row],[Attrition]]="Yes",1,IF(CleanEmployeeData[[#This Row],[Attrition]]="No",0,""))</f>
        <v>0</v>
      </c>
      <c r="AQ320" t="str" cm="1">
        <f t="array" ref="AQ320">_xlfn.IFS(CleanEmployeeData[[#This Row],[MonthlyIncome]]&lt;=3000,"0–3,000",CleanEmployeeData[[#This Row],[MonthlyIncome]]&lt;=6000,"3,001–6,000",CleanEmployeeData[[#This Row],[MonthlyIncome]]&lt;=10000,"6,001–10,000",TRUE,"10,001+")</f>
        <v>0–3,000</v>
      </c>
      <c r="AR320" t="str" cm="1">
        <f t="array" ref="AR320">_xlfn.IFS(CleanEmployeeData[[#This Row],[DistanceFromHome]]&lt;=5,"0–5 miles",CleanEmployeeData[[#This Row],[DistanceFromHome]]&lt;=10,"6–10 miles",CleanEmployeeData[[#This Row],[DistanceFromHome]]&lt;=15,"11–15 miles",TRUE,"16+ miles")</f>
        <v>0–5 miles</v>
      </c>
      <c r="AS320" t="str" cm="1">
        <f t="array" ref="AS320">_xlfn.IFS(CleanEmployeeData[[#This Row],[YearsAtCompany]]&lt;=1,"0–1 years",CleanEmployeeData[[#This Row],[YearsAtCompany]]&lt;=5,"2–5 years",CleanEmployeeData[[#This Row],[YearsAtCompany]]&lt;=10,"6–10 years",TRUE,"11+ years")</f>
        <v>2–5 years</v>
      </c>
    </row>
    <row r="321" spans="1:4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cm="1">
        <f t="array" ref="AJ321">_xlfn.SWITCH(CleanEmployeeData[[#This Row],[Education]],1,"Below College",2,"College",3,"Bachelor",4,"Master",5,"Doctor","Unknown")</f>
        <v>College</v>
      </c>
      <c r="AK321" t="str" cm="1">
        <f t="array" ref="AK321">_xlfn.SWITCH(CleanEmployeeData[[#This Row],[EnvironmentSatisfaction]],1,"Low",2,"Medium",3,"High",4,"Very High","Unknown")</f>
        <v>High</v>
      </c>
      <c r="AL321" t="str" cm="1">
        <f t="array" ref="AL321">_xlfn.SWITCH(CleanEmployeeData[[#This Row],[JobInvolvement]],1,"Low",2,"Medium",3,"High",4,"Very High","Unknown")</f>
        <v>Medium</v>
      </c>
      <c r="AM321" t="str" cm="1">
        <f t="array" ref="AM321">_xlfn.SWITCH(CleanEmployeeData[[#This Row],[JobSatisfaction]],1,"Low",2,"Medium",3,"High",4,"Very High","Unknown")</f>
        <v>Medium</v>
      </c>
      <c r="AN321" t="str" cm="1">
        <f t="array" ref="AN321">_xlfn.SWITCH(CleanEmployeeData[[#This Row],[PerformanceRating]],1,"Low",2,"Good",3,"Excellent",4,"Outstanding","Unknown")</f>
        <v>Excellent</v>
      </c>
      <c r="AO321" t="str" cm="1">
        <f t="array" ref="AO321">_xlfn.SWITCH(CleanEmployeeData[[#This Row],[WorkLifeBalance]],1,"Bad",2,"Good",3,"Better",4,"Best","Unknown")</f>
        <v>Better</v>
      </c>
      <c r="AP321">
        <f>IF(CleanEmployeeData[[#This Row],[Attrition]]="Yes",1,IF(CleanEmployeeData[[#This Row],[Attrition]]="No",0,""))</f>
        <v>0</v>
      </c>
      <c r="AQ321" t="str" cm="1">
        <f t="array" ref="AQ321">_xlfn.IFS(CleanEmployeeData[[#This Row],[MonthlyIncome]]&lt;=3000,"0–3,000",CleanEmployeeData[[#This Row],[MonthlyIncome]]&lt;=6000,"3,001–6,000",CleanEmployeeData[[#This Row],[MonthlyIncome]]&lt;=10000,"6,001–10,000",TRUE,"10,001+")</f>
        <v>3,001–6,000</v>
      </c>
      <c r="AR321" t="str" cm="1">
        <f t="array" ref="AR321">_xlfn.IFS(CleanEmployeeData[[#This Row],[DistanceFromHome]]&lt;=5,"0–5 miles",CleanEmployeeData[[#This Row],[DistanceFromHome]]&lt;=10,"6–10 miles",CleanEmployeeData[[#This Row],[DistanceFromHome]]&lt;=15,"11–15 miles",TRUE,"16+ miles")</f>
        <v>6–10 miles</v>
      </c>
      <c r="AS321" t="str" cm="1">
        <f t="array" ref="AS321">_xlfn.IFS(CleanEmployeeData[[#This Row],[YearsAtCompany]]&lt;=1,"0–1 years",CleanEmployeeData[[#This Row],[YearsAtCompany]]&lt;=5,"2–5 years",CleanEmployeeData[[#This Row],[YearsAtCompany]]&lt;=10,"6–10 years",TRUE,"11+ years")</f>
        <v>11+ years</v>
      </c>
    </row>
    <row r="322" spans="1:4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cm="1">
        <f t="array" ref="AJ322">_xlfn.SWITCH(CleanEmployeeData[[#This Row],[Education]],1,"Below College",2,"College",3,"Bachelor",4,"Master",5,"Doctor","Unknown")</f>
        <v>Bachelor</v>
      </c>
      <c r="AK322" t="str" cm="1">
        <f t="array" ref="AK322">_xlfn.SWITCH(CleanEmployeeData[[#This Row],[EnvironmentSatisfaction]],1,"Low",2,"Medium",3,"High",4,"Very High","Unknown")</f>
        <v>Very High</v>
      </c>
      <c r="AL322" t="str" cm="1">
        <f t="array" ref="AL322">_xlfn.SWITCH(CleanEmployeeData[[#This Row],[JobInvolvement]],1,"Low",2,"Medium",3,"High",4,"Very High","Unknown")</f>
        <v>High</v>
      </c>
      <c r="AM322" t="str" cm="1">
        <f t="array" ref="AM322">_xlfn.SWITCH(CleanEmployeeData[[#This Row],[JobSatisfaction]],1,"Low",2,"Medium",3,"High",4,"Very High","Unknown")</f>
        <v>High</v>
      </c>
      <c r="AN322" t="str" cm="1">
        <f t="array" ref="AN322">_xlfn.SWITCH(CleanEmployeeData[[#This Row],[PerformanceRating]],1,"Low",2,"Good",3,"Excellent",4,"Outstanding","Unknown")</f>
        <v>Excellent</v>
      </c>
      <c r="AO322" t="str" cm="1">
        <f t="array" ref="AO322">_xlfn.SWITCH(CleanEmployeeData[[#This Row],[WorkLifeBalance]],1,"Bad",2,"Good",3,"Better",4,"Best","Unknown")</f>
        <v>Better</v>
      </c>
      <c r="AP322">
        <f>IF(CleanEmployeeData[[#This Row],[Attrition]]="Yes",1,IF(CleanEmployeeData[[#This Row],[Attrition]]="No",0,""))</f>
        <v>0</v>
      </c>
      <c r="AQ322" t="str" cm="1">
        <f t="array" ref="AQ322">_xlfn.IFS(CleanEmployeeData[[#This Row],[MonthlyIncome]]&lt;=3000,"0–3,000",CleanEmployeeData[[#This Row],[MonthlyIncome]]&lt;=6000,"3,001–6,000",CleanEmployeeData[[#This Row],[MonthlyIncome]]&lt;=10000,"6,001–10,000",TRUE,"10,001+")</f>
        <v>3,001–6,000</v>
      </c>
      <c r="AR322" t="str" cm="1">
        <f t="array" ref="AR322">_xlfn.IFS(CleanEmployeeData[[#This Row],[DistanceFromHome]]&lt;=5,"0–5 miles",CleanEmployeeData[[#This Row],[DistanceFromHome]]&lt;=10,"6–10 miles",CleanEmployeeData[[#This Row],[DistanceFromHome]]&lt;=15,"11–15 miles",TRUE,"16+ miles")</f>
        <v>0–5 miles</v>
      </c>
      <c r="AS322" t="str" cm="1">
        <f t="array" ref="AS322">_xlfn.IFS(CleanEmployeeData[[#This Row],[YearsAtCompany]]&lt;=1,"0–1 years",CleanEmployeeData[[#This Row],[YearsAtCompany]]&lt;=5,"2–5 years",CleanEmployeeData[[#This Row],[YearsAtCompany]]&lt;=10,"6–10 years",TRUE,"11+ years")</f>
        <v>2–5 years</v>
      </c>
    </row>
    <row r="323" spans="1:4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cm="1">
        <f t="array" ref="AJ323">_xlfn.SWITCH(CleanEmployeeData[[#This Row],[Education]],1,"Below College",2,"College",3,"Bachelor",4,"Master",5,"Doctor","Unknown")</f>
        <v>Bachelor</v>
      </c>
      <c r="AK323" t="str" cm="1">
        <f t="array" ref="AK323">_xlfn.SWITCH(CleanEmployeeData[[#This Row],[EnvironmentSatisfaction]],1,"Low",2,"Medium",3,"High",4,"Very High","Unknown")</f>
        <v>Very High</v>
      </c>
      <c r="AL323" t="str" cm="1">
        <f t="array" ref="AL323">_xlfn.SWITCH(CleanEmployeeData[[#This Row],[JobInvolvement]],1,"Low",2,"Medium",3,"High",4,"Very High","Unknown")</f>
        <v>High</v>
      </c>
      <c r="AM323" t="str" cm="1">
        <f t="array" ref="AM323">_xlfn.SWITCH(CleanEmployeeData[[#This Row],[JobSatisfaction]],1,"Low",2,"Medium",3,"High",4,"Very High","Unknown")</f>
        <v>Very High</v>
      </c>
      <c r="AN323" t="str" cm="1">
        <f t="array" ref="AN323">_xlfn.SWITCH(CleanEmployeeData[[#This Row],[PerformanceRating]],1,"Low",2,"Good",3,"Excellent",4,"Outstanding","Unknown")</f>
        <v>Excellent</v>
      </c>
      <c r="AO323" t="str" cm="1">
        <f t="array" ref="AO323">_xlfn.SWITCH(CleanEmployeeData[[#This Row],[WorkLifeBalance]],1,"Bad",2,"Good",3,"Better",4,"Best","Unknown")</f>
        <v>Better</v>
      </c>
      <c r="AP323">
        <f>IF(CleanEmployeeData[[#This Row],[Attrition]]="Yes",1,IF(CleanEmployeeData[[#This Row],[Attrition]]="No",0,""))</f>
        <v>0</v>
      </c>
      <c r="AQ323" t="str" cm="1">
        <f t="array" ref="AQ323">_xlfn.IFS(CleanEmployeeData[[#This Row],[MonthlyIncome]]&lt;=3000,"0–3,000",CleanEmployeeData[[#This Row],[MonthlyIncome]]&lt;=6000,"3,001–6,000",CleanEmployeeData[[#This Row],[MonthlyIncome]]&lt;=10000,"6,001–10,000",TRUE,"10,001+")</f>
        <v>6,001–10,000</v>
      </c>
      <c r="AR323" t="str" cm="1">
        <f t="array" ref="AR323">_xlfn.IFS(CleanEmployeeData[[#This Row],[DistanceFromHome]]&lt;=5,"0–5 miles",CleanEmployeeData[[#This Row],[DistanceFromHome]]&lt;=10,"6–10 miles",CleanEmployeeData[[#This Row],[DistanceFromHome]]&lt;=15,"11–15 miles",TRUE,"16+ miles")</f>
        <v>6–10 miles</v>
      </c>
      <c r="AS323" t="str" cm="1">
        <f t="array" ref="AS323">_xlfn.IFS(CleanEmployeeData[[#This Row],[YearsAtCompany]]&lt;=1,"0–1 years",CleanEmployeeData[[#This Row],[YearsAtCompany]]&lt;=5,"2–5 years",CleanEmployeeData[[#This Row],[YearsAtCompany]]&lt;=10,"6–10 years",TRUE,"11+ years")</f>
        <v>6–10 years</v>
      </c>
    </row>
    <row r="324" spans="1:4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cm="1">
        <f t="array" ref="AJ324">_xlfn.SWITCH(CleanEmployeeData[[#This Row],[Education]],1,"Below College",2,"College",3,"Bachelor",4,"Master",5,"Doctor","Unknown")</f>
        <v>Master</v>
      </c>
      <c r="AK324" t="str" cm="1">
        <f t="array" ref="AK324">_xlfn.SWITCH(CleanEmployeeData[[#This Row],[EnvironmentSatisfaction]],1,"Low",2,"Medium",3,"High",4,"Very High","Unknown")</f>
        <v>Low</v>
      </c>
      <c r="AL324" t="str" cm="1">
        <f t="array" ref="AL324">_xlfn.SWITCH(CleanEmployeeData[[#This Row],[JobInvolvement]],1,"Low",2,"Medium",3,"High",4,"Very High","Unknown")</f>
        <v>Very High</v>
      </c>
      <c r="AM324" t="str" cm="1">
        <f t="array" ref="AM324">_xlfn.SWITCH(CleanEmployeeData[[#This Row],[JobSatisfaction]],1,"Low",2,"Medium",3,"High",4,"Very High","Unknown")</f>
        <v>Very High</v>
      </c>
      <c r="AN324" t="str" cm="1">
        <f t="array" ref="AN324">_xlfn.SWITCH(CleanEmployeeData[[#This Row],[PerformanceRating]],1,"Low",2,"Good",3,"Excellent",4,"Outstanding","Unknown")</f>
        <v>Excellent</v>
      </c>
      <c r="AO324" t="str" cm="1">
        <f t="array" ref="AO324">_xlfn.SWITCH(CleanEmployeeData[[#This Row],[WorkLifeBalance]],1,"Bad",2,"Good",3,"Better",4,"Best","Unknown")</f>
        <v>Good</v>
      </c>
      <c r="AP324">
        <f>IF(CleanEmployeeData[[#This Row],[Attrition]]="Yes",1,IF(CleanEmployeeData[[#This Row],[Attrition]]="No",0,""))</f>
        <v>0</v>
      </c>
      <c r="AQ324" t="str" cm="1">
        <f t="array" ref="AQ324">_xlfn.IFS(CleanEmployeeData[[#This Row],[MonthlyIncome]]&lt;=3000,"0–3,000",CleanEmployeeData[[#This Row],[MonthlyIncome]]&lt;=6000,"3,001–6,000",CleanEmployeeData[[#This Row],[MonthlyIncome]]&lt;=10000,"6,001–10,000",TRUE,"10,001+")</f>
        <v>3,001–6,000</v>
      </c>
      <c r="AR324" t="str" cm="1">
        <f t="array" ref="AR324">_xlfn.IFS(CleanEmployeeData[[#This Row],[DistanceFromHome]]&lt;=5,"0–5 miles",CleanEmployeeData[[#This Row],[DistanceFromHome]]&lt;=10,"6–10 miles",CleanEmployeeData[[#This Row],[DistanceFromHome]]&lt;=15,"11–15 miles",TRUE,"16+ miles")</f>
        <v>0–5 miles</v>
      </c>
      <c r="AS324" t="str" cm="1">
        <f t="array" ref="AS324">_xlfn.IFS(CleanEmployeeData[[#This Row],[YearsAtCompany]]&lt;=1,"0–1 years",CleanEmployeeData[[#This Row],[YearsAtCompany]]&lt;=5,"2–5 years",CleanEmployeeData[[#This Row],[YearsAtCompany]]&lt;=10,"6–10 years",TRUE,"11+ years")</f>
        <v>6–10 years</v>
      </c>
    </row>
    <row r="325" spans="1:4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cm="1">
        <f t="array" ref="AJ325">_xlfn.SWITCH(CleanEmployeeData[[#This Row],[Education]],1,"Below College",2,"College",3,"Bachelor",4,"Master",5,"Doctor","Unknown")</f>
        <v>Master</v>
      </c>
      <c r="AK325" t="str" cm="1">
        <f t="array" ref="AK325">_xlfn.SWITCH(CleanEmployeeData[[#This Row],[EnvironmentSatisfaction]],1,"Low",2,"Medium",3,"High",4,"Very High","Unknown")</f>
        <v>Low</v>
      </c>
      <c r="AL325" t="str" cm="1">
        <f t="array" ref="AL325">_xlfn.SWITCH(CleanEmployeeData[[#This Row],[JobInvolvement]],1,"Low",2,"Medium",3,"High",4,"Very High","Unknown")</f>
        <v>Low</v>
      </c>
      <c r="AM325" t="str" cm="1">
        <f t="array" ref="AM325">_xlfn.SWITCH(CleanEmployeeData[[#This Row],[JobSatisfaction]],1,"Low",2,"Medium",3,"High",4,"Very High","Unknown")</f>
        <v>Very High</v>
      </c>
      <c r="AN325" t="str" cm="1">
        <f t="array" ref="AN325">_xlfn.SWITCH(CleanEmployeeData[[#This Row],[PerformanceRating]],1,"Low",2,"Good",3,"Excellent",4,"Outstanding","Unknown")</f>
        <v>Excellent</v>
      </c>
      <c r="AO325" t="str" cm="1">
        <f t="array" ref="AO325">_xlfn.SWITCH(CleanEmployeeData[[#This Row],[WorkLifeBalance]],1,"Bad",2,"Good",3,"Better",4,"Best","Unknown")</f>
        <v>Good</v>
      </c>
      <c r="AP325">
        <f>IF(CleanEmployeeData[[#This Row],[Attrition]]="Yes",1,IF(CleanEmployeeData[[#This Row],[Attrition]]="No",0,""))</f>
        <v>1</v>
      </c>
      <c r="AQ325" t="str" cm="1">
        <f t="array" ref="AQ325">_xlfn.IFS(CleanEmployeeData[[#This Row],[MonthlyIncome]]&lt;=3000,"0–3,000",CleanEmployeeData[[#This Row],[MonthlyIncome]]&lt;=6000,"3,001–6,000",CleanEmployeeData[[#This Row],[MonthlyIncome]]&lt;=10000,"6,001–10,000",TRUE,"10,001+")</f>
        <v>3,001–6,000</v>
      </c>
      <c r="AR325" t="str" cm="1">
        <f t="array" ref="AR325">_xlfn.IFS(CleanEmployeeData[[#This Row],[DistanceFromHome]]&lt;=5,"0–5 miles",CleanEmployeeData[[#This Row],[DistanceFromHome]]&lt;=10,"6–10 miles",CleanEmployeeData[[#This Row],[DistanceFromHome]]&lt;=15,"11–15 miles",TRUE,"16+ miles")</f>
        <v>0–5 miles</v>
      </c>
      <c r="AS325" t="str" cm="1">
        <f t="array" ref="AS325">_xlfn.IFS(CleanEmployeeData[[#This Row],[YearsAtCompany]]&lt;=1,"0–1 years",CleanEmployeeData[[#This Row],[YearsAtCompany]]&lt;=5,"2–5 years",CleanEmployeeData[[#This Row],[YearsAtCompany]]&lt;=10,"6–10 years",TRUE,"11+ years")</f>
        <v>2–5 years</v>
      </c>
    </row>
    <row r="326" spans="1:4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cm="1">
        <f t="array" ref="AJ326">_xlfn.SWITCH(CleanEmployeeData[[#This Row],[Education]],1,"Below College",2,"College",3,"Bachelor",4,"Master",5,"Doctor","Unknown")</f>
        <v>College</v>
      </c>
      <c r="AK326" t="str" cm="1">
        <f t="array" ref="AK326">_xlfn.SWITCH(CleanEmployeeData[[#This Row],[EnvironmentSatisfaction]],1,"Low",2,"Medium",3,"High",4,"Very High","Unknown")</f>
        <v>Very High</v>
      </c>
      <c r="AL326" t="str" cm="1">
        <f t="array" ref="AL326">_xlfn.SWITCH(CleanEmployeeData[[#This Row],[JobInvolvement]],1,"Low",2,"Medium",3,"High",4,"Very High","Unknown")</f>
        <v>High</v>
      </c>
      <c r="AM326" t="str" cm="1">
        <f t="array" ref="AM326">_xlfn.SWITCH(CleanEmployeeData[[#This Row],[JobSatisfaction]],1,"Low",2,"Medium",3,"High",4,"Very High","Unknown")</f>
        <v>Very High</v>
      </c>
      <c r="AN326" t="str" cm="1">
        <f t="array" ref="AN326">_xlfn.SWITCH(CleanEmployeeData[[#This Row],[PerformanceRating]],1,"Low",2,"Good",3,"Excellent",4,"Outstanding","Unknown")</f>
        <v>Excellent</v>
      </c>
      <c r="AO326" t="str" cm="1">
        <f t="array" ref="AO326">_xlfn.SWITCH(CleanEmployeeData[[#This Row],[WorkLifeBalance]],1,"Bad",2,"Good",3,"Better",4,"Best","Unknown")</f>
        <v>Better</v>
      </c>
      <c r="AP326">
        <f>IF(CleanEmployeeData[[#This Row],[Attrition]]="Yes",1,IF(CleanEmployeeData[[#This Row],[Attrition]]="No",0,""))</f>
        <v>0</v>
      </c>
      <c r="AQ326" t="str" cm="1">
        <f t="array" ref="AQ326">_xlfn.IFS(CleanEmployeeData[[#This Row],[MonthlyIncome]]&lt;=3000,"0–3,000",CleanEmployeeData[[#This Row],[MonthlyIncome]]&lt;=6000,"3,001–6,000",CleanEmployeeData[[#This Row],[MonthlyIncome]]&lt;=10000,"6,001–10,000",TRUE,"10,001+")</f>
        <v>3,001–6,000</v>
      </c>
      <c r="AR326" t="str" cm="1">
        <f t="array" ref="AR326">_xlfn.IFS(CleanEmployeeData[[#This Row],[DistanceFromHome]]&lt;=5,"0–5 miles",CleanEmployeeData[[#This Row],[DistanceFromHome]]&lt;=10,"6–10 miles",CleanEmployeeData[[#This Row],[DistanceFromHome]]&lt;=15,"11–15 miles",TRUE,"16+ miles")</f>
        <v>16+ miles</v>
      </c>
      <c r="AS326" t="str" cm="1">
        <f t="array" ref="AS326">_xlfn.IFS(CleanEmployeeData[[#This Row],[YearsAtCompany]]&lt;=1,"0–1 years",CleanEmployeeData[[#This Row],[YearsAtCompany]]&lt;=5,"2–5 years",CleanEmployeeData[[#This Row],[YearsAtCompany]]&lt;=10,"6–10 years",TRUE,"11+ years")</f>
        <v>6–10 years</v>
      </c>
    </row>
    <row r="327" spans="1:4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cm="1">
        <f t="array" ref="AJ327">_xlfn.SWITCH(CleanEmployeeData[[#This Row],[Education]],1,"Below College",2,"College",3,"Bachelor",4,"Master",5,"Doctor","Unknown")</f>
        <v>College</v>
      </c>
      <c r="AK327" t="str" cm="1">
        <f t="array" ref="AK327">_xlfn.SWITCH(CleanEmployeeData[[#This Row],[EnvironmentSatisfaction]],1,"Low",2,"Medium",3,"High",4,"Very High","Unknown")</f>
        <v>High</v>
      </c>
      <c r="AL327" t="str" cm="1">
        <f t="array" ref="AL327">_xlfn.SWITCH(CleanEmployeeData[[#This Row],[JobInvolvement]],1,"Low",2,"Medium",3,"High",4,"Very High","Unknown")</f>
        <v>Medium</v>
      </c>
      <c r="AM327" t="str" cm="1">
        <f t="array" ref="AM327">_xlfn.SWITCH(CleanEmployeeData[[#This Row],[JobSatisfaction]],1,"Low",2,"Medium",3,"High",4,"Very High","Unknown")</f>
        <v>High</v>
      </c>
      <c r="AN327" t="str" cm="1">
        <f t="array" ref="AN327">_xlfn.SWITCH(CleanEmployeeData[[#This Row],[PerformanceRating]],1,"Low",2,"Good",3,"Excellent",4,"Outstanding","Unknown")</f>
        <v>Outstanding</v>
      </c>
      <c r="AO327" t="str" cm="1">
        <f t="array" ref="AO327">_xlfn.SWITCH(CleanEmployeeData[[#This Row],[WorkLifeBalance]],1,"Bad",2,"Good",3,"Better",4,"Best","Unknown")</f>
        <v>Better</v>
      </c>
      <c r="AP327">
        <f>IF(CleanEmployeeData[[#This Row],[Attrition]]="Yes",1,IF(CleanEmployeeData[[#This Row],[Attrition]]="No",0,""))</f>
        <v>0</v>
      </c>
      <c r="AQ327" t="str" cm="1">
        <f t="array" ref="AQ327">_xlfn.IFS(CleanEmployeeData[[#This Row],[MonthlyIncome]]&lt;=3000,"0–3,000",CleanEmployeeData[[#This Row],[MonthlyIncome]]&lt;=6000,"3,001–6,000",CleanEmployeeData[[#This Row],[MonthlyIncome]]&lt;=10000,"6,001–10,000",TRUE,"10,001+")</f>
        <v>6,001–10,000</v>
      </c>
      <c r="AR327" t="str" cm="1">
        <f t="array" ref="AR327">_xlfn.IFS(CleanEmployeeData[[#This Row],[DistanceFromHome]]&lt;=5,"0–5 miles",CleanEmployeeData[[#This Row],[DistanceFromHome]]&lt;=10,"6–10 miles",CleanEmployeeData[[#This Row],[DistanceFromHome]]&lt;=15,"11–15 miles",TRUE,"16+ miles")</f>
        <v>6–10 miles</v>
      </c>
      <c r="AS327" t="str" cm="1">
        <f t="array" ref="AS327">_xlfn.IFS(CleanEmployeeData[[#This Row],[YearsAtCompany]]&lt;=1,"0–1 years",CleanEmployeeData[[#This Row],[YearsAtCompany]]&lt;=5,"2–5 years",CleanEmployeeData[[#This Row],[YearsAtCompany]]&lt;=10,"6–10 years",TRUE,"11+ years")</f>
        <v>6–10 years</v>
      </c>
    </row>
    <row r="328" spans="1:4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cm="1">
        <f t="array" ref="AJ328">_xlfn.SWITCH(CleanEmployeeData[[#This Row],[Education]],1,"Below College",2,"College",3,"Bachelor",4,"Master",5,"Doctor","Unknown")</f>
        <v>College</v>
      </c>
      <c r="AK328" t="str" cm="1">
        <f t="array" ref="AK328">_xlfn.SWITCH(CleanEmployeeData[[#This Row],[EnvironmentSatisfaction]],1,"Low",2,"Medium",3,"High",4,"Very High","Unknown")</f>
        <v>High</v>
      </c>
      <c r="AL328" t="str" cm="1">
        <f t="array" ref="AL328">_xlfn.SWITCH(CleanEmployeeData[[#This Row],[JobInvolvement]],1,"Low",2,"Medium",3,"High",4,"Very High","Unknown")</f>
        <v>Medium</v>
      </c>
      <c r="AM328" t="str" cm="1">
        <f t="array" ref="AM328">_xlfn.SWITCH(CleanEmployeeData[[#This Row],[JobSatisfaction]],1,"Low",2,"Medium",3,"High",4,"Very High","Unknown")</f>
        <v>Very High</v>
      </c>
      <c r="AN328" t="str" cm="1">
        <f t="array" ref="AN328">_xlfn.SWITCH(CleanEmployeeData[[#This Row],[PerformanceRating]],1,"Low",2,"Good",3,"Excellent",4,"Outstanding","Unknown")</f>
        <v>Excellent</v>
      </c>
      <c r="AO328" t="str" cm="1">
        <f t="array" ref="AO328">_xlfn.SWITCH(CleanEmployeeData[[#This Row],[WorkLifeBalance]],1,"Bad",2,"Good",3,"Better",4,"Best","Unknown")</f>
        <v>Better</v>
      </c>
      <c r="AP328">
        <f>IF(CleanEmployeeData[[#This Row],[Attrition]]="Yes",1,IF(CleanEmployeeData[[#This Row],[Attrition]]="No",0,""))</f>
        <v>0</v>
      </c>
      <c r="AQ328" t="str" cm="1">
        <f t="array" ref="AQ328">_xlfn.IFS(CleanEmployeeData[[#This Row],[MonthlyIncome]]&lt;=3000,"0–3,000",CleanEmployeeData[[#This Row],[MonthlyIncome]]&lt;=6000,"3,001–6,000",CleanEmployeeData[[#This Row],[MonthlyIncome]]&lt;=10000,"6,001–10,000",TRUE,"10,001+")</f>
        <v>10,001+</v>
      </c>
      <c r="AR328" t="str" cm="1">
        <f t="array" ref="AR328">_xlfn.IFS(CleanEmployeeData[[#This Row],[DistanceFromHome]]&lt;=5,"0–5 miles",CleanEmployeeData[[#This Row],[DistanceFromHome]]&lt;=10,"6–10 miles",CleanEmployeeData[[#This Row],[DistanceFromHome]]&lt;=15,"11–15 miles",TRUE,"16+ miles")</f>
        <v>6–10 miles</v>
      </c>
      <c r="AS328" t="str" cm="1">
        <f t="array" ref="AS328">_xlfn.IFS(CleanEmployeeData[[#This Row],[YearsAtCompany]]&lt;=1,"0–1 years",CleanEmployeeData[[#This Row],[YearsAtCompany]]&lt;=5,"2–5 years",CleanEmployeeData[[#This Row],[YearsAtCompany]]&lt;=10,"6–10 years",TRUE,"11+ years")</f>
        <v>11+ years</v>
      </c>
    </row>
    <row r="329" spans="1:4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cm="1">
        <f t="array" ref="AJ329">_xlfn.SWITCH(CleanEmployeeData[[#This Row],[Education]],1,"Below College",2,"College",3,"Bachelor",4,"Master",5,"Doctor","Unknown")</f>
        <v>College</v>
      </c>
      <c r="AK329" t="str" cm="1">
        <f t="array" ref="AK329">_xlfn.SWITCH(CleanEmployeeData[[#This Row],[EnvironmentSatisfaction]],1,"Low",2,"Medium",3,"High",4,"Very High","Unknown")</f>
        <v>Very High</v>
      </c>
      <c r="AL329" t="str" cm="1">
        <f t="array" ref="AL329">_xlfn.SWITCH(CleanEmployeeData[[#This Row],[JobInvolvement]],1,"Low",2,"Medium",3,"High",4,"Very High","Unknown")</f>
        <v>High</v>
      </c>
      <c r="AM329" t="str" cm="1">
        <f t="array" ref="AM329">_xlfn.SWITCH(CleanEmployeeData[[#This Row],[JobSatisfaction]],1,"Low",2,"Medium",3,"High",4,"Very High","Unknown")</f>
        <v>High</v>
      </c>
      <c r="AN329" t="str" cm="1">
        <f t="array" ref="AN329">_xlfn.SWITCH(CleanEmployeeData[[#This Row],[PerformanceRating]],1,"Low",2,"Good",3,"Excellent",4,"Outstanding","Unknown")</f>
        <v>Excellent</v>
      </c>
      <c r="AO329" t="str" cm="1">
        <f t="array" ref="AO329">_xlfn.SWITCH(CleanEmployeeData[[#This Row],[WorkLifeBalance]],1,"Bad",2,"Good",3,"Better",4,"Best","Unknown")</f>
        <v>Good</v>
      </c>
      <c r="AP329">
        <f>IF(CleanEmployeeData[[#This Row],[Attrition]]="Yes",1,IF(CleanEmployeeData[[#This Row],[Attrition]]="No",0,""))</f>
        <v>1</v>
      </c>
      <c r="AQ329" t="str" cm="1">
        <f t="array" ref="AQ329">_xlfn.IFS(CleanEmployeeData[[#This Row],[MonthlyIncome]]&lt;=3000,"0–3,000",CleanEmployeeData[[#This Row],[MonthlyIncome]]&lt;=6000,"3,001–6,000",CleanEmployeeData[[#This Row],[MonthlyIncome]]&lt;=10000,"6,001–10,000",TRUE,"10,001+")</f>
        <v>3,001–6,000</v>
      </c>
      <c r="AR329" t="str" cm="1">
        <f t="array" ref="AR329">_xlfn.IFS(CleanEmployeeData[[#This Row],[DistanceFromHome]]&lt;=5,"0–5 miles",CleanEmployeeData[[#This Row],[DistanceFromHome]]&lt;=10,"6–10 miles",CleanEmployeeData[[#This Row],[DistanceFromHome]]&lt;=15,"11–15 miles",TRUE,"16+ miles")</f>
        <v>0–5 miles</v>
      </c>
      <c r="AS329" t="str" cm="1">
        <f t="array" ref="AS329">_xlfn.IFS(CleanEmployeeData[[#This Row],[YearsAtCompany]]&lt;=1,"0–1 years",CleanEmployeeData[[#This Row],[YearsAtCompany]]&lt;=5,"2–5 years",CleanEmployeeData[[#This Row],[YearsAtCompany]]&lt;=10,"6–10 years",TRUE,"11+ years")</f>
        <v>0–1 years</v>
      </c>
    </row>
    <row r="330" spans="1:4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cm="1">
        <f t="array" ref="AJ330">_xlfn.SWITCH(CleanEmployeeData[[#This Row],[Education]],1,"Below College",2,"College",3,"Bachelor",4,"Master",5,"Doctor","Unknown")</f>
        <v>Bachelor</v>
      </c>
      <c r="AK330" t="str" cm="1">
        <f t="array" ref="AK330">_xlfn.SWITCH(CleanEmployeeData[[#This Row],[EnvironmentSatisfaction]],1,"Low",2,"Medium",3,"High",4,"Very High","Unknown")</f>
        <v>Medium</v>
      </c>
      <c r="AL330" t="str" cm="1">
        <f t="array" ref="AL330">_xlfn.SWITCH(CleanEmployeeData[[#This Row],[JobInvolvement]],1,"Low",2,"Medium",3,"High",4,"Very High","Unknown")</f>
        <v>Medium</v>
      </c>
      <c r="AM330" t="str" cm="1">
        <f t="array" ref="AM330">_xlfn.SWITCH(CleanEmployeeData[[#This Row],[JobSatisfaction]],1,"Low",2,"Medium",3,"High",4,"Very High","Unknown")</f>
        <v>Very High</v>
      </c>
      <c r="AN330" t="str" cm="1">
        <f t="array" ref="AN330">_xlfn.SWITCH(CleanEmployeeData[[#This Row],[PerformanceRating]],1,"Low",2,"Good",3,"Excellent",4,"Outstanding","Unknown")</f>
        <v>Excellent</v>
      </c>
      <c r="AO330" t="str" cm="1">
        <f t="array" ref="AO330">_xlfn.SWITCH(CleanEmployeeData[[#This Row],[WorkLifeBalance]],1,"Bad",2,"Good",3,"Better",4,"Best","Unknown")</f>
        <v>Good</v>
      </c>
      <c r="AP330">
        <f>IF(CleanEmployeeData[[#This Row],[Attrition]]="Yes",1,IF(CleanEmployeeData[[#This Row],[Attrition]]="No",0,""))</f>
        <v>0</v>
      </c>
      <c r="AQ330" t="str" cm="1">
        <f t="array" ref="AQ330">_xlfn.IFS(CleanEmployeeData[[#This Row],[MonthlyIncome]]&lt;=3000,"0–3,000",CleanEmployeeData[[#This Row],[MonthlyIncome]]&lt;=6000,"3,001–6,000",CleanEmployeeData[[#This Row],[MonthlyIncome]]&lt;=10000,"6,001–10,000",TRUE,"10,001+")</f>
        <v>3,001–6,000</v>
      </c>
      <c r="AR330" t="str" cm="1">
        <f t="array" ref="AR330">_xlfn.IFS(CleanEmployeeData[[#This Row],[DistanceFromHome]]&lt;=5,"0–5 miles",CleanEmployeeData[[#This Row],[DistanceFromHome]]&lt;=10,"6–10 miles",CleanEmployeeData[[#This Row],[DistanceFromHome]]&lt;=15,"11–15 miles",TRUE,"16+ miles")</f>
        <v>6–10 miles</v>
      </c>
      <c r="AS330" t="str" cm="1">
        <f t="array" ref="AS330">_xlfn.IFS(CleanEmployeeData[[#This Row],[YearsAtCompany]]&lt;=1,"0–1 years",CleanEmployeeData[[#This Row],[YearsAtCompany]]&lt;=5,"2–5 years",CleanEmployeeData[[#This Row],[YearsAtCompany]]&lt;=10,"6–10 years",TRUE,"11+ years")</f>
        <v>6–10 years</v>
      </c>
    </row>
    <row r="331" spans="1:4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cm="1">
        <f t="array" ref="AJ331">_xlfn.SWITCH(CleanEmployeeData[[#This Row],[Education]],1,"Below College",2,"College",3,"Bachelor",4,"Master",5,"Doctor","Unknown")</f>
        <v>Doctor</v>
      </c>
      <c r="AK331" t="str" cm="1">
        <f t="array" ref="AK331">_xlfn.SWITCH(CleanEmployeeData[[#This Row],[EnvironmentSatisfaction]],1,"Low",2,"Medium",3,"High",4,"Very High","Unknown")</f>
        <v>Very High</v>
      </c>
      <c r="AL331" t="str" cm="1">
        <f t="array" ref="AL331">_xlfn.SWITCH(CleanEmployeeData[[#This Row],[JobInvolvement]],1,"Low",2,"Medium",3,"High",4,"Very High","Unknown")</f>
        <v>High</v>
      </c>
      <c r="AM331" t="str" cm="1">
        <f t="array" ref="AM331">_xlfn.SWITCH(CleanEmployeeData[[#This Row],[JobSatisfaction]],1,"Low",2,"Medium",3,"High",4,"Very High","Unknown")</f>
        <v>High</v>
      </c>
      <c r="AN331" t="str" cm="1">
        <f t="array" ref="AN331">_xlfn.SWITCH(CleanEmployeeData[[#This Row],[PerformanceRating]],1,"Low",2,"Good",3,"Excellent",4,"Outstanding","Unknown")</f>
        <v>Excellent</v>
      </c>
      <c r="AO331" t="str" cm="1">
        <f t="array" ref="AO331">_xlfn.SWITCH(CleanEmployeeData[[#This Row],[WorkLifeBalance]],1,"Bad",2,"Good",3,"Better",4,"Best","Unknown")</f>
        <v>Better</v>
      </c>
      <c r="AP331">
        <f>IF(CleanEmployeeData[[#This Row],[Attrition]]="Yes",1,IF(CleanEmployeeData[[#This Row],[Attrition]]="No",0,""))</f>
        <v>0</v>
      </c>
      <c r="AQ331" t="str" cm="1">
        <f t="array" ref="AQ331">_xlfn.IFS(CleanEmployeeData[[#This Row],[MonthlyIncome]]&lt;=3000,"0–3,000",CleanEmployeeData[[#This Row],[MonthlyIncome]]&lt;=6000,"3,001–6,000",CleanEmployeeData[[#This Row],[MonthlyIncome]]&lt;=10000,"6,001–10,000",TRUE,"10,001+")</f>
        <v>10,001+</v>
      </c>
      <c r="AR331" t="str" cm="1">
        <f t="array" ref="AR331">_xlfn.IFS(CleanEmployeeData[[#This Row],[DistanceFromHome]]&lt;=5,"0–5 miles",CleanEmployeeData[[#This Row],[DistanceFromHome]]&lt;=10,"6–10 miles",CleanEmployeeData[[#This Row],[DistanceFromHome]]&lt;=15,"11–15 miles",TRUE,"16+ miles")</f>
        <v>0–5 miles</v>
      </c>
      <c r="AS331" t="str" cm="1">
        <f t="array" ref="AS331">_xlfn.IFS(CleanEmployeeData[[#This Row],[YearsAtCompany]]&lt;=1,"0–1 years",CleanEmployeeData[[#This Row],[YearsAtCompany]]&lt;=5,"2–5 years",CleanEmployeeData[[#This Row],[YearsAtCompany]]&lt;=10,"6–10 years",TRUE,"11+ years")</f>
        <v>2–5 years</v>
      </c>
    </row>
    <row r="332" spans="1:4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cm="1">
        <f t="array" ref="AJ332">_xlfn.SWITCH(CleanEmployeeData[[#This Row],[Education]],1,"Below College",2,"College",3,"Bachelor",4,"Master",5,"Doctor","Unknown")</f>
        <v>Master</v>
      </c>
      <c r="AK332" t="str" cm="1">
        <f t="array" ref="AK332">_xlfn.SWITCH(CleanEmployeeData[[#This Row],[EnvironmentSatisfaction]],1,"Low",2,"Medium",3,"High",4,"Very High","Unknown")</f>
        <v>High</v>
      </c>
      <c r="AL332" t="str" cm="1">
        <f t="array" ref="AL332">_xlfn.SWITCH(CleanEmployeeData[[#This Row],[JobInvolvement]],1,"Low",2,"Medium",3,"High",4,"Very High","Unknown")</f>
        <v>Medium</v>
      </c>
      <c r="AM332" t="str" cm="1">
        <f t="array" ref="AM332">_xlfn.SWITCH(CleanEmployeeData[[#This Row],[JobSatisfaction]],1,"Low",2,"Medium",3,"High",4,"Very High","Unknown")</f>
        <v>High</v>
      </c>
      <c r="AN332" t="str" cm="1">
        <f t="array" ref="AN332">_xlfn.SWITCH(CleanEmployeeData[[#This Row],[PerformanceRating]],1,"Low",2,"Good",3,"Excellent",4,"Outstanding","Unknown")</f>
        <v>Excellent</v>
      </c>
      <c r="AO332" t="str" cm="1">
        <f t="array" ref="AO332">_xlfn.SWITCH(CleanEmployeeData[[#This Row],[WorkLifeBalance]],1,"Bad",2,"Good",3,"Better",4,"Best","Unknown")</f>
        <v>Best</v>
      </c>
      <c r="AP332">
        <f>IF(CleanEmployeeData[[#This Row],[Attrition]]="Yes",1,IF(CleanEmployeeData[[#This Row],[Attrition]]="No",0,""))</f>
        <v>0</v>
      </c>
      <c r="AQ332" t="str" cm="1">
        <f t="array" ref="AQ332">_xlfn.IFS(CleanEmployeeData[[#This Row],[MonthlyIncome]]&lt;=3000,"0–3,000",CleanEmployeeData[[#This Row],[MonthlyIncome]]&lt;=6000,"3,001–6,000",CleanEmployeeData[[#This Row],[MonthlyIncome]]&lt;=10000,"6,001–10,000",TRUE,"10,001+")</f>
        <v>3,001–6,000</v>
      </c>
      <c r="AR332" t="str" cm="1">
        <f t="array" ref="AR332">_xlfn.IFS(CleanEmployeeData[[#This Row],[DistanceFromHome]]&lt;=5,"0–5 miles",CleanEmployeeData[[#This Row],[DistanceFromHome]]&lt;=10,"6–10 miles",CleanEmployeeData[[#This Row],[DistanceFromHome]]&lt;=15,"11–15 miles",TRUE,"16+ miles")</f>
        <v>6–10 miles</v>
      </c>
      <c r="AS332" t="str" cm="1">
        <f t="array" ref="AS332">_xlfn.IFS(CleanEmployeeData[[#This Row],[YearsAtCompany]]&lt;=1,"0–1 years",CleanEmployeeData[[#This Row],[YearsAtCompany]]&lt;=5,"2–5 years",CleanEmployeeData[[#This Row],[YearsAtCompany]]&lt;=10,"6–10 years",TRUE,"11+ years")</f>
        <v>6–10 years</v>
      </c>
    </row>
    <row r="333" spans="1:4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cm="1">
        <f t="array" ref="AJ333">_xlfn.SWITCH(CleanEmployeeData[[#This Row],[Education]],1,"Below College",2,"College",3,"Bachelor",4,"Master",5,"Doctor","Unknown")</f>
        <v>Below College</v>
      </c>
      <c r="AK333" t="str" cm="1">
        <f t="array" ref="AK333">_xlfn.SWITCH(CleanEmployeeData[[#This Row],[EnvironmentSatisfaction]],1,"Low",2,"Medium",3,"High",4,"Very High","Unknown")</f>
        <v>High</v>
      </c>
      <c r="AL333" t="str" cm="1">
        <f t="array" ref="AL333">_xlfn.SWITCH(CleanEmployeeData[[#This Row],[JobInvolvement]],1,"Low",2,"Medium",3,"High",4,"Very High","Unknown")</f>
        <v>High</v>
      </c>
      <c r="AM333" t="str" cm="1">
        <f t="array" ref="AM333">_xlfn.SWITCH(CleanEmployeeData[[#This Row],[JobSatisfaction]],1,"Low",2,"Medium",3,"High",4,"Very High","Unknown")</f>
        <v>Medium</v>
      </c>
      <c r="AN333" t="str" cm="1">
        <f t="array" ref="AN333">_xlfn.SWITCH(CleanEmployeeData[[#This Row],[PerformanceRating]],1,"Low",2,"Good",3,"Excellent",4,"Outstanding","Unknown")</f>
        <v>Excellent</v>
      </c>
      <c r="AO333" t="str" cm="1">
        <f t="array" ref="AO333">_xlfn.SWITCH(CleanEmployeeData[[#This Row],[WorkLifeBalance]],1,"Bad",2,"Good",3,"Better",4,"Best","Unknown")</f>
        <v>Better</v>
      </c>
      <c r="AP333">
        <f>IF(CleanEmployeeData[[#This Row],[Attrition]]="Yes",1,IF(CleanEmployeeData[[#This Row],[Attrition]]="No",0,""))</f>
        <v>0</v>
      </c>
      <c r="AQ333" t="str" cm="1">
        <f t="array" ref="AQ333">_xlfn.IFS(CleanEmployeeData[[#This Row],[MonthlyIncome]]&lt;=3000,"0–3,000",CleanEmployeeData[[#This Row],[MonthlyIncome]]&lt;=6000,"3,001–6,000",CleanEmployeeData[[#This Row],[MonthlyIncome]]&lt;=10000,"6,001–10,000",TRUE,"10,001+")</f>
        <v>6,001–10,000</v>
      </c>
      <c r="AR333" t="str" cm="1">
        <f t="array" ref="AR333">_xlfn.IFS(CleanEmployeeData[[#This Row],[DistanceFromHome]]&lt;=5,"0–5 miles",CleanEmployeeData[[#This Row],[DistanceFromHome]]&lt;=10,"6–10 miles",CleanEmployeeData[[#This Row],[DistanceFromHome]]&lt;=15,"11–15 miles",TRUE,"16+ miles")</f>
        <v>0–5 miles</v>
      </c>
      <c r="AS333" t="str" cm="1">
        <f t="array" ref="AS333">_xlfn.IFS(CleanEmployeeData[[#This Row],[YearsAtCompany]]&lt;=1,"0–1 years",CleanEmployeeData[[#This Row],[YearsAtCompany]]&lt;=5,"2–5 years",CleanEmployeeData[[#This Row],[YearsAtCompany]]&lt;=10,"6–10 years",TRUE,"11+ years")</f>
        <v>2–5 years</v>
      </c>
    </row>
    <row r="334" spans="1:4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cm="1">
        <f t="array" ref="AJ334">_xlfn.SWITCH(CleanEmployeeData[[#This Row],[Education]],1,"Below College",2,"College",3,"Bachelor",4,"Master",5,"Doctor","Unknown")</f>
        <v>Master</v>
      </c>
      <c r="AK334" t="str" cm="1">
        <f t="array" ref="AK334">_xlfn.SWITCH(CleanEmployeeData[[#This Row],[EnvironmentSatisfaction]],1,"Low",2,"Medium",3,"High",4,"Very High","Unknown")</f>
        <v>Very High</v>
      </c>
      <c r="AL334" t="str" cm="1">
        <f t="array" ref="AL334">_xlfn.SWITCH(CleanEmployeeData[[#This Row],[JobInvolvement]],1,"Low",2,"Medium",3,"High",4,"Very High","Unknown")</f>
        <v>High</v>
      </c>
      <c r="AM334" t="str" cm="1">
        <f t="array" ref="AM334">_xlfn.SWITCH(CleanEmployeeData[[#This Row],[JobSatisfaction]],1,"Low",2,"Medium",3,"High",4,"Very High","Unknown")</f>
        <v>High</v>
      </c>
      <c r="AN334" t="str" cm="1">
        <f t="array" ref="AN334">_xlfn.SWITCH(CleanEmployeeData[[#This Row],[PerformanceRating]],1,"Low",2,"Good",3,"Excellent",4,"Outstanding","Unknown")</f>
        <v>Excellent</v>
      </c>
      <c r="AO334" t="str" cm="1">
        <f t="array" ref="AO334">_xlfn.SWITCH(CleanEmployeeData[[#This Row],[WorkLifeBalance]],1,"Bad",2,"Good",3,"Better",4,"Best","Unknown")</f>
        <v>Good</v>
      </c>
      <c r="AP334">
        <f>IF(CleanEmployeeData[[#This Row],[Attrition]]="Yes",1,IF(CleanEmployeeData[[#This Row],[Attrition]]="No",0,""))</f>
        <v>0</v>
      </c>
      <c r="AQ334" t="str" cm="1">
        <f t="array" ref="AQ334">_xlfn.IFS(CleanEmployeeData[[#This Row],[MonthlyIncome]]&lt;=3000,"0–3,000",CleanEmployeeData[[#This Row],[MonthlyIncome]]&lt;=6000,"3,001–6,000",CleanEmployeeData[[#This Row],[MonthlyIncome]]&lt;=10000,"6,001–10,000",TRUE,"10,001+")</f>
        <v>3,001–6,000</v>
      </c>
      <c r="AR334" t="str" cm="1">
        <f t="array" ref="AR334">_xlfn.IFS(CleanEmployeeData[[#This Row],[DistanceFromHome]]&lt;=5,"0–5 miles",CleanEmployeeData[[#This Row],[DistanceFromHome]]&lt;=10,"6–10 miles",CleanEmployeeData[[#This Row],[DistanceFromHome]]&lt;=15,"11–15 miles",TRUE,"16+ miles")</f>
        <v>16+ miles</v>
      </c>
      <c r="AS334" t="str" cm="1">
        <f t="array" ref="AS334">_xlfn.IFS(CleanEmployeeData[[#This Row],[YearsAtCompany]]&lt;=1,"0–1 years",CleanEmployeeData[[#This Row],[YearsAtCompany]]&lt;=5,"2–5 years",CleanEmployeeData[[#This Row],[YearsAtCompany]]&lt;=10,"6–10 years",TRUE,"11+ years")</f>
        <v>2–5 years</v>
      </c>
    </row>
    <row r="335" spans="1:4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cm="1">
        <f t="array" ref="AJ335">_xlfn.SWITCH(CleanEmployeeData[[#This Row],[Education]],1,"Below College",2,"College",3,"Bachelor",4,"Master",5,"Doctor","Unknown")</f>
        <v>Bachelor</v>
      </c>
      <c r="AK335" t="str" cm="1">
        <f t="array" ref="AK335">_xlfn.SWITCH(CleanEmployeeData[[#This Row],[EnvironmentSatisfaction]],1,"Low",2,"Medium",3,"High",4,"Very High","Unknown")</f>
        <v>High</v>
      </c>
      <c r="AL335" t="str" cm="1">
        <f t="array" ref="AL335">_xlfn.SWITCH(CleanEmployeeData[[#This Row],[JobInvolvement]],1,"Low",2,"Medium",3,"High",4,"Very High","Unknown")</f>
        <v>High</v>
      </c>
      <c r="AM335" t="str" cm="1">
        <f t="array" ref="AM335">_xlfn.SWITCH(CleanEmployeeData[[#This Row],[JobSatisfaction]],1,"Low",2,"Medium",3,"High",4,"Very High","Unknown")</f>
        <v>Low</v>
      </c>
      <c r="AN335" t="str" cm="1">
        <f t="array" ref="AN335">_xlfn.SWITCH(CleanEmployeeData[[#This Row],[PerformanceRating]],1,"Low",2,"Good",3,"Excellent",4,"Outstanding","Unknown")</f>
        <v>Excellent</v>
      </c>
      <c r="AO335" t="str" cm="1">
        <f t="array" ref="AO335">_xlfn.SWITCH(CleanEmployeeData[[#This Row],[WorkLifeBalance]],1,"Bad",2,"Good",3,"Better",4,"Best","Unknown")</f>
        <v>Good</v>
      </c>
      <c r="AP335">
        <f>IF(CleanEmployeeData[[#This Row],[Attrition]]="Yes",1,IF(CleanEmployeeData[[#This Row],[Attrition]]="No",0,""))</f>
        <v>0</v>
      </c>
      <c r="AQ335" t="str" cm="1">
        <f t="array" ref="AQ335">_xlfn.IFS(CleanEmployeeData[[#This Row],[MonthlyIncome]]&lt;=3000,"0–3,000",CleanEmployeeData[[#This Row],[MonthlyIncome]]&lt;=6000,"3,001–6,000",CleanEmployeeData[[#This Row],[MonthlyIncome]]&lt;=10000,"6,001–10,000",TRUE,"10,001+")</f>
        <v>6,001–10,000</v>
      </c>
      <c r="AR335" t="str" cm="1">
        <f t="array" ref="AR335">_xlfn.IFS(CleanEmployeeData[[#This Row],[DistanceFromHome]]&lt;=5,"0–5 miles",CleanEmployeeData[[#This Row],[DistanceFromHome]]&lt;=10,"6–10 miles",CleanEmployeeData[[#This Row],[DistanceFromHome]]&lt;=15,"11–15 miles",TRUE,"16+ miles")</f>
        <v>6–10 miles</v>
      </c>
      <c r="AS335" t="str" cm="1">
        <f t="array" ref="AS335">_xlfn.IFS(CleanEmployeeData[[#This Row],[YearsAtCompany]]&lt;=1,"0–1 years",CleanEmployeeData[[#This Row],[YearsAtCompany]]&lt;=5,"2–5 years",CleanEmployeeData[[#This Row],[YearsAtCompany]]&lt;=10,"6–10 years",TRUE,"11+ years")</f>
        <v>0–1 years</v>
      </c>
    </row>
    <row r="336" spans="1:4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cm="1">
        <f t="array" ref="AJ336">_xlfn.SWITCH(CleanEmployeeData[[#This Row],[Education]],1,"Below College",2,"College",3,"Bachelor",4,"Master",5,"Doctor","Unknown")</f>
        <v>Master</v>
      </c>
      <c r="AK336" t="str" cm="1">
        <f t="array" ref="AK336">_xlfn.SWITCH(CleanEmployeeData[[#This Row],[EnvironmentSatisfaction]],1,"Low",2,"Medium",3,"High",4,"Very High","Unknown")</f>
        <v>Very High</v>
      </c>
      <c r="AL336" t="str" cm="1">
        <f t="array" ref="AL336">_xlfn.SWITCH(CleanEmployeeData[[#This Row],[JobInvolvement]],1,"Low",2,"Medium",3,"High",4,"Very High","Unknown")</f>
        <v>High</v>
      </c>
      <c r="AM336" t="str" cm="1">
        <f t="array" ref="AM336">_xlfn.SWITCH(CleanEmployeeData[[#This Row],[JobSatisfaction]],1,"Low",2,"Medium",3,"High",4,"Very High","Unknown")</f>
        <v>Very High</v>
      </c>
      <c r="AN336" t="str" cm="1">
        <f t="array" ref="AN336">_xlfn.SWITCH(CleanEmployeeData[[#This Row],[PerformanceRating]],1,"Low",2,"Good",3,"Excellent",4,"Outstanding","Unknown")</f>
        <v>Excellent</v>
      </c>
      <c r="AO336" t="str" cm="1">
        <f t="array" ref="AO336">_xlfn.SWITCH(CleanEmployeeData[[#This Row],[WorkLifeBalance]],1,"Bad",2,"Good",3,"Better",4,"Best","Unknown")</f>
        <v>Better</v>
      </c>
      <c r="AP336">
        <f>IF(CleanEmployeeData[[#This Row],[Attrition]]="Yes",1,IF(CleanEmployeeData[[#This Row],[Attrition]]="No",0,""))</f>
        <v>0</v>
      </c>
      <c r="AQ336" t="str" cm="1">
        <f t="array" ref="AQ336">_xlfn.IFS(CleanEmployeeData[[#This Row],[MonthlyIncome]]&lt;=3000,"0–3,000",CleanEmployeeData[[#This Row],[MonthlyIncome]]&lt;=6000,"3,001–6,000",CleanEmployeeData[[#This Row],[MonthlyIncome]]&lt;=10000,"6,001–10,000",TRUE,"10,001+")</f>
        <v>3,001–6,000</v>
      </c>
      <c r="AR336" t="str" cm="1">
        <f t="array" ref="AR336">_xlfn.IFS(CleanEmployeeData[[#This Row],[DistanceFromHome]]&lt;=5,"0–5 miles",CleanEmployeeData[[#This Row],[DistanceFromHome]]&lt;=10,"6–10 miles",CleanEmployeeData[[#This Row],[DistanceFromHome]]&lt;=15,"11–15 miles",TRUE,"16+ miles")</f>
        <v>6–10 miles</v>
      </c>
      <c r="AS336" t="str" cm="1">
        <f t="array" ref="AS336">_xlfn.IFS(CleanEmployeeData[[#This Row],[YearsAtCompany]]&lt;=1,"0–1 years",CleanEmployeeData[[#This Row],[YearsAtCompany]]&lt;=5,"2–5 years",CleanEmployeeData[[#This Row],[YearsAtCompany]]&lt;=10,"6–10 years",TRUE,"11+ years")</f>
        <v>6–10 years</v>
      </c>
    </row>
    <row r="337" spans="1:4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cm="1">
        <f t="array" ref="AJ337">_xlfn.SWITCH(CleanEmployeeData[[#This Row],[Education]],1,"Below College",2,"College",3,"Bachelor",4,"Master",5,"Doctor","Unknown")</f>
        <v>College</v>
      </c>
      <c r="AK337" t="str" cm="1">
        <f t="array" ref="AK337">_xlfn.SWITCH(CleanEmployeeData[[#This Row],[EnvironmentSatisfaction]],1,"Low",2,"Medium",3,"High",4,"Very High","Unknown")</f>
        <v>Medium</v>
      </c>
      <c r="AL337" t="str" cm="1">
        <f t="array" ref="AL337">_xlfn.SWITCH(CleanEmployeeData[[#This Row],[JobInvolvement]],1,"Low",2,"Medium",3,"High",4,"Very High","Unknown")</f>
        <v>Low</v>
      </c>
      <c r="AM337" t="str" cm="1">
        <f t="array" ref="AM337">_xlfn.SWITCH(CleanEmployeeData[[#This Row],[JobSatisfaction]],1,"Low",2,"Medium",3,"High",4,"Very High","Unknown")</f>
        <v>Very High</v>
      </c>
      <c r="AN337" t="str" cm="1">
        <f t="array" ref="AN337">_xlfn.SWITCH(CleanEmployeeData[[#This Row],[PerformanceRating]],1,"Low",2,"Good",3,"Excellent",4,"Outstanding","Unknown")</f>
        <v>Outstanding</v>
      </c>
      <c r="AO337" t="str" cm="1">
        <f t="array" ref="AO337">_xlfn.SWITCH(CleanEmployeeData[[#This Row],[WorkLifeBalance]],1,"Bad",2,"Good",3,"Better",4,"Best","Unknown")</f>
        <v>Good</v>
      </c>
      <c r="AP337">
        <f>IF(CleanEmployeeData[[#This Row],[Attrition]]="Yes",1,IF(CleanEmployeeData[[#This Row],[Attrition]]="No",0,""))</f>
        <v>0</v>
      </c>
      <c r="AQ337" t="str" cm="1">
        <f t="array" ref="AQ337">_xlfn.IFS(CleanEmployeeData[[#This Row],[MonthlyIncome]]&lt;=3000,"0–3,000",CleanEmployeeData[[#This Row],[MonthlyIncome]]&lt;=6000,"3,001–6,000",CleanEmployeeData[[#This Row],[MonthlyIncome]]&lt;=10000,"6,001–10,000",TRUE,"10,001+")</f>
        <v>6,001–10,000</v>
      </c>
      <c r="AR337" t="str" cm="1">
        <f t="array" ref="AR337">_xlfn.IFS(CleanEmployeeData[[#This Row],[DistanceFromHome]]&lt;=5,"0–5 miles",CleanEmployeeData[[#This Row],[DistanceFromHome]]&lt;=10,"6–10 miles",CleanEmployeeData[[#This Row],[DistanceFromHome]]&lt;=15,"11–15 miles",TRUE,"16+ miles")</f>
        <v>0–5 miles</v>
      </c>
      <c r="AS337" t="str" cm="1">
        <f t="array" ref="AS337">_xlfn.IFS(CleanEmployeeData[[#This Row],[YearsAtCompany]]&lt;=1,"0–1 years",CleanEmployeeData[[#This Row],[YearsAtCompany]]&lt;=5,"2–5 years",CleanEmployeeData[[#This Row],[YearsAtCompany]]&lt;=10,"6–10 years",TRUE,"11+ years")</f>
        <v>2–5 years</v>
      </c>
    </row>
    <row r="338" spans="1:4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cm="1">
        <f t="array" ref="AJ338">_xlfn.SWITCH(CleanEmployeeData[[#This Row],[Education]],1,"Below College",2,"College",3,"Bachelor",4,"Master",5,"Doctor","Unknown")</f>
        <v>Master</v>
      </c>
      <c r="AK338" t="str" cm="1">
        <f t="array" ref="AK338">_xlfn.SWITCH(CleanEmployeeData[[#This Row],[EnvironmentSatisfaction]],1,"Low",2,"Medium",3,"High",4,"Very High","Unknown")</f>
        <v>Medium</v>
      </c>
      <c r="AL338" t="str" cm="1">
        <f t="array" ref="AL338">_xlfn.SWITCH(CleanEmployeeData[[#This Row],[JobInvolvement]],1,"Low",2,"Medium",3,"High",4,"Very High","Unknown")</f>
        <v>Low</v>
      </c>
      <c r="AM338" t="str" cm="1">
        <f t="array" ref="AM338">_xlfn.SWITCH(CleanEmployeeData[[#This Row],[JobSatisfaction]],1,"Low",2,"Medium",3,"High",4,"Very High","Unknown")</f>
        <v>Low</v>
      </c>
      <c r="AN338" t="str" cm="1">
        <f t="array" ref="AN338">_xlfn.SWITCH(CleanEmployeeData[[#This Row],[PerformanceRating]],1,"Low",2,"Good",3,"Excellent",4,"Outstanding","Unknown")</f>
        <v>Excellent</v>
      </c>
      <c r="AO338" t="str" cm="1">
        <f t="array" ref="AO338">_xlfn.SWITCH(CleanEmployeeData[[#This Row],[WorkLifeBalance]],1,"Bad",2,"Good",3,"Better",4,"Best","Unknown")</f>
        <v>Good</v>
      </c>
      <c r="AP338">
        <f>IF(CleanEmployeeData[[#This Row],[Attrition]]="Yes",1,IF(CleanEmployeeData[[#This Row],[Attrition]]="No",0,""))</f>
        <v>1</v>
      </c>
      <c r="AQ338" t="str" cm="1">
        <f t="array" ref="AQ338">_xlfn.IFS(CleanEmployeeData[[#This Row],[MonthlyIncome]]&lt;=3000,"0–3,000",CleanEmployeeData[[#This Row],[MonthlyIncome]]&lt;=6000,"3,001–6,000",CleanEmployeeData[[#This Row],[MonthlyIncome]]&lt;=10000,"6,001–10,000",TRUE,"10,001+")</f>
        <v>0–3,000</v>
      </c>
      <c r="AR338" t="str" cm="1">
        <f t="array" ref="AR338">_xlfn.IFS(CleanEmployeeData[[#This Row],[DistanceFromHome]]&lt;=5,"0–5 miles",CleanEmployeeData[[#This Row],[DistanceFromHome]]&lt;=10,"6–10 miles",CleanEmployeeData[[#This Row],[DistanceFromHome]]&lt;=15,"11–15 miles",TRUE,"16+ miles")</f>
        <v>6–10 miles</v>
      </c>
      <c r="AS338" t="str" cm="1">
        <f t="array" ref="AS338">_xlfn.IFS(CleanEmployeeData[[#This Row],[YearsAtCompany]]&lt;=1,"0–1 years",CleanEmployeeData[[#This Row],[YearsAtCompany]]&lt;=5,"2–5 years",CleanEmployeeData[[#This Row],[YearsAtCompany]]&lt;=10,"6–10 years",TRUE,"11+ years")</f>
        <v>6–10 years</v>
      </c>
    </row>
    <row r="339" spans="1:4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cm="1">
        <f t="array" ref="AJ339">_xlfn.SWITCH(CleanEmployeeData[[#This Row],[Education]],1,"Below College",2,"College",3,"Bachelor",4,"Master",5,"Doctor","Unknown")</f>
        <v>Doctor</v>
      </c>
      <c r="AK339" t="str" cm="1">
        <f t="array" ref="AK339">_xlfn.SWITCH(CleanEmployeeData[[#This Row],[EnvironmentSatisfaction]],1,"Low",2,"Medium",3,"High",4,"Very High","Unknown")</f>
        <v>Medium</v>
      </c>
      <c r="AL339" t="str" cm="1">
        <f t="array" ref="AL339">_xlfn.SWITCH(CleanEmployeeData[[#This Row],[JobInvolvement]],1,"Low",2,"Medium",3,"High",4,"Very High","Unknown")</f>
        <v>Medium</v>
      </c>
      <c r="AM339" t="str" cm="1">
        <f t="array" ref="AM339">_xlfn.SWITCH(CleanEmployeeData[[#This Row],[JobSatisfaction]],1,"Low",2,"Medium",3,"High",4,"Very High","Unknown")</f>
        <v>Very High</v>
      </c>
      <c r="AN339" t="str" cm="1">
        <f t="array" ref="AN339">_xlfn.SWITCH(CleanEmployeeData[[#This Row],[PerformanceRating]],1,"Low",2,"Good",3,"Excellent",4,"Outstanding","Unknown")</f>
        <v>Excellent</v>
      </c>
      <c r="AO339" t="str" cm="1">
        <f t="array" ref="AO339">_xlfn.SWITCH(CleanEmployeeData[[#This Row],[WorkLifeBalance]],1,"Bad",2,"Good",3,"Better",4,"Best","Unknown")</f>
        <v>Better</v>
      </c>
      <c r="AP339">
        <f>IF(CleanEmployeeData[[#This Row],[Attrition]]="Yes",1,IF(CleanEmployeeData[[#This Row],[Attrition]]="No",0,""))</f>
        <v>0</v>
      </c>
      <c r="AQ339" t="str" cm="1">
        <f t="array" ref="AQ339">_xlfn.IFS(CleanEmployeeData[[#This Row],[MonthlyIncome]]&lt;=3000,"0–3,000",CleanEmployeeData[[#This Row],[MonthlyIncome]]&lt;=6000,"3,001–6,000",CleanEmployeeData[[#This Row],[MonthlyIncome]]&lt;=10000,"6,001–10,000",TRUE,"10,001+")</f>
        <v>3,001–6,000</v>
      </c>
      <c r="AR339" t="str" cm="1">
        <f t="array" ref="AR339">_xlfn.IFS(CleanEmployeeData[[#This Row],[DistanceFromHome]]&lt;=5,"0–5 miles",CleanEmployeeData[[#This Row],[DistanceFromHome]]&lt;=10,"6–10 miles",CleanEmployeeData[[#This Row],[DistanceFromHome]]&lt;=15,"11–15 miles",TRUE,"16+ miles")</f>
        <v>6–10 miles</v>
      </c>
      <c r="AS339" t="str" cm="1">
        <f t="array" ref="AS339">_xlfn.IFS(CleanEmployeeData[[#This Row],[YearsAtCompany]]&lt;=1,"0–1 years",CleanEmployeeData[[#This Row],[YearsAtCompany]]&lt;=5,"2–5 years",CleanEmployeeData[[#This Row],[YearsAtCompany]]&lt;=10,"6–10 years",TRUE,"11+ years")</f>
        <v>2–5 years</v>
      </c>
    </row>
    <row r="340" spans="1:4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cm="1">
        <f t="array" ref="AJ340">_xlfn.SWITCH(CleanEmployeeData[[#This Row],[Education]],1,"Below College",2,"College",3,"Bachelor",4,"Master",5,"Doctor","Unknown")</f>
        <v>Bachelor</v>
      </c>
      <c r="AK340" t="str" cm="1">
        <f t="array" ref="AK340">_xlfn.SWITCH(CleanEmployeeData[[#This Row],[EnvironmentSatisfaction]],1,"Low",2,"Medium",3,"High",4,"Very High","Unknown")</f>
        <v>Very High</v>
      </c>
      <c r="AL340" t="str" cm="1">
        <f t="array" ref="AL340">_xlfn.SWITCH(CleanEmployeeData[[#This Row],[JobInvolvement]],1,"Low",2,"Medium",3,"High",4,"Very High","Unknown")</f>
        <v>Medium</v>
      </c>
      <c r="AM340" t="str" cm="1">
        <f t="array" ref="AM340">_xlfn.SWITCH(CleanEmployeeData[[#This Row],[JobSatisfaction]],1,"Low",2,"Medium",3,"High",4,"Very High","Unknown")</f>
        <v>High</v>
      </c>
      <c r="AN340" t="str" cm="1">
        <f t="array" ref="AN340">_xlfn.SWITCH(CleanEmployeeData[[#This Row],[PerformanceRating]],1,"Low",2,"Good",3,"Excellent",4,"Outstanding","Unknown")</f>
        <v>Excellent</v>
      </c>
      <c r="AO340" t="str" cm="1">
        <f t="array" ref="AO340">_xlfn.SWITCH(CleanEmployeeData[[#This Row],[WorkLifeBalance]],1,"Bad",2,"Good",3,"Better",4,"Best","Unknown")</f>
        <v>Better</v>
      </c>
      <c r="AP340">
        <f>IF(CleanEmployeeData[[#This Row],[Attrition]]="Yes",1,IF(CleanEmployeeData[[#This Row],[Attrition]]="No",0,""))</f>
        <v>0</v>
      </c>
      <c r="AQ340" t="str" cm="1">
        <f t="array" ref="AQ340">_xlfn.IFS(CleanEmployeeData[[#This Row],[MonthlyIncome]]&lt;=3000,"0–3,000",CleanEmployeeData[[#This Row],[MonthlyIncome]]&lt;=6000,"3,001–6,000",CleanEmployeeData[[#This Row],[MonthlyIncome]]&lt;=10000,"6,001–10,000",TRUE,"10,001+")</f>
        <v>6,001–10,000</v>
      </c>
      <c r="AR340" t="str" cm="1">
        <f t="array" ref="AR340">_xlfn.IFS(CleanEmployeeData[[#This Row],[DistanceFromHome]]&lt;=5,"0–5 miles",CleanEmployeeData[[#This Row],[DistanceFromHome]]&lt;=10,"6–10 miles",CleanEmployeeData[[#This Row],[DistanceFromHome]]&lt;=15,"11–15 miles",TRUE,"16+ miles")</f>
        <v>0–5 miles</v>
      </c>
      <c r="AS340" t="str" cm="1">
        <f t="array" ref="AS340">_xlfn.IFS(CleanEmployeeData[[#This Row],[YearsAtCompany]]&lt;=1,"0–1 years",CleanEmployeeData[[#This Row],[YearsAtCompany]]&lt;=5,"2–5 years",CleanEmployeeData[[#This Row],[YearsAtCompany]]&lt;=10,"6–10 years",TRUE,"11+ years")</f>
        <v>6–10 years</v>
      </c>
    </row>
    <row r="341" spans="1:4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cm="1">
        <f t="array" ref="AJ341">_xlfn.SWITCH(CleanEmployeeData[[#This Row],[Education]],1,"Below College",2,"College",3,"Bachelor",4,"Master",5,"Doctor","Unknown")</f>
        <v>Master</v>
      </c>
      <c r="AK341" t="str" cm="1">
        <f t="array" ref="AK341">_xlfn.SWITCH(CleanEmployeeData[[#This Row],[EnvironmentSatisfaction]],1,"Low",2,"Medium",3,"High",4,"Very High","Unknown")</f>
        <v>Medium</v>
      </c>
      <c r="AL341" t="str" cm="1">
        <f t="array" ref="AL341">_xlfn.SWITCH(CleanEmployeeData[[#This Row],[JobInvolvement]],1,"Low",2,"Medium",3,"High",4,"Very High","Unknown")</f>
        <v>High</v>
      </c>
      <c r="AM341" t="str" cm="1">
        <f t="array" ref="AM341">_xlfn.SWITCH(CleanEmployeeData[[#This Row],[JobSatisfaction]],1,"Low",2,"Medium",3,"High",4,"Very High","Unknown")</f>
        <v>Medium</v>
      </c>
      <c r="AN341" t="str" cm="1">
        <f t="array" ref="AN341">_xlfn.SWITCH(CleanEmployeeData[[#This Row],[PerformanceRating]],1,"Low",2,"Good",3,"Excellent",4,"Outstanding","Unknown")</f>
        <v>Excellent</v>
      </c>
      <c r="AO341" t="str" cm="1">
        <f t="array" ref="AO341">_xlfn.SWITCH(CleanEmployeeData[[#This Row],[WorkLifeBalance]],1,"Bad",2,"Good",3,"Better",4,"Best","Unknown")</f>
        <v>Better</v>
      </c>
      <c r="AP341">
        <f>IF(CleanEmployeeData[[#This Row],[Attrition]]="Yes",1,IF(CleanEmployeeData[[#This Row],[Attrition]]="No",0,""))</f>
        <v>0</v>
      </c>
      <c r="AQ341" t="str" cm="1">
        <f t="array" ref="AQ341">_xlfn.IFS(CleanEmployeeData[[#This Row],[MonthlyIncome]]&lt;=3000,"0–3,000",CleanEmployeeData[[#This Row],[MonthlyIncome]]&lt;=6000,"3,001–6,000",CleanEmployeeData[[#This Row],[MonthlyIncome]]&lt;=10000,"6,001–10,000",TRUE,"10,001+")</f>
        <v>6,001–10,000</v>
      </c>
      <c r="AR341" t="str" cm="1">
        <f t="array" ref="AR341">_xlfn.IFS(CleanEmployeeData[[#This Row],[DistanceFromHome]]&lt;=5,"0–5 miles",CleanEmployeeData[[#This Row],[DistanceFromHome]]&lt;=10,"6–10 miles",CleanEmployeeData[[#This Row],[DistanceFromHome]]&lt;=15,"11–15 miles",TRUE,"16+ miles")</f>
        <v>6–10 miles</v>
      </c>
      <c r="AS341" t="str" cm="1">
        <f t="array" ref="AS341">_xlfn.IFS(CleanEmployeeData[[#This Row],[YearsAtCompany]]&lt;=1,"0–1 years",CleanEmployeeData[[#This Row],[YearsAtCompany]]&lt;=5,"2–5 years",CleanEmployeeData[[#This Row],[YearsAtCompany]]&lt;=10,"6–10 years",TRUE,"11+ years")</f>
        <v>6–10 years</v>
      </c>
    </row>
    <row r="342" spans="1:4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cm="1">
        <f t="array" ref="AJ342">_xlfn.SWITCH(CleanEmployeeData[[#This Row],[Education]],1,"Below College",2,"College",3,"Bachelor",4,"Master",5,"Doctor","Unknown")</f>
        <v>College</v>
      </c>
      <c r="AK342" t="str" cm="1">
        <f t="array" ref="AK342">_xlfn.SWITCH(CleanEmployeeData[[#This Row],[EnvironmentSatisfaction]],1,"Low",2,"Medium",3,"High",4,"Very High","Unknown")</f>
        <v>Very High</v>
      </c>
      <c r="AL342" t="str" cm="1">
        <f t="array" ref="AL342">_xlfn.SWITCH(CleanEmployeeData[[#This Row],[JobInvolvement]],1,"Low",2,"Medium",3,"High",4,"Very High","Unknown")</f>
        <v>High</v>
      </c>
      <c r="AM342" t="str" cm="1">
        <f t="array" ref="AM342">_xlfn.SWITCH(CleanEmployeeData[[#This Row],[JobSatisfaction]],1,"Low",2,"Medium",3,"High",4,"Very High","Unknown")</f>
        <v>Very High</v>
      </c>
      <c r="AN342" t="str" cm="1">
        <f t="array" ref="AN342">_xlfn.SWITCH(CleanEmployeeData[[#This Row],[PerformanceRating]],1,"Low",2,"Good",3,"Excellent",4,"Outstanding","Unknown")</f>
        <v>Excellent</v>
      </c>
      <c r="AO342" t="str" cm="1">
        <f t="array" ref="AO342">_xlfn.SWITCH(CleanEmployeeData[[#This Row],[WorkLifeBalance]],1,"Bad",2,"Good",3,"Better",4,"Best","Unknown")</f>
        <v>Good</v>
      </c>
      <c r="AP342">
        <f>IF(CleanEmployeeData[[#This Row],[Attrition]]="Yes",1,IF(CleanEmployeeData[[#This Row],[Attrition]]="No",0,""))</f>
        <v>0</v>
      </c>
      <c r="AQ342" t="str" cm="1">
        <f t="array" ref="AQ342">_xlfn.IFS(CleanEmployeeData[[#This Row],[MonthlyIncome]]&lt;=3000,"0–3,000",CleanEmployeeData[[#This Row],[MonthlyIncome]]&lt;=6000,"3,001–6,000",CleanEmployeeData[[#This Row],[MonthlyIncome]]&lt;=10000,"6,001–10,000",TRUE,"10,001+")</f>
        <v>6,001–10,000</v>
      </c>
      <c r="AR342" t="str" cm="1">
        <f t="array" ref="AR342">_xlfn.IFS(CleanEmployeeData[[#This Row],[DistanceFromHome]]&lt;=5,"0–5 miles",CleanEmployeeData[[#This Row],[DistanceFromHome]]&lt;=10,"6–10 miles",CleanEmployeeData[[#This Row],[DistanceFromHome]]&lt;=15,"11–15 miles",TRUE,"16+ miles")</f>
        <v>0–5 miles</v>
      </c>
      <c r="AS342" t="str" cm="1">
        <f t="array" ref="AS342">_xlfn.IFS(CleanEmployeeData[[#This Row],[YearsAtCompany]]&lt;=1,"0–1 years",CleanEmployeeData[[#This Row],[YearsAtCompany]]&lt;=5,"2–5 years",CleanEmployeeData[[#This Row],[YearsAtCompany]]&lt;=10,"6–10 years",TRUE,"11+ years")</f>
        <v>6–10 years</v>
      </c>
    </row>
    <row r="343" spans="1:4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cm="1">
        <f t="array" ref="AJ343">_xlfn.SWITCH(CleanEmployeeData[[#This Row],[Education]],1,"Below College",2,"College",3,"Bachelor",4,"Master",5,"Doctor","Unknown")</f>
        <v>College</v>
      </c>
      <c r="AK343" t="str" cm="1">
        <f t="array" ref="AK343">_xlfn.SWITCH(CleanEmployeeData[[#This Row],[EnvironmentSatisfaction]],1,"Low",2,"Medium",3,"High",4,"Very High","Unknown")</f>
        <v>High</v>
      </c>
      <c r="AL343" t="str" cm="1">
        <f t="array" ref="AL343">_xlfn.SWITCH(CleanEmployeeData[[#This Row],[JobInvolvement]],1,"Low",2,"Medium",3,"High",4,"Very High","Unknown")</f>
        <v>Medium</v>
      </c>
      <c r="AM343" t="str" cm="1">
        <f t="array" ref="AM343">_xlfn.SWITCH(CleanEmployeeData[[#This Row],[JobSatisfaction]],1,"Low",2,"Medium",3,"High",4,"Very High","Unknown")</f>
        <v>Very High</v>
      </c>
      <c r="AN343" t="str" cm="1">
        <f t="array" ref="AN343">_xlfn.SWITCH(CleanEmployeeData[[#This Row],[PerformanceRating]],1,"Low",2,"Good",3,"Excellent",4,"Outstanding","Unknown")</f>
        <v>Excellent</v>
      </c>
      <c r="AO343" t="str" cm="1">
        <f t="array" ref="AO343">_xlfn.SWITCH(CleanEmployeeData[[#This Row],[WorkLifeBalance]],1,"Bad",2,"Good",3,"Better",4,"Best","Unknown")</f>
        <v>Better</v>
      </c>
      <c r="AP343">
        <f>IF(CleanEmployeeData[[#This Row],[Attrition]]="Yes",1,IF(CleanEmployeeData[[#This Row],[Attrition]]="No",0,""))</f>
        <v>0</v>
      </c>
      <c r="AQ343" t="str" cm="1">
        <f t="array" ref="AQ343">_xlfn.IFS(CleanEmployeeData[[#This Row],[MonthlyIncome]]&lt;=3000,"0–3,000",CleanEmployeeData[[#This Row],[MonthlyIncome]]&lt;=6000,"3,001–6,000",CleanEmployeeData[[#This Row],[MonthlyIncome]]&lt;=10000,"6,001–10,000",TRUE,"10,001+")</f>
        <v>10,001+</v>
      </c>
      <c r="AR343" t="str" cm="1">
        <f t="array" ref="AR343">_xlfn.IFS(CleanEmployeeData[[#This Row],[DistanceFromHome]]&lt;=5,"0–5 miles",CleanEmployeeData[[#This Row],[DistanceFromHome]]&lt;=10,"6–10 miles",CleanEmployeeData[[#This Row],[DistanceFromHome]]&lt;=15,"11–15 miles",TRUE,"16+ miles")</f>
        <v>11–15 miles</v>
      </c>
      <c r="AS343" t="str" cm="1">
        <f t="array" ref="AS343">_xlfn.IFS(CleanEmployeeData[[#This Row],[YearsAtCompany]]&lt;=1,"0–1 years",CleanEmployeeData[[#This Row],[YearsAtCompany]]&lt;=5,"2–5 years",CleanEmployeeData[[#This Row],[YearsAtCompany]]&lt;=10,"6–10 years",TRUE,"11+ years")</f>
        <v>11+ years</v>
      </c>
    </row>
    <row r="344" spans="1:4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cm="1">
        <f t="array" ref="AJ344">_xlfn.SWITCH(CleanEmployeeData[[#This Row],[Education]],1,"Below College",2,"College",3,"Bachelor",4,"Master",5,"Doctor","Unknown")</f>
        <v>Master</v>
      </c>
      <c r="AK344" t="str" cm="1">
        <f t="array" ref="AK344">_xlfn.SWITCH(CleanEmployeeData[[#This Row],[EnvironmentSatisfaction]],1,"Low",2,"Medium",3,"High",4,"Very High","Unknown")</f>
        <v>High</v>
      </c>
      <c r="AL344" t="str" cm="1">
        <f t="array" ref="AL344">_xlfn.SWITCH(CleanEmployeeData[[#This Row],[JobInvolvement]],1,"Low",2,"Medium",3,"High",4,"Very High","Unknown")</f>
        <v>High</v>
      </c>
      <c r="AM344" t="str" cm="1">
        <f t="array" ref="AM344">_xlfn.SWITCH(CleanEmployeeData[[#This Row],[JobSatisfaction]],1,"Low",2,"Medium",3,"High",4,"Very High","Unknown")</f>
        <v>Very High</v>
      </c>
      <c r="AN344" t="str" cm="1">
        <f t="array" ref="AN344">_xlfn.SWITCH(CleanEmployeeData[[#This Row],[PerformanceRating]],1,"Low",2,"Good",3,"Excellent",4,"Outstanding","Unknown")</f>
        <v>Excellent</v>
      </c>
      <c r="AO344" t="str" cm="1">
        <f t="array" ref="AO344">_xlfn.SWITCH(CleanEmployeeData[[#This Row],[WorkLifeBalance]],1,"Bad",2,"Good",3,"Better",4,"Best","Unknown")</f>
        <v>Good</v>
      </c>
      <c r="AP344">
        <f>IF(CleanEmployeeData[[#This Row],[Attrition]]="Yes",1,IF(CleanEmployeeData[[#This Row],[Attrition]]="No",0,""))</f>
        <v>0</v>
      </c>
      <c r="AQ344" t="str" cm="1">
        <f t="array" ref="AQ344">_xlfn.IFS(CleanEmployeeData[[#This Row],[MonthlyIncome]]&lt;=3000,"0–3,000",CleanEmployeeData[[#This Row],[MonthlyIncome]]&lt;=6000,"3,001–6,000",CleanEmployeeData[[#This Row],[MonthlyIncome]]&lt;=10000,"6,001–10,000",TRUE,"10,001+")</f>
        <v>6,001–10,000</v>
      </c>
      <c r="AR344" t="str" cm="1">
        <f t="array" ref="AR344">_xlfn.IFS(CleanEmployeeData[[#This Row],[DistanceFromHome]]&lt;=5,"0–5 miles",CleanEmployeeData[[#This Row],[DistanceFromHome]]&lt;=10,"6–10 miles",CleanEmployeeData[[#This Row],[DistanceFromHome]]&lt;=15,"11–15 miles",TRUE,"16+ miles")</f>
        <v>6–10 miles</v>
      </c>
      <c r="AS344" t="str" cm="1">
        <f t="array" ref="AS344">_xlfn.IFS(CleanEmployeeData[[#This Row],[YearsAtCompany]]&lt;=1,"0–1 years",CleanEmployeeData[[#This Row],[YearsAtCompany]]&lt;=5,"2–5 years",CleanEmployeeData[[#This Row],[YearsAtCompany]]&lt;=10,"6–10 years",TRUE,"11+ years")</f>
        <v>11+ years</v>
      </c>
    </row>
    <row r="345" spans="1:4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cm="1">
        <f t="array" ref="AJ345">_xlfn.SWITCH(CleanEmployeeData[[#This Row],[Education]],1,"Below College",2,"College",3,"Bachelor",4,"Master",5,"Doctor","Unknown")</f>
        <v>Below College</v>
      </c>
      <c r="AK345" t="str" cm="1">
        <f t="array" ref="AK345">_xlfn.SWITCH(CleanEmployeeData[[#This Row],[EnvironmentSatisfaction]],1,"Low",2,"Medium",3,"High",4,"Very High","Unknown")</f>
        <v>Very High</v>
      </c>
      <c r="AL345" t="str" cm="1">
        <f t="array" ref="AL345">_xlfn.SWITCH(CleanEmployeeData[[#This Row],[JobInvolvement]],1,"Low",2,"Medium",3,"High",4,"Very High","Unknown")</f>
        <v>Medium</v>
      </c>
      <c r="AM345" t="str" cm="1">
        <f t="array" ref="AM345">_xlfn.SWITCH(CleanEmployeeData[[#This Row],[JobSatisfaction]],1,"Low",2,"Medium",3,"High",4,"Very High","Unknown")</f>
        <v>Medium</v>
      </c>
      <c r="AN345" t="str" cm="1">
        <f t="array" ref="AN345">_xlfn.SWITCH(CleanEmployeeData[[#This Row],[PerformanceRating]],1,"Low",2,"Good",3,"Excellent",4,"Outstanding","Unknown")</f>
        <v>Excellent</v>
      </c>
      <c r="AO345" t="str" cm="1">
        <f t="array" ref="AO345">_xlfn.SWITCH(CleanEmployeeData[[#This Row],[WorkLifeBalance]],1,"Bad",2,"Good",3,"Better",4,"Best","Unknown")</f>
        <v>Better</v>
      </c>
      <c r="AP345">
        <f>IF(CleanEmployeeData[[#This Row],[Attrition]]="Yes",1,IF(CleanEmployeeData[[#This Row],[Attrition]]="No",0,""))</f>
        <v>0</v>
      </c>
      <c r="AQ345" t="str" cm="1">
        <f t="array" ref="AQ345">_xlfn.IFS(CleanEmployeeData[[#This Row],[MonthlyIncome]]&lt;=3000,"0–3,000",CleanEmployeeData[[#This Row],[MonthlyIncome]]&lt;=6000,"3,001–6,000",CleanEmployeeData[[#This Row],[MonthlyIncome]]&lt;=10000,"6,001–10,000",TRUE,"10,001+")</f>
        <v>6,001–10,000</v>
      </c>
      <c r="AR345" t="str" cm="1">
        <f t="array" ref="AR345">_xlfn.IFS(CleanEmployeeData[[#This Row],[DistanceFromHome]]&lt;=5,"0–5 miles",CleanEmployeeData[[#This Row],[DistanceFromHome]]&lt;=10,"6–10 miles",CleanEmployeeData[[#This Row],[DistanceFromHome]]&lt;=15,"11–15 miles",TRUE,"16+ miles")</f>
        <v>6–10 miles</v>
      </c>
      <c r="AS345" t="str" cm="1">
        <f t="array" ref="AS345">_xlfn.IFS(CleanEmployeeData[[#This Row],[YearsAtCompany]]&lt;=1,"0–1 years",CleanEmployeeData[[#This Row],[YearsAtCompany]]&lt;=5,"2–5 years",CleanEmployeeData[[#This Row],[YearsAtCompany]]&lt;=10,"6–10 years",TRUE,"11+ years")</f>
        <v>6–10 years</v>
      </c>
    </row>
    <row r="346" spans="1:4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cm="1">
        <f t="array" ref="AJ346">_xlfn.SWITCH(CleanEmployeeData[[#This Row],[Education]],1,"Below College",2,"College",3,"Bachelor",4,"Master",5,"Doctor","Unknown")</f>
        <v>Master</v>
      </c>
      <c r="AK346" t="str" cm="1">
        <f t="array" ref="AK346">_xlfn.SWITCH(CleanEmployeeData[[#This Row],[EnvironmentSatisfaction]],1,"Low",2,"Medium",3,"High",4,"Very High","Unknown")</f>
        <v>High</v>
      </c>
      <c r="AL346" t="str" cm="1">
        <f t="array" ref="AL346">_xlfn.SWITCH(CleanEmployeeData[[#This Row],[JobInvolvement]],1,"Low",2,"Medium",3,"High",4,"Very High","Unknown")</f>
        <v>High</v>
      </c>
      <c r="AM346" t="str" cm="1">
        <f t="array" ref="AM346">_xlfn.SWITCH(CleanEmployeeData[[#This Row],[JobSatisfaction]],1,"Low",2,"Medium",3,"High",4,"Very High","Unknown")</f>
        <v>Medium</v>
      </c>
      <c r="AN346" t="str" cm="1">
        <f t="array" ref="AN346">_xlfn.SWITCH(CleanEmployeeData[[#This Row],[PerformanceRating]],1,"Low",2,"Good",3,"Excellent",4,"Outstanding","Unknown")</f>
        <v>Excellent</v>
      </c>
      <c r="AO346" t="str" cm="1">
        <f t="array" ref="AO346">_xlfn.SWITCH(CleanEmployeeData[[#This Row],[WorkLifeBalance]],1,"Bad",2,"Good",3,"Better",4,"Best","Unknown")</f>
        <v>Better</v>
      </c>
      <c r="AP346">
        <f>IF(CleanEmployeeData[[#This Row],[Attrition]]="Yes",1,IF(CleanEmployeeData[[#This Row],[Attrition]]="No",0,""))</f>
        <v>0</v>
      </c>
      <c r="AQ346" t="str" cm="1">
        <f t="array" ref="AQ346">_xlfn.IFS(CleanEmployeeData[[#This Row],[MonthlyIncome]]&lt;=3000,"0–3,000",CleanEmployeeData[[#This Row],[MonthlyIncome]]&lt;=6000,"3,001–6,000",CleanEmployeeData[[#This Row],[MonthlyIncome]]&lt;=10000,"6,001–10,000",TRUE,"10,001+")</f>
        <v>6,001–10,000</v>
      </c>
      <c r="AR346" t="str" cm="1">
        <f t="array" ref="AR346">_xlfn.IFS(CleanEmployeeData[[#This Row],[DistanceFromHome]]&lt;=5,"0–5 miles",CleanEmployeeData[[#This Row],[DistanceFromHome]]&lt;=10,"6–10 miles",CleanEmployeeData[[#This Row],[DistanceFromHome]]&lt;=15,"11–15 miles",TRUE,"16+ miles")</f>
        <v>0–5 miles</v>
      </c>
      <c r="AS346" t="str" cm="1">
        <f t="array" ref="AS346">_xlfn.IFS(CleanEmployeeData[[#This Row],[YearsAtCompany]]&lt;=1,"0–1 years",CleanEmployeeData[[#This Row],[YearsAtCompany]]&lt;=5,"2–5 years",CleanEmployeeData[[#This Row],[YearsAtCompany]]&lt;=10,"6–10 years",TRUE,"11+ years")</f>
        <v>11+ years</v>
      </c>
    </row>
    <row r="347" spans="1:4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cm="1">
        <f t="array" ref="AJ347">_xlfn.SWITCH(CleanEmployeeData[[#This Row],[Education]],1,"Below College",2,"College",3,"Bachelor",4,"Master",5,"Doctor","Unknown")</f>
        <v>Below College</v>
      </c>
      <c r="AK347" t="str" cm="1">
        <f t="array" ref="AK347">_xlfn.SWITCH(CleanEmployeeData[[#This Row],[EnvironmentSatisfaction]],1,"Low",2,"Medium",3,"High",4,"Very High","Unknown")</f>
        <v>High</v>
      </c>
      <c r="AL347" t="str" cm="1">
        <f t="array" ref="AL347">_xlfn.SWITCH(CleanEmployeeData[[#This Row],[JobInvolvement]],1,"Low",2,"Medium",3,"High",4,"Very High","Unknown")</f>
        <v>High</v>
      </c>
      <c r="AM347" t="str" cm="1">
        <f t="array" ref="AM347">_xlfn.SWITCH(CleanEmployeeData[[#This Row],[JobSatisfaction]],1,"Low",2,"Medium",3,"High",4,"Very High","Unknown")</f>
        <v>Very High</v>
      </c>
      <c r="AN347" t="str" cm="1">
        <f t="array" ref="AN347">_xlfn.SWITCH(CleanEmployeeData[[#This Row],[PerformanceRating]],1,"Low",2,"Good",3,"Excellent",4,"Outstanding","Unknown")</f>
        <v>Excellent</v>
      </c>
      <c r="AO347" t="str" cm="1">
        <f t="array" ref="AO347">_xlfn.SWITCH(CleanEmployeeData[[#This Row],[WorkLifeBalance]],1,"Bad",2,"Good",3,"Better",4,"Best","Unknown")</f>
        <v>Good</v>
      </c>
      <c r="AP347">
        <f>IF(CleanEmployeeData[[#This Row],[Attrition]]="Yes",1,IF(CleanEmployeeData[[#This Row],[Attrition]]="No",0,""))</f>
        <v>0</v>
      </c>
      <c r="AQ347" t="str" cm="1">
        <f t="array" ref="AQ347">_xlfn.IFS(CleanEmployeeData[[#This Row],[MonthlyIncome]]&lt;=3000,"0–3,000",CleanEmployeeData[[#This Row],[MonthlyIncome]]&lt;=6000,"3,001–6,000",CleanEmployeeData[[#This Row],[MonthlyIncome]]&lt;=10000,"6,001–10,000",TRUE,"10,001+")</f>
        <v>0–3,000</v>
      </c>
      <c r="AR347" t="str" cm="1">
        <f t="array" ref="AR347">_xlfn.IFS(CleanEmployeeData[[#This Row],[DistanceFromHome]]&lt;=5,"0–5 miles",CleanEmployeeData[[#This Row],[DistanceFromHome]]&lt;=10,"6–10 miles",CleanEmployeeData[[#This Row],[DistanceFromHome]]&lt;=15,"11–15 miles",TRUE,"16+ miles")</f>
        <v>16+ miles</v>
      </c>
      <c r="AS347" t="str" cm="1">
        <f t="array" ref="AS347">_xlfn.IFS(CleanEmployeeData[[#This Row],[YearsAtCompany]]&lt;=1,"0–1 years",CleanEmployeeData[[#This Row],[YearsAtCompany]]&lt;=5,"2–5 years",CleanEmployeeData[[#This Row],[YearsAtCompany]]&lt;=10,"6–10 years",TRUE,"11+ years")</f>
        <v>2–5 years</v>
      </c>
    </row>
    <row r="348" spans="1:4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cm="1">
        <f t="array" ref="AJ348">_xlfn.SWITCH(CleanEmployeeData[[#This Row],[Education]],1,"Below College",2,"College",3,"Bachelor",4,"Master",5,"Doctor","Unknown")</f>
        <v>Bachelor</v>
      </c>
      <c r="AK348" t="str" cm="1">
        <f t="array" ref="AK348">_xlfn.SWITCH(CleanEmployeeData[[#This Row],[EnvironmentSatisfaction]],1,"Low",2,"Medium",3,"High",4,"Very High","Unknown")</f>
        <v>Very High</v>
      </c>
      <c r="AL348" t="str" cm="1">
        <f t="array" ref="AL348">_xlfn.SWITCH(CleanEmployeeData[[#This Row],[JobInvolvement]],1,"Low",2,"Medium",3,"High",4,"Very High","Unknown")</f>
        <v>Medium</v>
      </c>
      <c r="AM348" t="str" cm="1">
        <f t="array" ref="AM348">_xlfn.SWITCH(CleanEmployeeData[[#This Row],[JobSatisfaction]],1,"Low",2,"Medium",3,"High",4,"Very High","Unknown")</f>
        <v>Medium</v>
      </c>
      <c r="AN348" t="str" cm="1">
        <f t="array" ref="AN348">_xlfn.SWITCH(CleanEmployeeData[[#This Row],[PerformanceRating]],1,"Low",2,"Good",3,"Excellent",4,"Outstanding","Unknown")</f>
        <v>Excellent</v>
      </c>
      <c r="AO348" t="str" cm="1">
        <f t="array" ref="AO348">_xlfn.SWITCH(CleanEmployeeData[[#This Row],[WorkLifeBalance]],1,"Bad",2,"Good",3,"Better",4,"Best","Unknown")</f>
        <v>Better</v>
      </c>
      <c r="AP348">
        <f>IF(CleanEmployeeData[[#This Row],[Attrition]]="Yes",1,IF(CleanEmployeeData[[#This Row],[Attrition]]="No",0,""))</f>
        <v>0</v>
      </c>
      <c r="AQ348" t="str" cm="1">
        <f t="array" ref="AQ348">_xlfn.IFS(CleanEmployeeData[[#This Row],[MonthlyIncome]]&lt;=3000,"0–3,000",CleanEmployeeData[[#This Row],[MonthlyIncome]]&lt;=6000,"3,001–6,000",CleanEmployeeData[[#This Row],[MonthlyIncome]]&lt;=10000,"6,001–10,000",TRUE,"10,001+")</f>
        <v>6,001–10,000</v>
      </c>
      <c r="AR348" t="str" cm="1">
        <f t="array" ref="AR348">_xlfn.IFS(CleanEmployeeData[[#This Row],[DistanceFromHome]]&lt;=5,"0–5 miles",CleanEmployeeData[[#This Row],[DistanceFromHome]]&lt;=10,"6–10 miles",CleanEmployeeData[[#This Row],[DistanceFromHome]]&lt;=15,"11–15 miles",TRUE,"16+ miles")</f>
        <v>6–10 miles</v>
      </c>
      <c r="AS348" t="str" cm="1">
        <f t="array" ref="AS348">_xlfn.IFS(CleanEmployeeData[[#This Row],[YearsAtCompany]]&lt;=1,"0–1 years",CleanEmployeeData[[#This Row],[YearsAtCompany]]&lt;=5,"2–5 years",CleanEmployeeData[[#This Row],[YearsAtCompany]]&lt;=10,"6–10 years",TRUE,"11+ years")</f>
        <v>2–5 years</v>
      </c>
    </row>
    <row r="349" spans="1:4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cm="1">
        <f t="array" ref="AJ349">_xlfn.SWITCH(CleanEmployeeData[[#This Row],[Education]],1,"Below College",2,"College",3,"Bachelor",4,"Master",5,"Doctor","Unknown")</f>
        <v>Below College</v>
      </c>
      <c r="AK349" t="str" cm="1">
        <f t="array" ref="AK349">_xlfn.SWITCH(CleanEmployeeData[[#This Row],[EnvironmentSatisfaction]],1,"Low",2,"Medium",3,"High",4,"Very High","Unknown")</f>
        <v>Medium</v>
      </c>
      <c r="AL349" t="str" cm="1">
        <f t="array" ref="AL349">_xlfn.SWITCH(CleanEmployeeData[[#This Row],[JobInvolvement]],1,"Low",2,"Medium",3,"High",4,"Very High","Unknown")</f>
        <v>High</v>
      </c>
      <c r="AM349" t="str" cm="1">
        <f t="array" ref="AM349">_xlfn.SWITCH(CleanEmployeeData[[#This Row],[JobSatisfaction]],1,"Low",2,"Medium",3,"High",4,"Very High","Unknown")</f>
        <v>High</v>
      </c>
      <c r="AN349" t="str" cm="1">
        <f t="array" ref="AN349">_xlfn.SWITCH(CleanEmployeeData[[#This Row],[PerformanceRating]],1,"Low",2,"Good",3,"Excellent",4,"Outstanding","Unknown")</f>
        <v>Excellent</v>
      </c>
      <c r="AO349" t="str" cm="1">
        <f t="array" ref="AO349">_xlfn.SWITCH(CleanEmployeeData[[#This Row],[WorkLifeBalance]],1,"Bad",2,"Good",3,"Better",4,"Best","Unknown")</f>
        <v>Better</v>
      </c>
      <c r="AP349">
        <f>IF(CleanEmployeeData[[#This Row],[Attrition]]="Yes",1,IF(CleanEmployeeData[[#This Row],[Attrition]]="No",0,""))</f>
        <v>0</v>
      </c>
      <c r="AQ349" t="str" cm="1">
        <f t="array" ref="AQ349">_xlfn.IFS(CleanEmployeeData[[#This Row],[MonthlyIncome]]&lt;=3000,"0–3,000",CleanEmployeeData[[#This Row],[MonthlyIncome]]&lt;=6000,"3,001–6,000",CleanEmployeeData[[#This Row],[MonthlyIncome]]&lt;=10000,"6,001–10,000",TRUE,"10,001+")</f>
        <v>0–3,000</v>
      </c>
      <c r="AR349" t="str" cm="1">
        <f t="array" ref="AR349">_xlfn.IFS(CleanEmployeeData[[#This Row],[DistanceFromHome]]&lt;=5,"0–5 miles",CleanEmployeeData[[#This Row],[DistanceFromHome]]&lt;=10,"6–10 miles",CleanEmployeeData[[#This Row],[DistanceFromHome]]&lt;=15,"11–15 miles",TRUE,"16+ miles")</f>
        <v>0–5 miles</v>
      </c>
      <c r="AS349" t="str" cm="1">
        <f t="array" ref="AS349">_xlfn.IFS(CleanEmployeeData[[#This Row],[YearsAtCompany]]&lt;=1,"0–1 years",CleanEmployeeData[[#This Row],[YearsAtCompany]]&lt;=5,"2–5 years",CleanEmployeeData[[#This Row],[YearsAtCompany]]&lt;=10,"6–10 years",TRUE,"11+ years")</f>
        <v>0–1 years</v>
      </c>
    </row>
    <row r="350" spans="1:4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cm="1">
        <f t="array" ref="AJ350">_xlfn.SWITCH(CleanEmployeeData[[#This Row],[Education]],1,"Below College",2,"College",3,"Bachelor",4,"Master",5,"Doctor","Unknown")</f>
        <v>Doctor</v>
      </c>
      <c r="AK350" t="str" cm="1">
        <f t="array" ref="AK350">_xlfn.SWITCH(CleanEmployeeData[[#This Row],[EnvironmentSatisfaction]],1,"Low",2,"Medium",3,"High",4,"Very High","Unknown")</f>
        <v>Low</v>
      </c>
      <c r="AL350" t="str" cm="1">
        <f t="array" ref="AL350">_xlfn.SWITCH(CleanEmployeeData[[#This Row],[JobInvolvement]],1,"Low",2,"Medium",3,"High",4,"Very High","Unknown")</f>
        <v>High</v>
      </c>
      <c r="AM350" t="str" cm="1">
        <f t="array" ref="AM350">_xlfn.SWITCH(CleanEmployeeData[[#This Row],[JobSatisfaction]],1,"Low",2,"Medium",3,"High",4,"Very High","Unknown")</f>
        <v>Very High</v>
      </c>
      <c r="AN350" t="str" cm="1">
        <f t="array" ref="AN350">_xlfn.SWITCH(CleanEmployeeData[[#This Row],[PerformanceRating]],1,"Low",2,"Good",3,"Excellent",4,"Outstanding","Unknown")</f>
        <v>Excellent</v>
      </c>
      <c r="AO350" t="str" cm="1">
        <f t="array" ref="AO350">_xlfn.SWITCH(CleanEmployeeData[[#This Row],[WorkLifeBalance]],1,"Bad",2,"Good",3,"Better",4,"Best","Unknown")</f>
        <v>Better</v>
      </c>
      <c r="AP350">
        <f>IF(CleanEmployeeData[[#This Row],[Attrition]]="Yes",1,IF(CleanEmployeeData[[#This Row],[Attrition]]="No",0,""))</f>
        <v>0</v>
      </c>
      <c r="AQ350" t="str" cm="1">
        <f t="array" ref="AQ350">_xlfn.IFS(CleanEmployeeData[[#This Row],[MonthlyIncome]]&lt;=3000,"0–3,000",CleanEmployeeData[[#This Row],[MonthlyIncome]]&lt;=6000,"3,001–6,000",CleanEmployeeData[[#This Row],[MonthlyIncome]]&lt;=10000,"6,001–10,000",TRUE,"10,001+")</f>
        <v>10,001+</v>
      </c>
      <c r="AR350" t="str" cm="1">
        <f t="array" ref="AR350">_xlfn.IFS(CleanEmployeeData[[#This Row],[DistanceFromHome]]&lt;=5,"0–5 miles",CleanEmployeeData[[#This Row],[DistanceFromHome]]&lt;=10,"6–10 miles",CleanEmployeeData[[#This Row],[DistanceFromHome]]&lt;=15,"11–15 miles",TRUE,"16+ miles")</f>
        <v>16+ miles</v>
      </c>
      <c r="AS350" t="str" cm="1">
        <f t="array" ref="AS350">_xlfn.IFS(CleanEmployeeData[[#This Row],[YearsAtCompany]]&lt;=1,"0–1 years",CleanEmployeeData[[#This Row],[YearsAtCompany]]&lt;=5,"2–5 years",CleanEmployeeData[[#This Row],[YearsAtCompany]]&lt;=10,"6–10 years",TRUE,"11+ years")</f>
        <v>0–1 years</v>
      </c>
    </row>
    <row r="351" spans="1:4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cm="1">
        <f t="array" ref="AJ351">_xlfn.SWITCH(CleanEmployeeData[[#This Row],[Education]],1,"Below College",2,"College",3,"Bachelor",4,"Master",5,"Doctor","Unknown")</f>
        <v>Bachelor</v>
      </c>
      <c r="AK351" t="str" cm="1">
        <f t="array" ref="AK351">_xlfn.SWITCH(CleanEmployeeData[[#This Row],[EnvironmentSatisfaction]],1,"Low",2,"Medium",3,"High",4,"Very High","Unknown")</f>
        <v>Very High</v>
      </c>
      <c r="AL351" t="str" cm="1">
        <f t="array" ref="AL351">_xlfn.SWITCH(CleanEmployeeData[[#This Row],[JobInvolvement]],1,"Low",2,"Medium",3,"High",4,"Very High","Unknown")</f>
        <v>High</v>
      </c>
      <c r="AM351" t="str" cm="1">
        <f t="array" ref="AM351">_xlfn.SWITCH(CleanEmployeeData[[#This Row],[JobSatisfaction]],1,"Low",2,"Medium",3,"High",4,"Very High","Unknown")</f>
        <v>High</v>
      </c>
      <c r="AN351" t="str" cm="1">
        <f t="array" ref="AN351">_xlfn.SWITCH(CleanEmployeeData[[#This Row],[PerformanceRating]],1,"Low",2,"Good",3,"Excellent",4,"Outstanding","Unknown")</f>
        <v>Excellent</v>
      </c>
      <c r="AO351" t="str" cm="1">
        <f t="array" ref="AO351">_xlfn.SWITCH(CleanEmployeeData[[#This Row],[WorkLifeBalance]],1,"Bad",2,"Good",3,"Better",4,"Best","Unknown")</f>
        <v>Good</v>
      </c>
      <c r="AP351">
        <f>IF(CleanEmployeeData[[#This Row],[Attrition]]="Yes",1,IF(CleanEmployeeData[[#This Row],[Attrition]]="No",0,""))</f>
        <v>0</v>
      </c>
      <c r="AQ351" t="str" cm="1">
        <f t="array" ref="AQ351">_xlfn.IFS(CleanEmployeeData[[#This Row],[MonthlyIncome]]&lt;=3000,"0–3,000",CleanEmployeeData[[#This Row],[MonthlyIncome]]&lt;=6000,"3,001–6,000",CleanEmployeeData[[#This Row],[MonthlyIncome]]&lt;=10000,"6,001–10,000",TRUE,"10,001+")</f>
        <v>3,001–6,000</v>
      </c>
      <c r="AR351" t="str" cm="1">
        <f t="array" ref="AR351">_xlfn.IFS(CleanEmployeeData[[#This Row],[DistanceFromHome]]&lt;=5,"0–5 miles",CleanEmployeeData[[#This Row],[DistanceFromHome]]&lt;=10,"6–10 miles",CleanEmployeeData[[#This Row],[DistanceFromHome]]&lt;=15,"11–15 miles",TRUE,"16+ miles")</f>
        <v>0–5 miles</v>
      </c>
      <c r="AS351" t="str" cm="1">
        <f t="array" ref="AS351">_xlfn.IFS(CleanEmployeeData[[#This Row],[YearsAtCompany]]&lt;=1,"0–1 years",CleanEmployeeData[[#This Row],[YearsAtCompany]]&lt;=5,"2–5 years",CleanEmployeeData[[#This Row],[YearsAtCompany]]&lt;=10,"6–10 years",TRUE,"11+ years")</f>
        <v>2–5 years</v>
      </c>
    </row>
    <row r="352" spans="1:4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cm="1">
        <f t="array" ref="AJ352">_xlfn.SWITCH(CleanEmployeeData[[#This Row],[Education]],1,"Below College",2,"College",3,"Bachelor",4,"Master",5,"Doctor","Unknown")</f>
        <v>Below College</v>
      </c>
      <c r="AK352" t="str" cm="1">
        <f t="array" ref="AK352">_xlfn.SWITCH(CleanEmployeeData[[#This Row],[EnvironmentSatisfaction]],1,"Low",2,"Medium",3,"High",4,"Very High","Unknown")</f>
        <v>High</v>
      </c>
      <c r="AL352" t="str" cm="1">
        <f t="array" ref="AL352">_xlfn.SWITCH(CleanEmployeeData[[#This Row],[JobInvolvement]],1,"Low",2,"Medium",3,"High",4,"Very High","Unknown")</f>
        <v>High</v>
      </c>
      <c r="AM352" t="str" cm="1">
        <f t="array" ref="AM352">_xlfn.SWITCH(CleanEmployeeData[[#This Row],[JobSatisfaction]],1,"Low",2,"Medium",3,"High",4,"Very High","Unknown")</f>
        <v>High</v>
      </c>
      <c r="AN352" t="str" cm="1">
        <f t="array" ref="AN352">_xlfn.SWITCH(CleanEmployeeData[[#This Row],[PerformanceRating]],1,"Low",2,"Good",3,"Excellent",4,"Outstanding","Unknown")</f>
        <v>Excellent</v>
      </c>
      <c r="AO352" t="str" cm="1">
        <f t="array" ref="AO352">_xlfn.SWITCH(CleanEmployeeData[[#This Row],[WorkLifeBalance]],1,"Bad",2,"Good",3,"Better",4,"Best","Unknown")</f>
        <v>Better</v>
      </c>
      <c r="AP352">
        <f>IF(CleanEmployeeData[[#This Row],[Attrition]]="Yes",1,IF(CleanEmployeeData[[#This Row],[Attrition]]="No",0,""))</f>
        <v>0</v>
      </c>
      <c r="AQ352" t="str" cm="1">
        <f t="array" ref="AQ352">_xlfn.IFS(CleanEmployeeData[[#This Row],[MonthlyIncome]]&lt;=3000,"0–3,000",CleanEmployeeData[[#This Row],[MonthlyIncome]]&lt;=6000,"3,001–6,000",CleanEmployeeData[[#This Row],[MonthlyIncome]]&lt;=10000,"6,001–10,000",TRUE,"10,001+")</f>
        <v>0–3,000</v>
      </c>
      <c r="AR352" t="str" cm="1">
        <f t="array" ref="AR352">_xlfn.IFS(CleanEmployeeData[[#This Row],[DistanceFromHome]]&lt;=5,"0–5 miles",CleanEmployeeData[[#This Row],[DistanceFromHome]]&lt;=10,"6–10 miles",CleanEmployeeData[[#This Row],[DistanceFromHome]]&lt;=15,"11–15 miles",TRUE,"16+ miles")</f>
        <v>0–5 miles</v>
      </c>
      <c r="AS352" t="str" cm="1">
        <f t="array" ref="AS352">_xlfn.IFS(CleanEmployeeData[[#This Row],[YearsAtCompany]]&lt;=1,"0–1 years",CleanEmployeeData[[#This Row],[YearsAtCompany]]&lt;=5,"2–5 years",CleanEmployeeData[[#This Row],[YearsAtCompany]]&lt;=10,"6–10 years",TRUE,"11+ years")</f>
        <v>2–5 years</v>
      </c>
    </row>
    <row r="353" spans="1:4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cm="1">
        <f t="array" ref="AJ353">_xlfn.SWITCH(CleanEmployeeData[[#This Row],[Education]],1,"Below College",2,"College",3,"Bachelor",4,"Master",5,"Doctor","Unknown")</f>
        <v>Bachelor</v>
      </c>
      <c r="AK353" t="str" cm="1">
        <f t="array" ref="AK353">_xlfn.SWITCH(CleanEmployeeData[[#This Row],[EnvironmentSatisfaction]],1,"Low",2,"Medium",3,"High",4,"Very High","Unknown")</f>
        <v>High</v>
      </c>
      <c r="AL353" t="str" cm="1">
        <f t="array" ref="AL353">_xlfn.SWITCH(CleanEmployeeData[[#This Row],[JobInvolvement]],1,"Low",2,"Medium",3,"High",4,"Very High","Unknown")</f>
        <v>High</v>
      </c>
      <c r="AM353" t="str" cm="1">
        <f t="array" ref="AM353">_xlfn.SWITCH(CleanEmployeeData[[#This Row],[JobSatisfaction]],1,"Low",2,"Medium",3,"High",4,"Very High","Unknown")</f>
        <v>Medium</v>
      </c>
      <c r="AN353" t="str" cm="1">
        <f t="array" ref="AN353">_xlfn.SWITCH(CleanEmployeeData[[#This Row],[PerformanceRating]],1,"Low",2,"Good",3,"Excellent",4,"Outstanding","Unknown")</f>
        <v>Excellent</v>
      </c>
      <c r="AO353" t="str" cm="1">
        <f t="array" ref="AO353">_xlfn.SWITCH(CleanEmployeeData[[#This Row],[WorkLifeBalance]],1,"Bad",2,"Good",3,"Better",4,"Best","Unknown")</f>
        <v>Better</v>
      </c>
      <c r="AP353">
        <f>IF(CleanEmployeeData[[#This Row],[Attrition]]="Yes",1,IF(CleanEmployeeData[[#This Row],[Attrition]]="No",0,""))</f>
        <v>0</v>
      </c>
      <c r="AQ353" t="str" cm="1">
        <f t="array" ref="AQ353">_xlfn.IFS(CleanEmployeeData[[#This Row],[MonthlyIncome]]&lt;=3000,"0–3,000",CleanEmployeeData[[#This Row],[MonthlyIncome]]&lt;=6000,"3,001–6,000",CleanEmployeeData[[#This Row],[MonthlyIncome]]&lt;=10000,"6,001–10,000",TRUE,"10,001+")</f>
        <v>0–3,000</v>
      </c>
      <c r="AR353" t="str" cm="1">
        <f t="array" ref="AR353">_xlfn.IFS(CleanEmployeeData[[#This Row],[DistanceFromHome]]&lt;=5,"0–5 miles",CleanEmployeeData[[#This Row],[DistanceFromHome]]&lt;=10,"6–10 miles",CleanEmployeeData[[#This Row],[DistanceFromHome]]&lt;=15,"11–15 miles",TRUE,"16+ miles")</f>
        <v>0–5 miles</v>
      </c>
      <c r="AS353" t="str" cm="1">
        <f t="array" ref="AS353">_xlfn.IFS(CleanEmployeeData[[#This Row],[YearsAtCompany]]&lt;=1,"0–1 years",CleanEmployeeData[[#This Row],[YearsAtCompany]]&lt;=5,"2–5 years",CleanEmployeeData[[#This Row],[YearsAtCompany]]&lt;=10,"6–10 years",TRUE,"11+ years")</f>
        <v>6–10 years</v>
      </c>
    </row>
    <row r="354" spans="1:4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cm="1">
        <f t="array" ref="AJ354">_xlfn.SWITCH(CleanEmployeeData[[#This Row],[Education]],1,"Below College",2,"College",3,"Bachelor",4,"Master",5,"Doctor","Unknown")</f>
        <v>Below College</v>
      </c>
      <c r="AK354" t="str" cm="1">
        <f t="array" ref="AK354">_xlfn.SWITCH(CleanEmployeeData[[#This Row],[EnvironmentSatisfaction]],1,"Low",2,"Medium",3,"High",4,"Very High","Unknown")</f>
        <v>Low</v>
      </c>
      <c r="AL354" t="str" cm="1">
        <f t="array" ref="AL354">_xlfn.SWITCH(CleanEmployeeData[[#This Row],[JobInvolvement]],1,"Low",2,"Medium",3,"High",4,"Very High","Unknown")</f>
        <v>High</v>
      </c>
      <c r="AM354" t="str" cm="1">
        <f t="array" ref="AM354">_xlfn.SWITCH(CleanEmployeeData[[#This Row],[JobSatisfaction]],1,"Low",2,"Medium",3,"High",4,"Very High","Unknown")</f>
        <v>High</v>
      </c>
      <c r="AN354" t="str" cm="1">
        <f t="array" ref="AN354">_xlfn.SWITCH(CleanEmployeeData[[#This Row],[PerformanceRating]],1,"Low",2,"Good",3,"Excellent",4,"Outstanding","Unknown")</f>
        <v>Outstanding</v>
      </c>
      <c r="AO354" t="str" cm="1">
        <f t="array" ref="AO354">_xlfn.SWITCH(CleanEmployeeData[[#This Row],[WorkLifeBalance]],1,"Bad",2,"Good",3,"Better",4,"Best","Unknown")</f>
        <v>Bad</v>
      </c>
      <c r="AP354">
        <f>IF(CleanEmployeeData[[#This Row],[Attrition]]="Yes",1,IF(CleanEmployeeData[[#This Row],[Attrition]]="No",0,""))</f>
        <v>0</v>
      </c>
      <c r="AQ354" t="str" cm="1">
        <f t="array" ref="AQ354">_xlfn.IFS(CleanEmployeeData[[#This Row],[MonthlyIncome]]&lt;=3000,"0–3,000",CleanEmployeeData[[#This Row],[MonthlyIncome]]&lt;=6000,"3,001–6,000",CleanEmployeeData[[#This Row],[MonthlyIncome]]&lt;=10000,"6,001–10,000",TRUE,"10,001+")</f>
        <v>10,001+</v>
      </c>
      <c r="AR354" t="str" cm="1">
        <f t="array" ref="AR354">_xlfn.IFS(CleanEmployeeData[[#This Row],[DistanceFromHome]]&lt;=5,"0–5 miles",CleanEmployeeData[[#This Row],[DistanceFromHome]]&lt;=10,"6–10 miles",CleanEmployeeData[[#This Row],[DistanceFromHome]]&lt;=15,"11–15 miles",TRUE,"16+ miles")</f>
        <v>16+ miles</v>
      </c>
      <c r="AS354" t="str" cm="1">
        <f t="array" ref="AS354">_xlfn.IFS(CleanEmployeeData[[#This Row],[YearsAtCompany]]&lt;=1,"0–1 years",CleanEmployeeData[[#This Row],[YearsAtCompany]]&lt;=5,"2–5 years",CleanEmployeeData[[#This Row],[YearsAtCompany]]&lt;=10,"6–10 years",TRUE,"11+ years")</f>
        <v>0–1 years</v>
      </c>
    </row>
    <row r="355" spans="1:4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cm="1">
        <f t="array" ref="AJ355">_xlfn.SWITCH(CleanEmployeeData[[#This Row],[Education]],1,"Below College",2,"College",3,"Bachelor",4,"Master",5,"Doctor","Unknown")</f>
        <v>Bachelor</v>
      </c>
      <c r="AK355" t="str" cm="1">
        <f t="array" ref="AK355">_xlfn.SWITCH(CleanEmployeeData[[#This Row],[EnvironmentSatisfaction]],1,"Low",2,"Medium",3,"High",4,"Very High","Unknown")</f>
        <v>High</v>
      </c>
      <c r="AL355" t="str" cm="1">
        <f t="array" ref="AL355">_xlfn.SWITCH(CleanEmployeeData[[#This Row],[JobInvolvement]],1,"Low",2,"Medium",3,"High",4,"Very High","Unknown")</f>
        <v>Very High</v>
      </c>
      <c r="AM355" t="str" cm="1">
        <f t="array" ref="AM355">_xlfn.SWITCH(CleanEmployeeData[[#This Row],[JobSatisfaction]],1,"Low",2,"Medium",3,"High",4,"Very High","Unknown")</f>
        <v>Low</v>
      </c>
      <c r="AN355" t="str" cm="1">
        <f t="array" ref="AN355">_xlfn.SWITCH(CleanEmployeeData[[#This Row],[PerformanceRating]],1,"Low",2,"Good",3,"Excellent",4,"Outstanding","Unknown")</f>
        <v>Excellent</v>
      </c>
      <c r="AO355" t="str" cm="1">
        <f t="array" ref="AO355">_xlfn.SWITCH(CleanEmployeeData[[#This Row],[WorkLifeBalance]],1,"Bad",2,"Good",3,"Better",4,"Best","Unknown")</f>
        <v>Better</v>
      </c>
      <c r="AP355">
        <f>IF(CleanEmployeeData[[#This Row],[Attrition]]="Yes",1,IF(CleanEmployeeData[[#This Row],[Attrition]]="No",0,""))</f>
        <v>0</v>
      </c>
      <c r="AQ355" t="str" cm="1">
        <f t="array" ref="AQ355">_xlfn.IFS(CleanEmployeeData[[#This Row],[MonthlyIncome]]&lt;=3000,"0–3,000",CleanEmployeeData[[#This Row],[MonthlyIncome]]&lt;=6000,"3,001–6,000",CleanEmployeeData[[#This Row],[MonthlyIncome]]&lt;=10000,"6,001–10,000",TRUE,"10,001+")</f>
        <v>3,001–6,000</v>
      </c>
      <c r="AR355" t="str" cm="1">
        <f t="array" ref="AR355">_xlfn.IFS(CleanEmployeeData[[#This Row],[DistanceFromHome]]&lt;=5,"0–5 miles",CleanEmployeeData[[#This Row],[DistanceFromHome]]&lt;=10,"6–10 miles",CleanEmployeeData[[#This Row],[DistanceFromHome]]&lt;=15,"11–15 miles",TRUE,"16+ miles")</f>
        <v>6–10 miles</v>
      </c>
      <c r="AS355" t="str" cm="1">
        <f t="array" ref="AS355">_xlfn.IFS(CleanEmployeeData[[#This Row],[YearsAtCompany]]&lt;=1,"0–1 years",CleanEmployeeData[[#This Row],[YearsAtCompany]]&lt;=5,"2–5 years",CleanEmployeeData[[#This Row],[YearsAtCompany]]&lt;=10,"6–10 years",TRUE,"11+ years")</f>
        <v>6–10 years</v>
      </c>
    </row>
    <row r="356" spans="1:4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cm="1">
        <f t="array" ref="AJ356">_xlfn.SWITCH(CleanEmployeeData[[#This Row],[Education]],1,"Below College",2,"College",3,"Bachelor",4,"Master",5,"Doctor","Unknown")</f>
        <v>College</v>
      </c>
      <c r="AK356" t="str" cm="1">
        <f t="array" ref="AK356">_xlfn.SWITCH(CleanEmployeeData[[#This Row],[EnvironmentSatisfaction]],1,"Low",2,"Medium",3,"High",4,"Very High","Unknown")</f>
        <v>Very High</v>
      </c>
      <c r="AL356" t="str" cm="1">
        <f t="array" ref="AL356">_xlfn.SWITCH(CleanEmployeeData[[#This Row],[JobInvolvement]],1,"Low",2,"Medium",3,"High",4,"Very High","Unknown")</f>
        <v>High</v>
      </c>
      <c r="AM356" t="str" cm="1">
        <f t="array" ref="AM356">_xlfn.SWITCH(CleanEmployeeData[[#This Row],[JobSatisfaction]],1,"Low",2,"Medium",3,"High",4,"Very High","Unknown")</f>
        <v>High</v>
      </c>
      <c r="AN356" t="str" cm="1">
        <f t="array" ref="AN356">_xlfn.SWITCH(CleanEmployeeData[[#This Row],[PerformanceRating]],1,"Low",2,"Good",3,"Excellent",4,"Outstanding","Unknown")</f>
        <v>Excellent</v>
      </c>
      <c r="AO356" t="str" cm="1">
        <f t="array" ref="AO356">_xlfn.SWITCH(CleanEmployeeData[[#This Row],[WorkLifeBalance]],1,"Bad",2,"Good",3,"Better",4,"Best","Unknown")</f>
        <v>Best</v>
      </c>
      <c r="AP356">
        <f>IF(CleanEmployeeData[[#This Row],[Attrition]]="Yes",1,IF(CleanEmployeeData[[#This Row],[Attrition]]="No",0,""))</f>
        <v>0</v>
      </c>
      <c r="AQ356" t="str" cm="1">
        <f t="array" ref="AQ356">_xlfn.IFS(CleanEmployeeData[[#This Row],[MonthlyIncome]]&lt;=3000,"0–3,000",CleanEmployeeData[[#This Row],[MonthlyIncome]]&lt;=6000,"3,001–6,000",CleanEmployeeData[[#This Row],[MonthlyIncome]]&lt;=10000,"6,001–10,000",TRUE,"10,001+")</f>
        <v>3,001–6,000</v>
      </c>
      <c r="AR356" t="str" cm="1">
        <f t="array" ref="AR356">_xlfn.IFS(CleanEmployeeData[[#This Row],[DistanceFromHome]]&lt;=5,"0–5 miles",CleanEmployeeData[[#This Row],[DistanceFromHome]]&lt;=10,"6–10 miles",CleanEmployeeData[[#This Row],[DistanceFromHome]]&lt;=15,"11–15 miles",TRUE,"16+ miles")</f>
        <v>16+ miles</v>
      </c>
      <c r="AS356" t="str" cm="1">
        <f t="array" ref="AS356">_xlfn.IFS(CleanEmployeeData[[#This Row],[YearsAtCompany]]&lt;=1,"0–1 years",CleanEmployeeData[[#This Row],[YearsAtCompany]]&lt;=5,"2–5 years",CleanEmployeeData[[#This Row],[YearsAtCompany]]&lt;=10,"6–10 years",TRUE,"11+ years")</f>
        <v>2–5 years</v>
      </c>
    </row>
    <row r="357" spans="1:4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cm="1">
        <f t="array" ref="AJ357">_xlfn.SWITCH(CleanEmployeeData[[#This Row],[Education]],1,"Below College",2,"College",3,"Bachelor",4,"Master",5,"Doctor","Unknown")</f>
        <v>Bachelor</v>
      </c>
      <c r="AK357" t="str" cm="1">
        <f t="array" ref="AK357">_xlfn.SWITCH(CleanEmployeeData[[#This Row],[EnvironmentSatisfaction]],1,"Low",2,"Medium",3,"High",4,"Very High","Unknown")</f>
        <v>High</v>
      </c>
      <c r="AL357" t="str" cm="1">
        <f t="array" ref="AL357">_xlfn.SWITCH(CleanEmployeeData[[#This Row],[JobInvolvement]],1,"Low",2,"Medium",3,"High",4,"Very High","Unknown")</f>
        <v>High</v>
      </c>
      <c r="AM357" t="str" cm="1">
        <f t="array" ref="AM357">_xlfn.SWITCH(CleanEmployeeData[[#This Row],[JobSatisfaction]],1,"Low",2,"Medium",3,"High",4,"Very High","Unknown")</f>
        <v>High</v>
      </c>
      <c r="AN357" t="str" cm="1">
        <f t="array" ref="AN357">_xlfn.SWITCH(CleanEmployeeData[[#This Row],[PerformanceRating]],1,"Low",2,"Good",3,"Excellent",4,"Outstanding","Unknown")</f>
        <v>Excellent</v>
      </c>
      <c r="AO357" t="str" cm="1">
        <f t="array" ref="AO357">_xlfn.SWITCH(CleanEmployeeData[[#This Row],[WorkLifeBalance]],1,"Bad",2,"Good",3,"Better",4,"Best","Unknown")</f>
        <v>Better</v>
      </c>
      <c r="AP357">
        <f>IF(CleanEmployeeData[[#This Row],[Attrition]]="Yes",1,IF(CleanEmployeeData[[#This Row],[Attrition]]="No",0,""))</f>
        <v>0</v>
      </c>
      <c r="AQ357" t="str" cm="1">
        <f t="array" ref="AQ357">_xlfn.IFS(CleanEmployeeData[[#This Row],[MonthlyIncome]]&lt;=3000,"0–3,000",CleanEmployeeData[[#This Row],[MonthlyIncome]]&lt;=6000,"3,001–6,000",CleanEmployeeData[[#This Row],[MonthlyIncome]]&lt;=10000,"6,001–10,000",TRUE,"10,001+")</f>
        <v>3,001–6,000</v>
      </c>
      <c r="AR357" t="str" cm="1">
        <f t="array" ref="AR357">_xlfn.IFS(CleanEmployeeData[[#This Row],[DistanceFromHome]]&lt;=5,"0–5 miles",CleanEmployeeData[[#This Row],[DistanceFromHome]]&lt;=10,"6–10 miles",CleanEmployeeData[[#This Row],[DistanceFromHome]]&lt;=15,"11–15 miles",TRUE,"16+ miles")</f>
        <v>0–5 miles</v>
      </c>
      <c r="AS357" t="str" cm="1">
        <f t="array" ref="AS357">_xlfn.IFS(CleanEmployeeData[[#This Row],[YearsAtCompany]]&lt;=1,"0–1 years",CleanEmployeeData[[#This Row],[YearsAtCompany]]&lt;=5,"2–5 years",CleanEmployeeData[[#This Row],[YearsAtCompany]]&lt;=10,"6–10 years",TRUE,"11+ years")</f>
        <v>6–10 years</v>
      </c>
    </row>
    <row r="358" spans="1:4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cm="1">
        <f t="array" ref="AJ358">_xlfn.SWITCH(CleanEmployeeData[[#This Row],[Education]],1,"Below College",2,"College",3,"Bachelor",4,"Master",5,"Doctor","Unknown")</f>
        <v>Master</v>
      </c>
      <c r="AK358" t="str" cm="1">
        <f t="array" ref="AK358">_xlfn.SWITCH(CleanEmployeeData[[#This Row],[EnvironmentSatisfaction]],1,"Low",2,"Medium",3,"High",4,"Very High","Unknown")</f>
        <v>Low</v>
      </c>
      <c r="AL358" t="str" cm="1">
        <f t="array" ref="AL358">_xlfn.SWITCH(CleanEmployeeData[[#This Row],[JobInvolvement]],1,"Low",2,"Medium",3,"High",4,"Very High","Unknown")</f>
        <v>Medium</v>
      </c>
      <c r="AM358" t="str" cm="1">
        <f t="array" ref="AM358">_xlfn.SWITCH(CleanEmployeeData[[#This Row],[JobSatisfaction]],1,"Low",2,"Medium",3,"High",4,"Very High","Unknown")</f>
        <v>Very High</v>
      </c>
      <c r="AN358" t="str" cm="1">
        <f t="array" ref="AN358">_xlfn.SWITCH(CleanEmployeeData[[#This Row],[PerformanceRating]],1,"Low",2,"Good",3,"Excellent",4,"Outstanding","Unknown")</f>
        <v>Outstanding</v>
      </c>
      <c r="AO358" t="str" cm="1">
        <f t="array" ref="AO358">_xlfn.SWITCH(CleanEmployeeData[[#This Row],[WorkLifeBalance]],1,"Bad",2,"Good",3,"Better",4,"Best","Unknown")</f>
        <v>Better</v>
      </c>
      <c r="AP358">
        <f>IF(CleanEmployeeData[[#This Row],[Attrition]]="Yes",1,IF(CleanEmployeeData[[#This Row],[Attrition]]="No",0,""))</f>
        <v>0</v>
      </c>
      <c r="AQ358" t="str" cm="1">
        <f t="array" ref="AQ358">_xlfn.IFS(CleanEmployeeData[[#This Row],[MonthlyIncome]]&lt;=3000,"0–3,000",CleanEmployeeData[[#This Row],[MonthlyIncome]]&lt;=6000,"3,001–6,000",CleanEmployeeData[[#This Row],[MonthlyIncome]]&lt;=10000,"6,001–10,000",TRUE,"10,001+")</f>
        <v>6,001–10,000</v>
      </c>
      <c r="AR358" t="str" cm="1">
        <f t="array" ref="AR358">_xlfn.IFS(CleanEmployeeData[[#This Row],[DistanceFromHome]]&lt;=5,"0–5 miles",CleanEmployeeData[[#This Row],[DistanceFromHome]]&lt;=10,"6–10 miles",CleanEmployeeData[[#This Row],[DistanceFromHome]]&lt;=15,"11–15 miles",TRUE,"16+ miles")</f>
        <v>0–5 miles</v>
      </c>
      <c r="AS358" t="str" cm="1">
        <f t="array" ref="AS358">_xlfn.IFS(CleanEmployeeData[[#This Row],[YearsAtCompany]]&lt;=1,"0–1 years",CleanEmployeeData[[#This Row],[YearsAtCompany]]&lt;=5,"2–5 years",CleanEmployeeData[[#This Row],[YearsAtCompany]]&lt;=10,"6–10 years",TRUE,"11+ years")</f>
        <v>0–1 years</v>
      </c>
    </row>
    <row r="359" spans="1:4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cm="1">
        <f t="array" ref="AJ359">_xlfn.SWITCH(CleanEmployeeData[[#This Row],[Education]],1,"Below College",2,"College",3,"Bachelor",4,"Master",5,"Doctor","Unknown")</f>
        <v>Below College</v>
      </c>
      <c r="AK359" t="str" cm="1">
        <f t="array" ref="AK359">_xlfn.SWITCH(CleanEmployeeData[[#This Row],[EnvironmentSatisfaction]],1,"Low",2,"Medium",3,"High",4,"Very High","Unknown")</f>
        <v>Low</v>
      </c>
      <c r="AL359" t="str" cm="1">
        <f t="array" ref="AL359">_xlfn.SWITCH(CleanEmployeeData[[#This Row],[JobInvolvement]],1,"Low",2,"Medium",3,"High",4,"Very High","Unknown")</f>
        <v>Medium</v>
      </c>
      <c r="AM359" t="str" cm="1">
        <f t="array" ref="AM359">_xlfn.SWITCH(CleanEmployeeData[[#This Row],[JobSatisfaction]],1,"Low",2,"Medium",3,"High",4,"Very High","Unknown")</f>
        <v>Medium</v>
      </c>
      <c r="AN359" t="str" cm="1">
        <f t="array" ref="AN359">_xlfn.SWITCH(CleanEmployeeData[[#This Row],[PerformanceRating]],1,"Low",2,"Good",3,"Excellent",4,"Outstanding","Unknown")</f>
        <v>Excellent</v>
      </c>
      <c r="AO359" t="str" cm="1">
        <f t="array" ref="AO359">_xlfn.SWITCH(CleanEmployeeData[[#This Row],[WorkLifeBalance]],1,"Bad",2,"Good",3,"Better",4,"Best","Unknown")</f>
        <v>Better</v>
      </c>
      <c r="AP359">
        <f>IF(CleanEmployeeData[[#This Row],[Attrition]]="Yes",1,IF(CleanEmployeeData[[#This Row],[Attrition]]="No",0,""))</f>
        <v>1</v>
      </c>
      <c r="AQ359" t="str" cm="1">
        <f t="array" ref="AQ359">_xlfn.IFS(CleanEmployeeData[[#This Row],[MonthlyIncome]]&lt;=3000,"0–3,000",CleanEmployeeData[[#This Row],[MonthlyIncome]]&lt;=6000,"3,001–6,000",CleanEmployeeData[[#This Row],[MonthlyIncome]]&lt;=10000,"6,001–10,000",TRUE,"10,001+")</f>
        <v>0–3,000</v>
      </c>
      <c r="AR359" t="str" cm="1">
        <f t="array" ref="AR359">_xlfn.IFS(CleanEmployeeData[[#This Row],[DistanceFromHome]]&lt;=5,"0–5 miles",CleanEmployeeData[[#This Row],[DistanceFromHome]]&lt;=10,"6–10 miles",CleanEmployeeData[[#This Row],[DistanceFromHome]]&lt;=15,"11–15 miles",TRUE,"16+ miles")</f>
        <v>0–5 miles</v>
      </c>
      <c r="AS359" t="str" cm="1">
        <f t="array" ref="AS359">_xlfn.IFS(CleanEmployeeData[[#This Row],[YearsAtCompany]]&lt;=1,"0–1 years",CleanEmployeeData[[#This Row],[YearsAtCompany]]&lt;=5,"2–5 years",CleanEmployeeData[[#This Row],[YearsAtCompany]]&lt;=10,"6–10 years",TRUE,"11+ years")</f>
        <v>2–5 years</v>
      </c>
    </row>
    <row r="360" spans="1:4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cm="1">
        <f t="array" ref="AJ360">_xlfn.SWITCH(CleanEmployeeData[[#This Row],[Education]],1,"Below College",2,"College",3,"Bachelor",4,"Master",5,"Doctor","Unknown")</f>
        <v>Doctor</v>
      </c>
      <c r="AK360" t="str" cm="1">
        <f t="array" ref="AK360">_xlfn.SWITCH(CleanEmployeeData[[#This Row],[EnvironmentSatisfaction]],1,"Low",2,"Medium",3,"High",4,"Very High","Unknown")</f>
        <v>Very High</v>
      </c>
      <c r="AL360" t="str" cm="1">
        <f t="array" ref="AL360">_xlfn.SWITCH(CleanEmployeeData[[#This Row],[JobInvolvement]],1,"Low",2,"Medium",3,"High",4,"Very High","Unknown")</f>
        <v>High</v>
      </c>
      <c r="AM360" t="str" cm="1">
        <f t="array" ref="AM360">_xlfn.SWITCH(CleanEmployeeData[[#This Row],[JobSatisfaction]],1,"Low",2,"Medium",3,"High",4,"Very High","Unknown")</f>
        <v>Very High</v>
      </c>
      <c r="AN360" t="str" cm="1">
        <f t="array" ref="AN360">_xlfn.SWITCH(CleanEmployeeData[[#This Row],[PerformanceRating]],1,"Low",2,"Good",3,"Excellent",4,"Outstanding","Unknown")</f>
        <v>Excellent</v>
      </c>
      <c r="AO360" t="str" cm="1">
        <f t="array" ref="AO360">_xlfn.SWITCH(CleanEmployeeData[[#This Row],[WorkLifeBalance]],1,"Bad",2,"Good",3,"Better",4,"Best","Unknown")</f>
        <v>Better</v>
      </c>
      <c r="AP360">
        <f>IF(CleanEmployeeData[[#This Row],[Attrition]]="Yes",1,IF(CleanEmployeeData[[#This Row],[Attrition]]="No",0,""))</f>
        <v>0</v>
      </c>
      <c r="AQ360" t="str" cm="1">
        <f t="array" ref="AQ360">_xlfn.IFS(CleanEmployeeData[[#This Row],[MonthlyIncome]]&lt;=3000,"0–3,000",CleanEmployeeData[[#This Row],[MonthlyIncome]]&lt;=6000,"3,001–6,000",CleanEmployeeData[[#This Row],[MonthlyIncome]]&lt;=10000,"6,001–10,000",TRUE,"10,001+")</f>
        <v>6,001–10,000</v>
      </c>
      <c r="AR360" t="str" cm="1">
        <f t="array" ref="AR360">_xlfn.IFS(CleanEmployeeData[[#This Row],[DistanceFromHome]]&lt;=5,"0–5 miles",CleanEmployeeData[[#This Row],[DistanceFromHome]]&lt;=10,"6–10 miles",CleanEmployeeData[[#This Row],[DistanceFromHome]]&lt;=15,"11–15 miles",TRUE,"16+ miles")</f>
        <v>0–5 miles</v>
      </c>
      <c r="AS360" t="str" cm="1">
        <f t="array" ref="AS360">_xlfn.IFS(CleanEmployeeData[[#This Row],[YearsAtCompany]]&lt;=1,"0–1 years",CleanEmployeeData[[#This Row],[YearsAtCompany]]&lt;=5,"2–5 years",CleanEmployeeData[[#This Row],[YearsAtCompany]]&lt;=10,"6–10 years",TRUE,"11+ years")</f>
        <v>0–1 years</v>
      </c>
    </row>
    <row r="361" spans="1:4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cm="1">
        <f t="array" ref="AJ361">_xlfn.SWITCH(CleanEmployeeData[[#This Row],[Education]],1,"Below College",2,"College",3,"Bachelor",4,"Master",5,"Doctor","Unknown")</f>
        <v>Master</v>
      </c>
      <c r="AK361" t="str" cm="1">
        <f t="array" ref="AK361">_xlfn.SWITCH(CleanEmployeeData[[#This Row],[EnvironmentSatisfaction]],1,"Low",2,"Medium",3,"High",4,"Very High","Unknown")</f>
        <v>Low</v>
      </c>
      <c r="AL361" t="str" cm="1">
        <f t="array" ref="AL361">_xlfn.SWITCH(CleanEmployeeData[[#This Row],[JobInvolvement]],1,"Low",2,"Medium",3,"High",4,"Very High","Unknown")</f>
        <v>Medium</v>
      </c>
      <c r="AM361" t="str" cm="1">
        <f t="array" ref="AM361">_xlfn.SWITCH(CleanEmployeeData[[#This Row],[JobSatisfaction]],1,"Low",2,"Medium",3,"High",4,"Very High","Unknown")</f>
        <v>Very High</v>
      </c>
      <c r="AN361" t="str" cm="1">
        <f t="array" ref="AN361">_xlfn.SWITCH(CleanEmployeeData[[#This Row],[PerformanceRating]],1,"Low",2,"Good",3,"Excellent",4,"Outstanding","Unknown")</f>
        <v>Excellent</v>
      </c>
      <c r="AO361" t="str" cm="1">
        <f t="array" ref="AO361">_xlfn.SWITCH(CleanEmployeeData[[#This Row],[WorkLifeBalance]],1,"Bad",2,"Good",3,"Better",4,"Best","Unknown")</f>
        <v>Better</v>
      </c>
      <c r="AP361">
        <f>IF(CleanEmployeeData[[#This Row],[Attrition]]="Yes",1,IF(CleanEmployeeData[[#This Row],[Attrition]]="No",0,""))</f>
        <v>0</v>
      </c>
      <c r="AQ361" t="str" cm="1">
        <f t="array" ref="AQ361">_xlfn.IFS(CleanEmployeeData[[#This Row],[MonthlyIncome]]&lt;=3000,"0–3,000",CleanEmployeeData[[#This Row],[MonthlyIncome]]&lt;=6000,"3,001–6,000",CleanEmployeeData[[#This Row],[MonthlyIncome]]&lt;=10000,"6,001–10,000",TRUE,"10,001+")</f>
        <v>6,001–10,000</v>
      </c>
      <c r="AR361" t="str" cm="1">
        <f t="array" ref="AR361">_xlfn.IFS(CleanEmployeeData[[#This Row],[DistanceFromHome]]&lt;=5,"0–5 miles",CleanEmployeeData[[#This Row],[DistanceFromHome]]&lt;=10,"6–10 miles",CleanEmployeeData[[#This Row],[DistanceFromHome]]&lt;=15,"11–15 miles",TRUE,"16+ miles")</f>
        <v>0–5 miles</v>
      </c>
      <c r="AS361" t="str" cm="1">
        <f t="array" ref="AS361">_xlfn.IFS(CleanEmployeeData[[#This Row],[YearsAtCompany]]&lt;=1,"0–1 years",CleanEmployeeData[[#This Row],[YearsAtCompany]]&lt;=5,"2–5 years",CleanEmployeeData[[#This Row],[YearsAtCompany]]&lt;=10,"6–10 years",TRUE,"11+ years")</f>
        <v>11+ years</v>
      </c>
    </row>
    <row r="362" spans="1:4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cm="1">
        <f t="array" ref="AJ362">_xlfn.SWITCH(CleanEmployeeData[[#This Row],[Education]],1,"Below College",2,"College",3,"Bachelor",4,"Master",5,"Doctor","Unknown")</f>
        <v>Master</v>
      </c>
      <c r="AK362" t="str" cm="1">
        <f t="array" ref="AK362">_xlfn.SWITCH(CleanEmployeeData[[#This Row],[EnvironmentSatisfaction]],1,"Low",2,"Medium",3,"High",4,"Very High","Unknown")</f>
        <v>Very High</v>
      </c>
      <c r="AL362" t="str" cm="1">
        <f t="array" ref="AL362">_xlfn.SWITCH(CleanEmployeeData[[#This Row],[JobInvolvement]],1,"Low",2,"Medium",3,"High",4,"Very High","Unknown")</f>
        <v>High</v>
      </c>
      <c r="AM362" t="str" cm="1">
        <f t="array" ref="AM362">_xlfn.SWITCH(CleanEmployeeData[[#This Row],[JobSatisfaction]],1,"Low",2,"Medium",3,"High",4,"Very High","Unknown")</f>
        <v>High</v>
      </c>
      <c r="AN362" t="str" cm="1">
        <f t="array" ref="AN362">_xlfn.SWITCH(CleanEmployeeData[[#This Row],[PerformanceRating]],1,"Low",2,"Good",3,"Excellent",4,"Outstanding","Unknown")</f>
        <v>Excellent</v>
      </c>
      <c r="AO362" t="str" cm="1">
        <f t="array" ref="AO362">_xlfn.SWITCH(CleanEmployeeData[[#This Row],[WorkLifeBalance]],1,"Bad",2,"Good",3,"Better",4,"Best","Unknown")</f>
        <v>Better</v>
      </c>
      <c r="AP362">
        <f>IF(CleanEmployeeData[[#This Row],[Attrition]]="Yes",1,IF(CleanEmployeeData[[#This Row],[Attrition]]="No",0,""))</f>
        <v>0</v>
      </c>
      <c r="AQ362" t="str" cm="1">
        <f t="array" ref="AQ362">_xlfn.IFS(CleanEmployeeData[[#This Row],[MonthlyIncome]]&lt;=3000,"0–3,000",CleanEmployeeData[[#This Row],[MonthlyIncome]]&lt;=6000,"3,001–6,000",CleanEmployeeData[[#This Row],[MonthlyIncome]]&lt;=10000,"6,001–10,000",TRUE,"10,001+")</f>
        <v>6,001–10,000</v>
      </c>
      <c r="AR362" t="str" cm="1">
        <f t="array" ref="AR362">_xlfn.IFS(CleanEmployeeData[[#This Row],[DistanceFromHome]]&lt;=5,"0–5 miles",CleanEmployeeData[[#This Row],[DistanceFromHome]]&lt;=10,"6–10 miles",CleanEmployeeData[[#This Row],[DistanceFromHome]]&lt;=15,"11–15 miles",TRUE,"16+ miles")</f>
        <v>0–5 miles</v>
      </c>
      <c r="AS362" t="str" cm="1">
        <f t="array" ref="AS362">_xlfn.IFS(CleanEmployeeData[[#This Row],[YearsAtCompany]]&lt;=1,"0–1 years",CleanEmployeeData[[#This Row],[YearsAtCompany]]&lt;=5,"2–5 years",CleanEmployeeData[[#This Row],[YearsAtCompany]]&lt;=10,"6–10 years",TRUE,"11+ years")</f>
        <v>2–5 years</v>
      </c>
    </row>
    <row r="363" spans="1:4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cm="1">
        <f t="array" ref="AJ363">_xlfn.SWITCH(CleanEmployeeData[[#This Row],[Education]],1,"Below College",2,"College",3,"Bachelor",4,"Master",5,"Doctor","Unknown")</f>
        <v>Master</v>
      </c>
      <c r="AK363" t="str" cm="1">
        <f t="array" ref="AK363">_xlfn.SWITCH(CleanEmployeeData[[#This Row],[EnvironmentSatisfaction]],1,"Low",2,"Medium",3,"High",4,"Very High","Unknown")</f>
        <v>Very High</v>
      </c>
      <c r="AL363" t="str" cm="1">
        <f t="array" ref="AL363">_xlfn.SWITCH(CleanEmployeeData[[#This Row],[JobInvolvement]],1,"Low",2,"Medium",3,"High",4,"Very High","Unknown")</f>
        <v>Very High</v>
      </c>
      <c r="AM363" t="str" cm="1">
        <f t="array" ref="AM363">_xlfn.SWITCH(CleanEmployeeData[[#This Row],[JobSatisfaction]],1,"Low",2,"Medium",3,"High",4,"Very High","Unknown")</f>
        <v>High</v>
      </c>
      <c r="AN363" t="str" cm="1">
        <f t="array" ref="AN363">_xlfn.SWITCH(CleanEmployeeData[[#This Row],[PerformanceRating]],1,"Low",2,"Good",3,"Excellent",4,"Outstanding","Unknown")</f>
        <v>Excellent</v>
      </c>
      <c r="AO363" t="str" cm="1">
        <f t="array" ref="AO363">_xlfn.SWITCH(CleanEmployeeData[[#This Row],[WorkLifeBalance]],1,"Bad",2,"Good",3,"Better",4,"Best","Unknown")</f>
        <v>Better</v>
      </c>
      <c r="AP363">
        <f>IF(CleanEmployeeData[[#This Row],[Attrition]]="Yes",1,IF(CleanEmployeeData[[#This Row],[Attrition]]="No",0,""))</f>
        <v>0</v>
      </c>
      <c r="AQ363" t="str" cm="1">
        <f t="array" ref="AQ363">_xlfn.IFS(CleanEmployeeData[[#This Row],[MonthlyIncome]]&lt;=3000,"0–3,000",CleanEmployeeData[[#This Row],[MonthlyIncome]]&lt;=6000,"3,001–6,000",CleanEmployeeData[[#This Row],[MonthlyIncome]]&lt;=10000,"6,001–10,000",TRUE,"10,001+")</f>
        <v>0–3,000</v>
      </c>
      <c r="AR363" t="str" cm="1">
        <f t="array" ref="AR363">_xlfn.IFS(CleanEmployeeData[[#This Row],[DistanceFromHome]]&lt;=5,"0–5 miles",CleanEmployeeData[[#This Row],[DistanceFromHome]]&lt;=10,"6–10 miles",CleanEmployeeData[[#This Row],[DistanceFromHome]]&lt;=15,"11–15 miles",TRUE,"16+ miles")</f>
        <v>6–10 miles</v>
      </c>
      <c r="AS363" t="str" cm="1">
        <f t="array" ref="AS363">_xlfn.IFS(CleanEmployeeData[[#This Row],[YearsAtCompany]]&lt;=1,"0–1 years",CleanEmployeeData[[#This Row],[YearsAtCompany]]&lt;=5,"2–5 years",CleanEmployeeData[[#This Row],[YearsAtCompany]]&lt;=10,"6–10 years",TRUE,"11+ years")</f>
        <v>6–10 years</v>
      </c>
    </row>
    <row r="364" spans="1:4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cm="1">
        <f t="array" ref="AJ364">_xlfn.SWITCH(CleanEmployeeData[[#This Row],[Education]],1,"Below College",2,"College",3,"Bachelor",4,"Master",5,"Doctor","Unknown")</f>
        <v>College</v>
      </c>
      <c r="AK364" t="str" cm="1">
        <f t="array" ref="AK364">_xlfn.SWITCH(CleanEmployeeData[[#This Row],[EnvironmentSatisfaction]],1,"Low",2,"Medium",3,"High",4,"Very High","Unknown")</f>
        <v>Low</v>
      </c>
      <c r="AL364" t="str" cm="1">
        <f t="array" ref="AL364">_xlfn.SWITCH(CleanEmployeeData[[#This Row],[JobInvolvement]],1,"Low",2,"Medium",3,"High",4,"Very High","Unknown")</f>
        <v>High</v>
      </c>
      <c r="AM364" t="str" cm="1">
        <f t="array" ref="AM364">_xlfn.SWITCH(CleanEmployeeData[[#This Row],[JobSatisfaction]],1,"Low",2,"Medium",3,"High",4,"Very High","Unknown")</f>
        <v>Very High</v>
      </c>
      <c r="AN364" t="str" cm="1">
        <f t="array" ref="AN364">_xlfn.SWITCH(CleanEmployeeData[[#This Row],[PerformanceRating]],1,"Low",2,"Good",3,"Excellent",4,"Outstanding","Unknown")</f>
        <v>Outstanding</v>
      </c>
      <c r="AO364" t="str" cm="1">
        <f t="array" ref="AO364">_xlfn.SWITCH(CleanEmployeeData[[#This Row],[WorkLifeBalance]],1,"Bad",2,"Good",3,"Better",4,"Best","Unknown")</f>
        <v>Good</v>
      </c>
      <c r="AP364">
        <f>IF(CleanEmployeeData[[#This Row],[Attrition]]="Yes",1,IF(CleanEmployeeData[[#This Row],[Attrition]]="No",0,""))</f>
        <v>0</v>
      </c>
      <c r="AQ364" t="str" cm="1">
        <f t="array" ref="AQ364">_xlfn.IFS(CleanEmployeeData[[#This Row],[MonthlyIncome]]&lt;=3000,"0–3,000",CleanEmployeeData[[#This Row],[MonthlyIncome]]&lt;=6000,"3,001–6,000",CleanEmployeeData[[#This Row],[MonthlyIncome]]&lt;=10000,"6,001–10,000",TRUE,"10,001+")</f>
        <v>0–3,000</v>
      </c>
      <c r="AR364" t="str" cm="1">
        <f t="array" ref="AR364">_xlfn.IFS(CleanEmployeeData[[#This Row],[DistanceFromHome]]&lt;=5,"0–5 miles",CleanEmployeeData[[#This Row],[DistanceFromHome]]&lt;=10,"6–10 miles",CleanEmployeeData[[#This Row],[DistanceFromHome]]&lt;=15,"11–15 miles",TRUE,"16+ miles")</f>
        <v>6–10 miles</v>
      </c>
      <c r="AS364" t="str" cm="1">
        <f t="array" ref="AS364">_xlfn.IFS(CleanEmployeeData[[#This Row],[YearsAtCompany]]&lt;=1,"0–1 years",CleanEmployeeData[[#This Row],[YearsAtCompany]]&lt;=5,"2–5 years",CleanEmployeeData[[#This Row],[YearsAtCompany]]&lt;=10,"6–10 years",TRUE,"11+ years")</f>
        <v>2–5 years</v>
      </c>
    </row>
    <row r="365" spans="1:4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cm="1">
        <f t="array" ref="AJ365">_xlfn.SWITCH(CleanEmployeeData[[#This Row],[Education]],1,"Below College",2,"College",3,"Bachelor",4,"Master",5,"Doctor","Unknown")</f>
        <v>Bachelor</v>
      </c>
      <c r="AK365" t="str" cm="1">
        <f t="array" ref="AK365">_xlfn.SWITCH(CleanEmployeeData[[#This Row],[EnvironmentSatisfaction]],1,"Low",2,"Medium",3,"High",4,"Very High","Unknown")</f>
        <v>Very High</v>
      </c>
      <c r="AL365" t="str" cm="1">
        <f t="array" ref="AL365">_xlfn.SWITCH(CleanEmployeeData[[#This Row],[JobInvolvement]],1,"Low",2,"Medium",3,"High",4,"Very High","Unknown")</f>
        <v>High</v>
      </c>
      <c r="AM365" t="str" cm="1">
        <f t="array" ref="AM365">_xlfn.SWITCH(CleanEmployeeData[[#This Row],[JobSatisfaction]],1,"Low",2,"Medium",3,"High",4,"Very High","Unknown")</f>
        <v>High</v>
      </c>
      <c r="AN365" t="str" cm="1">
        <f t="array" ref="AN365">_xlfn.SWITCH(CleanEmployeeData[[#This Row],[PerformanceRating]],1,"Low",2,"Good",3,"Excellent",4,"Outstanding","Unknown")</f>
        <v>Excellent</v>
      </c>
      <c r="AO365" t="str" cm="1">
        <f t="array" ref="AO365">_xlfn.SWITCH(CleanEmployeeData[[#This Row],[WorkLifeBalance]],1,"Bad",2,"Good",3,"Better",4,"Best","Unknown")</f>
        <v>Better</v>
      </c>
      <c r="AP365">
        <f>IF(CleanEmployeeData[[#This Row],[Attrition]]="Yes",1,IF(CleanEmployeeData[[#This Row],[Attrition]]="No",0,""))</f>
        <v>1</v>
      </c>
      <c r="AQ365" t="str" cm="1">
        <f t="array" ref="AQ365">_xlfn.IFS(CleanEmployeeData[[#This Row],[MonthlyIncome]]&lt;=3000,"0–3,000",CleanEmployeeData[[#This Row],[MonthlyIncome]]&lt;=6000,"3,001–6,000",CleanEmployeeData[[#This Row],[MonthlyIncome]]&lt;=10000,"6,001–10,000",TRUE,"10,001+")</f>
        <v>0–3,000</v>
      </c>
      <c r="AR365" t="str" cm="1">
        <f t="array" ref="AR365">_xlfn.IFS(CleanEmployeeData[[#This Row],[DistanceFromHome]]&lt;=5,"0–5 miles",CleanEmployeeData[[#This Row],[DistanceFromHome]]&lt;=10,"6–10 miles",CleanEmployeeData[[#This Row],[DistanceFromHome]]&lt;=15,"11–15 miles",TRUE,"16+ miles")</f>
        <v>0–5 miles</v>
      </c>
      <c r="AS365" t="str" cm="1">
        <f t="array" ref="AS365">_xlfn.IFS(CleanEmployeeData[[#This Row],[YearsAtCompany]]&lt;=1,"0–1 years",CleanEmployeeData[[#This Row],[YearsAtCompany]]&lt;=5,"2–5 years",CleanEmployeeData[[#This Row],[YearsAtCompany]]&lt;=10,"6–10 years",TRUE,"11+ years")</f>
        <v>0–1 years</v>
      </c>
    </row>
    <row r="366" spans="1:4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cm="1">
        <f t="array" ref="AJ366">_xlfn.SWITCH(CleanEmployeeData[[#This Row],[Education]],1,"Below College",2,"College",3,"Bachelor",4,"Master",5,"Doctor","Unknown")</f>
        <v>Bachelor</v>
      </c>
      <c r="AK366" t="str" cm="1">
        <f t="array" ref="AK366">_xlfn.SWITCH(CleanEmployeeData[[#This Row],[EnvironmentSatisfaction]],1,"Low",2,"Medium",3,"High",4,"Very High","Unknown")</f>
        <v>High</v>
      </c>
      <c r="AL366" t="str" cm="1">
        <f t="array" ref="AL366">_xlfn.SWITCH(CleanEmployeeData[[#This Row],[JobInvolvement]],1,"Low",2,"Medium",3,"High",4,"Very High","Unknown")</f>
        <v>High</v>
      </c>
      <c r="AM366" t="str" cm="1">
        <f t="array" ref="AM366">_xlfn.SWITCH(CleanEmployeeData[[#This Row],[JobSatisfaction]],1,"Low",2,"Medium",3,"High",4,"Very High","Unknown")</f>
        <v>Low</v>
      </c>
      <c r="AN366" t="str" cm="1">
        <f t="array" ref="AN366">_xlfn.SWITCH(CleanEmployeeData[[#This Row],[PerformanceRating]],1,"Low",2,"Good",3,"Excellent",4,"Outstanding","Unknown")</f>
        <v>Outstanding</v>
      </c>
      <c r="AO366" t="str" cm="1">
        <f t="array" ref="AO366">_xlfn.SWITCH(CleanEmployeeData[[#This Row],[WorkLifeBalance]],1,"Bad",2,"Good",3,"Better",4,"Best","Unknown")</f>
        <v>Better</v>
      </c>
      <c r="AP366">
        <f>IF(CleanEmployeeData[[#This Row],[Attrition]]="Yes",1,IF(CleanEmployeeData[[#This Row],[Attrition]]="No",0,""))</f>
        <v>0</v>
      </c>
      <c r="AQ366" t="str" cm="1">
        <f t="array" ref="AQ366">_xlfn.IFS(CleanEmployeeData[[#This Row],[MonthlyIncome]]&lt;=3000,"0–3,000",CleanEmployeeData[[#This Row],[MonthlyIncome]]&lt;=6000,"3,001–6,000",CleanEmployeeData[[#This Row],[MonthlyIncome]]&lt;=10000,"6,001–10,000",TRUE,"10,001+")</f>
        <v>3,001–6,000</v>
      </c>
      <c r="AR366" t="str" cm="1">
        <f t="array" ref="AR366">_xlfn.IFS(CleanEmployeeData[[#This Row],[DistanceFromHome]]&lt;=5,"0–5 miles",CleanEmployeeData[[#This Row],[DistanceFromHome]]&lt;=10,"6–10 miles",CleanEmployeeData[[#This Row],[DistanceFromHome]]&lt;=15,"11–15 miles",TRUE,"16+ miles")</f>
        <v>6–10 miles</v>
      </c>
      <c r="AS366" t="str" cm="1">
        <f t="array" ref="AS366">_xlfn.IFS(CleanEmployeeData[[#This Row],[YearsAtCompany]]&lt;=1,"0–1 years",CleanEmployeeData[[#This Row],[YearsAtCompany]]&lt;=5,"2–5 years",CleanEmployeeData[[#This Row],[YearsAtCompany]]&lt;=10,"6–10 years",TRUE,"11+ years")</f>
        <v>2–5 years</v>
      </c>
    </row>
    <row r="367" spans="1:4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cm="1">
        <f t="array" ref="AJ367">_xlfn.SWITCH(CleanEmployeeData[[#This Row],[Education]],1,"Below College",2,"College",3,"Bachelor",4,"Master",5,"Doctor","Unknown")</f>
        <v>Master</v>
      </c>
      <c r="AK367" t="str" cm="1">
        <f t="array" ref="AK367">_xlfn.SWITCH(CleanEmployeeData[[#This Row],[EnvironmentSatisfaction]],1,"Low",2,"Medium",3,"High",4,"Very High","Unknown")</f>
        <v>High</v>
      </c>
      <c r="AL367" t="str" cm="1">
        <f t="array" ref="AL367">_xlfn.SWITCH(CleanEmployeeData[[#This Row],[JobInvolvement]],1,"Low",2,"Medium",3,"High",4,"Very High","Unknown")</f>
        <v>High</v>
      </c>
      <c r="AM367" t="str" cm="1">
        <f t="array" ref="AM367">_xlfn.SWITCH(CleanEmployeeData[[#This Row],[JobSatisfaction]],1,"Low",2,"Medium",3,"High",4,"Very High","Unknown")</f>
        <v>High</v>
      </c>
      <c r="AN367" t="str" cm="1">
        <f t="array" ref="AN367">_xlfn.SWITCH(CleanEmployeeData[[#This Row],[PerformanceRating]],1,"Low",2,"Good",3,"Excellent",4,"Outstanding","Unknown")</f>
        <v>Excellent</v>
      </c>
      <c r="AO367" t="str" cm="1">
        <f t="array" ref="AO367">_xlfn.SWITCH(CleanEmployeeData[[#This Row],[WorkLifeBalance]],1,"Bad",2,"Good",3,"Better",4,"Best","Unknown")</f>
        <v>Best</v>
      </c>
      <c r="AP367">
        <f>IF(CleanEmployeeData[[#This Row],[Attrition]]="Yes",1,IF(CleanEmployeeData[[#This Row],[Attrition]]="No",0,""))</f>
        <v>0</v>
      </c>
      <c r="AQ367" t="str" cm="1">
        <f t="array" ref="AQ367">_xlfn.IFS(CleanEmployeeData[[#This Row],[MonthlyIncome]]&lt;=3000,"0–3,000",CleanEmployeeData[[#This Row],[MonthlyIncome]]&lt;=6000,"3,001–6,000",CleanEmployeeData[[#This Row],[MonthlyIncome]]&lt;=10000,"6,001–10,000",TRUE,"10,001+")</f>
        <v>3,001–6,000</v>
      </c>
      <c r="AR367" t="str" cm="1">
        <f t="array" ref="AR367">_xlfn.IFS(CleanEmployeeData[[#This Row],[DistanceFromHome]]&lt;=5,"0–5 miles",CleanEmployeeData[[#This Row],[DistanceFromHome]]&lt;=10,"6–10 miles",CleanEmployeeData[[#This Row],[DistanceFromHome]]&lt;=15,"11–15 miles",TRUE,"16+ miles")</f>
        <v>6–10 miles</v>
      </c>
      <c r="AS367" t="str" cm="1">
        <f t="array" ref="AS367">_xlfn.IFS(CleanEmployeeData[[#This Row],[YearsAtCompany]]&lt;=1,"0–1 years",CleanEmployeeData[[#This Row],[YearsAtCompany]]&lt;=5,"2–5 years",CleanEmployeeData[[#This Row],[YearsAtCompany]]&lt;=10,"6–10 years",TRUE,"11+ years")</f>
        <v>0–1 years</v>
      </c>
    </row>
    <row r="368" spans="1:4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cm="1">
        <f t="array" ref="AJ368">_xlfn.SWITCH(CleanEmployeeData[[#This Row],[Education]],1,"Below College",2,"College",3,"Bachelor",4,"Master",5,"Doctor","Unknown")</f>
        <v>Bachelor</v>
      </c>
      <c r="AK368" t="str" cm="1">
        <f t="array" ref="AK368">_xlfn.SWITCH(CleanEmployeeData[[#This Row],[EnvironmentSatisfaction]],1,"Low",2,"Medium",3,"High",4,"Very High","Unknown")</f>
        <v>Low</v>
      </c>
      <c r="AL368" t="str" cm="1">
        <f t="array" ref="AL368">_xlfn.SWITCH(CleanEmployeeData[[#This Row],[JobInvolvement]],1,"Low",2,"Medium",3,"High",4,"Very High","Unknown")</f>
        <v>High</v>
      </c>
      <c r="AM368" t="str" cm="1">
        <f t="array" ref="AM368">_xlfn.SWITCH(CleanEmployeeData[[#This Row],[JobSatisfaction]],1,"Low",2,"Medium",3,"High",4,"Very High","Unknown")</f>
        <v>Medium</v>
      </c>
      <c r="AN368" t="str" cm="1">
        <f t="array" ref="AN368">_xlfn.SWITCH(CleanEmployeeData[[#This Row],[PerformanceRating]],1,"Low",2,"Good",3,"Excellent",4,"Outstanding","Unknown")</f>
        <v>Excellent</v>
      </c>
      <c r="AO368" t="str" cm="1">
        <f t="array" ref="AO368">_xlfn.SWITCH(CleanEmployeeData[[#This Row],[WorkLifeBalance]],1,"Bad",2,"Good",3,"Better",4,"Best","Unknown")</f>
        <v>Better</v>
      </c>
      <c r="AP368">
        <f>IF(CleanEmployeeData[[#This Row],[Attrition]]="Yes",1,IF(CleanEmployeeData[[#This Row],[Attrition]]="No",0,""))</f>
        <v>1</v>
      </c>
      <c r="AQ368" t="str" cm="1">
        <f t="array" ref="AQ368">_xlfn.IFS(CleanEmployeeData[[#This Row],[MonthlyIncome]]&lt;=3000,"0–3,000",CleanEmployeeData[[#This Row],[MonthlyIncome]]&lt;=6000,"3,001–6,000",CleanEmployeeData[[#This Row],[MonthlyIncome]]&lt;=10000,"6,001–10,000",TRUE,"10,001+")</f>
        <v>6,001–10,000</v>
      </c>
      <c r="AR368" t="str" cm="1">
        <f t="array" ref="AR368">_xlfn.IFS(CleanEmployeeData[[#This Row],[DistanceFromHome]]&lt;=5,"0–5 miles",CleanEmployeeData[[#This Row],[DistanceFromHome]]&lt;=10,"6–10 miles",CleanEmployeeData[[#This Row],[DistanceFromHome]]&lt;=15,"11–15 miles",TRUE,"16+ miles")</f>
        <v>0–5 miles</v>
      </c>
      <c r="AS368" t="str" cm="1">
        <f t="array" ref="AS368">_xlfn.IFS(CleanEmployeeData[[#This Row],[YearsAtCompany]]&lt;=1,"0–1 years",CleanEmployeeData[[#This Row],[YearsAtCompany]]&lt;=5,"2–5 years",CleanEmployeeData[[#This Row],[YearsAtCompany]]&lt;=10,"6–10 years",TRUE,"11+ years")</f>
        <v>6–10 years</v>
      </c>
    </row>
    <row r="369" spans="1:4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cm="1">
        <f t="array" ref="AJ369">_xlfn.SWITCH(CleanEmployeeData[[#This Row],[Education]],1,"Below College",2,"College",3,"Bachelor",4,"Master",5,"Doctor","Unknown")</f>
        <v>Bachelor</v>
      </c>
      <c r="AK369" t="str" cm="1">
        <f t="array" ref="AK369">_xlfn.SWITCH(CleanEmployeeData[[#This Row],[EnvironmentSatisfaction]],1,"Low",2,"Medium",3,"High",4,"Very High","Unknown")</f>
        <v>Very High</v>
      </c>
      <c r="AL369" t="str" cm="1">
        <f t="array" ref="AL369">_xlfn.SWITCH(CleanEmployeeData[[#This Row],[JobInvolvement]],1,"Low",2,"Medium",3,"High",4,"Very High","Unknown")</f>
        <v>Medium</v>
      </c>
      <c r="AM369" t="str" cm="1">
        <f t="array" ref="AM369">_xlfn.SWITCH(CleanEmployeeData[[#This Row],[JobSatisfaction]],1,"Low",2,"Medium",3,"High",4,"Very High","Unknown")</f>
        <v>Very High</v>
      </c>
      <c r="AN369" t="str" cm="1">
        <f t="array" ref="AN369">_xlfn.SWITCH(CleanEmployeeData[[#This Row],[PerformanceRating]],1,"Low",2,"Good",3,"Excellent",4,"Outstanding","Unknown")</f>
        <v>Excellent</v>
      </c>
      <c r="AO369" t="str" cm="1">
        <f t="array" ref="AO369">_xlfn.SWITCH(CleanEmployeeData[[#This Row],[WorkLifeBalance]],1,"Bad",2,"Good",3,"Better",4,"Best","Unknown")</f>
        <v>Better</v>
      </c>
      <c r="AP369">
        <f>IF(CleanEmployeeData[[#This Row],[Attrition]]="Yes",1,IF(CleanEmployeeData[[#This Row],[Attrition]]="No",0,""))</f>
        <v>0</v>
      </c>
      <c r="AQ369" t="str" cm="1">
        <f t="array" ref="AQ369">_xlfn.IFS(CleanEmployeeData[[#This Row],[MonthlyIncome]]&lt;=3000,"0–3,000",CleanEmployeeData[[#This Row],[MonthlyIncome]]&lt;=6000,"3,001–6,000",CleanEmployeeData[[#This Row],[MonthlyIncome]]&lt;=10000,"6,001–10,000",TRUE,"10,001+")</f>
        <v>10,001+</v>
      </c>
      <c r="AR369" t="str" cm="1">
        <f t="array" ref="AR369">_xlfn.IFS(CleanEmployeeData[[#This Row],[DistanceFromHome]]&lt;=5,"0–5 miles",CleanEmployeeData[[#This Row],[DistanceFromHome]]&lt;=10,"6–10 miles",CleanEmployeeData[[#This Row],[DistanceFromHome]]&lt;=15,"11–15 miles",TRUE,"16+ miles")</f>
        <v>6–10 miles</v>
      </c>
      <c r="AS369" t="str" cm="1">
        <f t="array" ref="AS369">_xlfn.IFS(CleanEmployeeData[[#This Row],[YearsAtCompany]]&lt;=1,"0–1 years",CleanEmployeeData[[#This Row],[YearsAtCompany]]&lt;=5,"2–5 years",CleanEmployeeData[[#This Row],[YearsAtCompany]]&lt;=10,"6–10 years",TRUE,"11+ years")</f>
        <v>2–5 years</v>
      </c>
    </row>
    <row r="370" spans="1:4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cm="1">
        <f t="array" ref="AJ370">_xlfn.SWITCH(CleanEmployeeData[[#This Row],[Education]],1,"Below College",2,"College",3,"Bachelor",4,"Master",5,"Doctor","Unknown")</f>
        <v>College</v>
      </c>
      <c r="AK370" t="str" cm="1">
        <f t="array" ref="AK370">_xlfn.SWITCH(CleanEmployeeData[[#This Row],[EnvironmentSatisfaction]],1,"Low",2,"Medium",3,"High",4,"Very High","Unknown")</f>
        <v>High</v>
      </c>
      <c r="AL370" t="str" cm="1">
        <f t="array" ref="AL370">_xlfn.SWITCH(CleanEmployeeData[[#This Row],[JobInvolvement]],1,"Low",2,"Medium",3,"High",4,"Very High","Unknown")</f>
        <v>Medium</v>
      </c>
      <c r="AM370" t="str" cm="1">
        <f t="array" ref="AM370">_xlfn.SWITCH(CleanEmployeeData[[#This Row],[JobSatisfaction]],1,"Low",2,"Medium",3,"High",4,"Very High","Unknown")</f>
        <v>High</v>
      </c>
      <c r="AN370" t="str" cm="1">
        <f t="array" ref="AN370">_xlfn.SWITCH(CleanEmployeeData[[#This Row],[PerformanceRating]],1,"Low",2,"Good",3,"Excellent",4,"Outstanding","Unknown")</f>
        <v>Excellent</v>
      </c>
      <c r="AO370" t="str" cm="1">
        <f t="array" ref="AO370">_xlfn.SWITCH(CleanEmployeeData[[#This Row],[WorkLifeBalance]],1,"Bad",2,"Good",3,"Better",4,"Best","Unknown")</f>
        <v>Better</v>
      </c>
      <c r="AP370">
        <f>IF(CleanEmployeeData[[#This Row],[Attrition]]="Yes",1,IF(CleanEmployeeData[[#This Row],[Attrition]]="No",0,""))</f>
        <v>1</v>
      </c>
      <c r="AQ370" t="str" cm="1">
        <f t="array" ref="AQ370">_xlfn.IFS(CleanEmployeeData[[#This Row],[MonthlyIncome]]&lt;=3000,"0–3,000",CleanEmployeeData[[#This Row],[MonthlyIncome]]&lt;=6000,"3,001–6,000",CleanEmployeeData[[#This Row],[MonthlyIncome]]&lt;=10000,"6,001–10,000",TRUE,"10,001+")</f>
        <v>6,001–10,000</v>
      </c>
      <c r="AR370" t="str" cm="1">
        <f t="array" ref="AR370">_xlfn.IFS(CleanEmployeeData[[#This Row],[DistanceFromHome]]&lt;=5,"0–5 miles",CleanEmployeeData[[#This Row],[DistanceFromHome]]&lt;=10,"6–10 miles",CleanEmployeeData[[#This Row],[DistanceFromHome]]&lt;=15,"11–15 miles",TRUE,"16+ miles")</f>
        <v>16+ miles</v>
      </c>
      <c r="AS370" t="str" cm="1">
        <f t="array" ref="AS370">_xlfn.IFS(CleanEmployeeData[[#This Row],[YearsAtCompany]]&lt;=1,"0–1 years",CleanEmployeeData[[#This Row],[YearsAtCompany]]&lt;=5,"2–5 years",CleanEmployeeData[[#This Row],[YearsAtCompany]]&lt;=10,"6–10 years",TRUE,"11+ years")</f>
        <v>6–10 years</v>
      </c>
    </row>
    <row r="371" spans="1:4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cm="1">
        <f t="array" ref="AJ371">_xlfn.SWITCH(CleanEmployeeData[[#This Row],[Education]],1,"Below College",2,"College",3,"Bachelor",4,"Master",5,"Doctor","Unknown")</f>
        <v>Master</v>
      </c>
      <c r="AK371" t="str" cm="1">
        <f t="array" ref="AK371">_xlfn.SWITCH(CleanEmployeeData[[#This Row],[EnvironmentSatisfaction]],1,"Low",2,"Medium",3,"High",4,"Very High","Unknown")</f>
        <v>High</v>
      </c>
      <c r="AL371" t="str" cm="1">
        <f t="array" ref="AL371">_xlfn.SWITCH(CleanEmployeeData[[#This Row],[JobInvolvement]],1,"Low",2,"Medium",3,"High",4,"Very High","Unknown")</f>
        <v>Medium</v>
      </c>
      <c r="AM371" t="str" cm="1">
        <f t="array" ref="AM371">_xlfn.SWITCH(CleanEmployeeData[[#This Row],[JobSatisfaction]],1,"Low",2,"Medium",3,"High",4,"Very High","Unknown")</f>
        <v>Medium</v>
      </c>
      <c r="AN371" t="str" cm="1">
        <f t="array" ref="AN371">_xlfn.SWITCH(CleanEmployeeData[[#This Row],[PerformanceRating]],1,"Low",2,"Good",3,"Excellent",4,"Outstanding","Unknown")</f>
        <v>Excellent</v>
      </c>
      <c r="AO371" t="str" cm="1">
        <f t="array" ref="AO371">_xlfn.SWITCH(CleanEmployeeData[[#This Row],[WorkLifeBalance]],1,"Bad",2,"Good",3,"Better",4,"Best","Unknown")</f>
        <v>Better</v>
      </c>
      <c r="AP371">
        <f>IF(CleanEmployeeData[[#This Row],[Attrition]]="Yes",1,IF(CleanEmployeeData[[#This Row],[Attrition]]="No",0,""))</f>
        <v>0</v>
      </c>
      <c r="AQ371" t="str" cm="1">
        <f t="array" ref="AQ371">_xlfn.IFS(CleanEmployeeData[[#This Row],[MonthlyIncome]]&lt;=3000,"0–3,000",CleanEmployeeData[[#This Row],[MonthlyIncome]]&lt;=6000,"3,001–6,000",CleanEmployeeData[[#This Row],[MonthlyIncome]]&lt;=10000,"6,001–10,000",TRUE,"10,001+")</f>
        <v>0–3,000</v>
      </c>
      <c r="AR371" t="str" cm="1">
        <f t="array" ref="AR371">_xlfn.IFS(CleanEmployeeData[[#This Row],[DistanceFromHome]]&lt;=5,"0–5 miles",CleanEmployeeData[[#This Row],[DistanceFromHome]]&lt;=10,"6–10 miles",CleanEmployeeData[[#This Row],[DistanceFromHome]]&lt;=15,"11–15 miles",TRUE,"16+ miles")</f>
        <v>6–10 miles</v>
      </c>
      <c r="AS371" t="str" cm="1">
        <f t="array" ref="AS371">_xlfn.IFS(CleanEmployeeData[[#This Row],[YearsAtCompany]]&lt;=1,"0–1 years",CleanEmployeeData[[#This Row],[YearsAtCompany]]&lt;=5,"2–5 years",CleanEmployeeData[[#This Row],[YearsAtCompany]]&lt;=10,"6–10 years",TRUE,"11+ years")</f>
        <v>2–5 years</v>
      </c>
    </row>
    <row r="372" spans="1:4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cm="1">
        <f t="array" ref="AJ372">_xlfn.SWITCH(CleanEmployeeData[[#This Row],[Education]],1,"Below College",2,"College",3,"Bachelor",4,"Master",5,"Doctor","Unknown")</f>
        <v>Bachelor</v>
      </c>
      <c r="AK372" t="str" cm="1">
        <f t="array" ref="AK372">_xlfn.SWITCH(CleanEmployeeData[[#This Row],[EnvironmentSatisfaction]],1,"Low",2,"Medium",3,"High",4,"Very High","Unknown")</f>
        <v>High</v>
      </c>
      <c r="AL372" t="str" cm="1">
        <f t="array" ref="AL372">_xlfn.SWITCH(CleanEmployeeData[[#This Row],[JobInvolvement]],1,"Low",2,"Medium",3,"High",4,"Very High","Unknown")</f>
        <v>Very High</v>
      </c>
      <c r="AM372" t="str" cm="1">
        <f t="array" ref="AM372">_xlfn.SWITCH(CleanEmployeeData[[#This Row],[JobSatisfaction]],1,"Low",2,"Medium",3,"High",4,"Very High","Unknown")</f>
        <v>Medium</v>
      </c>
      <c r="AN372" t="str" cm="1">
        <f t="array" ref="AN372">_xlfn.SWITCH(CleanEmployeeData[[#This Row],[PerformanceRating]],1,"Low",2,"Good",3,"Excellent",4,"Outstanding","Unknown")</f>
        <v>Excellent</v>
      </c>
      <c r="AO372" t="str" cm="1">
        <f t="array" ref="AO372">_xlfn.SWITCH(CleanEmployeeData[[#This Row],[WorkLifeBalance]],1,"Bad",2,"Good",3,"Better",4,"Best","Unknown")</f>
        <v>Better</v>
      </c>
      <c r="AP372">
        <f>IF(CleanEmployeeData[[#This Row],[Attrition]]="Yes",1,IF(CleanEmployeeData[[#This Row],[Attrition]]="No",0,""))</f>
        <v>1</v>
      </c>
      <c r="AQ372" t="str" cm="1">
        <f t="array" ref="AQ372">_xlfn.IFS(CleanEmployeeData[[#This Row],[MonthlyIncome]]&lt;=3000,"0–3,000",CleanEmployeeData[[#This Row],[MonthlyIncome]]&lt;=6000,"3,001–6,000",CleanEmployeeData[[#This Row],[MonthlyIncome]]&lt;=10000,"6,001–10,000",TRUE,"10,001+")</f>
        <v>0–3,000</v>
      </c>
      <c r="AR372" t="str" cm="1">
        <f t="array" ref="AR372">_xlfn.IFS(CleanEmployeeData[[#This Row],[DistanceFromHome]]&lt;=5,"0–5 miles",CleanEmployeeData[[#This Row],[DistanceFromHome]]&lt;=10,"6–10 miles",CleanEmployeeData[[#This Row],[DistanceFromHome]]&lt;=15,"11–15 miles",TRUE,"16+ miles")</f>
        <v>11–15 miles</v>
      </c>
      <c r="AS372" t="str" cm="1">
        <f t="array" ref="AS372">_xlfn.IFS(CleanEmployeeData[[#This Row],[YearsAtCompany]]&lt;=1,"0–1 years",CleanEmployeeData[[#This Row],[YearsAtCompany]]&lt;=5,"2–5 years",CleanEmployeeData[[#This Row],[YearsAtCompany]]&lt;=10,"6–10 years",TRUE,"11+ years")</f>
        <v>0–1 years</v>
      </c>
    </row>
    <row r="373" spans="1:4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cm="1">
        <f t="array" ref="AJ373">_xlfn.SWITCH(CleanEmployeeData[[#This Row],[Education]],1,"Below College",2,"College",3,"Bachelor",4,"Master",5,"Doctor","Unknown")</f>
        <v>Bachelor</v>
      </c>
      <c r="AK373" t="str" cm="1">
        <f t="array" ref="AK373">_xlfn.SWITCH(CleanEmployeeData[[#This Row],[EnvironmentSatisfaction]],1,"Low",2,"Medium",3,"High",4,"Very High","Unknown")</f>
        <v>Very High</v>
      </c>
      <c r="AL373" t="str" cm="1">
        <f t="array" ref="AL373">_xlfn.SWITCH(CleanEmployeeData[[#This Row],[JobInvolvement]],1,"Low",2,"Medium",3,"High",4,"Very High","Unknown")</f>
        <v>High</v>
      </c>
      <c r="AM373" t="str" cm="1">
        <f t="array" ref="AM373">_xlfn.SWITCH(CleanEmployeeData[[#This Row],[JobSatisfaction]],1,"Low",2,"Medium",3,"High",4,"Very High","Unknown")</f>
        <v>Very High</v>
      </c>
      <c r="AN373" t="str" cm="1">
        <f t="array" ref="AN373">_xlfn.SWITCH(CleanEmployeeData[[#This Row],[PerformanceRating]],1,"Low",2,"Good",3,"Excellent",4,"Outstanding","Unknown")</f>
        <v>Excellent</v>
      </c>
      <c r="AO373" t="str" cm="1">
        <f t="array" ref="AO373">_xlfn.SWITCH(CleanEmployeeData[[#This Row],[WorkLifeBalance]],1,"Bad",2,"Good",3,"Better",4,"Best","Unknown")</f>
        <v>Better</v>
      </c>
      <c r="AP373">
        <f>IF(CleanEmployeeData[[#This Row],[Attrition]]="Yes",1,IF(CleanEmployeeData[[#This Row],[Attrition]]="No",0,""))</f>
        <v>0</v>
      </c>
      <c r="AQ373" t="str" cm="1">
        <f t="array" ref="AQ373">_xlfn.IFS(CleanEmployeeData[[#This Row],[MonthlyIncome]]&lt;=3000,"0–3,000",CleanEmployeeData[[#This Row],[MonthlyIncome]]&lt;=6000,"3,001–6,000",CleanEmployeeData[[#This Row],[MonthlyIncome]]&lt;=10000,"6,001–10,000",TRUE,"10,001+")</f>
        <v>0–3,000</v>
      </c>
      <c r="AR373" t="str" cm="1">
        <f t="array" ref="AR373">_xlfn.IFS(CleanEmployeeData[[#This Row],[DistanceFromHome]]&lt;=5,"0–5 miles",CleanEmployeeData[[#This Row],[DistanceFromHome]]&lt;=10,"6–10 miles",CleanEmployeeData[[#This Row],[DistanceFromHome]]&lt;=15,"11–15 miles",TRUE,"16+ miles")</f>
        <v>16+ miles</v>
      </c>
      <c r="AS373" t="str" cm="1">
        <f t="array" ref="AS373">_xlfn.IFS(CleanEmployeeData[[#This Row],[YearsAtCompany]]&lt;=1,"0–1 years",CleanEmployeeData[[#This Row],[YearsAtCompany]]&lt;=5,"2–5 years",CleanEmployeeData[[#This Row],[YearsAtCompany]]&lt;=10,"6–10 years",TRUE,"11+ years")</f>
        <v>2–5 years</v>
      </c>
    </row>
    <row r="374" spans="1:4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cm="1">
        <f t="array" ref="AJ374">_xlfn.SWITCH(CleanEmployeeData[[#This Row],[Education]],1,"Below College",2,"College",3,"Bachelor",4,"Master",5,"Doctor","Unknown")</f>
        <v>Master</v>
      </c>
      <c r="AK374" t="str" cm="1">
        <f t="array" ref="AK374">_xlfn.SWITCH(CleanEmployeeData[[#This Row],[EnvironmentSatisfaction]],1,"Low",2,"Medium",3,"High",4,"Very High","Unknown")</f>
        <v>High</v>
      </c>
      <c r="AL374" t="str" cm="1">
        <f t="array" ref="AL374">_xlfn.SWITCH(CleanEmployeeData[[#This Row],[JobInvolvement]],1,"Low",2,"Medium",3,"High",4,"Very High","Unknown")</f>
        <v>Medium</v>
      </c>
      <c r="AM374" t="str" cm="1">
        <f t="array" ref="AM374">_xlfn.SWITCH(CleanEmployeeData[[#This Row],[JobSatisfaction]],1,"Low",2,"Medium",3,"High",4,"Very High","Unknown")</f>
        <v>Medium</v>
      </c>
      <c r="AN374" t="str" cm="1">
        <f t="array" ref="AN374">_xlfn.SWITCH(CleanEmployeeData[[#This Row],[PerformanceRating]],1,"Low",2,"Good",3,"Excellent",4,"Outstanding","Unknown")</f>
        <v>Excellent</v>
      </c>
      <c r="AO374" t="str" cm="1">
        <f t="array" ref="AO374">_xlfn.SWITCH(CleanEmployeeData[[#This Row],[WorkLifeBalance]],1,"Bad",2,"Good",3,"Better",4,"Best","Unknown")</f>
        <v>Better</v>
      </c>
      <c r="AP374">
        <f>IF(CleanEmployeeData[[#This Row],[Attrition]]="Yes",1,IF(CleanEmployeeData[[#This Row],[Attrition]]="No",0,""))</f>
        <v>0</v>
      </c>
      <c r="AQ374" t="str" cm="1">
        <f t="array" ref="AQ374">_xlfn.IFS(CleanEmployeeData[[#This Row],[MonthlyIncome]]&lt;=3000,"0–3,000",CleanEmployeeData[[#This Row],[MonthlyIncome]]&lt;=6000,"3,001–6,000",CleanEmployeeData[[#This Row],[MonthlyIncome]]&lt;=10000,"6,001–10,000",TRUE,"10,001+")</f>
        <v>6,001–10,000</v>
      </c>
      <c r="AR374" t="str" cm="1">
        <f t="array" ref="AR374">_xlfn.IFS(CleanEmployeeData[[#This Row],[DistanceFromHome]]&lt;=5,"0–5 miles",CleanEmployeeData[[#This Row],[DistanceFromHome]]&lt;=10,"6–10 miles",CleanEmployeeData[[#This Row],[DistanceFromHome]]&lt;=15,"11–15 miles",TRUE,"16+ miles")</f>
        <v>6–10 miles</v>
      </c>
      <c r="AS374" t="str" cm="1">
        <f t="array" ref="AS374">_xlfn.IFS(CleanEmployeeData[[#This Row],[YearsAtCompany]]&lt;=1,"0–1 years",CleanEmployeeData[[#This Row],[YearsAtCompany]]&lt;=5,"2–5 years",CleanEmployeeData[[#This Row],[YearsAtCompany]]&lt;=10,"6–10 years",TRUE,"11+ years")</f>
        <v>0–1 years</v>
      </c>
    </row>
    <row r="375" spans="1:4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cm="1">
        <f t="array" ref="AJ375">_xlfn.SWITCH(CleanEmployeeData[[#This Row],[Education]],1,"Below College",2,"College",3,"Bachelor",4,"Master",5,"Doctor","Unknown")</f>
        <v>College</v>
      </c>
      <c r="AK375" t="str" cm="1">
        <f t="array" ref="AK375">_xlfn.SWITCH(CleanEmployeeData[[#This Row],[EnvironmentSatisfaction]],1,"Low",2,"Medium",3,"High",4,"Very High","Unknown")</f>
        <v>Very High</v>
      </c>
      <c r="AL375" t="str" cm="1">
        <f t="array" ref="AL375">_xlfn.SWITCH(CleanEmployeeData[[#This Row],[JobInvolvement]],1,"Low",2,"Medium",3,"High",4,"Very High","Unknown")</f>
        <v>High</v>
      </c>
      <c r="AM375" t="str" cm="1">
        <f t="array" ref="AM375">_xlfn.SWITCH(CleanEmployeeData[[#This Row],[JobSatisfaction]],1,"Low",2,"Medium",3,"High",4,"Very High","Unknown")</f>
        <v>Medium</v>
      </c>
      <c r="AN375" t="str" cm="1">
        <f t="array" ref="AN375">_xlfn.SWITCH(CleanEmployeeData[[#This Row],[PerformanceRating]],1,"Low",2,"Good",3,"Excellent",4,"Outstanding","Unknown")</f>
        <v>Excellent</v>
      </c>
      <c r="AO375" t="str" cm="1">
        <f t="array" ref="AO375">_xlfn.SWITCH(CleanEmployeeData[[#This Row],[WorkLifeBalance]],1,"Bad",2,"Good",3,"Better",4,"Best","Unknown")</f>
        <v>Better</v>
      </c>
      <c r="AP375">
        <f>IF(CleanEmployeeData[[#This Row],[Attrition]]="Yes",1,IF(CleanEmployeeData[[#This Row],[Attrition]]="No",0,""))</f>
        <v>0</v>
      </c>
      <c r="AQ375" t="str" cm="1">
        <f t="array" ref="AQ375">_xlfn.IFS(CleanEmployeeData[[#This Row],[MonthlyIncome]]&lt;=3000,"0–3,000",CleanEmployeeData[[#This Row],[MonthlyIncome]]&lt;=6000,"3,001–6,000",CleanEmployeeData[[#This Row],[MonthlyIncome]]&lt;=10000,"6,001–10,000",TRUE,"10,001+")</f>
        <v>3,001–6,000</v>
      </c>
      <c r="AR375" t="str" cm="1">
        <f t="array" ref="AR375">_xlfn.IFS(CleanEmployeeData[[#This Row],[DistanceFromHome]]&lt;=5,"0–5 miles",CleanEmployeeData[[#This Row],[DistanceFromHome]]&lt;=10,"6–10 miles",CleanEmployeeData[[#This Row],[DistanceFromHome]]&lt;=15,"11–15 miles",TRUE,"16+ miles")</f>
        <v>0–5 miles</v>
      </c>
      <c r="AS375" t="str" cm="1">
        <f t="array" ref="AS375">_xlfn.IFS(CleanEmployeeData[[#This Row],[YearsAtCompany]]&lt;=1,"0–1 years",CleanEmployeeData[[#This Row],[YearsAtCompany]]&lt;=5,"2–5 years",CleanEmployeeData[[#This Row],[YearsAtCompany]]&lt;=10,"6–10 years",TRUE,"11+ years")</f>
        <v>2–5 years</v>
      </c>
    </row>
    <row r="376" spans="1:4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cm="1">
        <f t="array" ref="AJ376">_xlfn.SWITCH(CleanEmployeeData[[#This Row],[Education]],1,"Below College",2,"College",3,"Bachelor",4,"Master",5,"Doctor","Unknown")</f>
        <v>Master</v>
      </c>
      <c r="AK376" t="str" cm="1">
        <f t="array" ref="AK376">_xlfn.SWITCH(CleanEmployeeData[[#This Row],[EnvironmentSatisfaction]],1,"Low",2,"Medium",3,"High",4,"Very High","Unknown")</f>
        <v>Medium</v>
      </c>
      <c r="AL376" t="str" cm="1">
        <f t="array" ref="AL376">_xlfn.SWITCH(CleanEmployeeData[[#This Row],[JobInvolvement]],1,"Low",2,"Medium",3,"High",4,"Very High","Unknown")</f>
        <v>High</v>
      </c>
      <c r="AM376" t="str" cm="1">
        <f t="array" ref="AM376">_xlfn.SWITCH(CleanEmployeeData[[#This Row],[JobSatisfaction]],1,"Low",2,"Medium",3,"High",4,"Very High","Unknown")</f>
        <v>Very High</v>
      </c>
      <c r="AN376" t="str" cm="1">
        <f t="array" ref="AN376">_xlfn.SWITCH(CleanEmployeeData[[#This Row],[PerformanceRating]],1,"Low",2,"Good",3,"Excellent",4,"Outstanding","Unknown")</f>
        <v>Excellent</v>
      </c>
      <c r="AO376" t="str" cm="1">
        <f t="array" ref="AO376">_xlfn.SWITCH(CleanEmployeeData[[#This Row],[WorkLifeBalance]],1,"Bad",2,"Good",3,"Better",4,"Best","Unknown")</f>
        <v>Better</v>
      </c>
      <c r="AP376">
        <f>IF(CleanEmployeeData[[#This Row],[Attrition]]="Yes",1,IF(CleanEmployeeData[[#This Row],[Attrition]]="No",0,""))</f>
        <v>0</v>
      </c>
      <c r="AQ376" t="str" cm="1">
        <f t="array" ref="AQ376">_xlfn.IFS(CleanEmployeeData[[#This Row],[MonthlyIncome]]&lt;=3000,"0–3,000",CleanEmployeeData[[#This Row],[MonthlyIncome]]&lt;=6000,"3,001–6,000",CleanEmployeeData[[#This Row],[MonthlyIncome]]&lt;=10000,"6,001–10,000",TRUE,"10,001+")</f>
        <v>3,001–6,000</v>
      </c>
      <c r="AR376" t="str" cm="1">
        <f t="array" ref="AR376">_xlfn.IFS(CleanEmployeeData[[#This Row],[DistanceFromHome]]&lt;=5,"0–5 miles",CleanEmployeeData[[#This Row],[DistanceFromHome]]&lt;=10,"6–10 miles",CleanEmployeeData[[#This Row],[DistanceFromHome]]&lt;=15,"11–15 miles",TRUE,"16+ miles")</f>
        <v>6–10 miles</v>
      </c>
      <c r="AS376" t="str" cm="1">
        <f t="array" ref="AS376">_xlfn.IFS(CleanEmployeeData[[#This Row],[YearsAtCompany]]&lt;=1,"0–1 years",CleanEmployeeData[[#This Row],[YearsAtCompany]]&lt;=5,"2–5 years",CleanEmployeeData[[#This Row],[YearsAtCompany]]&lt;=10,"6–10 years",TRUE,"11+ years")</f>
        <v>6–10 years</v>
      </c>
    </row>
    <row r="377" spans="1:4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cm="1">
        <f t="array" ref="AJ377">_xlfn.SWITCH(CleanEmployeeData[[#This Row],[Education]],1,"Below College",2,"College",3,"Bachelor",4,"Master",5,"Doctor","Unknown")</f>
        <v>Bachelor</v>
      </c>
      <c r="AK377" t="str" cm="1">
        <f t="array" ref="AK377">_xlfn.SWITCH(CleanEmployeeData[[#This Row],[EnvironmentSatisfaction]],1,"Low",2,"Medium",3,"High",4,"Very High","Unknown")</f>
        <v>Medium</v>
      </c>
      <c r="AL377" t="str" cm="1">
        <f t="array" ref="AL377">_xlfn.SWITCH(CleanEmployeeData[[#This Row],[JobInvolvement]],1,"Low",2,"Medium",3,"High",4,"Very High","Unknown")</f>
        <v>Medium</v>
      </c>
      <c r="AM377" t="str" cm="1">
        <f t="array" ref="AM377">_xlfn.SWITCH(CleanEmployeeData[[#This Row],[JobSatisfaction]],1,"Low",2,"Medium",3,"High",4,"Very High","Unknown")</f>
        <v>High</v>
      </c>
      <c r="AN377" t="str" cm="1">
        <f t="array" ref="AN377">_xlfn.SWITCH(CleanEmployeeData[[#This Row],[PerformanceRating]],1,"Low",2,"Good",3,"Excellent",4,"Outstanding","Unknown")</f>
        <v>Outstanding</v>
      </c>
      <c r="AO377" t="str" cm="1">
        <f t="array" ref="AO377">_xlfn.SWITCH(CleanEmployeeData[[#This Row],[WorkLifeBalance]],1,"Bad",2,"Good",3,"Better",4,"Best","Unknown")</f>
        <v>Better</v>
      </c>
      <c r="AP377">
        <f>IF(CleanEmployeeData[[#This Row],[Attrition]]="Yes",1,IF(CleanEmployeeData[[#This Row],[Attrition]]="No",0,""))</f>
        <v>0</v>
      </c>
      <c r="AQ377" t="str" cm="1">
        <f t="array" ref="AQ377">_xlfn.IFS(CleanEmployeeData[[#This Row],[MonthlyIncome]]&lt;=3000,"0–3,000",CleanEmployeeData[[#This Row],[MonthlyIncome]]&lt;=6000,"3,001–6,000",CleanEmployeeData[[#This Row],[MonthlyIncome]]&lt;=10000,"6,001–10,000",TRUE,"10,001+")</f>
        <v>10,001+</v>
      </c>
      <c r="AR377" t="str" cm="1">
        <f t="array" ref="AR377">_xlfn.IFS(CleanEmployeeData[[#This Row],[DistanceFromHome]]&lt;=5,"0–5 miles",CleanEmployeeData[[#This Row],[DistanceFromHome]]&lt;=10,"6–10 miles",CleanEmployeeData[[#This Row],[DistanceFromHome]]&lt;=15,"11–15 miles",TRUE,"16+ miles")</f>
        <v>6–10 miles</v>
      </c>
      <c r="AS377" t="str" cm="1">
        <f t="array" ref="AS377">_xlfn.IFS(CleanEmployeeData[[#This Row],[YearsAtCompany]]&lt;=1,"0–1 years",CleanEmployeeData[[#This Row],[YearsAtCompany]]&lt;=5,"2–5 years",CleanEmployeeData[[#This Row],[YearsAtCompany]]&lt;=10,"6–10 years",TRUE,"11+ years")</f>
        <v>2–5 years</v>
      </c>
    </row>
    <row r="378" spans="1:4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cm="1">
        <f t="array" ref="AJ378">_xlfn.SWITCH(CleanEmployeeData[[#This Row],[Education]],1,"Below College",2,"College",3,"Bachelor",4,"Master",5,"Doctor","Unknown")</f>
        <v>College</v>
      </c>
      <c r="AK378" t="str" cm="1">
        <f t="array" ref="AK378">_xlfn.SWITCH(CleanEmployeeData[[#This Row],[EnvironmentSatisfaction]],1,"Low",2,"Medium",3,"High",4,"Very High","Unknown")</f>
        <v>High</v>
      </c>
      <c r="AL378" t="str" cm="1">
        <f t="array" ref="AL378">_xlfn.SWITCH(CleanEmployeeData[[#This Row],[JobInvolvement]],1,"Low",2,"Medium",3,"High",4,"Very High","Unknown")</f>
        <v>High</v>
      </c>
      <c r="AM378" t="str" cm="1">
        <f t="array" ref="AM378">_xlfn.SWITCH(CleanEmployeeData[[#This Row],[JobSatisfaction]],1,"Low",2,"Medium",3,"High",4,"Very High","Unknown")</f>
        <v>Very High</v>
      </c>
      <c r="AN378" t="str" cm="1">
        <f t="array" ref="AN378">_xlfn.SWITCH(CleanEmployeeData[[#This Row],[PerformanceRating]],1,"Low",2,"Good",3,"Excellent",4,"Outstanding","Unknown")</f>
        <v>Excellent</v>
      </c>
      <c r="AO378" t="str" cm="1">
        <f t="array" ref="AO378">_xlfn.SWITCH(CleanEmployeeData[[#This Row],[WorkLifeBalance]],1,"Bad",2,"Good",3,"Better",4,"Best","Unknown")</f>
        <v>Good</v>
      </c>
      <c r="AP378">
        <f>IF(CleanEmployeeData[[#This Row],[Attrition]]="Yes",1,IF(CleanEmployeeData[[#This Row],[Attrition]]="No",0,""))</f>
        <v>0</v>
      </c>
      <c r="AQ378" t="str" cm="1">
        <f t="array" ref="AQ378">_xlfn.IFS(CleanEmployeeData[[#This Row],[MonthlyIncome]]&lt;=3000,"0–3,000",CleanEmployeeData[[#This Row],[MonthlyIncome]]&lt;=6000,"3,001–6,000",CleanEmployeeData[[#This Row],[MonthlyIncome]]&lt;=10000,"6,001–10,000",TRUE,"10,001+")</f>
        <v>3,001–6,000</v>
      </c>
      <c r="AR378" t="str" cm="1">
        <f t="array" ref="AR378">_xlfn.IFS(CleanEmployeeData[[#This Row],[DistanceFromHome]]&lt;=5,"0–5 miles",CleanEmployeeData[[#This Row],[DistanceFromHome]]&lt;=10,"6–10 miles",CleanEmployeeData[[#This Row],[DistanceFromHome]]&lt;=15,"11–15 miles",TRUE,"16+ miles")</f>
        <v>11–15 miles</v>
      </c>
      <c r="AS378" t="str" cm="1">
        <f t="array" ref="AS378">_xlfn.IFS(CleanEmployeeData[[#This Row],[YearsAtCompany]]&lt;=1,"0–1 years",CleanEmployeeData[[#This Row],[YearsAtCompany]]&lt;=5,"2–5 years",CleanEmployeeData[[#This Row],[YearsAtCompany]]&lt;=10,"6–10 years",TRUE,"11+ years")</f>
        <v>6–10 years</v>
      </c>
    </row>
    <row r="379" spans="1:4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cm="1">
        <f t="array" ref="AJ379">_xlfn.SWITCH(CleanEmployeeData[[#This Row],[Education]],1,"Below College",2,"College",3,"Bachelor",4,"Master",5,"Doctor","Unknown")</f>
        <v>Bachelor</v>
      </c>
      <c r="AK379" t="str" cm="1">
        <f t="array" ref="AK379">_xlfn.SWITCH(CleanEmployeeData[[#This Row],[EnvironmentSatisfaction]],1,"Low",2,"Medium",3,"High",4,"Very High","Unknown")</f>
        <v>Very High</v>
      </c>
      <c r="AL379" t="str" cm="1">
        <f t="array" ref="AL379">_xlfn.SWITCH(CleanEmployeeData[[#This Row],[JobInvolvement]],1,"Low",2,"Medium",3,"High",4,"Very High","Unknown")</f>
        <v>High</v>
      </c>
      <c r="AM379" t="str" cm="1">
        <f t="array" ref="AM379">_xlfn.SWITCH(CleanEmployeeData[[#This Row],[JobSatisfaction]],1,"Low",2,"Medium",3,"High",4,"Very High","Unknown")</f>
        <v>High</v>
      </c>
      <c r="AN379" t="str" cm="1">
        <f t="array" ref="AN379">_xlfn.SWITCH(CleanEmployeeData[[#This Row],[PerformanceRating]],1,"Low",2,"Good",3,"Excellent",4,"Outstanding","Unknown")</f>
        <v>Excellent</v>
      </c>
      <c r="AO379" t="str" cm="1">
        <f t="array" ref="AO379">_xlfn.SWITCH(CleanEmployeeData[[#This Row],[WorkLifeBalance]],1,"Bad",2,"Good",3,"Better",4,"Best","Unknown")</f>
        <v>Better</v>
      </c>
      <c r="AP379">
        <f>IF(CleanEmployeeData[[#This Row],[Attrition]]="Yes",1,IF(CleanEmployeeData[[#This Row],[Attrition]]="No",0,""))</f>
        <v>0</v>
      </c>
      <c r="AQ379" t="str" cm="1">
        <f t="array" ref="AQ379">_xlfn.IFS(CleanEmployeeData[[#This Row],[MonthlyIncome]]&lt;=3000,"0–3,000",CleanEmployeeData[[#This Row],[MonthlyIncome]]&lt;=6000,"3,001–6,000",CleanEmployeeData[[#This Row],[MonthlyIncome]]&lt;=10000,"6,001–10,000",TRUE,"10,001+")</f>
        <v>0–3,000</v>
      </c>
      <c r="AR379" t="str" cm="1">
        <f t="array" ref="AR379">_xlfn.IFS(CleanEmployeeData[[#This Row],[DistanceFromHome]]&lt;=5,"0–5 miles",CleanEmployeeData[[#This Row],[DistanceFromHome]]&lt;=10,"6–10 miles",CleanEmployeeData[[#This Row],[DistanceFromHome]]&lt;=15,"11–15 miles",TRUE,"16+ miles")</f>
        <v>0–5 miles</v>
      </c>
      <c r="AS379" t="str" cm="1">
        <f t="array" ref="AS379">_xlfn.IFS(CleanEmployeeData[[#This Row],[YearsAtCompany]]&lt;=1,"0–1 years",CleanEmployeeData[[#This Row],[YearsAtCompany]]&lt;=5,"2–5 years",CleanEmployeeData[[#This Row],[YearsAtCompany]]&lt;=10,"6–10 years",TRUE,"11+ years")</f>
        <v>2–5 years</v>
      </c>
    </row>
    <row r="380" spans="1:4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cm="1">
        <f t="array" ref="AJ380">_xlfn.SWITCH(CleanEmployeeData[[#This Row],[Education]],1,"Below College",2,"College",3,"Bachelor",4,"Master",5,"Doctor","Unknown")</f>
        <v>Bachelor</v>
      </c>
      <c r="AK380" t="str" cm="1">
        <f t="array" ref="AK380">_xlfn.SWITCH(CleanEmployeeData[[#This Row],[EnvironmentSatisfaction]],1,"Low",2,"Medium",3,"High",4,"Very High","Unknown")</f>
        <v>Low</v>
      </c>
      <c r="AL380" t="str" cm="1">
        <f t="array" ref="AL380">_xlfn.SWITCH(CleanEmployeeData[[#This Row],[JobInvolvement]],1,"Low",2,"Medium",3,"High",4,"Very High","Unknown")</f>
        <v>Very High</v>
      </c>
      <c r="AM380" t="str" cm="1">
        <f t="array" ref="AM380">_xlfn.SWITCH(CleanEmployeeData[[#This Row],[JobSatisfaction]],1,"Low",2,"Medium",3,"High",4,"Very High","Unknown")</f>
        <v>Very High</v>
      </c>
      <c r="AN380" t="str" cm="1">
        <f t="array" ref="AN380">_xlfn.SWITCH(CleanEmployeeData[[#This Row],[PerformanceRating]],1,"Low",2,"Good",3,"Excellent",4,"Outstanding","Unknown")</f>
        <v>Excellent</v>
      </c>
      <c r="AO380" t="str" cm="1">
        <f t="array" ref="AO380">_xlfn.SWITCH(CleanEmployeeData[[#This Row],[WorkLifeBalance]],1,"Bad",2,"Good",3,"Better",4,"Best","Unknown")</f>
        <v>Good</v>
      </c>
      <c r="AP380">
        <f>IF(CleanEmployeeData[[#This Row],[Attrition]]="Yes",1,IF(CleanEmployeeData[[#This Row],[Attrition]]="No",0,""))</f>
        <v>1</v>
      </c>
      <c r="AQ380" t="str" cm="1">
        <f t="array" ref="AQ380">_xlfn.IFS(CleanEmployeeData[[#This Row],[MonthlyIncome]]&lt;=3000,"0–3,000",CleanEmployeeData[[#This Row],[MonthlyIncome]]&lt;=6000,"3,001–6,000",CleanEmployeeData[[#This Row],[MonthlyIncome]]&lt;=10000,"6,001–10,000",TRUE,"10,001+")</f>
        <v>3,001–6,000</v>
      </c>
      <c r="AR380" t="str" cm="1">
        <f t="array" ref="AR380">_xlfn.IFS(CleanEmployeeData[[#This Row],[DistanceFromHome]]&lt;=5,"0–5 miles",CleanEmployeeData[[#This Row],[DistanceFromHome]]&lt;=10,"6–10 miles",CleanEmployeeData[[#This Row],[DistanceFromHome]]&lt;=15,"11–15 miles",TRUE,"16+ miles")</f>
        <v>16+ miles</v>
      </c>
      <c r="AS380" t="str" cm="1">
        <f t="array" ref="AS380">_xlfn.IFS(CleanEmployeeData[[#This Row],[YearsAtCompany]]&lt;=1,"0–1 years",CleanEmployeeData[[#This Row],[YearsAtCompany]]&lt;=5,"2–5 years",CleanEmployeeData[[#This Row],[YearsAtCompany]]&lt;=10,"6–10 years",TRUE,"11+ years")</f>
        <v>2–5 years</v>
      </c>
    </row>
    <row r="381" spans="1:4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cm="1">
        <f t="array" ref="AJ381">_xlfn.SWITCH(CleanEmployeeData[[#This Row],[Education]],1,"Below College",2,"College",3,"Bachelor",4,"Master",5,"Doctor","Unknown")</f>
        <v>Bachelor</v>
      </c>
      <c r="AK381" t="str" cm="1">
        <f t="array" ref="AK381">_xlfn.SWITCH(CleanEmployeeData[[#This Row],[EnvironmentSatisfaction]],1,"Low",2,"Medium",3,"High",4,"Very High","Unknown")</f>
        <v>High</v>
      </c>
      <c r="AL381" t="str" cm="1">
        <f t="array" ref="AL381">_xlfn.SWITCH(CleanEmployeeData[[#This Row],[JobInvolvement]],1,"Low",2,"Medium",3,"High",4,"Very High","Unknown")</f>
        <v>High</v>
      </c>
      <c r="AM381" t="str" cm="1">
        <f t="array" ref="AM381">_xlfn.SWITCH(CleanEmployeeData[[#This Row],[JobSatisfaction]],1,"Low",2,"Medium",3,"High",4,"Very High","Unknown")</f>
        <v>Very High</v>
      </c>
      <c r="AN381" t="str" cm="1">
        <f t="array" ref="AN381">_xlfn.SWITCH(CleanEmployeeData[[#This Row],[PerformanceRating]],1,"Low",2,"Good",3,"Excellent",4,"Outstanding","Unknown")</f>
        <v>Excellent</v>
      </c>
      <c r="AO381" t="str" cm="1">
        <f t="array" ref="AO381">_xlfn.SWITCH(CleanEmployeeData[[#This Row],[WorkLifeBalance]],1,"Bad",2,"Good",3,"Better",4,"Best","Unknown")</f>
        <v>Better</v>
      </c>
      <c r="AP381">
        <f>IF(CleanEmployeeData[[#This Row],[Attrition]]="Yes",1,IF(CleanEmployeeData[[#This Row],[Attrition]]="No",0,""))</f>
        <v>0</v>
      </c>
      <c r="AQ381" t="str" cm="1">
        <f t="array" ref="AQ381">_xlfn.IFS(CleanEmployeeData[[#This Row],[MonthlyIncome]]&lt;=3000,"0–3,000",CleanEmployeeData[[#This Row],[MonthlyIncome]]&lt;=6000,"3,001–6,000",CleanEmployeeData[[#This Row],[MonthlyIncome]]&lt;=10000,"6,001–10,000",TRUE,"10,001+")</f>
        <v>10,001+</v>
      </c>
      <c r="AR381" t="str" cm="1">
        <f t="array" ref="AR381">_xlfn.IFS(CleanEmployeeData[[#This Row],[DistanceFromHome]]&lt;=5,"0–5 miles",CleanEmployeeData[[#This Row],[DistanceFromHome]]&lt;=10,"6–10 miles",CleanEmployeeData[[#This Row],[DistanceFromHome]]&lt;=15,"11–15 miles",TRUE,"16+ miles")</f>
        <v>0–5 miles</v>
      </c>
      <c r="AS381" t="str" cm="1">
        <f t="array" ref="AS381">_xlfn.IFS(CleanEmployeeData[[#This Row],[YearsAtCompany]]&lt;=1,"0–1 years",CleanEmployeeData[[#This Row],[YearsAtCompany]]&lt;=5,"2–5 years",CleanEmployeeData[[#This Row],[YearsAtCompany]]&lt;=10,"6–10 years",TRUE,"11+ years")</f>
        <v>2–5 years</v>
      </c>
    </row>
    <row r="382" spans="1:4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cm="1">
        <f t="array" ref="AJ382">_xlfn.SWITCH(CleanEmployeeData[[#This Row],[Education]],1,"Below College",2,"College",3,"Bachelor",4,"Master",5,"Doctor","Unknown")</f>
        <v>Master</v>
      </c>
      <c r="AK382" t="str" cm="1">
        <f t="array" ref="AK382">_xlfn.SWITCH(CleanEmployeeData[[#This Row],[EnvironmentSatisfaction]],1,"Low",2,"Medium",3,"High",4,"Very High","Unknown")</f>
        <v>Very High</v>
      </c>
      <c r="AL382" t="str" cm="1">
        <f t="array" ref="AL382">_xlfn.SWITCH(CleanEmployeeData[[#This Row],[JobInvolvement]],1,"Low",2,"Medium",3,"High",4,"Very High","Unknown")</f>
        <v>High</v>
      </c>
      <c r="AM382" t="str" cm="1">
        <f t="array" ref="AM382">_xlfn.SWITCH(CleanEmployeeData[[#This Row],[JobSatisfaction]],1,"Low",2,"Medium",3,"High",4,"Very High","Unknown")</f>
        <v>High</v>
      </c>
      <c r="AN382" t="str" cm="1">
        <f t="array" ref="AN382">_xlfn.SWITCH(CleanEmployeeData[[#This Row],[PerformanceRating]],1,"Low",2,"Good",3,"Excellent",4,"Outstanding","Unknown")</f>
        <v>Excellent</v>
      </c>
      <c r="AO382" t="str" cm="1">
        <f t="array" ref="AO382">_xlfn.SWITCH(CleanEmployeeData[[#This Row],[WorkLifeBalance]],1,"Bad",2,"Good",3,"Better",4,"Best","Unknown")</f>
        <v>Best</v>
      </c>
      <c r="AP382">
        <f>IF(CleanEmployeeData[[#This Row],[Attrition]]="Yes",1,IF(CleanEmployeeData[[#This Row],[Attrition]]="No",0,""))</f>
        <v>0</v>
      </c>
      <c r="AQ382" t="str" cm="1">
        <f t="array" ref="AQ382">_xlfn.IFS(CleanEmployeeData[[#This Row],[MonthlyIncome]]&lt;=3000,"0–3,000",CleanEmployeeData[[#This Row],[MonthlyIncome]]&lt;=6000,"3,001–6,000",CleanEmployeeData[[#This Row],[MonthlyIncome]]&lt;=10000,"6,001–10,000",TRUE,"10,001+")</f>
        <v>3,001–6,000</v>
      </c>
      <c r="AR382" t="str" cm="1">
        <f t="array" ref="AR382">_xlfn.IFS(CleanEmployeeData[[#This Row],[DistanceFromHome]]&lt;=5,"0–5 miles",CleanEmployeeData[[#This Row],[DistanceFromHome]]&lt;=10,"6–10 miles",CleanEmployeeData[[#This Row],[DistanceFromHome]]&lt;=15,"11–15 miles",TRUE,"16+ miles")</f>
        <v>6–10 miles</v>
      </c>
      <c r="AS382" t="str" cm="1">
        <f t="array" ref="AS382">_xlfn.IFS(CleanEmployeeData[[#This Row],[YearsAtCompany]]&lt;=1,"0–1 years",CleanEmployeeData[[#This Row],[YearsAtCompany]]&lt;=5,"2–5 years",CleanEmployeeData[[#This Row],[YearsAtCompany]]&lt;=10,"6–10 years",TRUE,"11+ years")</f>
        <v>2–5 years</v>
      </c>
    </row>
    <row r="383" spans="1:4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cm="1">
        <f t="array" ref="AJ383">_xlfn.SWITCH(CleanEmployeeData[[#This Row],[Education]],1,"Below College",2,"College",3,"Bachelor",4,"Master",5,"Doctor","Unknown")</f>
        <v>Below College</v>
      </c>
      <c r="AK383" t="str" cm="1">
        <f t="array" ref="AK383">_xlfn.SWITCH(CleanEmployeeData[[#This Row],[EnvironmentSatisfaction]],1,"Low",2,"Medium",3,"High",4,"Very High","Unknown")</f>
        <v>High</v>
      </c>
      <c r="AL383" t="str" cm="1">
        <f t="array" ref="AL383">_xlfn.SWITCH(CleanEmployeeData[[#This Row],[JobInvolvement]],1,"Low",2,"Medium",3,"High",4,"Very High","Unknown")</f>
        <v>High</v>
      </c>
      <c r="AM383" t="str" cm="1">
        <f t="array" ref="AM383">_xlfn.SWITCH(CleanEmployeeData[[#This Row],[JobSatisfaction]],1,"Low",2,"Medium",3,"High",4,"Very High","Unknown")</f>
        <v>Medium</v>
      </c>
      <c r="AN383" t="str" cm="1">
        <f t="array" ref="AN383">_xlfn.SWITCH(CleanEmployeeData[[#This Row],[PerformanceRating]],1,"Low",2,"Good",3,"Excellent",4,"Outstanding","Unknown")</f>
        <v>Excellent</v>
      </c>
      <c r="AO383" t="str" cm="1">
        <f t="array" ref="AO383">_xlfn.SWITCH(CleanEmployeeData[[#This Row],[WorkLifeBalance]],1,"Bad",2,"Good",3,"Better",4,"Best","Unknown")</f>
        <v>Better</v>
      </c>
      <c r="AP383">
        <f>IF(CleanEmployeeData[[#This Row],[Attrition]]="Yes",1,IF(CleanEmployeeData[[#This Row],[Attrition]]="No",0,""))</f>
        <v>0</v>
      </c>
      <c r="AQ383" t="str" cm="1">
        <f t="array" ref="AQ383">_xlfn.IFS(CleanEmployeeData[[#This Row],[MonthlyIncome]]&lt;=3000,"0–3,000",CleanEmployeeData[[#This Row],[MonthlyIncome]]&lt;=6000,"3,001–6,000",CleanEmployeeData[[#This Row],[MonthlyIncome]]&lt;=10000,"6,001–10,000",TRUE,"10,001+")</f>
        <v>0–3,000</v>
      </c>
      <c r="AR383" t="str" cm="1">
        <f t="array" ref="AR383">_xlfn.IFS(CleanEmployeeData[[#This Row],[DistanceFromHome]]&lt;=5,"0–5 miles",CleanEmployeeData[[#This Row],[DistanceFromHome]]&lt;=10,"6–10 miles",CleanEmployeeData[[#This Row],[DistanceFromHome]]&lt;=15,"11–15 miles",TRUE,"16+ miles")</f>
        <v>0–5 miles</v>
      </c>
      <c r="AS383" t="str" cm="1">
        <f t="array" ref="AS383">_xlfn.IFS(CleanEmployeeData[[#This Row],[YearsAtCompany]]&lt;=1,"0–1 years",CleanEmployeeData[[#This Row],[YearsAtCompany]]&lt;=5,"2–5 years",CleanEmployeeData[[#This Row],[YearsAtCompany]]&lt;=10,"6–10 years",TRUE,"11+ years")</f>
        <v>0–1 years</v>
      </c>
    </row>
    <row r="384" spans="1:4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cm="1">
        <f t="array" ref="AJ384">_xlfn.SWITCH(CleanEmployeeData[[#This Row],[Education]],1,"Below College",2,"College",3,"Bachelor",4,"Master",5,"Doctor","Unknown")</f>
        <v>Below College</v>
      </c>
      <c r="AK384" t="str" cm="1">
        <f t="array" ref="AK384">_xlfn.SWITCH(CleanEmployeeData[[#This Row],[EnvironmentSatisfaction]],1,"Low",2,"Medium",3,"High",4,"Very High","Unknown")</f>
        <v>High</v>
      </c>
      <c r="AL384" t="str" cm="1">
        <f t="array" ref="AL384">_xlfn.SWITCH(CleanEmployeeData[[#This Row],[JobInvolvement]],1,"Low",2,"Medium",3,"High",4,"Very High","Unknown")</f>
        <v>High</v>
      </c>
      <c r="AM384" t="str" cm="1">
        <f t="array" ref="AM384">_xlfn.SWITCH(CleanEmployeeData[[#This Row],[JobSatisfaction]],1,"Low",2,"Medium",3,"High",4,"Very High","Unknown")</f>
        <v>Low</v>
      </c>
      <c r="AN384" t="str" cm="1">
        <f t="array" ref="AN384">_xlfn.SWITCH(CleanEmployeeData[[#This Row],[PerformanceRating]],1,"Low",2,"Good",3,"Excellent",4,"Outstanding","Unknown")</f>
        <v>Outstanding</v>
      </c>
      <c r="AO384" t="str" cm="1">
        <f t="array" ref="AO384">_xlfn.SWITCH(CleanEmployeeData[[#This Row],[WorkLifeBalance]],1,"Bad",2,"Good",3,"Better",4,"Best","Unknown")</f>
        <v>Better</v>
      </c>
      <c r="AP384">
        <f>IF(CleanEmployeeData[[#This Row],[Attrition]]="Yes",1,IF(CleanEmployeeData[[#This Row],[Attrition]]="No",0,""))</f>
        <v>1</v>
      </c>
      <c r="AQ384" t="str" cm="1">
        <f t="array" ref="AQ384">_xlfn.IFS(CleanEmployeeData[[#This Row],[MonthlyIncome]]&lt;=3000,"0–3,000",CleanEmployeeData[[#This Row],[MonthlyIncome]]&lt;=6000,"3,001–6,000",CleanEmployeeData[[#This Row],[MonthlyIncome]]&lt;=10000,"6,001–10,000",TRUE,"10,001+")</f>
        <v>3,001–6,000</v>
      </c>
      <c r="AR384" t="str" cm="1">
        <f t="array" ref="AR384">_xlfn.IFS(CleanEmployeeData[[#This Row],[DistanceFromHome]]&lt;=5,"0–5 miles",CleanEmployeeData[[#This Row],[DistanceFromHome]]&lt;=10,"6–10 miles",CleanEmployeeData[[#This Row],[DistanceFromHome]]&lt;=15,"11–15 miles",TRUE,"16+ miles")</f>
        <v>0–5 miles</v>
      </c>
      <c r="AS384" t="str" cm="1">
        <f t="array" ref="AS384">_xlfn.IFS(CleanEmployeeData[[#This Row],[YearsAtCompany]]&lt;=1,"0–1 years",CleanEmployeeData[[#This Row],[YearsAtCompany]]&lt;=5,"2–5 years",CleanEmployeeData[[#This Row],[YearsAtCompany]]&lt;=10,"6–10 years",TRUE,"11+ years")</f>
        <v>6–10 years</v>
      </c>
    </row>
    <row r="385" spans="1:4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cm="1">
        <f t="array" ref="AJ385">_xlfn.SWITCH(CleanEmployeeData[[#This Row],[Education]],1,"Below College",2,"College",3,"Bachelor",4,"Master",5,"Doctor","Unknown")</f>
        <v>Bachelor</v>
      </c>
      <c r="AK385" t="str" cm="1">
        <f t="array" ref="AK385">_xlfn.SWITCH(CleanEmployeeData[[#This Row],[EnvironmentSatisfaction]],1,"Low",2,"Medium",3,"High",4,"Very High","Unknown")</f>
        <v>Low</v>
      </c>
      <c r="AL385" t="str" cm="1">
        <f t="array" ref="AL385">_xlfn.SWITCH(CleanEmployeeData[[#This Row],[JobInvolvement]],1,"Low",2,"Medium",3,"High",4,"Very High","Unknown")</f>
        <v>High</v>
      </c>
      <c r="AM385" t="str" cm="1">
        <f t="array" ref="AM385">_xlfn.SWITCH(CleanEmployeeData[[#This Row],[JobSatisfaction]],1,"Low",2,"Medium",3,"High",4,"Very High","Unknown")</f>
        <v>Medium</v>
      </c>
      <c r="AN385" t="str" cm="1">
        <f t="array" ref="AN385">_xlfn.SWITCH(CleanEmployeeData[[#This Row],[PerformanceRating]],1,"Low",2,"Good",3,"Excellent",4,"Outstanding","Unknown")</f>
        <v>Excellent</v>
      </c>
      <c r="AO385" t="str" cm="1">
        <f t="array" ref="AO385">_xlfn.SWITCH(CleanEmployeeData[[#This Row],[WorkLifeBalance]],1,"Bad",2,"Good",3,"Better",4,"Best","Unknown")</f>
        <v>Better</v>
      </c>
      <c r="AP385">
        <f>IF(CleanEmployeeData[[#This Row],[Attrition]]="Yes",1,IF(CleanEmployeeData[[#This Row],[Attrition]]="No",0,""))</f>
        <v>0</v>
      </c>
      <c r="AQ385" t="str" cm="1">
        <f t="array" ref="AQ385">_xlfn.IFS(CleanEmployeeData[[#This Row],[MonthlyIncome]]&lt;=3000,"0–3,000",CleanEmployeeData[[#This Row],[MonthlyIncome]]&lt;=6000,"3,001–6,000",CleanEmployeeData[[#This Row],[MonthlyIncome]]&lt;=10000,"6,001–10,000",TRUE,"10,001+")</f>
        <v>0–3,000</v>
      </c>
      <c r="AR385" t="str" cm="1">
        <f t="array" ref="AR385">_xlfn.IFS(CleanEmployeeData[[#This Row],[DistanceFromHome]]&lt;=5,"0–5 miles",CleanEmployeeData[[#This Row],[DistanceFromHome]]&lt;=10,"6–10 miles",CleanEmployeeData[[#This Row],[DistanceFromHome]]&lt;=15,"11–15 miles",TRUE,"16+ miles")</f>
        <v>11–15 miles</v>
      </c>
      <c r="AS385" t="str" cm="1">
        <f t="array" ref="AS385">_xlfn.IFS(CleanEmployeeData[[#This Row],[YearsAtCompany]]&lt;=1,"0–1 years",CleanEmployeeData[[#This Row],[YearsAtCompany]]&lt;=5,"2–5 years",CleanEmployeeData[[#This Row],[YearsAtCompany]]&lt;=10,"6–10 years",TRUE,"11+ years")</f>
        <v>2–5 years</v>
      </c>
    </row>
    <row r="386" spans="1:4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cm="1">
        <f t="array" ref="AJ386">_xlfn.SWITCH(CleanEmployeeData[[#This Row],[Education]],1,"Below College",2,"College",3,"Bachelor",4,"Master",5,"Doctor","Unknown")</f>
        <v>College</v>
      </c>
      <c r="AK386" t="str" cm="1">
        <f t="array" ref="AK386">_xlfn.SWITCH(CleanEmployeeData[[#This Row],[EnvironmentSatisfaction]],1,"Low",2,"Medium",3,"High",4,"Very High","Unknown")</f>
        <v>Medium</v>
      </c>
      <c r="AL386" t="str" cm="1">
        <f t="array" ref="AL386">_xlfn.SWITCH(CleanEmployeeData[[#This Row],[JobInvolvement]],1,"Low",2,"Medium",3,"High",4,"Very High","Unknown")</f>
        <v>Medium</v>
      </c>
      <c r="AM386" t="str" cm="1">
        <f t="array" ref="AM386">_xlfn.SWITCH(CleanEmployeeData[[#This Row],[JobSatisfaction]],1,"Low",2,"Medium",3,"High",4,"Very High","Unknown")</f>
        <v>High</v>
      </c>
      <c r="AN386" t="str" cm="1">
        <f t="array" ref="AN386">_xlfn.SWITCH(CleanEmployeeData[[#This Row],[PerformanceRating]],1,"Low",2,"Good",3,"Excellent",4,"Outstanding","Unknown")</f>
        <v>Excellent</v>
      </c>
      <c r="AO386" t="str" cm="1">
        <f t="array" ref="AO386">_xlfn.SWITCH(CleanEmployeeData[[#This Row],[WorkLifeBalance]],1,"Bad",2,"Good",3,"Better",4,"Best","Unknown")</f>
        <v>Better</v>
      </c>
      <c r="AP386">
        <f>IF(CleanEmployeeData[[#This Row],[Attrition]]="Yes",1,IF(CleanEmployeeData[[#This Row],[Attrition]]="No",0,""))</f>
        <v>0</v>
      </c>
      <c r="AQ386" t="str" cm="1">
        <f t="array" ref="AQ386">_xlfn.IFS(CleanEmployeeData[[#This Row],[MonthlyIncome]]&lt;=3000,"0–3,000",CleanEmployeeData[[#This Row],[MonthlyIncome]]&lt;=6000,"3,001–6,000",CleanEmployeeData[[#This Row],[MonthlyIncome]]&lt;=10000,"6,001–10,000",TRUE,"10,001+")</f>
        <v>6,001–10,000</v>
      </c>
      <c r="AR386" t="str" cm="1">
        <f t="array" ref="AR386">_xlfn.IFS(CleanEmployeeData[[#This Row],[DistanceFromHome]]&lt;=5,"0–5 miles",CleanEmployeeData[[#This Row],[DistanceFromHome]]&lt;=10,"6–10 miles",CleanEmployeeData[[#This Row],[DistanceFromHome]]&lt;=15,"11–15 miles",TRUE,"16+ miles")</f>
        <v>0–5 miles</v>
      </c>
      <c r="AS386" t="str" cm="1">
        <f t="array" ref="AS386">_xlfn.IFS(CleanEmployeeData[[#This Row],[YearsAtCompany]]&lt;=1,"0–1 years",CleanEmployeeData[[#This Row],[YearsAtCompany]]&lt;=5,"2–5 years",CleanEmployeeData[[#This Row],[YearsAtCompany]]&lt;=10,"6–10 years",TRUE,"11+ years")</f>
        <v>6–10 years</v>
      </c>
    </row>
    <row r="387" spans="1:4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cm="1">
        <f t="array" ref="AJ387">_xlfn.SWITCH(CleanEmployeeData[[#This Row],[Education]],1,"Below College",2,"College",3,"Bachelor",4,"Master",5,"Doctor","Unknown")</f>
        <v>Bachelor</v>
      </c>
      <c r="AK387" t="str" cm="1">
        <f t="array" ref="AK387">_xlfn.SWITCH(CleanEmployeeData[[#This Row],[EnvironmentSatisfaction]],1,"Low",2,"Medium",3,"High",4,"Very High","Unknown")</f>
        <v>High</v>
      </c>
      <c r="AL387" t="str" cm="1">
        <f t="array" ref="AL387">_xlfn.SWITCH(CleanEmployeeData[[#This Row],[JobInvolvement]],1,"Low",2,"Medium",3,"High",4,"Very High","Unknown")</f>
        <v>High</v>
      </c>
      <c r="AM387" t="str" cm="1">
        <f t="array" ref="AM387">_xlfn.SWITCH(CleanEmployeeData[[#This Row],[JobSatisfaction]],1,"Low",2,"Medium",3,"High",4,"Very High","Unknown")</f>
        <v>Very High</v>
      </c>
      <c r="AN387" t="str" cm="1">
        <f t="array" ref="AN387">_xlfn.SWITCH(CleanEmployeeData[[#This Row],[PerformanceRating]],1,"Low",2,"Good",3,"Excellent",4,"Outstanding","Unknown")</f>
        <v>Outstanding</v>
      </c>
      <c r="AO387" t="str" cm="1">
        <f t="array" ref="AO387">_xlfn.SWITCH(CleanEmployeeData[[#This Row],[WorkLifeBalance]],1,"Bad",2,"Good",3,"Better",4,"Best","Unknown")</f>
        <v>Better</v>
      </c>
      <c r="AP387">
        <f>IF(CleanEmployeeData[[#This Row],[Attrition]]="Yes",1,IF(CleanEmployeeData[[#This Row],[Attrition]]="No",0,""))</f>
        <v>1</v>
      </c>
      <c r="AQ387" t="str" cm="1">
        <f t="array" ref="AQ387">_xlfn.IFS(CleanEmployeeData[[#This Row],[MonthlyIncome]]&lt;=3000,"0–3,000",CleanEmployeeData[[#This Row],[MonthlyIncome]]&lt;=6000,"3,001–6,000",CleanEmployeeData[[#This Row],[MonthlyIncome]]&lt;=10000,"6,001–10,000",TRUE,"10,001+")</f>
        <v>0–3,000</v>
      </c>
      <c r="AR387" t="str" cm="1">
        <f t="array" ref="AR387">_xlfn.IFS(CleanEmployeeData[[#This Row],[DistanceFromHome]]&lt;=5,"0–5 miles",CleanEmployeeData[[#This Row],[DistanceFromHome]]&lt;=10,"6–10 miles",CleanEmployeeData[[#This Row],[DistanceFromHome]]&lt;=15,"11–15 miles",TRUE,"16+ miles")</f>
        <v>0–5 miles</v>
      </c>
      <c r="AS387" t="str" cm="1">
        <f t="array" ref="AS387">_xlfn.IFS(CleanEmployeeData[[#This Row],[YearsAtCompany]]&lt;=1,"0–1 years",CleanEmployeeData[[#This Row],[YearsAtCompany]]&lt;=5,"2–5 years",CleanEmployeeData[[#This Row],[YearsAtCompany]]&lt;=10,"6–10 years",TRUE,"11+ years")</f>
        <v>0–1 years</v>
      </c>
    </row>
    <row r="388" spans="1:4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cm="1">
        <f t="array" ref="AJ388">_xlfn.SWITCH(CleanEmployeeData[[#This Row],[Education]],1,"Below College",2,"College",3,"Bachelor",4,"Master",5,"Doctor","Unknown")</f>
        <v>Bachelor</v>
      </c>
      <c r="AK388" t="str" cm="1">
        <f t="array" ref="AK388">_xlfn.SWITCH(CleanEmployeeData[[#This Row],[EnvironmentSatisfaction]],1,"Low",2,"Medium",3,"High",4,"Very High","Unknown")</f>
        <v>Very High</v>
      </c>
      <c r="AL388" t="str" cm="1">
        <f t="array" ref="AL388">_xlfn.SWITCH(CleanEmployeeData[[#This Row],[JobInvolvement]],1,"Low",2,"Medium",3,"High",4,"Very High","Unknown")</f>
        <v>High</v>
      </c>
      <c r="AM388" t="str" cm="1">
        <f t="array" ref="AM388">_xlfn.SWITCH(CleanEmployeeData[[#This Row],[JobSatisfaction]],1,"Low",2,"Medium",3,"High",4,"Very High","Unknown")</f>
        <v>Low</v>
      </c>
      <c r="AN388" t="str" cm="1">
        <f t="array" ref="AN388">_xlfn.SWITCH(CleanEmployeeData[[#This Row],[PerformanceRating]],1,"Low",2,"Good",3,"Excellent",4,"Outstanding","Unknown")</f>
        <v>Excellent</v>
      </c>
      <c r="AO388" t="str" cm="1">
        <f t="array" ref="AO388">_xlfn.SWITCH(CleanEmployeeData[[#This Row],[WorkLifeBalance]],1,"Bad",2,"Good",3,"Better",4,"Best","Unknown")</f>
        <v>Good</v>
      </c>
      <c r="AP388">
        <f>IF(CleanEmployeeData[[#This Row],[Attrition]]="Yes",1,IF(CleanEmployeeData[[#This Row],[Attrition]]="No",0,""))</f>
        <v>0</v>
      </c>
      <c r="AQ388" t="str" cm="1">
        <f t="array" ref="AQ388">_xlfn.IFS(CleanEmployeeData[[#This Row],[MonthlyIncome]]&lt;=3000,"0–3,000",CleanEmployeeData[[#This Row],[MonthlyIncome]]&lt;=6000,"3,001–6,000",CleanEmployeeData[[#This Row],[MonthlyIncome]]&lt;=10000,"6,001–10,000",TRUE,"10,001+")</f>
        <v>3,001–6,000</v>
      </c>
      <c r="AR388" t="str" cm="1">
        <f t="array" ref="AR388">_xlfn.IFS(CleanEmployeeData[[#This Row],[DistanceFromHome]]&lt;=5,"0–5 miles",CleanEmployeeData[[#This Row],[DistanceFromHome]]&lt;=10,"6–10 miles",CleanEmployeeData[[#This Row],[DistanceFromHome]]&lt;=15,"11–15 miles",TRUE,"16+ miles")</f>
        <v>11–15 miles</v>
      </c>
      <c r="AS388" t="str" cm="1">
        <f t="array" ref="AS388">_xlfn.IFS(CleanEmployeeData[[#This Row],[YearsAtCompany]]&lt;=1,"0–1 years",CleanEmployeeData[[#This Row],[YearsAtCompany]]&lt;=5,"2–5 years",CleanEmployeeData[[#This Row],[YearsAtCompany]]&lt;=10,"6–10 years",TRUE,"11+ years")</f>
        <v>11+ years</v>
      </c>
    </row>
    <row r="389" spans="1:4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cm="1">
        <f t="array" ref="AJ389">_xlfn.SWITCH(CleanEmployeeData[[#This Row],[Education]],1,"Below College",2,"College",3,"Bachelor",4,"Master",5,"Doctor","Unknown")</f>
        <v>College</v>
      </c>
      <c r="AK389" t="str" cm="1">
        <f t="array" ref="AK389">_xlfn.SWITCH(CleanEmployeeData[[#This Row],[EnvironmentSatisfaction]],1,"Low",2,"Medium",3,"High",4,"Very High","Unknown")</f>
        <v>Very High</v>
      </c>
      <c r="AL389" t="str" cm="1">
        <f t="array" ref="AL389">_xlfn.SWITCH(CleanEmployeeData[[#This Row],[JobInvolvement]],1,"Low",2,"Medium",3,"High",4,"Very High","Unknown")</f>
        <v>High</v>
      </c>
      <c r="AM389" t="str" cm="1">
        <f t="array" ref="AM389">_xlfn.SWITCH(CleanEmployeeData[[#This Row],[JobSatisfaction]],1,"Low",2,"Medium",3,"High",4,"Very High","Unknown")</f>
        <v>Medium</v>
      </c>
      <c r="AN389" t="str" cm="1">
        <f t="array" ref="AN389">_xlfn.SWITCH(CleanEmployeeData[[#This Row],[PerformanceRating]],1,"Low",2,"Good",3,"Excellent",4,"Outstanding","Unknown")</f>
        <v>Excellent</v>
      </c>
      <c r="AO389" t="str" cm="1">
        <f t="array" ref="AO389">_xlfn.SWITCH(CleanEmployeeData[[#This Row],[WorkLifeBalance]],1,"Bad",2,"Good",3,"Better",4,"Best","Unknown")</f>
        <v>Better</v>
      </c>
      <c r="AP389">
        <f>IF(CleanEmployeeData[[#This Row],[Attrition]]="Yes",1,IF(CleanEmployeeData[[#This Row],[Attrition]]="No",0,""))</f>
        <v>0</v>
      </c>
      <c r="AQ389" t="str" cm="1">
        <f t="array" ref="AQ389">_xlfn.IFS(CleanEmployeeData[[#This Row],[MonthlyIncome]]&lt;=3000,"0–3,000",CleanEmployeeData[[#This Row],[MonthlyIncome]]&lt;=6000,"3,001–6,000",CleanEmployeeData[[#This Row],[MonthlyIncome]]&lt;=10000,"6,001–10,000",TRUE,"10,001+")</f>
        <v>3,001–6,000</v>
      </c>
      <c r="AR389" t="str" cm="1">
        <f t="array" ref="AR389">_xlfn.IFS(CleanEmployeeData[[#This Row],[DistanceFromHome]]&lt;=5,"0–5 miles",CleanEmployeeData[[#This Row],[DistanceFromHome]]&lt;=10,"6–10 miles",CleanEmployeeData[[#This Row],[DistanceFromHome]]&lt;=15,"11–15 miles",TRUE,"16+ miles")</f>
        <v>0–5 miles</v>
      </c>
      <c r="AS389" t="str" cm="1">
        <f t="array" ref="AS389">_xlfn.IFS(CleanEmployeeData[[#This Row],[YearsAtCompany]]&lt;=1,"0–1 years",CleanEmployeeData[[#This Row],[YearsAtCompany]]&lt;=5,"2–5 years",CleanEmployeeData[[#This Row],[YearsAtCompany]]&lt;=10,"6–10 years",TRUE,"11+ years")</f>
        <v>2–5 years</v>
      </c>
    </row>
    <row r="390" spans="1:4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cm="1">
        <f t="array" ref="AJ390">_xlfn.SWITCH(CleanEmployeeData[[#This Row],[Education]],1,"Below College",2,"College",3,"Bachelor",4,"Master",5,"Doctor","Unknown")</f>
        <v>Master</v>
      </c>
      <c r="AK390" t="str" cm="1">
        <f t="array" ref="AK390">_xlfn.SWITCH(CleanEmployeeData[[#This Row],[EnvironmentSatisfaction]],1,"Low",2,"Medium",3,"High",4,"Very High","Unknown")</f>
        <v>Medium</v>
      </c>
      <c r="AL390" t="str" cm="1">
        <f t="array" ref="AL390">_xlfn.SWITCH(CleanEmployeeData[[#This Row],[JobInvolvement]],1,"Low",2,"Medium",3,"High",4,"Very High","Unknown")</f>
        <v>High</v>
      </c>
      <c r="AM390" t="str" cm="1">
        <f t="array" ref="AM390">_xlfn.SWITCH(CleanEmployeeData[[#This Row],[JobSatisfaction]],1,"Low",2,"Medium",3,"High",4,"Very High","Unknown")</f>
        <v>Low</v>
      </c>
      <c r="AN390" t="str" cm="1">
        <f t="array" ref="AN390">_xlfn.SWITCH(CleanEmployeeData[[#This Row],[PerformanceRating]],1,"Low",2,"Good",3,"Excellent",4,"Outstanding","Unknown")</f>
        <v>Excellent</v>
      </c>
      <c r="AO390" t="str" cm="1">
        <f t="array" ref="AO390">_xlfn.SWITCH(CleanEmployeeData[[#This Row],[WorkLifeBalance]],1,"Bad",2,"Good",3,"Better",4,"Best","Unknown")</f>
        <v>Better</v>
      </c>
      <c r="AP390">
        <f>IF(CleanEmployeeData[[#This Row],[Attrition]]="Yes",1,IF(CleanEmployeeData[[#This Row],[Attrition]]="No",0,""))</f>
        <v>0</v>
      </c>
      <c r="AQ390" t="str" cm="1">
        <f t="array" ref="AQ390">_xlfn.IFS(CleanEmployeeData[[#This Row],[MonthlyIncome]]&lt;=3000,"0–3,000",CleanEmployeeData[[#This Row],[MonthlyIncome]]&lt;=6000,"3,001–6,000",CleanEmployeeData[[#This Row],[MonthlyIncome]]&lt;=10000,"6,001–10,000",TRUE,"10,001+")</f>
        <v>0–3,000</v>
      </c>
      <c r="AR390" t="str" cm="1">
        <f t="array" ref="AR390">_xlfn.IFS(CleanEmployeeData[[#This Row],[DistanceFromHome]]&lt;=5,"0–5 miles",CleanEmployeeData[[#This Row],[DistanceFromHome]]&lt;=10,"6–10 miles",CleanEmployeeData[[#This Row],[DistanceFromHome]]&lt;=15,"11–15 miles",TRUE,"16+ miles")</f>
        <v>0–5 miles</v>
      </c>
      <c r="AS390" t="str" cm="1">
        <f t="array" ref="AS390">_xlfn.IFS(CleanEmployeeData[[#This Row],[YearsAtCompany]]&lt;=1,"0–1 years",CleanEmployeeData[[#This Row],[YearsAtCompany]]&lt;=5,"2–5 years",CleanEmployeeData[[#This Row],[YearsAtCompany]]&lt;=10,"6–10 years",TRUE,"11+ years")</f>
        <v>2–5 years</v>
      </c>
    </row>
    <row r="391" spans="1:4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cm="1">
        <f t="array" ref="AJ391">_xlfn.SWITCH(CleanEmployeeData[[#This Row],[Education]],1,"Below College",2,"College",3,"Bachelor",4,"Master",5,"Doctor","Unknown")</f>
        <v>Master</v>
      </c>
      <c r="AK391" t="str" cm="1">
        <f t="array" ref="AK391">_xlfn.SWITCH(CleanEmployeeData[[#This Row],[EnvironmentSatisfaction]],1,"Low",2,"Medium",3,"High",4,"Very High","Unknown")</f>
        <v>High</v>
      </c>
      <c r="AL391" t="str" cm="1">
        <f t="array" ref="AL391">_xlfn.SWITCH(CleanEmployeeData[[#This Row],[JobInvolvement]],1,"Low",2,"Medium",3,"High",4,"Very High","Unknown")</f>
        <v>High</v>
      </c>
      <c r="AM391" t="str" cm="1">
        <f t="array" ref="AM391">_xlfn.SWITCH(CleanEmployeeData[[#This Row],[JobSatisfaction]],1,"Low",2,"Medium",3,"High",4,"Very High","Unknown")</f>
        <v>Medium</v>
      </c>
      <c r="AN391" t="str" cm="1">
        <f t="array" ref="AN391">_xlfn.SWITCH(CleanEmployeeData[[#This Row],[PerformanceRating]],1,"Low",2,"Good",3,"Excellent",4,"Outstanding","Unknown")</f>
        <v>Excellent</v>
      </c>
      <c r="AO391" t="str" cm="1">
        <f t="array" ref="AO391">_xlfn.SWITCH(CleanEmployeeData[[#This Row],[WorkLifeBalance]],1,"Bad",2,"Good",3,"Better",4,"Best","Unknown")</f>
        <v>Good</v>
      </c>
      <c r="AP391">
        <f>IF(CleanEmployeeData[[#This Row],[Attrition]]="Yes",1,IF(CleanEmployeeData[[#This Row],[Attrition]]="No",0,""))</f>
        <v>0</v>
      </c>
      <c r="AQ391" t="str" cm="1">
        <f t="array" ref="AQ391">_xlfn.IFS(CleanEmployeeData[[#This Row],[MonthlyIncome]]&lt;=3000,"0–3,000",CleanEmployeeData[[#This Row],[MonthlyIncome]]&lt;=6000,"3,001–6,000",CleanEmployeeData[[#This Row],[MonthlyIncome]]&lt;=10000,"6,001–10,000",TRUE,"10,001+")</f>
        <v>3,001–6,000</v>
      </c>
      <c r="AR391" t="str" cm="1">
        <f t="array" ref="AR391">_xlfn.IFS(CleanEmployeeData[[#This Row],[DistanceFromHome]]&lt;=5,"0–5 miles",CleanEmployeeData[[#This Row],[DistanceFromHome]]&lt;=10,"6–10 miles",CleanEmployeeData[[#This Row],[DistanceFromHome]]&lt;=15,"11–15 miles",TRUE,"16+ miles")</f>
        <v>6–10 miles</v>
      </c>
      <c r="AS391" t="str" cm="1">
        <f t="array" ref="AS391">_xlfn.IFS(CleanEmployeeData[[#This Row],[YearsAtCompany]]&lt;=1,"0–1 years",CleanEmployeeData[[#This Row],[YearsAtCompany]]&lt;=5,"2–5 years",CleanEmployeeData[[#This Row],[YearsAtCompany]]&lt;=10,"6–10 years",TRUE,"11+ years")</f>
        <v>0–1 years</v>
      </c>
    </row>
    <row r="392" spans="1:4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cm="1">
        <f t="array" ref="AJ392">_xlfn.SWITCH(CleanEmployeeData[[#This Row],[Education]],1,"Below College",2,"College",3,"Bachelor",4,"Master",5,"Doctor","Unknown")</f>
        <v>Bachelor</v>
      </c>
      <c r="AK392" t="str" cm="1">
        <f t="array" ref="AK392">_xlfn.SWITCH(CleanEmployeeData[[#This Row],[EnvironmentSatisfaction]],1,"Low",2,"Medium",3,"High",4,"Very High","Unknown")</f>
        <v>Low</v>
      </c>
      <c r="AL392" t="str" cm="1">
        <f t="array" ref="AL392">_xlfn.SWITCH(CleanEmployeeData[[#This Row],[JobInvolvement]],1,"Low",2,"Medium",3,"High",4,"Very High","Unknown")</f>
        <v>Medium</v>
      </c>
      <c r="AM392" t="str" cm="1">
        <f t="array" ref="AM392">_xlfn.SWITCH(CleanEmployeeData[[#This Row],[JobSatisfaction]],1,"Low",2,"Medium",3,"High",4,"Very High","Unknown")</f>
        <v>Medium</v>
      </c>
      <c r="AN392" t="str" cm="1">
        <f t="array" ref="AN392">_xlfn.SWITCH(CleanEmployeeData[[#This Row],[PerformanceRating]],1,"Low",2,"Good",3,"Excellent",4,"Outstanding","Unknown")</f>
        <v>Excellent</v>
      </c>
      <c r="AO392" t="str" cm="1">
        <f t="array" ref="AO392">_xlfn.SWITCH(CleanEmployeeData[[#This Row],[WorkLifeBalance]],1,"Bad",2,"Good",3,"Better",4,"Best","Unknown")</f>
        <v>Better</v>
      </c>
      <c r="AP392">
        <f>IF(CleanEmployeeData[[#This Row],[Attrition]]="Yes",1,IF(CleanEmployeeData[[#This Row],[Attrition]]="No",0,""))</f>
        <v>0</v>
      </c>
      <c r="AQ392" t="str" cm="1">
        <f t="array" ref="AQ392">_xlfn.IFS(CleanEmployeeData[[#This Row],[MonthlyIncome]]&lt;=3000,"0–3,000",CleanEmployeeData[[#This Row],[MonthlyIncome]]&lt;=6000,"3,001–6,000",CleanEmployeeData[[#This Row],[MonthlyIncome]]&lt;=10000,"6,001–10,000",TRUE,"10,001+")</f>
        <v>10,001+</v>
      </c>
      <c r="AR392" t="str" cm="1">
        <f t="array" ref="AR392">_xlfn.IFS(CleanEmployeeData[[#This Row],[DistanceFromHome]]&lt;=5,"0–5 miles",CleanEmployeeData[[#This Row],[DistanceFromHome]]&lt;=10,"6–10 miles",CleanEmployeeData[[#This Row],[DistanceFromHome]]&lt;=15,"11–15 miles",TRUE,"16+ miles")</f>
        <v>11–15 miles</v>
      </c>
      <c r="AS392" t="str" cm="1">
        <f t="array" ref="AS392">_xlfn.IFS(CleanEmployeeData[[#This Row],[YearsAtCompany]]&lt;=1,"0–1 years",CleanEmployeeData[[#This Row],[YearsAtCompany]]&lt;=5,"2–5 years",CleanEmployeeData[[#This Row],[YearsAtCompany]]&lt;=10,"6–10 years",TRUE,"11+ years")</f>
        <v>11+ years</v>
      </c>
    </row>
    <row r="393" spans="1:4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cm="1">
        <f t="array" ref="AJ393">_xlfn.SWITCH(CleanEmployeeData[[#This Row],[Education]],1,"Below College",2,"College",3,"Bachelor",4,"Master",5,"Doctor","Unknown")</f>
        <v>Bachelor</v>
      </c>
      <c r="AK393" t="str" cm="1">
        <f t="array" ref="AK393">_xlfn.SWITCH(CleanEmployeeData[[#This Row],[EnvironmentSatisfaction]],1,"Low",2,"Medium",3,"High",4,"Very High","Unknown")</f>
        <v>Medium</v>
      </c>
      <c r="AL393" t="str" cm="1">
        <f t="array" ref="AL393">_xlfn.SWITCH(CleanEmployeeData[[#This Row],[JobInvolvement]],1,"Low",2,"Medium",3,"High",4,"Very High","Unknown")</f>
        <v>Medium</v>
      </c>
      <c r="AM393" t="str" cm="1">
        <f t="array" ref="AM393">_xlfn.SWITCH(CleanEmployeeData[[#This Row],[JobSatisfaction]],1,"Low",2,"Medium",3,"High",4,"Very High","Unknown")</f>
        <v>High</v>
      </c>
      <c r="AN393" t="str" cm="1">
        <f t="array" ref="AN393">_xlfn.SWITCH(CleanEmployeeData[[#This Row],[PerformanceRating]],1,"Low",2,"Good",3,"Excellent",4,"Outstanding","Unknown")</f>
        <v>Outstanding</v>
      </c>
      <c r="AO393" t="str" cm="1">
        <f t="array" ref="AO393">_xlfn.SWITCH(CleanEmployeeData[[#This Row],[WorkLifeBalance]],1,"Bad",2,"Good",3,"Better",4,"Best","Unknown")</f>
        <v>Better</v>
      </c>
      <c r="AP393">
        <f>IF(CleanEmployeeData[[#This Row],[Attrition]]="Yes",1,IF(CleanEmployeeData[[#This Row],[Attrition]]="No",0,""))</f>
        <v>0</v>
      </c>
      <c r="AQ393" t="str" cm="1">
        <f t="array" ref="AQ393">_xlfn.IFS(CleanEmployeeData[[#This Row],[MonthlyIncome]]&lt;=3000,"0–3,000",CleanEmployeeData[[#This Row],[MonthlyIncome]]&lt;=6000,"3,001–6,000",CleanEmployeeData[[#This Row],[MonthlyIncome]]&lt;=10000,"6,001–10,000",TRUE,"10,001+")</f>
        <v>3,001–6,000</v>
      </c>
      <c r="AR393" t="str" cm="1">
        <f t="array" ref="AR393">_xlfn.IFS(CleanEmployeeData[[#This Row],[DistanceFromHome]]&lt;=5,"0–5 miles",CleanEmployeeData[[#This Row],[DistanceFromHome]]&lt;=10,"6–10 miles",CleanEmployeeData[[#This Row],[DistanceFromHome]]&lt;=15,"11–15 miles",TRUE,"16+ miles")</f>
        <v>0–5 miles</v>
      </c>
      <c r="AS393" t="str" cm="1">
        <f t="array" ref="AS393">_xlfn.IFS(CleanEmployeeData[[#This Row],[YearsAtCompany]]&lt;=1,"0–1 years",CleanEmployeeData[[#This Row],[YearsAtCompany]]&lt;=5,"2–5 years",CleanEmployeeData[[#This Row],[YearsAtCompany]]&lt;=10,"6–10 years",TRUE,"11+ years")</f>
        <v>0–1 years</v>
      </c>
    </row>
    <row r="394" spans="1:4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cm="1">
        <f t="array" ref="AJ394">_xlfn.SWITCH(CleanEmployeeData[[#This Row],[Education]],1,"Below College",2,"College",3,"Bachelor",4,"Master",5,"Doctor","Unknown")</f>
        <v>College</v>
      </c>
      <c r="AK394" t="str" cm="1">
        <f t="array" ref="AK394">_xlfn.SWITCH(CleanEmployeeData[[#This Row],[EnvironmentSatisfaction]],1,"Low",2,"Medium",3,"High",4,"Very High","Unknown")</f>
        <v>Low</v>
      </c>
      <c r="AL394" t="str" cm="1">
        <f t="array" ref="AL394">_xlfn.SWITCH(CleanEmployeeData[[#This Row],[JobInvolvement]],1,"Low",2,"Medium",3,"High",4,"Very High","Unknown")</f>
        <v>High</v>
      </c>
      <c r="AM394" t="str" cm="1">
        <f t="array" ref="AM394">_xlfn.SWITCH(CleanEmployeeData[[#This Row],[JobSatisfaction]],1,"Low",2,"Medium",3,"High",4,"Very High","Unknown")</f>
        <v>Low</v>
      </c>
      <c r="AN394" t="str" cm="1">
        <f t="array" ref="AN394">_xlfn.SWITCH(CleanEmployeeData[[#This Row],[PerformanceRating]],1,"Low",2,"Good",3,"Excellent",4,"Outstanding","Unknown")</f>
        <v>Excellent</v>
      </c>
      <c r="AO394" t="str" cm="1">
        <f t="array" ref="AO394">_xlfn.SWITCH(CleanEmployeeData[[#This Row],[WorkLifeBalance]],1,"Bad",2,"Good",3,"Better",4,"Best","Unknown")</f>
        <v>Good</v>
      </c>
      <c r="AP394">
        <f>IF(CleanEmployeeData[[#This Row],[Attrition]]="Yes",1,IF(CleanEmployeeData[[#This Row],[Attrition]]="No",0,""))</f>
        <v>0</v>
      </c>
      <c r="AQ394" t="str" cm="1">
        <f t="array" ref="AQ394">_xlfn.IFS(CleanEmployeeData[[#This Row],[MonthlyIncome]]&lt;=3000,"0–3,000",CleanEmployeeData[[#This Row],[MonthlyIncome]]&lt;=6000,"3,001–6,000",CleanEmployeeData[[#This Row],[MonthlyIncome]]&lt;=10000,"6,001–10,000",TRUE,"10,001+")</f>
        <v>10,001+</v>
      </c>
      <c r="AR394" t="str" cm="1">
        <f t="array" ref="AR394">_xlfn.IFS(CleanEmployeeData[[#This Row],[DistanceFromHome]]&lt;=5,"0–5 miles",CleanEmployeeData[[#This Row],[DistanceFromHome]]&lt;=10,"6–10 miles",CleanEmployeeData[[#This Row],[DistanceFromHome]]&lt;=15,"11–15 miles",TRUE,"16+ miles")</f>
        <v>0–5 miles</v>
      </c>
      <c r="AS394" t="str" cm="1">
        <f t="array" ref="AS394">_xlfn.IFS(CleanEmployeeData[[#This Row],[YearsAtCompany]]&lt;=1,"0–1 years",CleanEmployeeData[[#This Row],[YearsAtCompany]]&lt;=5,"2–5 years",CleanEmployeeData[[#This Row],[YearsAtCompany]]&lt;=10,"6–10 years",TRUE,"11+ years")</f>
        <v>2–5 years</v>
      </c>
    </row>
    <row r="395" spans="1:4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cm="1">
        <f t="array" ref="AJ395">_xlfn.SWITCH(CleanEmployeeData[[#This Row],[Education]],1,"Below College",2,"College",3,"Bachelor",4,"Master",5,"Doctor","Unknown")</f>
        <v>Master</v>
      </c>
      <c r="AK395" t="str" cm="1">
        <f t="array" ref="AK395">_xlfn.SWITCH(CleanEmployeeData[[#This Row],[EnvironmentSatisfaction]],1,"Low",2,"Medium",3,"High",4,"Very High","Unknown")</f>
        <v>High</v>
      </c>
      <c r="AL395" t="str" cm="1">
        <f t="array" ref="AL395">_xlfn.SWITCH(CleanEmployeeData[[#This Row],[JobInvolvement]],1,"Low",2,"Medium",3,"High",4,"Very High","Unknown")</f>
        <v>High</v>
      </c>
      <c r="AM395" t="str" cm="1">
        <f t="array" ref="AM395">_xlfn.SWITCH(CleanEmployeeData[[#This Row],[JobSatisfaction]],1,"Low",2,"Medium",3,"High",4,"Very High","Unknown")</f>
        <v>High</v>
      </c>
      <c r="AN395" t="str" cm="1">
        <f t="array" ref="AN395">_xlfn.SWITCH(CleanEmployeeData[[#This Row],[PerformanceRating]],1,"Low",2,"Good",3,"Excellent",4,"Outstanding","Unknown")</f>
        <v>Excellent</v>
      </c>
      <c r="AO395" t="str" cm="1">
        <f t="array" ref="AO395">_xlfn.SWITCH(CleanEmployeeData[[#This Row],[WorkLifeBalance]],1,"Bad",2,"Good",3,"Better",4,"Best","Unknown")</f>
        <v>Better</v>
      </c>
      <c r="AP395">
        <f>IF(CleanEmployeeData[[#This Row],[Attrition]]="Yes",1,IF(CleanEmployeeData[[#This Row],[Attrition]]="No",0,""))</f>
        <v>0</v>
      </c>
      <c r="AQ395" t="str" cm="1">
        <f t="array" ref="AQ395">_xlfn.IFS(CleanEmployeeData[[#This Row],[MonthlyIncome]]&lt;=3000,"0–3,000",CleanEmployeeData[[#This Row],[MonthlyIncome]]&lt;=6000,"3,001–6,000",CleanEmployeeData[[#This Row],[MonthlyIncome]]&lt;=10000,"6,001–10,000",TRUE,"10,001+")</f>
        <v>6,001–10,000</v>
      </c>
      <c r="AR395" t="str" cm="1">
        <f t="array" ref="AR395">_xlfn.IFS(CleanEmployeeData[[#This Row],[DistanceFromHome]]&lt;=5,"0–5 miles",CleanEmployeeData[[#This Row],[DistanceFromHome]]&lt;=10,"6–10 miles",CleanEmployeeData[[#This Row],[DistanceFromHome]]&lt;=15,"11–15 miles",TRUE,"16+ miles")</f>
        <v>0–5 miles</v>
      </c>
      <c r="AS395" t="str" cm="1">
        <f t="array" ref="AS395">_xlfn.IFS(CleanEmployeeData[[#This Row],[YearsAtCompany]]&lt;=1,"0–1 years",CleanEmployeeData[[#This Row],[YearsAtCompany]]&lt;=5,"2–5 years",CleanEmployeeData[[#This Row],[YearsAtCompany]]&lt;=10,"6–10 years",TRUE,"11+ years")</f>
        <v>2–5 years</v>
      </c>
    </row>
    <row r="396" spans="1:4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cm="1">
        <f t="array" ref="AJ396">_xlfn.SWITCH(CleanEmployeeData[[#This Row],[Education]],1,"Below College",2,"College",3,"Bachelor",4,"Master",5,"Doctor","Unknown")</f>
        <v>College</v>
      </c>
      <c r="AK396" t="str" cm="1">
        <f t="array" ref="AK396">_xlfn.SWITCH(CleanEmployeeData[[#This Row],[EnvironmentSatisfaction]],1,"Low",2,"Medium",3,"High",4,"Very High","Unknown")</f>
        <v>Medium</v>
      </c>
      <c r="AL396" t="str" cm="1">
        <f t="array" ref="AL396">_xlfn.SWITCH(CleanEmployeeData[[#This Row],[JobInvolvement]],1,"Low",2,"Medium",3,"High",4,"Very High","Unknown")</f>
        <v>High</v>
      </c>
      <c r="AM396" t="str" cm="1">
        <f t="array" ref="AM396">_xlfn.SWITCH(CleanEmployeeData[[#This Row],[JobSatisfaction]],1,"Low",2,"Medium",3,"High",4,"Very High","Unknown")</f>
        <v>Low</v>
      </c>
      <c r="AN396" t="str" cm="1">
        <f t="array" ref="AN396">_xlfn.SWITCH(CleanEmployeeData[[#This Row],[PerformanceRating]],1,"Low",2,"Good",3,"Excellent",4,"Outstanding","Unknown")</f>
        <v>Excellent</v>
      </c>
      <c r="AO396" t="str" cm="1">
        <f t="array" ref="AO396">_xlfn.SWITCH(CleanEmployeeData[[#This Row],[WorkLifeBalance]],1,"Bad",2,"Good",3,"Better",4,"Best","Unknown")</f>
        <v>Bad</v>
      </c>
      <c r="AP396">
        <f>IF(CleanEmployeeData[[#This Row],[Attrition]]="Yes",1,IF(CleanEmployeeData[[#This Row],[Attrition]]="No",0,""))</f>
        <v>0</v>
      </c>
      <c r="AQ396" t="str" cm="1">
        <f t="array" ref="AQ396">_xlfn.IFS(CleanEmployeeData[[#This Row],[MonthlyIncome]]&lt;=3000,"0–3,000",CleanEmployeeData[[#This Row],[MonthlyIncome]]&lt;=6000,"3,001–6,000",CleanEmployeeData[[#This Row],[MonthlyIncome]]&lt;=10000,"6,001–10,000",TRUE,"10,001+")</f>
        <v>3,001–6,000</v>
      </c>
      <c r="AR396" t="str" cm="1">
        <f t="array" ref="AR396">_xlfn.IFS(CleanEmployeeData[[#This Row],[DistanceFromHome]]&lt;=5,"0–5 miles",CleanEmployeeData[[#This Row],[DistanceFromHome]]&lt;=10,"6–10 miles",CleanEmployeeData[[#This Row],[DistanceFromHome]]&lt;=15,"11–15 miles",TRUE,"16+ miles")</f>
        <v>6–10 miles</v>
      </c>
      <c r="AS396" t="str" cm="1">
        <f t="array" ref="AS396">_xlfn.IFS(CleanEmployeeData[[#This Row],[YearsAtCompany]]&lt;=1,"0–1 years",CleanEmployeeData[[#This Row],[YearsAtCompany]]&lt;=5,"2–5 years",CleanEmployeeData[[#This Row],[YearsAtCompany]]&lt;=10,"6–10 years",TRUE,"11+ years")</f>
        <v>11+ years</v>
      </c>
    </row>
    <row r="397" spans="1:4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cm="1">
        <f t="array" ref="AJ397">_xlfn.SWITCH(CleanEmployeeData[[#This Row],[Education]],1,"Below College",2,"College",3,"Bachelor",4,"Master",5,"Doctor","Unknown")</f>
        <v>Bachelor</v>
      </c>
      <c r="AK397" t="str" cm="1">
        <f t="array" ref="AK397">_xlfn.SWITCH(CleanEmployeeData[[#This Row],[EnvironmentSatisfaction]],1,"Low",2,"Medium",3,"High",4,"Very High","Unknown")</f>
        <v>Very High</v>
      </c>
      <c r="AL397" t="str" cm="1">
        <f t="array" ref="AL397">_xlfn.SWITCH(CleanEmployeeData[[#This Row],[JobInvolvement]],1,"Low",2,"Medium",3,"High",4,"Very High","Unknown")</f>
        <v>High</v>
      </c>
      <c r="AM397" t="str" cm="1">
        <f t="array" ref="AM397">_xlfn.SWITCH(CleanEmployeeData[[#This Row],[JobSatisfaction]],1,"Low",2,"Medium",3,"High",4,"Very High","Unknown")</f>
        <v>Very High</v>
      </c>
      <c r="AN397" t="str" cm="1">
        <f t="array" ref="AN397">_xlfn.SWITCH(CleanEmployeeData[[#This Row],[PerformanceRating]],1,"Low",2,"Good",3,"Excellent",4,"Outstanding","Unknown")</f>
        <v>Outstanding</v>
      </c>
      <c r="AO397" t="str" cm="1">
        <f t="array" ref="AO397">_xlfn.SWITCH(CleanEmployeeData[[#This Row],[WorkLifeBalance]],1,"Bad",2,"Good",3,"Better",4,"Best","Unknown")</f>
        <v>Better</v>
      </c>
      <c r="AP397">
        <f>IF(CleanEmployeeData[[#This Row],[Attrition]]="Yes",1,IF(CleanEmployeeData[[#This Row],[Attrition]]="No",0,""))</f>
        <v>0</v>
      </c>
      <c r="AQ397" t="str" cm="1">
        <f t="array" ref="AQ397">_xlfn.IFS(CleanEmployeeData[[#This Row],[MonthlyIncome]]&lt;=3000,"0–3,000",CleanEmployeeData[[#This Row],[MonthlyIncome]]&lt;=6000,"3,001–6,000",CleanEmployeeData[[#This Row],[MonthlyIncome]]&lt;=10000,"6,001–10,000",TRUE,"10,001+")</f>
        <v>0–3,000</v>
      </c>
      <c r="AR397" t="str" cm="1">
        <f t="array" ref="AR397">_xlfn.IFS(CleanEmployeeData[[#This Row],[DistanceFromHome]]&lt;=5,"0–5 miles",CleanEmployeeData[[#This Row],[DistanceFromHome]]&lt;=10,"6–10 miles",CleanEmployeeData[[#This Row],[DistanceFromHome]]&lt;=15,"11–15 miles",TRUE,"16+ miles")</f>
        <v>16+ miles</v>
      </c>
      <c r="AS397" t="str" cm="1">
        <f t="array" ref="AS397">_xlfn.IFS(CleanEmployeeData[[#This Row],[YearsAtCompany]]&lt;=1,"0–1 years",CleanEmployeeData[[#This Row],[YearsAtCompany]]&lt;=5,"2–5 years",CleanEmployeeData[[#This Row],[YearsAtCompany]]&lt;=10,"6–10 years",TRUE,"11+ years")</f>
        <v>2–5 years</v>
      </c>
    </row>
    <row r="398" spans="1:4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cm="1">
        <f t="array" ref="AJ398">_xlfn.SWITCH(CleanEmployeeData[[#This Row],[Education]],1,"Below College",2,"College",3,"Bachelor",4,"Master",5,"Doctor","Unknown")</f>
        <v>Master</v>
      </c>
      <c r="AK398" t="str" cm="1">
        <f t="array" ref="AK398">_xlfn.SWITCH(CleanEmployeeData[[#This Row],[EnvironmentSatisfaction]],1,"Low",2,"Medium",3,"High",4,"Very High","Unknown")</f>
        <v>High</v>
      </c>
      <c r="AL398" t="str" cm="1">
        <f t="array" ref="AL398">_xlfn.SWITCH(CleanEmployeeData[[#This Row],[JobInvolvement]],1,"Low",2,"Medium",3,"High",4,"Very High","Unknown")</f>
        <v>High</v>
      </c>
      <c r="AM398" t="str" cm="1">
        <f t="array" ref="AM398">_xlfn.SWITCH(CleanEmployeeData[[#This Row],[JobSatisfaction]],1,"Low",2,"Medium",3,"High",4,"Very High","Unknown")</f>
        <v>High</v>
      </c>
      <c r="AN398" t="str" cm="1">
        <f t="array" ref="AN398">_xlfn.SWITCH(CleanEmployeeData[[#This Row],[PerformanceRating]],1,"Low",2,"Good",3,"Excellent",4,"Outstanding","Unknown")</f>
        <v>Excellent</v>
      </c>
      <c r="AO398" t="str" cm="1">
        <f t="array" ref="AO398">_xlfn.SWITCH(CleanEmployeeData[[#This Row],[WorkLifeBalance]],1,"Bad",2,"Good",3,"Better",4,"Best","Unknown")</f>
        <v>Better</v>
      </c>
      <c r="AP398">
        <f>IF(CleanEmployeeData[[#This Row],[Attrition]]="Yes",1,IF(CleanEmployeeData[[#This Row],[Attrition]]="No",0,""))</f>
        <v>0</v>
      </c>
      <c r="AQ398" t="str" cm="1">
        <f t="array" ref="AQ398">_xlfn.IFS(CleanEmployeeData[[#This Row],[MonthlyIncome]]&lt;=3000,"0–3,000",CleanEmployeeData[[#This Row],[MonthlyIncome]]&lt;=6000,"3,001–6,000",CleanEmployeeData[[#This Row],[MonthlyIncome]]&lt;=10000,"6,001–10,000",TRUE,"10,001+")</f>
        <v>3,001–6,000</v>
      </c>
      <c r="AR398" t="str" cm="1">
        <f t="array" ref="AR398">_xlfn.IFS(CleanEmployeeData[[#This Row],[DistanceFromHome]]&lt;=5,"0–5 miles",CleanEmployeeData[[#This Row],[DistanceFromHome]]&lt;=10,"6–10 miles",CleanEmployeeData[[#This Row],[DistanceFromHome]]&lt;=15,"11–15 miles",TRUE,"16+ miles")</f>
        <v>6–10 miles</v>
      </c>
      <c r="AS398" t="str" cm="1">
        <f t="array" ref="AS398">_xlfn.IFS(CleanEmployeeData[[#This Row],[YearsAtCompany]]&lt;=1,"0–1 years",CleanEmployeeData[[#This Row],[YearsAtCompany]]&lt;=5,"2–5 years",CleanEmployeeData[[#This Row],[YearsAtCompany]]&lt;=10,"6–10 years",TRUE,"11+ years")</f>
        <v>2–5 years</v>
      </c>
    </row>
    <row r="399" spans="1:4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cm="1">
        <f t="array" ref="AJ399">_xlfn.SWITCH(CleanEmployeeData[[#This Row],[Education]],1,"Below College",2,"College",3,"Bachelor",4,"Master",5,"Doctor","Unknown")</f>
        <v>College</v>
      </c>
      <c r="AK399" t="str" cm="1">
        <f t="array" ref="AK399">_xlfn.SWITCH(CleanEmployeeData[[#This Row],[EnvironmentSatisfaction]],1,"Low",2,"Medium",3,"High",4,"Very High","Unknown")</f>
        <v>Medium</v>
      </c>
      <c r="AL399" t="str" cm="1">
        <f t="array" ref="AL399">_xlfn.SWITCH(CleanEmployeeData[[#This Row],[JobInvolvement]],1,"Low",2,"Medium",3,"High",4,"Very High","Unknown")</f>
        <v>Medium</v>
      </c>
      <c r="AM399" t="str" cm="1">
        <f t="array" ref="AM399">_xlfn.SWITCH(CleanEmployeeData[[#This Row],[JobSatisfaction]],1,"Low",2,"Medium",3,"High",4,"Very High","Unknown")</f>
        <v>Very High</v>
      </c>
      <c r="AN399" t="str" cm="1">
        <f t="array" ref="AN399">_xlfn.SWITCH(CleanEmployeeData[[#This Row],[PerformanceRating]],1,"Low",2,"Good",3,"Excellent",4,"Outstanding","Unknown")</f>
        <v>Excellent</v>
      </c>
      <c r="AO399" t="str" cm="1">
        <f t="array" ref="AO399">_xlfn.SWITCH(CleanEmployeeData[[#This Row],[WorkLifeBalance]],1,"Bad",2,"Good",3,"Better",4,"Best","Unknown")</f>
        <v>Better</v>
      </c>
      <c r="AP399">
        <f>IF(CleanEmployeeData[[#This Row],[Attrition]]="Yes",1,IF(CleanEmployeeData[[#This Row],[Attrition]]="No",0,""))</f>
        <v>0</v>
      </c>
      <c r="AQ399" t="str" cm="1">
        <f t="array" ref="AQ399">_xlfn.IFS(CleanEmployeeData[[#This Row],[MonthlyIncome]]&lt;=3000,"0–3,000",CleanEmployeeData[[#This Row],[MonthlyIncome]]&lt;=6000,"3,001–6,000",CleanEmployeeData[[#This Row],[MonthlyIncome]]&lt;=10000,"6,001–10,000",TRUE,"10,001+")</f>
        <v>3,001–6,000</v>
      </c>
      <c r="AR399" t="str" cm="1">
        <f t="array" ref="AR399">_xlfn.IFS(CleanEmployeeData[[#This Row],[DistanceFromHome]]&lt;=5,"0–5 miles",CleanEmployeeData[[#This Row],[DistanceFromHome]]&lt;=10,"6–10 miles",CleanEmployeeData[[#This Row],[DistanceFromHome]]&lt;=15,"11–15 miles",TRUE,"16+ miles")</f>
        <v>0–5 miles</v>
      </c>
      <c r="AS399" t="str" cm="1">
        <f t="array" ref="AS399">_xlfn.IFS(CleanEmployeeData[[#This Row],[YearsAtCompany]]&lt;=1,"0–1 years",CleanEmployeeData[[#This Row],[YearsAtCompany]]&lt;=5,"2–5 years",CleanEmployeeData[[#This Row],[YearsAtCompany]]&lt;=10,"6–10 years",TRUE,"11+ years")</f>
        <v>2–5 years</v>
      </c>
    </row>
    <row r="400" spans="1:4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cm="1">
        <f t="array" ref="AJ400">_xlfn.SWITCH(CleanEmployeeData[[#This Row],[Education]],1,"Below College",2,"College",3,"Bachelor",4,"Master",5,"Doctor","Unknown")</f>
        <v>Doctor</v>
      </c>
      <c r="AK400" t="str" cm="1">
        <f t="array" ref="AK400">_xlfn.SWITCH(CleanEmployeeData[[#This Row],[EnvironmentSatisfaction]],1,"Low",2,"Medium",3,"High",4,"Very High","Unknown")</f>
        <v>Medium</v>
      </c>
      <c r="AL400" t="str" cm="1">
        <f t="array" ref="AL400">_xlfn.SWITCH(CleanEmployeeData[[#This Row],[JobInvolvement]],1,"Low",2,"Medium",3,"High",4,"Very High","Unknown")</f>
        <v>High</v>
      </c>
      <c r="AM400" t="str" cm="1">
        <f t="array" ref="AM400">_xlfn.SWITCH(CleanEmployeeData[[#This Row],[JobSatisfaction]],1,"Low",2,"Medium",3,"High",4,"Very High","Unknown")</f>
        <v>High</v>
      </c>
      <c r="AN400" t="str" cm="1">
        <f t="array" ref="AN400">_xlfn.SWITCH(CleanEmployeeData[[#This Row],[PerformanceRating]],1,"Low",2,"Good",3,"Excellent",4,"Outstanding","Unknown")</f>
        <v>Excellent</v>
      </c>
      <c r="AO400" t="str" cm="1">
        <f t="array" ref="AO400">_xlfn.SWITCH(CleanEmployeeData[[#This Row],[WorkLifeBalance]],1,"Bad",2,"Good",3,"Better",4,"Best","Unknown")</f>
        <v>Better</v>
      </c>
      <c r="AP400">
        <f>IF(CleanEmployeeData[[#This Row],[Attrition]]="Yes",1,IF(CleanEmployeeData[[#This Row],[Attrition]]="No",0,""))</f>
        <v>0</v>
      </c>
      <c r="AQ400" t="str" cm="1">
        <f t="array" ref="AQ400">_xlfn.IFS(CleanEmployeeData[[#This Row],[MonthlyIncome]]&lt;=3000,"0–3,000",CleanEmployeeData[[#This Row],[MonthlyIncome]]&lt;=6000,"3,001–6,000",CleanEmployeeData[[#This Row],[MonthlyIncome]]&lt;=10000,"6,001–10,000",TRUE,"10,001+")</f>
        <v>3,001–6,000</v>
      </c>
      <c r="AR400" t="str" cm="1">
        <f t="array" ref="AR400">_xlfn.IFS(CleanEmployeeData[[#This Row],[DistanceFromHome]]&lt;=5,"0–5 miles",CleanEmployeeData[[#This Row],[DistanceFromHome]]&lt;=10,"6–10 miles",CleanEmployeeData[[#This Row],[DistanceFromHome]]&lt;=15,"11–15 miles",TRUE,"16+ miles")</f>
        <v>16+ miles</v>
      </c>
      <c r="AS400" t="str" cm="1">
        <f t="array" ref="AS400">_xlfn.IFS(CleanEmployeeData[[#This Row],[YearsAtCompany]]&lt;=1,"0–1 years",CleanEmployeeData[[#This Row],[YearsAtCompany]]&lt;=5,"2–5 years",CleanEmployeeData[[#This Row],[YearsAtCompany]]&lt;=10,"6–10 years",TRUE,"11+ years")</f>
        <v>11+ years</v>
      </c>
    </row>
    <row r="401" spans="1:4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cm="1">
        <f t="array" ref="AJ401">_xlfn.SWITCH(CleanEmployeeData[[#This Row],[Education]],1,"Below College",2,"College",3,"Bachelor",4,"Master",5,"Doctor","Unknown")</f>
        <v>College</v>
      </c>
      <c r="AK401" t="str" cm="1">
        <f t="array" ref="AK401">_xlfn.SWITCH(CleanEmployeeData[[#This Row],[EnvironmentSatisfaction]],1,"Low",2,"Medium",3,"High",4,"Very High","Unknown")</f>
        <v>Very High</v>
      </c>
      <c r="AL401" t="str" cm="1">
        <f t="array" ref="AL401">_xlfn.SWITCH(CleanEmployeeData[[#This Row],[JobInvolvement]],1,"Low",2,"Medium",3,"High",4,"Very High","Unknown")</f>
        <v>Medium</v>
      </c>
      <c r="AM401" t="str" cm="1">
        <f t="array" ref="AM401">_xlfn.SWITCH(CleanEmployeeData[[#This Row],[JobSatisfaction]],1,"Low",2,"Medium",3,"High",4,"Very High","Unknown")</f>
        <v>Low</v>
      </c>
      <c r="AN401" t="str" cm="1">
        <f t="array" ref="AN401">_xlfn.SWITCH(CleanEmployeeData[[#This Row],[PerformanceRating]],1,"Low",2,"Good",3,"Excellent",4,"Outstanding","Unknown")</f>
        <v>Excellent</v>
      </c>
      <c r="AO401" t="str" cm="1">
        <f t="array" ref="AO401">_xlfn.SWITCH(CleanEmployeeData[[#This Row],[WorkLifeBalance]],1,"Bad",2,"Good",3,"Better",4,"Best","Unknown")</f>
        <v>Better</v>
      </c>
      <c r="AP401">
        <f>IF(CleanEmployeeData[[#This Row],[Attrition]]="Yes",1,IF(CleanEmployeeData[[#This Row],[Attrition]]="No",0,""))</f>
        <v>0</v>
      </c>
      <c r="AQ401" t="str" cm="1">
        <f t="array" ref="AQ401">_xlfn.IFS(CleanEmployeeData[[#This Row],[MonthlyIncome]]&lt;=3000,"0–3,000",CleanEmployeeData[[#This Row],[MonthlyIncome]]&lt;=6000,"3,001–6,000",CleanEmployeeData[[#This Row],[MonthlyIncome]]&lt;=10000,"6,001–10,000",TRUE,"10,001+")</f>
        <v>0–3,000</v>
      </c>
      <c r="AR401" t="str" cm="1">
        <f t="array" ref="AR401">_xlfn.IFS(CleanEmployeeData[[#This Row],[DistanceFromHome]]&lt;=5,"0–5 miles",CleanEmployeeData[[#This Row],[DistanceFromHome]]&lt;=10,"6–10 miles",CleanEmployeeData[[#This Row],[DistanceFromHome]]&lt;=15,"11–15 miles",TRUE,"16+ miles")</f>
        <v>0–5 miles</v>
      </c>
      <c r="AS401" t="str" cm="1">
        <f t="array" ref="AS401">_xlfn.IFS(CleanEmployeeData[[#This Row],[YearsAtCompany]]&lt;=1,"0–1 years",CleanEmployeeData[[#This Row],[YearsAtCompany]]&lt;=5,"2–5 years",CleanEmployeeData[[#This Row],[YearsAtCompany]]&lt;=10,"6–10 years",TRUE,"11+ years")</f>
        <v>2–5 years</v>
      </c>
    </row>
    <row r="402" spans="1:4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cm="1">
        <f t="array" ref="AJ402">_xlfn.SWITCH(CleanEmployeeData[[#This Row],[Education]],1,"Below College",2,"College",3,"Bachelor",4,"Master",5,"Doctor","Unknown")</f>
        <v>Below College</v>
      </c>
      <c r="AK402" t="str" cm="1">
        <f t="array" ref="AK402">_xlfn.SWITCH(CleanEmployeeData[[#This Row],[EnvironmentSatisfaction]],1,"Low",2,"Medium",3,"High",4,"Very High","Unknown")</f>
        <v>Medium</v>
      </c>
      <c r="AL402" t="str" cm="1">
        <f t="array" ref="AL402">_xlfn.SWITCH(CleanEmployeeData[[#This Row],[JobInvolvement]],1,"Low",2,"Medium",3,"High",4,"Very High","Unknown")</f>
        <v>High</v>
      </c>
      <c r="AM402" t="str" cm="1">
        <f t="array" ref="AM402">_xlfn.SWITCH(CleanEmployeeData[[#This Row],[JobSatisfaction]],1,"Low",2,"Medium",3,"High",4,"Very High","Unknown")</f>
        <v>High</v>
      </c>
      <c r="AN402" t="str" cm="1">
        <f t="array" ref="AN402">_xlfn.SWITCH(CleanEmployeeData[[#This Row],[PerformanceRating]],1,"Low",2,"Good",3,"Excellent",4,"Outstanding","Unknown")</f>
        <v>Excellent</v>
      </c>
      <c r="AO402" t="str" cm="1">
        <f t="array" ref="AO402">_xlfn.SWITCH(CleanEmployeeData[[#This Row],[WorkLifeBalance]],1,"Bad",2,"Good",3,"Better",4,"Best","Unknown")</f>
        <v>Better</v>
      </c>
      <c r="AP402">
        <f>IF(CleanEmployeeData[[#This Row],[Attrition]]="Yes",1,IF(CleanEmployeeData[[#This Row],[Attrition]]="No",0,""))</f>
        <v>0</v>
      </c>
      <c r="AQ402" t="str" cm="1">
        <f t="array" ref="AQ402">_xlfn.IFS(CleanEmployeeData[[#This Row],[MonthlyIncome]]&lt;=3000,"0–3,000",CleanEmployeeData[[#This Row],[MonthlyIncome]]&lt;=6000,"3,001–6,000",CleanEmployeeData[[#This Row],[MonthlyIncome]]&lt;=10000,"6,001–10,000",TRUE,"10,001+")</f>
        <v>10,001+</v>
      </c>
      <c r="AR402" t="str" cm="1">
        <f t="array" ref="AR402">_xlfn.IFS(CleanEmployeeData[[#This Row],[DistanceFromHome]]&lt;=5,"0–5 miles",CleanEmployeeData[[#This Row],[DistanceFromHome]]&lt;=10,"6–10 miles",CleanEmployeeData[[#This Row],[DistanceFromHome]]&lt;=15,"11–15 miles",TRUE,"16+ miles")</f>
        <v>0–5 miles</v>
      </c>
      <c r="AS402" t="str" cm="1">
        <f t="array" ref="AS402">_xlfn.IFS(CleanEmployeeData[[#This Row],[YearsAtCompany]]&lt;=1,"0–1 years",CleanEmployeeData[[#This Row],[YearsAtCompany]]&lt;=5,"2–5 years",CleanEmployeeData[[#This Row],[YearsAtCompany]]&lt;=10,"6–10 years",TRUE,"11+ years")</f>
        <v>11+ years</v>
      </c>
    </row>
    <row r="403" spans="1:4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cm="1">
        <f t="array" ref="AJ403">_xlfn.SWITCH(CleanEmployeeData[[#This Row],[Education]],1,"Below College",2,"College",3,"Bachelor",4,"Master",5,"Doctor","Unknown")</f>
        <v>Bachelor</v>
      </c>
      <c r="AK403" t="str" cm="1">
        <f t="array" ref="AK403">_xlfn.SWITCH(CleanEmployeeData[[#This Row],[EnvironmentSatisfaction]],1,"Low",2,"Medium",3,"High",4,"Very High","Unknown")</f>
        <v>High</v>
      </c>
      <c r="AL403" t="str" cm="1">
        <f t="array" ref="AL403">_xlfn.SWITCH(CleanEmployeeData[[#This Row],[JobInvolvement]],1,"Low",2,"Medium",3,"High",4,"Very High","Unknown")</f>
        <v>Very High</v>
      </c>
      <c r="AM403" t="str" cm="1">
        <f t="array" ref="AM403">_xlfn.SWITCH(CleanEmployeeData[[#This Row],[JobSatisfaction]],1,"Low",2,"Medium",3,"High",4,"Very High","Unknown")</f>
        <v>Low</v>
      </c>
      <c r="AN403" t="str" cm="1">
        <f t="array" ref="AN403">_xlfn.SWITCH(CleanEmployeeData[[#This Row],[PerformanceRating]],1,"Low",2,"Good",3,"Excellent",4,"Outstanding","Unknown")</f>
        <v>Excellent</v>
      </c>
      <c r="AO403" t="str" cm="1">
        <f t="array" ref="AO403">_xlfn.SWITCH(CleanEmployeeData[[#This Row],[WorkLifeBalance]],1,"Bad",2,"Good",3,"Better",4,"Best","Unknown")</f>
        <v>Good</v>
      </c>
      <c r="AP403">
        <f>IF(CleanEmployeeData[[#This Row],[Attrition]]="Yes",1,IF(CleanEmployeeData[[#This Row],[Attrition]]="No",0,""))</f>
        <v>0</v>
      </c>
      <c r="AQ403" t="str" cm="1">
        <f t="array" ref="AQ403">_xlfn.IFS(CleanEmployeeData[[#This Row],[MonthlyIncome]]&lt;=3000,"0–3,000",CleanEmployeeData[[#This Row],[MonthlyIncome]]&lt;=6000,"3,001–6,000",CleanEmployeeData[[#This Row],[MonthlyIncome]]&lt;=10000,"6,001–10,000",TRUE,"10,001+")</f>
        <v>10,001+</v>
      </c>
      <c r="AR403" t="str" cm="1">
        <f t="array" ref="AR403">_xlfn.IFS(CleanEmployeeData[[#This Row],[DistanceFromHome]]&lt;=5,"0–5 miles",CleanEmployeeData[[#This Row],[DistanceFromHome]]&lt;=10,"6–10 miles",CleanEmployeeData[[#This Row],[DistanceFromHome]]&lt;=15,"11–15 miles",TRUE,"16+ miles")</f>
        <v>6–10 miles</v>
      </c>
      <c r="AS403" t="str" cm="1">
        <f t="array" ref="AS403">_xlfn.IFS(CleanEmployeeData[[#This Row],[YearsAtCompany]]&lt;=1,"0–1 years",CleanEmployeeData[[#This Row],[YearsAtCompany]]&lt;=5,"2–5 years",CleanEmployeeData[[#This Row],[YearsAtCompany]]&lt;=10,"6–10 years",TRUE,"11+ years")</f>
        <v>6–10 years</v>
      </c>
    </row>
    <row r="404" spans="1:4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cm="1">
        <f t="array" ref="AJ404">_xlfn.SWITCH(CleanEmployeeData[[#This Row],[Education]],1,"Below College",2,"College",3,"Bachelor",4,"Master",5,"Doctor","Unknown")</f>
        <v>Bachelor</v>
      </c>
      <c r="AK404" t="str" cm="1">
        <f t="array" ref="AK404">_xlfn.SWITCH(CleanEmployeeData[[#This Row],[EnvironmentSatisfaction]],1,"Low",2,"Medium",3,"High",4,"Very High","Unknown")</f>
        <v>Medium</v>
      </c>
      <c r="AL404" t="str" cm="1">
        <f t="array" ref="AL404">_xlfn.SWITCH(CleanEmployeeData[[#This Row],[JobInvolvement]],1,"Low",2,"Medium",3,"High",4,"Very High","Unknown")</f>
        <v>High</v>
      </c>
      <c r="AM404" t="str" cm="1">
        <f t="array" ref="AM404">_xlfn.SWITCH(CleanEmployeeData[[#This Row],[JobSatisfaction]],1,"Low",2,"Medium",3,"High",4,"Very High","Unknown")</f>
        <v>High</v>
      </c>
      <c r="AN404" t="str" cm="1">
        <f t="array" ref="AN404">_xlfn.SWITCH(CleanEmployeeData[[#This Row],[PerformanceRating]],1,"Low",2,"Good",3,"Excellent",4,"Outstanding","Unknown")</f>
        <v>Excellent</v>
      </c>
      <c r="AO404" t="str" cm="1">
        <f t="array" ref="AO404">_xlfn.SWITCH(CleanEmployeeData[[#This Row],[WorkLifeBalance]],1,"Bad",2,"Good",3,"Better",4,"Best","Unknown")</f>
        <v>Better</v>
      </c>
      <c r="AP404">
        <f>IF(CleanEmployeeData[[#This Row],[Attrition]]="Yes",1,IF(CleanEmployeeData[[#This Row],[Attrition]]="No",0,""))</f>
        <v>0</v>
      </c>
      <c r="AQ404" t="str" cm="1">
        <f t="array" ref="AQ404">_xlfn.IFS(CleanEmployeeData[[#This Row],[MonthlyIncome]]&lt;=3000,"0–3,000",CleanEmployeeData[[#This Row],[MonthlyIncome]]&lt;=6000,"3,001–6,000",CleanEmployeeData[[#This Row],[MonthlyIncome]]&lt;=10000,"6,001–10,000",TRUE,"10,001+")</f>
        <v>6,001–10,000</v>
      </c>
      <c r="AR404" t="str" cm="1">
        <f t="array" ref="AR404">_xlfn.IFS(CleanEmployeeData[[#This Row],[DistanceFromHome]]&lt;=5,"0–5 miles",CleanEmployeeData[[#This Row],[DistanceFromHome]]&lt;=10,"6–10 miles",CleanEmployeeData[[#This Row],[DistanceFromHome]]&lt;=15,"11–15 miles",TRUE,"16+ miles")</f>
        <v>11–15 miles</v>
      </c>
      <c r="AS404" t="str" cm="1">
        <f t="array" ref="AS404">_xlfn.IFS(CleanEmployeeData[[#This Row],[YearsAtCompany]]&lt;=1,"0–1 years",CleanEmployeeData[[#This Row],[YearsAtCompany]]&lt;=5,"2–5 years",CleanEmployeeData[[#This Row],[YearsAtCompany]]&lt;=10,"6–10 years",TRUE,"11+ years")</f>
        <v>2–5 years</v>
      </c>
    </row>
    <row r="405" spans="1:4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cm="1">
        <f t="array" ref="AJ405">_xlfn.SWITCH(CleanEmployeeData[[#This Row],[Education]],1,"Below College",2,"College",3,"Bachelor",4,"Master",5,"Doctor","Unknown")</f>
        <v>Bachelor</v>
      </c>
      <c r="AK405" t="str" cm="1">
        <f t="array" ref="AK405">_xlfn.SWITCH(CleanEmployeeData[[#This Row],[EnvironmentSatisfaction]],1,"Low",2,"Medium",3,"High",4,"Very High","Unknown")</f>
        <v>Medium</v>
      </c>
      <c r="AL405" t="str" cm="1">
        <f t="array" ref="AL405">_xlfn.SWITCH(CleanEmployeeData[[#This Row],[JobInvolvement]],1,"Low",2,"Medium",3,"High",4,"Very High","Unknown")</f>
        <v>Very High</v>
      </c>
      <c r="AM405" t="str" cm="1">
        <f t="array" ref="AM405">_xlfn.SWITCH(CleanEmployeeData[[#This Row],[JobSatisfaction]],1,"Low",2,"Medium",3,"High",4,"Very High","Unknown")</f>
        <v>Low</v>
      </c>
      <c r="AN405" t="str" cm="1">
        <f t="array" ref="AN405">_xlfn.SWITCH(CleanEmployeeData[[#This Row],[PerformanceRating]],1,"Low",2,"Good",3,"Excellent",4,"Outstanding","Unknown")</f>
        <v>Excellent</v>
      </c>
      <c r="AO405" t="str" cm="1">
        <f t="array" ref="AO405">_xlfn.SWITCH(CleanEmployeeData[[#This Row],[WorkLifeBalance]],1,"Bad",2,"Good",3,"Better",4,"Best","Unknown")</f>
        <v>Better</v>
      </c>
      <c r="AP405">
        <f>IF(CleanEmployeeData[[#This Row],[Attrition]]="Yes",1,IF(CleanEmployeeData[[#This Row],[Attrition]]="No",0,""))</f>
        <v>0</v>
      </c>
      <c r="AQ405" t="str" cm="1">
        <f t="array" ref="AQ405">_xlfn.IFS(CleanEmployeeData[[#This Row],[MonthlyIncome]]&lt;=3000,"0–3,000",CleanEmployeeData[[#This Row],[MonthlyIncome]]&lt;=6000,"3,001–6,000",CleanEmployeeData[[#This Row],[MonthlyIncome]]&lt;=10000,"6,001–10,000",TRUE,"10,001+")</f>
        <v>6,001–10,000</v>
      </c>
      <c r="AR405" t="str" cm="1">
        <f t="array" ref="AR405">_xlfn.IFS(CleanEmployeeData[[#This Row],[DistanceFromHome]]&lt;=5,"0–5 miles",CleanEmployeeData[[#This Row],[DistanceFromHome]]&lt;=10,"6–10 miles",CleanEmployeeData[[#This Row],[DistanceFromHome]]&lt;=15,"11–15 miles",TRUE,"16+ miles")</f>
        <v>0–5 miles</v>
      </c>
      <c r="AS405" t="str" cm="1">
        <f t="array" ref="AS405">_xlfn.IFS(CleanEmployeeData[[#This Row],[YearsAtCompany]]&lt;=1,"0–1 years",CleanEmployeeData[[#This Row],[YearsAtCompany]]&lt;=5,"2–5 years",CleanEmployeeData[[#This Row],[YearsAtCompany]]&lt;=10,"6–10 years",TRUE,"11+ years")</f>
        <v>6–10 years</v>
      </c>
    </row>
    <row r="406" spans="1:4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cm="1">
        <f t="array" ref="AJ406">_xlfn.SWITCH(CleanEmployeeData[[#This Row],[Education]],1,"Below College",2,"College",3,"Bachelor",4,"Master",5,"Doctor","Unknown")</f>
        <v>College</v>
      </c>
      <c r="AK406" t="str" cm="1">
        <f t="array" ref="AK406">_xlfn.SWITCH(CleanEmployeeData[[#This Row],[EnvironmentSatisfaction]],1,"Low",2,"Medium",3,"High",4,"Very High","Unknown")</f>
        <v>High</v>
      </c>
      <c r="AL406" t="str" cm="1">
        <f t="array" ref="AL406">_xlfn.SWITCH(CleanEmployeeData[[#This Row],[JobInvolvement]],1,"Low",2,"Medium",3,"High",4,"Very High","Unknown")</f>
        <v>High</v>
      </c>
      <c r="AM406" t="str" cm="1">
        <f t="array" ref="AM406">_xlfn.SWITCH(CleanEmployeeData[[#This Row],[JobSatisfaction]],1,"Low",2,"Medium",3,"High",4,"Very High","Unknown")</f>
        <v>Low</v>
      </c>
      <c r="AN406" t="str" cm="1">
        <f t="array" ref="AN406">_xlfn.SWITCH(CleanEmployeeData[[#This Row],[PerformanceRating]],1,"Low",2,"Good",3,"Excellent",4,"Outstanding","Unknown")</f>
        <v>Excellent</v>
      </c>
      <c r="AO406" t="str" cm="1">
        <f t="array" ref="AO406">_xlfn.SWITCH(CleanEmployeeData[[#This Row],[WorkLifeBalance]],1,"Bad",2,"Good",3,"Better",4,"Best","Unknown")</f>
        <v>Better</v>
      </c>
      <c r="AP406">
        <f>IF(CleanEmployeeData[[#This Row],[Attrition]]="Yes",1,IF(CleanEmployeeData[[#This Row],[Attrition]]="No",0,""))</f>
        <v>0</v>
      </c>
      <c r="AQ406" t="str" cm="1">
        <f t="array" ref="AQ406">_xlfn.IFS(CleanEmployeeData[[#This Row],[MonthlyIncome]]&lt;=3000,"0–3,000",CleanEmployeeData[[#This Row],[MonthlyIncome]]&lt;=6000,"3,001–6,000",CleanEmployeeData[[#This Row],[MonthlyIncome]]&lt;=10000,"6,001–10,000",TRUE,"10,001+")</f>
        <v>3,001–6,000</v>
      </c>
      <c r="AR406" t="str" cm="1">
        <f t="array" ref="AR406">_xlfn.IFS(CleanEmployeeData[[#This Row],[DistanceFromHome]]&lt;=5,"0–5 miles",CleanEmployeeData[[#This Row],[DistanceFromHome]]&lt;=10,"6–10 miles",CleanEmployeeData[[#This Row],[DistanceFromHome]]&lt;=15,"11–15 miles",TRUE,"16+ miles")</f>
        <v>16+ miles</v>
      </c>
      <c r="AS406" t="str" cm="1">
        <f t="array" ref="AS406">_xlfn.IFS(CleanEmployeeData[[#This Row],[YearsAtCompany]]&lt;=1,"0–1 years",CleanEmployeeData[[#This Row],[YearsAtCompany]]&lt;=5,"2–5 years",CleanEmployeeData[[#This Row],[YearsAtCompany]]&lt;=10,"6–10 years",TRUE,"11+ years")</f>
        <v>6–10 years</v>
      </c>
    </row>
    <row r="407" spans="1:4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cm="1">
        <f t="array" ref="AJ407">_xlfn.SWITCH(CleanEmployeeData[[#This Row],[Education]],1,"Below College",2,"College",3,"Bachelor",4,"Master",5,"Doctor","Unknown")</f>
        <v>Bachelor</v>
      </c>
      <c r="AK407" t="str" cm="1">
        <f t="array" ref="AK407">_xlfn.SWITCH(CleanEmployeeData[[#This Row],[EnvironmentSatisfaction]],1,"Low",2,"Medium",3,"High",4,"Very High","Unknown")</f>
        <v>Low</v>
      </c>
      <c r="AL407" t="str" cm="1">
        <f t="array" ref="AL407">_xlfn.SWITCH(CleanEmployeeData[[#This Row],[JobInvolvement]],1,"Low",2,"Medium",3,"High",4,"Very High","Unknown")</f>
        <v>High</v>
      </c>
      <c r="AM407" t="str" cm="1">
        <f t="array" ref="AM407">_xlfn.SWITCH(CleanEmployeeData[[#This Row],[JobSatisfaction]],1,"Low",2,"Medium",3,"High",4,"Very High","Unknown")</f>
        <v>Low</v>
      </c>
      <c r="AN407" t="str" cm="1">
        <f t="array" ref="AN407">_xlfn.SWITCH(CleanEmployeeData[[#This Row],[PerformanceRating]],1,"Low",2,"Good",3,"Excellent",4,"Outstanding","Unknown")</f>
        <v>Excellent</v>
      </c>
      <c r="AO407" t="str" cm="1">
        <f t="array" ref="AO407">_xlfn.SWITCH(CleanEmployeeData[[#This Row],[WorkLifeBalance]],1,"Bad",2,"Good",3,"Better",4,"Best","Unknown")</f>
        <v>Better</v>
      </c>
      <c r="AP407">
        <f>IF(CleanEmployeeData[[#This Row],[Attrition]]="Yes",1,IF(CleanEmployeeData[[#This Row],[Attrition]]="No",0,""))</f>
        <v>1</v>
      </c>
      <c r="AQ407" t="str" cm="1">
        <f t="array" ref="AQ407">_xlfn.IFS(CleanEmployeeData[[#This Row],[MonthlyIncome]]&lt;=3000,"0–3,000",CleanEmployeeData[[#This Row],[MonthlyIncome]]&lt;=6000,"3,001–6,000",CleanEmployeeData[[#This Row],[MonthlyIncome]]&lt;=10000,"6,001–10,000",TRUE,"10,001+")</f>
        <v>3,001–6,000</v>
      </c>
      <c r="AR407" t="str" cm="1">
        <f t="array" ref="AR407">_xlfn.IFS(CleanEmployeeData[[#This Row],[DistanceFromHome]]&lt;=5,"0–5 miles",CleanEmployeeData[[#This Row],[DistanceFromHome]]&lt;=10,"6–10 miles",CleanEmployeeData[[#This Row],[DistanceFromHome]]&lt;=15,"11–15 miles",TRUE,"16+ miles")</f>
        <v>0–5 miles</v>
      </c>
      <c r="AS407" t="str" cm="1">
        <f t="array" ref="AS407">_xlfn.IFS(CleanEmployeeData[[#This Row],[YearsAtCompany]]&lt;=1,"0–1 years",CleanEmployeeData[[#This Row],[YearsAtCompany]]&lt;=5,"2–5 years",CleanEmployeeData[[#This Row],[YearsAtCompany]]&lt;=10,"6–10 years",TRUE,"11+ years")</f>
        <v>2–5 years</v>
      </c>
    </row>
    <row r="408" spans="1:4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cm="1">
        <f t="array" ref="AJ408">_xlfn.SWITCH(CleanEmployeeData[[#This Row],[Education]],1,"Below College",2,"College",3,"Bachelor",4,"Master",5,"Doctor","Unknown")</f>
        <v>Bachelor</v>
      </c>
      <c r="AK408" t="str" cm="1">
        <f t="array" ref="AK408">_xlfn.SWITCH(CleanEmployeeData[[#This Row],[EnvironmentSatisfaction]],1,"Low",2,"Medium",3,"High",4,"Very High","Unknown")</f>
        <v>Very High</v>
      </c>
      <c r="AL408" t="str" cm="1">
        <f t="array" ref="AL408">_xlfn.SWITCH(CleanEmployeeData[[#This Row],[JobInvolvement]],1,"Low",2,"Medium",3,"High",4,"Very High","Unknown")</f>
        <v>Medium</v>
      </c>
      <c r="AM408" t="str" cm="1">
        <f t="array" ref="AM408">_xlfn.SWITCH(CleanEmployeeData[[#This Row],[JobSatisfaction]],1,"Low",2,"Medium",3,"High",4,"Very High","Unknown")</f>
        <v>High</v>
      </c>
      <c r="AN408" t="str" cm="1">
        <f t="array" ref="AN408">_xlfn.SWITCH(CleanEmployeeData[[#This Row],[PerformanceRating]],1,"Low",2,"Good",3,"Excellent",4,"Outstanding","Unknown")</f>
        <v>Excellent</v>
      </c>
      <c r="AO408" t="str" cm="1">
        <f t="array" ref="AO408">_xlfn.SWITCH(CleanEmployeeData[[#This Row],[WorkLifeBalance]],1,"Bad",2,"Good",3,"Better",4,"Best","Unknown")</f>
        <v>Better</v>
      </c>
      <c r="AP408">
        <f>IF(CleanEmployeeData[[#This Row],[Attrition]]="Yes",1,IF(CleanEmployeeData[[#This Row],[Attrition]]="No",0,""))</f>
        <v>0</v>
      </c>
      <c r="AQ408" t="str" cm="1">
        <f t="array" ref="AQ408">_xlfn.IFS(CleanEmployeeData[[#This Row],[MonthlyIncome]]&lt;=3000,"0–3,000",CleanEmployeeData[[#This Row],[MonthlyIncome]]&lt;=6000,"3,001–6,000",CleanEmployeeData[[#This Row],[MonthlyIncome]]&lt;=10000,"6,001–10,000",TRUE,"10,001+")</f>
        <v>6,001–10,000</v>
      </c>
      <c r="AR408" t="str" cm="1">
        <f t="array" ref="AR408">_xlfn.IFS(CleanEmployeeData[[#This Row],[DistanceFromHome]]&lt;=5,"0–5 miles",CleanEmployeeData[[#This Row],[DistanceFromHome]]&lt;=10,"6–10 miles",CleanEmployeeData[[#This Row],[DistanceFromHome]]&lt;=15,"11–15 miles",TRUE,"16+ miles")</f>
        <v>0–5 miles</v>
      </c>
      <c r="AS408" t="str" cm="1">
        <f t="array" ref="AS408">_xlfn.IFS(CleanEmployeeData[[#This Row],[YearsAtCompany]]&lt;=1,"0–1 years",CleanEmployeeData[[#This Row],[YearsAtCompany]]&lt;=5,"2–5 years",CleanEmployeeData[[#This Row],[YearsAtCompany]]&lt;=10,"6–10 years",TRUE,"11+ years")</f>
        <v>2–5 years</v>
      </c>
    </row>
    <row r="409" spans="1:4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cm="1">
        <f t="array" ref="AJ409">_xlfn.SWITCH(CleanEmployeeData[[#This Row],[Education]],1,"Below College",2,"College",3,"Bachelor",4,"Master",5,"Doctor","Unknown")</f>
        <v>College</v>
      </c>
      <c r="AK409" t="str" cm="1">
        <f t="array" ref="AK409">_xlfn.SWITCH(CleanEmployeeData[[#This Row],[EnvironmentSatisfaction]],1,"Low",2,"Medium",3,"High",4,"Very High","Unknown")</f>
        <v>Low</v>
      </c>
      <c r="AL409" t="str" cm="1">
        <f t="array" ref="AL409">_xlfn.SWITCH(CleanEmployeeData[[#This Row],[JobInvolvement]],1,"Low",2,"Medium",3,"High",4,"Very High","Unknown")</f>
        <v>High</v>
      </c>
      <c r="AM409" t="str" cm="1">
        <f t="array" ref="AM409">_xlfn.SWITCH(CleanEmployeeData[[#This Row],[JobSatisfaction]],1,"Low",2,"Medium",3,"High",4,"Very High","Unknown")</f>
        <v>Very High</v>
      </c>
      <c r="AN409" t="str" cm="1">
        <f t="array" ref="AN409">_xlfn.SWITCH(CleanEmployeeData[[#This Row],[PerformanceRating]],1,"Low",2,"Good",3,"Excellent",4,"Outstanding","Unknown")</f>
        <v>Outstanding</v>
      </c>
      <c r="AO409" t="str" cm="1">
        <f t="array" ref="AO409">_xlfn.SWITCH(CleanEmployeeData[[#This Row],[WorkLifeBalance]],1,"Bad",2,"Good",3,"Better",4,"Best","Unknown")</f>
        <v>Good</v>
      </c>
      <c r="AP409">
        <f>IF(CleanEmployeeData[[#This Row],[Attrition]]="Yes",1,IF(CleanEmployeeData[[#This Row],[Attrition]]="No",0,""))</f>
        <v>0</v>
      </c>
      <c r="AQ409" t="str" cm="1">
        <f t="array" ref="AQ409">_xlfn.IFS(CleanEmployeeData[[#This Row],[MonthlyIncome]]&lt;=3000,"0–3,000",CleanEmployeeData[[#This Row],[MonthlyIncome]]&lt;=6000,"3,001–6,000",CleanEmployeeData[[#This Row],[MonthlyIncome]]&lt;=10000,"6,001–10,000",TRUE,"10,001+")</f>
        <v>0–3,000</v>
      </c>
      <c r="AR409" t="str" cm="1">
        <f t="array" ref="AR409">_xlfn.IFS(CleanEmployeeData[[#This Row],[DistanceFromHome]]&lt;=5,"0–5 miles",CleanEmployeeData[[#This Row],[DistanceFromHome]]&lt;=10,"6–10 miles",CleanEmployeeData[[#This Row],[DistanceFromHome]]&lt;=15,"11–15 miles",TRUE,"16+ miles")</f>
        <v>6–10 miles</v>
      </c>
      <c r="AS409" t="str" cm="1">
        <f t="array" ref="AS409">_xlfn.IFS(CleanEmployeeData[[#This Row],[YearsAtCompany]]&lt;=1,"0–1 years",CleanEmployeeData[[#This Row],[YearsAtCompany]]&lt;=5,"2–5 years",CleanEmployeeData[[#This Row],[YearsAtCompany]]&lt;=10,"6–10 years",TRUE,"11+ years")</f>
        <v>2–5 years</v>
      </c>
    </row>
    <row r="410" spans="1:4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cm="1">
        <f t="array" ref="AJ410">_xlfn.SWITCH(CleanEmployeeData[[#This Row],[Education]],1,"Below College",2,"College",3,"Bachelor",4,"Master",5,"Doctor","Unknown")</f>
        <v>College</v>
      </c>
      <c r="AK410" t="str" cm="1">
        <f t="array" ref="AK410">_xlfn.SWITCH(CleanEmployeeData[[#This Row],[EnvironmentSatisfaction]],1,"Low",2,"Medium",3,"High",4,"Very High","Unknown")</f>
        <v>Very High</v>
      </c>
      <c r="AL410" t="str" cm="1">
        <f t="array" ref="AL410">_xlfn.SWITCH(CleanEmployeeData[[#This Row],[JobInvolvement]],1,"Low",2,"Medium",3,"High",4,"Very High","Unknown")</f>
        <v>High</v>
      </c>
      <c r="AM410" t="str" cm="1">
        <f t="array" ref="AM410">_xlfn.SWITCH(CleanEmployeeData[[#This Row],[JobSatisfaction]],1,"Low",2,"Medium",3,"High",4,"Very High","Unknown")</f>
        <v>Very High</v>
      </c>
      <c r="AN410" t="str" cm="1">
        <f t="array" ref="AN410">_xlfn.SWITCH(CleanEmployeeData[[#This Row],[PerformanceRating]],1,"Low",2,"Good",3,"Excellent",4,"Outstanding","Unknown")</f>
        <v>Excellent</v>
      </c>
      <c r="AO410" t="str" cm="1">
        <f t="array" ref="AO410">_xlfn.SWITCH(CleanEmployeeData[[#This Row],[WorkLifeBalance]],1,"Bad",2,"Good",3,"Better",4,"Best","Unknown")</f>
        <v>Bad</v>
      </c>
      <c r="AP410">
        <f>IF(CleanEmployeeData[[#This Row],[Attrition]]="Yes",1,IF(CleanEmployeeData[[#This Row],[Attrition]]="No",0,""))</f>
        <v>0</v>
      </c>
      <c r="AQ410" t="str" cm="1">
        <f t="array" ref="AQ410">_xlfn.IFS(CleanEmployeeData[[#This Row],[MonthlyIncome]]&lt;=3000,"0–3,000",CleanEmployeeData[[#This Row],[MonthlyIncome]]&lt;=6000,"3,001–6,000",CleanEmployeeData[[#This Row],[MonthlyIncome]]&lt;=10000,"6,001–10,000",TRUE,"10,001+")</f>
        <v>10,001+</v>
      </c>
      <c r="AR410" t="str" cm="1">
        <f t="array" ref="AR410">_xlfn.IFS(CleanEmployeeData[[#This Row],[DistanceFromHome]]&lt;=5,"0–5 miles",CleanEmployeeData[[#This Row],[DistanceFromHome]]&lt;=10,"6–10 miles",CleanEmployeeData[[#This Row],[DistanceFromHome]]&lt;=15,"11–15 miles",TRUE,"16+ miles")</f>
        <v>0–5 miles</v>
      </c>
      <c r="AS410" t="str" cm="1">
        <f t="array" ref="AS410">_xlfn.IFS(CleanEmployeeData[[#This Row],[YearsAtCompany]]&lt;=1,"0–1 years",CleanEmployeeData[[#This Row],[YearsAtCompany]]&lt;=5,"2–5 years",CleanEmployeeData[[#This Row],[YearsAtCompany]]&lt;=10,"6–10 years",TRUE,"11+ years")</f>
        <v>2–5 years</v>
      </c>
    </row>
    <row r="411" spans="1:4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cm="1">
        <f t="array" ref="AJ411">_xlfn.SWITCH(CleanEmployeeData[[#This Row],[Education]],1,"Below College",2,"College",3,"Bachelor",4,"Master",5,"Doctor","Unknown")</f>
        <v>College</v>
      </c>
      <c r="AK411" t="str" cm="1">
        <f t="array" ref="AK411">_xlfn.SWITCH(CleanEmployeeData[[#This Row],[EnvironmentSatisfaction]],1,"Low",2,"Medium",3,"High",4,"Very High","Unknown")</f>
        <v>Low</v>
      </c>
      <c r="AL411" t="str" cm="1">
        <f t="array" ref="AL411">_xlfn.SWITCH(CleanEmployeeData[[#This Row],[JobInvolvement]],1,"Low",2,"Medium",3,"High",4,"Very High","Unknown")</f>
        <v>High</v>
      </c>
      <c r="AM411" t="str" cm="1">
        <f t="array" ref="AM411">_xlfn.SWITCH(CleanEmployeeData[[#This Row],[JobSatisfaction]],1,"Low",2,"Medium",3,"High",4,"Very High","Unknown")</f>
        <v>High</v>
      </c>
      <c r="AN411" t="str" cm="1">
        <f t="array" ref="AN411">_xlfn.SWITCH(CleanEmployeeData[[#This Row],[PerformanceRating]],1,"Low",2,"Good",3,"Excellent",4,"Outstanding","Unknown")</f>
        <v>Excellent</v>
      </c>
      <c r="AO411" t="str" cm="1">
        <f t="array" ref="AO411">_xlfn.SWITCH(CleanEmployeeData[[#This Row],[WorkLifeBalance]],1,"Bad",2,"Good",3,"Better",4,"Best","Unknown")</f>
        <v>Better</v>
      </c>
      <c r="AP411">
        <f>IF(CleanEmployeeData[[#This Row],[Attrition]]="Yes",1,IF(CleanEmployeeData[[#This Row],[Attrition]]="No",0,""))</f>
        <v>0</v>
      </c>
      <c r="AQ411" t="str" cm="1">
        <f t="array" ref="AQ411">_xlfn.IFS(CleanEmployeeData[[#This Row],[MonthlyIncome]]&lt;=3000,"0–3,000",CleanEmployeeData[[#This Row],[MonthlyIncome]]&lt;=6000,"3,001–6,000",CleanEmployeeData[[#This Row],[MonthlyIncome]]&lt;=10000,"6,001–10,000",TRUE,"10,001+")</f>
        <v>3,001–6,000</v>
      </c>
      <c r="AR411" t="str" cm="1">
        <f t="array" ref="AR411">_xlfn.IFS(CleanEmployeeData[[#This Row],[DistanceFromHome]]&lt;=5,"0–5 miles",CleanEmployeeData[[#This Row],[DistanceFromHome]]&lt;=10,"6–10 miles",CleanEmployeeData[[#This Row],[DistanceFromHome]]&lt;=15,"11–15 miles",TRUE,"16+ miles")</f>
        <v>16+ miles</v>
      </c>
      <c r="AS411" t="str" cm="1">
        <f t="array" ref="AS411">_xlfn.IFS(CleanEmployeeData[[#This Row],[YearsAtCompany]]&lt;=1,"0–1 years",CleanEmployeeData[[#This Row],[YearsAtCompany]]&lt;=5,"2–5 years",CleanEmployeeData[[#This Row],[YearsAtCompany]]&lt;=10,"6–10 years",TRUE,"11+ years")</f>
        <v>2–5 years</v>
      </c>
    </row>
    <row r="412" spans="1:4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cm="1">
        <f t="array" ref="AJ412">_xlfn.SWITCH(CleanEmployeeData[[#This Row],[Education]],1,"Below College",2,"College",3,"Bachelor",4,"Master",5,"Doctor","Unknown")</f>
        <v>Bachelor</v>
      </c>
      <c r="AK412" t="str" cm="1">
        <f t="array" ref="AK412">_xlfn.SWITCH(CleanEmployeeData[[#This Row],[EnvironmentSatisfaction]],1,"Low",2,"Medium",3,"High",4,"Very High","Unknown")</f>
        <v>High</v>
      </c>
      <c r="AL412" t="str" cm="1">
        <f t="array" ref="AL412">_xlfn.SWITCH(CleanEmployeeData[[#This Row],[JobInvolvement]],1,"Low",2,"Medium",3,"High",4,"Very High","Unknown")</f>
        <v>Low</v>
      </c>
      <c r="AM412" t="str" cm="1">
        <f t="array" ref="AM412">_xlfn.SWITCH(CleanEmployeeData[[#This Row],[JobSatisfaction]],1,"Low",2,"Medium",3,"High",4,"Very High","Unknown")</f>
        <v>Very High</v>
      </c>
      <c r="AN412" t="str" cm="1">
        <f t="array" ref="AN412">_xlfn.SWITCH(CleanEmployeeData[[#This Row],[PerformanceRating]],1,"Low",2,"Good",3,"Excellent",4,"Outstanding","Unknown")</f>
        <v>Outstanding</v>
      </c>
      <c r="AO412" t="str" cm="1">
        <f t="array" ref="AO412">_xlfn.SWITCH(CleanEmployeeData[[#This Row],[WorkLifeBalance]],1,"Bad",2,"Good",3,"Better",4,"Best","Unknown")</f>
        <v>Better</v>
      </c>
      <c r="AP412">
        <f>IF(CleanEmployeeData[[#This Row],[Attrition]]="Yes",1,IF(CleanEmployeeData[[#This Row],[Attrition]]="No",0,""))</f>
        <v>0</v>
      </c>
      <c r="AQ412" t="str" cm="1">
        <f t="array" ref="AQ412">_xlfn.IFS(CleanEmployeeData[[#This Row],[MonthlyIncome]]&lt;=3000,"0–3,000",CleanEmployeeData[[#This Row],[MonthlyIncome]]&lt;=6000,"3,001–6,000",CleanEmployeeData[[#This Row],[MonthlyIncome]]&lt;=10000,"6,001–10,000",TRUE,"10,001+")</f>
        <v>6,001–10,000</v>
      </c>
      <c r="AR412" t="str" cm="1">
        <f t="array" ref="AR412">_xlfn.IFS(CleanEmployeeData[[#This Row],[DistanceFromHome]]&lt;=5,"0–5 miles",CleanEmployeeData[[#This Row],[DistanceFromHome]]&lt;=10,"6–10 miles",CleanEmployeeData[[#This Row],[DistanceFromHome]]&lt;=15,"11–15 miles",TRUE,"16+ miles")</f>
        <v>0–5 miles</v>
      </c>
      <c r="AS412" t="str" cm="1">
        <f t="array" ref="AS412">_xlfn.IFS(CleanEmployeeData[[#This Row],[YearsAtCompany]]&lt;=1,"0–1 years",CleanEmployeeData[[#This Row],[YearsAtCompany]]&lt;=5,"2–5 years",CleanEmployeeData[[#This Row],[YearsAtCompany]]&lt;=10,"6–10 years",TRUE,"11+ years")</f>
        <v>2–5 years</v>
      </c>
    </row>
    <row r="413" spans="1:4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cm="1">
        <f t="array" ref="AJ413">_xlfn.SWITCH(CleanEmployeeData[[#This Row],[Education]],1,"Below College",2,"College",3,"Bachelor",4,"Master",5,"Doctor","Unknown")</f>
        <v>Bachelor</v>
      </c>
      <c r="AK413" t="str" cm="1">
        <f t="array" ref="AK413">_xlfn.SWITCH(CleanEmployeeData[[#This Row],[EnvironmentSatisfaction]],1,"Low",2,"Medium",3,"High",4,"Very High","Unknown")</f>
        <v>Low</v>
      </c>
      <c r="AL413" t="str" cm="1">
        <f t="array" ref="AL413">_xlfn.SWITCH(CleanEmployeeData[[#This Row],[JobInvolvement]],1,"Low",2,"Medium",3,"High",4,"Very High","Unknown")</f>
        <v>High</v>
      </c>
      <c r="AM413" t="str" cm="1">
        <f t="array" ref="AM413">_xlfn.SWITCH(CleanEmployeeData[[#This Row],[JobSatisfaction]],1,"Low",2,"Medium",3,"High",4,"Very High","Unknown")</f>
        <v>Low</v>
      </c>
      <c r="AN413" t="str" cm="1">
        <f t="array" ref="AN413">_xlfn.SWITCH(CleanEmployeeData[[#This Row],[PerformanceRating]],1,"Low",2,"Good",3,"Excellent",4,"Outstanding","Unknown")</f>
        <v>Excellent</v>
      </c>
      <c r="AO413" t="str" cm="1">
        <f t="array" ref="AO413">_xlfn.SWITCH(CleanEmployeeData[[#This Row],[WorkLifeBalance]],1,"Bad",2,"Good",3,"Better",4,"Best","Unknown")</f>
        <v>Bad</v>
      </c>
      <c r="AP413">
        <f>IF(CleanEmployeeData[[#This Row],[Attrition]]="Yes",1,IF(CleanEmployeeData[[#This Row],[Attrition]]="No",0,""))</f>
        <v>0</v>
      </c>
      <c r="AQ413" t="str" cm="1">
        <f t="array" ref="AQ413">_xlfn.IFS(CleanEmployeeData[[#This Row],[MonthlyIncome]]&lt;=3000,"0–3,000",CleanEmployeeData[[#This Row],[MonthlyIncome]]&lt;=6000,"3,001–6,000",CleanEmployeeData[[#This Row],[MonthlyIncome]]&lt;=10000,"6,001–10,000",TRUE,"10,001+")</f>
        <v>10,001+</v>
      </c>
      <c r="AR413" t="str" cm="1">
        <f t="array" ref="AR413">_xlfn.IFS(CleanEmployeeData[[#This Row],[DistanceFromHome]]&lt;=5,"0–5 miles",CleanEmployeeData[[#This Row],[DistanceFromHome]]&lt;=10,"6–10 miles",CleanEmployeeData[[#This Row],[DistanceFromHome]]&lt;=15,"11–15 miles",TRUE,"16+ miles")</f>
        <v>6–10 miles</v>
      </c>
      <c r="AS413" t="str" cm="1">
        <f t="array" ref="AS413">_xlfn.IFS(CleanEmployeeData[[#This Row],[YearsAtCompany]]&lt;=1,"0–1 years",CleanEmployeeData[[#This Row],[YearsAtCompany]]&lt;=5,"2–5 years",CleanEmployeeData[[#This Row],[YearsAtCompany]]&lt;=10,"6–10 years",TRUE,"11+ years")</f>
        <v>11+ years</v>
      </c>
    </row>
    <row r="414" spans="1:4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cm="1">
        <f t="array" ref="AJ414">_xlfn.SWITCH(CleanEmployeeData[[#This Row],[Education]],1,"Below College",2,"College",3,"Bachelor",4,"Master",5,"Doctor","Unknown")</f>
        <v>Bachelor</v>
      </c>
      <c r="AK414" t="str" cm="1">
        <f t="array" ref="AK414">_xlfn.SWITCH(CleanEmployeeData[[#This Row],[EnvironmentSatisfaction]],1,"Low",2,"Medium",3,"High",4,"Very High","Unknown")</f>
        <v>High</v>
      </c>
      <c r="AL414" t="str" cm="1">
        <f t="array" ref="AL414">_xlfn.SWITCH(CleanEmployeeData[[#This Row],[JobInvolvement]],1,"Low",2,"Medium",3,"High",4,"Very High","Unknown")</f>
        <v>High</v>
      </c>
      <c r="AM414" t="str" cm="1">
        <f t="array" ref="AM414">_xlfn.SWITCH(CleanEmployeeData[[#This Row],[JobSatisfaction]],1,"Low",2,"Medium",3,"High",4,"Very High","Unknown")</f>
        <v>High</v>
      </c>
      <c r="AN414" t="str" cm="1">
        <f t="array" ref="AN414">_xlfn.SWITCH(CleanEmployeeData[[#This Row],[PerformanceRating]],1,"Low",2,"Good",3,"Excellent",4,"Outstanding","Unknown")</f>
        <v>Excellent</v>
      </c>
      <c r="AO414" t="str" cm="1">
        <f t="array" ref="AO414">_xlfn.SWITCH(CleanEmployeeData[[#This Row],[WorkLifeBalance]],1,"Bad",2,"Good",3,"Better",4,"Best","Unknown")</f>
        <v>Good</v>
      </c>
      <c r="AP414">
        <f>IF(CleanEmployeeData[[#This Row],[Attrition]]="Yes",1,IF(CleanEmployeeData[[#This Row],[Attrition]]="No",0,""))</f>
        <v>0</v>
      </c>
      <c r="AQ414" t="str" cm="1">
        <f t="array" ref="AQ414">_xlfn.IFS(CleanEmployeeData[[#This Row],[MonthlyIncome]]&lt;=3000,"0–3,000",CleanEmployeeData[[#This Row],[MonthlyIncome]]&lt;=6000,"3,001–6,000",CleanEmployeeData[[#This Row],[MonthlyIncome]]&lt;=10000,"6,001–10,000",TRUE,"10,001+")</f>
        <v>3,001–6,000</v>
      </c>
      <c r="AR414" t="str" cm="1">
        <f t="array" ref="AR414">_xlfn.IFS(CleanEmployeeData[[#This Row],[DistanceFromHome]]&lt;=5,"0–5 miles",CleanEmployeeData[[#This Row],[DistanceFromHome]]&lt;=10,"6–10 miles",CleanEmployeeData[[#This Row],[DistanceFromHome]]&lt;=15,"11–15 miles",TRUE,"16+ miles")</f>
        <v>16+ miles</v>
      </c>
      <c r="AS414" t="str" cm="1">
        <f t="array" ref="AS414">_xlfn.IFS(CleanEmployeeData[[#This Row],[YearsAtCompany]]&lt;=1,"0–1 years",CleanEmployeeData[[#This Row],[YearsAtCompany]]&lt;=5,"2–5 years",CleanEmployeeData[[#This Row],[YearsAtCompany]]&lt;=10,"6–10 years",TRUE,"11+ years")</f>
        <v>6–10 years</v>
      </c>
    </row>
    <row r="415" spans="1:4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cm="1">
        <f t="array" ref="AJ415">_xlfn.SWITCH(CleanEmployeeData[[#This Row],[Education]],1,"Below College",2,"College",3,"Bachelor",4,"Master",5,"Doctor","Unknown")</f>
        <v>Master</v>
      </c>
      <c r="AK415" t="str" cm="1">
        <f t="array" ref="AK415">_xlfn.SWITCH(CleanEmployeeData[[#This Row],[EnvironmentSatisfaction]],1,"Low",2,"Medium",3,"High",4,"Very High","Unknown")</f>
        <v>Very High</v>
      </c>
      <c r="AL415" t="str" cm="1">
        <f t="array" ref="AL415">_xlfn.SWITCH(CleanEmployeeData[[#This Row],[JobInvolvement]],1,"Low",2,"Medium",3,"High",4,"Very High","Unknown")</f>
        <v>Medium</v>
      </c>
      <c r="AM415" t="str" cm="1">
        <f t="array" ref="AM415">_xlfn.SWITCH(CleanEmployeeData[[#This Row],[JobSatisfaction]],1,"Low",2,"Medium",3,"High",4,"Very High","Unknown")</f>
        <v>Very High</v>
      </c>
      <c r="AN415" t="str" cm="1">
        <f t="array" ref="AN415">_xlfn.SWITCH(CleanEmployeeData[[#This Row],[PerformanceRating]],1,"Low",2,"Good",3,"Excellent",4,"Outstanding","Unknown")</f>
        <v>Excellent</v>
      </c>
      <c r="AO415" t="str" cm="1">
        <f t="array" ref="AO415">_xlfn.SWITCH(CleanEmployeeData[[#This Row],[WorkLifeBalance]],1,"Bad",2,"Good",3,"Better",4,"Best","Unknown")</f>
        <v>Best</v>
      </c>
      <c r="AP415">
        <f>IF(CleanEmployeeData[[#This Row],[Attrition]]="Yes",1,IF(CleanEmployeeData[[#This Row],[Attrition]]="No",0,""))</f>
        <v>0</v>
      </c>
      <c r="AQ415" t="str" cm="1">
        <f t="array" ref="AQ415">_xlfn.IFS(CleanEmployeeData[[#This Row],[MonthlyIncome]]&lt;=3000,"0–3,000",CleanEmployeeData[[#This Row],[MonthlyIncome]]&lt;=6000,"3,001–6,000",CleanEmployeeData[[#This Row],[MonthlyIncome]]&lt;=10000,"6,001–10,000",TRUE,"10,001+")</f>
        <v>3,001–6,000</v>
      </c>
      <c r="AR415" t="str" cm="1">
        <f t="array" ref="AR415">_xlfn.IFS(CleanEmployeeData[[#This Row],[DistanceFromHome]]&lt;=5,"0–5 miles",CleanEmployeeData[[#This Row],[DistanceFromHome]]&lt;=10,"6–10 miles",CleanEmployeeData[[#This Row],[DistanceFromHome]]&lt;=15,"11–15 miles",TRUE,"16+ miles")</f>
        <v>16+ miles</v>
      </c>
      <c r="AS415" t="str" cm="1">
        <f t="array" ref="AS415">_xlfn.IFS(CleanEmployeeData[[#This Row],[YearsAtCompany]]&lt;=1,"0–1 years",CleanEmployeeData[[#This Row],[YearsAtCompany]]&lt;=5,"2–5 years",CleanEmployeeData[[#This Row],[YearsAtCompany]]&lt;=10,"6–10 years",TRUE,"11+ years")</f>
        <v>6–10 years</v>
      </c>
    </row>
    <row r="416" spans="1:4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cm="1">
        <f t="array" ref="AJ416">_xlfn.SWITCH(CleanEmployeeData[[#This Row],[Education]],1,"Below College",2,"College",3,"Bachelor",4,"Master",5,"Doctor","Unknown")</f>
        <v>Below College</v>
      </c>
      <c r="AK416" t="str" cm="1">
        <f t="array" ref="AK416">_xlfn.SWITCH(CleanEmployeeData[[#This Row],[EnvironmentSatisfaction]],1,"Low",2,"Medium",3,"High",4,"Very High","Unknown")</f>
        <v>Low</v>
      </c>
      <c r="AL416" t="str" cm="1">
        <f t="array" ref="AL416">_xlfn.SWITCH(CleanEmployeeData[[#This Row],[JobInvolvement]],1,"Low",2,"Medium",3,"High",4,"Very High","Unknown")</f>
        <v>High</v>
      </c>
      <c r="AM416" t="str" cm="1">
        <f t="array" ref="AM416">_xlfn.SWITCH(CleanEmployeeData[[#This Row],[JobSatisfaction]],1,"Low",2,"Medium",3,"High",4,"Very High","Unknown")</f>
        <v>Medium</v>
      </c>
      <c r="AN416" t="str" cm="1">
        <f t="array" ref="AN416">_xlfn.SWITCH(CleanEmployeeData[[#This Row],[PerformanceRating]],1,"Low",2,"Good",3,"Excellent",4,"Outstanding","Unknown")</f>
        <v>Excellent</v>
      </c>
      <c r="AO416" t="str" cm="1">
        <f t="array" ref="AO416">_xlfn.SWITCH(CleanEmployeeData[[#This Row],[WorkLifeBalance]],1,"Bad",2,"Good",3,"Better",4,"Best","Unknown")</f>
        <v>Better</v>
      </c>
      <c r="AP416">
        <f>IF(CleanEmployeeData[[#This Row],[Attrition]]="Yes",1,IF(CleanEmployeeData[[#This Row],[Attrition]]="No",0,""))</f>
        <v>1</v>
      </c>
      <c r="AQ416" t="str" cm="1">
        <f t="array" ref="AQ416">_xlfn.IFS(CleanEmployeeData[[#This Row],[MonthlyIncome]]&lt;=3000,"0–3,000",CleanEmployeeData[[#This Row],[MonthlyIncome]]&lt;=6000,"3,001–6,000",CleanEmployeeData[[#This Row],[MonthlyIncome]]&lt;=10000,"6,001–10,000",TRUE,"10,001+")</f>
        <v>3,001–6,000</v>
      </c>
      <c r="AR416" t="str" cm="1">
        <f t="array" ref="AR416">_xlfn.IFS(CleanEmployeeData[[#This Row],[DistanceFromHome]]&lt;=5,"0–5 miles",CleanEmployeeData[[#This Row],[DistanceFromHome]]&lt;=10,"6–10 miles",CleanEmployeeData[[#This Row],[DistanceFromHome]]&lt;=15,"11–15 miles",TRUE,"16+ miles")</f>
        <v>0–5 miles</v>
      </c>
      <c r="AS416" t="str" cm="1">
        <f t="array" ref="AS416">_xlfn.IFS(CleanEmployeeData[[#This Row],[YearsAtCompany]]&lt;=1,"0–1 years",CleanEmployeeData[[#This Row],[YearsAtCompany]]&lt;=5,"2–5 years",CleanEmployeeData[[#This Row],[YearsAtCompany]]&lt;=10,"6–10 years",TRUE,"11+ years")</f>
        <v>2–5 years</v>
      </c>
    </row>
    <row r="417" spans="1:4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cm="1">
        <f t="array" ref="AJ417">_xlfn.SWITCH(CleanEmployeeData[[#This Row],[Education]],1,"Below College",2,"College",3,"Bachelor",4,"Master",5,"Doctor","Unknown")</f>
        <v>College</v>
      </c>
      <c r="AK417" t="str" cm="1">
        <f t="array" ref="AK417">_xlfn.SWITCH(CleanEmployeeData[[#This Row],[EnvironmentSatisfaction]],1,"Low",2,"Medium",3,"High",4,"Very High","Unknown")</f>
        <v>Very High</v>
      </c>
      <c r="AL417" t="str" cm="1">
        <f t="array" ref="AL417">_xlfn.SWITCH(CleanEmployeeData[[#This Row],[JobInvolvement]],1,"Low",2,"Medium",3,"High",4,"Very High","Unknown")</f>
        <v>Low</v>
      </c>
      <c r="AM417" t="str" cm="1">
        <f t="array" ref="AM417">_xlfn.SWITCH(CleanEmployeeData[[#This Row],[JobSatisfaction]],1,"Low",2,"Medium",3,"High",4,"Very High","Unknown")</f>
        <v>High</v>
      </c>
      <c r="AN417" t="str" cm="1">
        <f t="array" ref="AN417">_xlfn.SWITCH(CleanEmployeeData[[#This Row],[PerformanceRating]],1,"Low",2,"Good",3,"Excellent",4,"Outstanding","Unknown")</f>
        <v>Excellent</v>
      </c>
      <c r="AO417" t="str" cm="1">
        <f t="array" ref="AO417">_xlfn.SWITCH(CleanEmployeeData[[#This Row],[WorkLifeBalance]],1,"Bad",2,"Good",3,"Better",4,"Best","Unknown")</f>
        <v>Good</v>
      </c>
      <c r="AP417">
        <f>IF(CleanEmployeeData[[#This Row],[Attrition]]="Yes",1,IF(CleanEmployeeData[[#This Row],[Attrition]]="No",0,""))</f>
        <v>1</v>
      </c>
      <c r="AQ417" t="str" cm="1">
        <f t="array" ref="AQ417">_xlfn.IFS(CleanEmployeeData[[#This Row],[MonthlyIncome]]&lt;=3000,"0–3,000",CleanEmployeeData[[#This Row],[MonthlyIncome]]&lt;=6000,"3,001–6,000",CleanEmployeeData[[#This Row],[MonthlyIncome]]&lt;=10000,"6,001–10,000",TRUE,"10,001+")</f>
        <v>0–3,000</v>
      </c>
      <c r="AR417" t="str" cm="1">
        <f t="array" ref="AR417">_xlfn.IFS(CleanEmployeeData[[#This Row],[DistanceFromHome]]&lt;=5,"0–5 miles",CleanEmployeeData[[#This Row],[DistanceFromHome]]&lt;=10,"6–10 miles",CleanEmployeeData[[#This Row],[DistanceFromHome]]&lt;=15,"11–15 miles",TRUE,"16+ miles")</f>
        <v>6–10 miles</v>
      </c>
      <c r="AS417" t="str" cm="1">
        <f t="array" ref="AS417">_xlfn.IFS(CleanEmployeeData[[#This Row],[YearsAtCompany]]&lt;=1,"0–1 years",CleanEmployeeData[[#This Row],[YearsAtCompany]]&lt;=5,"2–5 years",CleanEmployeeData[[#This Row],[YearsAtCompany]]&lt;=10,"6–10 years",TRUE,"11+ years")</f>
        <v>2–5 years</v>
      </c>
    </row>
    <row r="418" spans="1:4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cm="1">
        <f t="array" ref="AJ418">_xlfn.SWITCH(CleanEmployeeData[[#This Row],[Education]],1,"Below College",2,"College",3,"Bachelor",4,"Master",5,"Doctor","Unknown")</f>
        <v>College</v>
      </c>
      <c r="AK418" t="str" cm="1">
        <f t="array" ref="AK418">_xlfn.SWITCH(CleanEmployeeData[[#This Row],[EnvironmentSatisfaction]],1,"Low",2,"Medium",3,"High",4,"Very High","Unknown")</f>
        <v>Very High</v>
      </c>
      <c r="AL418" t="str" cm="1">
        <f t="array" ref="AL418">_xlfn.SWITCH(CleanEmployeeData[[#This Row],[JobInvolvement]],1,"Low",2,"Medium",3,"High",4,"Very High","Unknown")</f>
        <v>High</v>
      </c>
      <c r="AM418" t="str" cm="1">
        <f t="array" ref="AM418">_xlfn.SWITCH(CleanEmployeeData[[#This Row],[JobSatisfaction]],1,"Low",2,"Medium",3,"High",4,"Very High","Unknown")</f>
        <v>Very High</v>
      </c>
      <c r="AN418" t="str" cm="1">
        <f t="array" ref="AN418">_xlfn.SWITCH(CleanEmployeeData[[#This Row],[PerformanceRating]],1,"Low",2,"Good",3,"Excellent",4,"Outstanding","Unknown")</f>
        <v>Outstanding</v>
      </c>
      <c r="AO418" t="str" cm="1">
        <f t="array" ref="AO418">_xlfn.SWITCH(CleanEmployeeData[[#This Row],[WorkLifeBalance]],1,"Bad",2,"Good",3,"Better",4,"Best","Unknown")</f>
        <v>Better</v>
      </c>
      <c r="AP418">
        <f>IF(CleanEmployeeData[[#This Row],[Attrition]]="Yes",1,IF(CleanEmployeeData[[#This Row],[Attrition]]="No",0,""))</f>
        <v>0</v>
      </c>
      <c r="AQ418" t="str" cm="1">
        <f t="array" ref="AQ418">_xlfn.IFS(CleanEmployeeData[[#This Row],[MonthlyIncome]]&lt;=3000,"0–3,000",CleanEmployeeData[[#This Row],[MonthlyIncome]]&lt;=6000,"3,001–6,000",CleanEmployeeData[[#This Row],[MonthlyIncome]]&lt;=10000,"6,001–10,000",TRUE,"10,001+")</f>
        <v>0–3,000</v>
      </c>
      <c r="AR418" t="str" cm="1">
        <f t="array" ref="AR418">_xlfn.IFS(CleanEmployeeData[[#This Row],[DistanceFromHome]]&lt;=5,"0–5 miles",CleanEmployeeData[[#This Row],[DistanceFromHome]]&lt;=10,"6–10 miles",CleanEmployeeData[[#This Row],[DistanceFromHome]]&lt;=15,"11–15 miles",TRUE,"16+ miles")</f>
        <v>0–5 miles</v>
      </c>
      <c r="AS418" t="str" cm="1">
        <f t="array" ref="AS418">_xlfn.IFS(CleanEmployeeData[[#This Row],[YearsAtCompany]]&lt;=1,"0–1 years",CleanEmployeeData[[#This Row],[YearsAtCompany]]&lt;=5,"2–5 years",CleanEmployeeData[[#This Row],[YearsAtCompany]]&lt;=10,"6–10 years",TRUE,"11+ years")</f>
        <v>0–1 years</v>
      </c>
    </row>
    <row r="419" spans="1:4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cm="1">
        <f t="array" ref="AJ419">_xlfn.SWITCH(CleanEmployeeData[[#This Row],[Education]],1,"Below College",2,"College",3,"Bachelor",4,"Master",5,"Doctor","Unknown")</f>
        <v>Master</v>
      </c>
      <c r="AK419" t="str" cm="1">
        <f t="array" ref="AK419">_xlfn.SWITCH(CleanEmployeeData[[#This Row],[EnvironmentSatisfaction]],1,"Low",2,"Medium",3,"High",4,"Very High","Unknown")</f>
        <v>High</v>
      </c>
      <c r="AL419" t="str" cm="1">
        <f t="array" ref="AL419">_xlfn.SWITCH(CleanEmployeeData[[#This Row],[JobInvolvement]],1,"Low",2,"Medium",3,"High",4,"Very High","Unknown")</f>
        <v>High</v>
      </c>
      <c r="AM419" t="str" cm="1">
        <f t="array" ref="AM419">_xlfn.SWITCH(CleanEmployeeData[[#This Row],[JobSatisfaction]],1,"Low",2,"Medium",3,"High",4,"Very High","Unknown")</f>
        <v>High</v>
      </c>
      <c r="AN419" t="str" cm="1">
        <f t="array" ref="AN419">_xlfn.SWITCH(CleanEmployeeData[[#This Row],[PerformanceRating]],1,"Low",2,"Good",3,"Excellent",4,"Outstanding","Unknown")</f>
        <v>Excellent</v>
      </c>
      <c r="AO419" t="str" cm="1">
        <f t="array" ref="AO419">_xlfn.SWITCH(CleanEmployeeData[[#This Row],[WorkLifeBalance]],1,"Bad",2,"Good",3,"Better",4,"Best","Unknown")</f>
        <v>Better</v>
      </c>
      <c r="AP419">
        <f>IF(CleanEmployeeData[[#This Row],[Attrition]]="Yes",1,IF(CleanEmployeeData[[#This Row],[Attrition]]="No",0,""))</f>
        <v>0</v>
      </c>
      <c r="AQ419" t="str" cm="1">
        <f t="array" ref="AQ419">_xlfn.IFS(CleanEmployeeData[[#This Row],[MonthlyIncome]]&lt;=3000,"0–3,000",CleanEmployeeData[[#This Row],[MonthlyIncome]]&lt;=6000,"3,001–6,000",CleanEmployeeData[[#This Row],[MonthlyIncome]]&lt;=10000,"6,001–10,000",TRUE,"10,001+")</f>
        <v>10,001+</v>
      </c>
      <c r="AR419" t="str" cm="1">
        <f t="array" ref="AR419">_xlfn.IFS(CleanEmployeeData[[#This Row],[DistanceFromHome]]&lt;=5,"0–5 miles",CleanEmployeeData[[#This Row],[DistanceFromHome]]&lt;=10,"6–10 miles",CleanEmployeeData[[#This Row],[DistanceFromHome]]&lt;=15,"11–15 miles",TRUE,"16+ miles")</f>
        <v>0–5 miles</v>
      </c>
      <c r="AS419" t="str" cm="1">
        <f t="array" ref="AS419">_xlfn.IFS(CleanEmployeeData[[#This Row],[YearsAtCompany]]&lt;=1,"0–1 years",CleanEmployeeData[[#This Row],[YearsAtCompany]]&lt;=5,"2–5 years",CleanEmployeeData[[#This Row],[YearsAtCompany]]&lt;=10,"6–10 years",TRUE,"11+ years")</f>
        <v>11+ years</v>
      </c>
    </row>
    <row r="420" spans="1:4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cm="1">
        <f t="array" ref="AJ420">_xlfn.SWITCH(CleanEmployeeData[[#This Row],[Education]],1,"Below College",2,"College",3,"Bachelor",4,"Master",5,"Doctor","Unknown")</f>
        <v>Bachelor</v>
      </c>
      <c r="AK420" t="str" cm="1">
        <f t="array" ref="AK420">_xlfn.SWITCH(CleanEmployeeData[[#This Row],[EnvironmentSatisfaction]],1,"Low",2,"Medium",3,"High",4,"Very High","Unknown")</f>
        <v>Low</v>
      </c>
      <c r="AL420" t="str" cm="1">
        <f t="array" ref="AL420">_xlfn.SWITCH(CleanEmployeeData[[#This Row],[JobInvolvement]],1,"Low",2,"Medium",3,"High",4,"Very High","Unknown")</f>
        <v>High</v>
      </c>
      <c r="AM420" t="str" cm="1">
        <f t="array" ref="AM420">_xlfn.SWITCH(CleanEmployeeData[[#This Row],[JobSatisfaction]],1,"Low",2,"Medium",3,"High",4,"Very High","Unknown")</f>
        <v>Very High</v>
      </c>
      <c r="AN420" t="str" cm="1">
        <f t="array" ref="AN420">_xlfn.SWITCH(CleanEmployeeData[[#This Row],[PerformanceRating]],1,"Low",2,"Good",3,"Excellent",4,"Outstanding","Unknown")</f>
        <v>Outstanding</v>
      </c>
      <c r="AO420" t="str" cm="1">
        <f t="array" ref="AO420">_xlfn.SWITCH(CleanEmployeeData[[#This Row],[WorkLifeBalance]],1,"Bad",2,"Good",3,"Better",4,"Best","Unknown")</f>
        <v>Bad</v>
      </c>
      <c r="AP420">
        <f>IF(CleanEmployeeData[[#This Row],[Attrition]]="Yes",1,IF(CleanEmployeeData[[#This Row],[Attrition]]="No",0,""))</f>
        <v>0</v>
      </c>
      <c r="AQ420" t="str" cm="1">
        <f t="array" ref="AQ420">_xlfn.IFS(CleanEmployeeData[[#This Row],[MonthlyIncome]]&lt;=3000,"0–3,000",CleanEmployeeData[[#This Row],[MonthlyIncome]]&lt;=6000,"3,001–6,000",CleanEmployeeData[[#This Row],[MonthlyIncome]]&lt;=10000,"6,001–10,000",TRUE,"10,001+")</f>
        <v>0–3,000</v>
      </c>
      <c r="AR420" t="str" cm="1">
        <f t="array" ref="AR420">_xlfn.IFS(CleanEmployeeData[[#This Row],[DistanceFromHome]]&lt;=5,"0–5 miles",CleanEmployeeData[[#This Row],[DistanceFromHome]]&lt;=10,"6–10 miles",CleanEmployeeData[[#This Row],[DistanceFromHome]]&lt;=15,"11–15 miles",TRUE,"16+ miles")</f>
        <v>16+ miles</v>
      </c>
      <c r="AS420" t="str" cm="1">
        <f t="array" ref="AS420">_xlfn.IFS(CleanEmployeeData[[#This Row],[YearsAtCompany]]&lt;=1,"0–1 years",CleanEmployeeData[[#This Row],[YearsAtCompany]]&lt;=5,"2–5 years",CleanEmployeeData[[#This Row],[YearsAtCompany]]&lt;=10,"6–10 years",TRUE,"11+ years")</f>
        <v>2–5 years</v>
      </c>
    </row>
    <row r="421" spans="1:4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cm="1">
        <f t="array" ref="AJ421">_xlfn.SWITCH(CleanEmployeeData[[#This Row],[Education]],1,"Below College",2,"College",3,"Bachelor",4,"Master",5,"Doctor","Unknown")</f>
        <v>Bachelor</v>
      </c>
      <c r="AK421" t="str" cm="1">
        <f t="array" ref="AK421">_xlfn.SWITCH(CleanEmployeeData[[#This Row],[EnvironmentSatisfaction]],1,"Low",2,"Medium",3,"High",4,"Very High","Unknown")</f>
        <v>High</v>
      </c>
      <c r="AL421" t="str" cm="1">
        <f t="array" ref="AL421">_xlfn.SWITCH(CleanEmployeeData[[#This Row],[JobInvolvement]],1,"Low",2,"Medium",3,"High",4,"Very High","Unknown")</f>
        <v>High</v>
      </c>
      <c r="AM421" t="str" cm="1">
        <f t="array" ref="AM421">_xlfn.SWITCH(CleanEmployeeData[[#This Row],[JobSatisfaction]],1,"Low",2,"Medium",3,"High",4,"Very High","Unknown")</f>
        <v>Very High</v>
      </c>
      <c r="AN421" t="str" cm="1">
        <f t="array" ref="AN421">_xlfn.SWITCH(CleanEmployeeData[[#This Row],[PerformanceRating]],1,"Low",2,"Good",3,"Excellent",4,"Outstanding","Unknown")</f>
        <v>Excellent</v>
      </c>
      <c r="AO421" t="str" cm="1">
        <f t="array" ref="AO421">_xlfn.SWITCH(CleanEmployeeData[[#This Row],[WorkLifeBalance]],1,"Bad",2,"Good",3,"Better",4,"Best","Unknown")</f>
        <v>Bad</v>
      </c>
      <c r="AP421">
        <f>IF(CleanEmployeeData[[#This Row],[Attrition]]="Yes",1,IF(CleanEmployeeData[[#This Row],[Attrition]]="No",0,""))</f>
        <v>0</v>
      </c>
      <c r="AQ421" t="str" cm="1">
        <f t="array" ref="AQ421">_xlfn.IFS(CleanEmployeeData[[#This Row],[MonthlyIncome]]&lt;=3000,"0–3,000",CleanEmployeeData[[#This Row],[MonthlyIncome]]&lt;=6000,"3,001–6,000",CleanEmployeeData[[#This Row],[MonthlyIncome]]&lt;=10000,"6,001–10,000",TRUE,"10,001+")</f>
        <v>0–3,000</v>
      </c>
      <c r="AR421" t="str" cm="1">
        <f t="array" ref="AR421">_xlfn.IFS(CleanEmployeeData[[#This Row],[DistanceFromHome]]&lt;=5,"0–5 miles",CleanEmployeeData[[#This Row],[DistanceFromHome]]&lt;=10,"6–10 miles",CleanEmployeeData[[#This Row],[DistanceFromHome]]&lt;=15,"11–15 miles",TRUE,"16+ miles")</f>
        <v>0–5 miles</v>
      </c>
      <c r="AS421" t="str" cm="1">
        <f t="array" ref="AS421">_xlfn.IFS(CleanEmployeeData[[#This Row],[YearsAtCompany]]&lt;=1,"0–1 years",CleanEmployeeData[[#This Row],[YearsAtCompany]]&lt;=5,"2–5 years",CleanEmployeeData[[#This Row],[YearsAtCompany]]&lt;=10,"6–10 years",TRUE,"11+ years")</f>
        <v>2–5 years</v>
      </c>
    </row>
    <row r="422" spans="1:4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cm="1">
        <f t="array" ref="AJ422">_xlfn.SWITCH(CleanEmployeeData[[#This Row],[Education]],1,"Below College",2,"College",3,"Bachelor",4,"Master",5,"Doctor","Unknown")</f>
        <v>Master</v>
      </c>
      <c r="AK422" t="str" cm="1">
        <f t="array" ref="AK422">_xlfn.SWITCH(CleanEmployeeData[[#This Row],[EnvironmentSatisfaction]],1,"Low",2,"Medium",3,"High",4,"Very High","Unknown")</f>
        <v>Medium</v>
      </c>
      <c r="AL422" t="str" cm="1">
        <f t="array" ref="AL422">_xlfn.SWITCH(CleanEmployeeData[[#This Row],[JobInvolvement]],1,"Low",2,"Medium",3,"High",4,"Very High","Unknown")</f>
        <v>Medium</v>
      </c>
      <c r="AM422" t="str" cm="1">
        <f t="array" ref="AM422">_xlfn.SWITCH(CleanEmployeeData[[#This Row],[JobSatisfaction]],1,"Low",2,"Medium",3,"High",4,"Very High","Unknown")</f>
        <v>High</v>
      </c>
      <c r="AN422" t="str" cm="1">
        <f t="array" ref="AN422">_xlfn.SWITCH(CleanEmployeeData[[#This Row],[PerformanceRating]],1,"Low",2,"Good",3,"Excellent",4,"Outstanding","Unknown")</f>
        <v>Excellent</v>
      </c>
      <c r="AO422" t="str" cm="1">
        <f t="array" ref="AO422">_xlfn.SWITCH(CleanEmployeeData[[#This Row],[WorkLifeBalance]],1,"Bad",2,"Good",3,"Better",4,"Best","Unknown")</f>
        <v>Better</v>
      </c>
      <c r="AP422">
        <f>IF(CleanEmployeeData[[#This Row],[Attrition]]="Yes",1,IF(CleanEmployeeData[[#This Row],[Attrition]]="No",0,""))</f>
        <v>0</v>
      </c>
      <c r="AQ422" t="str" cm="1">
        <f t="array" ref="AQ422">_xlfn.IFS(CleanEmployeeData[[#This Row],[MonthlyIncome]]&lt;=3000,"0–3,000",CleanEmployeeData[[#This Row],[MonthlyIncome]]&lt;=6000,"3,001–6,000",CleanEmployeeData[[#This Row],[MonthlyIncome]]&lt;=10000,"6,001–10,000",TRUE,"10,001+")</f>
        <v>10,001+</v>
      </c>
      <c r="AR422" t="str" cm="1">
        <f t="array" ref="AR422">_xlfn.IFS(CleanEmployeeData[[#This Row],[DistanceFromHome]]&lt;=5,"0–5 miles",CleanEmployeeData[[#This Row],[DistanceFromHome]]&lt;=10,"6–10 miles",CleanEmployeeData[[#This Row],[DistanceFromHome]]&lt;=15,"11–15 miles",TRUE,"16+ miles")</f>
        <v>0–5 miles</v>
      </c>
      <c r="AS422" t="str" cm="1">
        <f t="array" ref="AS422">_xlfn.IFS(CleanEmployeeData[[#This Row],[YearsAtCompany]]&lt;=1,"0–1 years",CleanEmployeeData[[#This Row],[YearsAtCompany]]&lt;=5,"2–5 years",CleanEmployeeData[[#This Row],[YearsAtCompany]]&lt;=10,"6–10 years",TRUE,"11+ years")</f>
        <v>6–10 years</v>
      </c>
    </row>
    <row r="423" spans="1:4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cm="1">
        <f t="array" ref="AJ423">_xlfn.SWITCH(CleanEmployeeData[[#This Row],[Education]],1,"Below College",2,"College",3,"Bachelor",4,"Master",5,"Doctor","Unknown")</f>
        <v>Doctor</v>
      </c>
      <c r="AK423" t="str" cm="1">
        <f t="array" ref="AK423">_xlfn.SWITCH(CleanEmployeeData[[#This Row],[EnvironmentSatisfaction]],1,"Low",2,"Medium",3,"High",4,"Very High","Unknown")</f>
        <v>High</v>
      </c>
      <c r="AL423" t="str" cm="1">
        <f t="array" ref="AL423">_xlfn.SWITCH(CleanEmployeeData[[#This Row],[JobInvolvement]],1,"Low",2,"Medium",3,"High",4,"Very High","Unknown")</f>
        <v>Medium</v>
      </c>
      <c r="AM423" t="str" cm="1">
        <f t="array" ref="AM423">_xlfn.SWITCH(CleanEmployeeData[[#This Row],[JobSatisfaction]],1,"Low",2,"Medium",3,"High",4,"Very High","Unknown")</f>
        <v>Medium</v>
      </c>
      <c r="AN423" t="str" cm="1">
        <f t="array" ref="AN423">_xlfn.SWITCH(CleanEmployeeData[[#This Row],[PerformanceRating]],1,"Low",2,"Good",3,"Excellent",4,"Outstanding","Unknown")</f>
        <v>Excellent</v>
      </c>
      <c r="AO423" t="str" cm="1">
        <f t="array" ref="AO423">_xlfn.SWITCH(CleanEmployeeData[[#This Row],[WorkLifeBalance]],1,"Bad",2,"Good",3,"Better",4,"Best","Unknown")</f>
        <v>Best</v>
      </c>
      <c r="AP423">
        <f>IF(CleanEmployeeData[[#This Row],[Attrition]]="Yes",1,IF(CleanEmployeeData[[#This Row],[Attrition]]="No",0,""))</f>
        <v>1</v>
      </c>
      <c r="AQ423" t="str" cm="1">
        <f t="array" ref="AQ423">_xlfn.IFS(CleanEmployeeData[[#This Row],[MonthlyIncome]]&lt;=3000,"0–3,000",CleanEmployeeData[[#This Row],[MonthlyIncome]]&lt;=6000,"3,001–6,000",CleanEmployeeData[[#This Row],[MonthlyIncome]]&lt;=10000,"6,001–10,000",TRUE,"10,001+")</f>
        <v>0–3,000</v>
      </c>
      <c r="AR423" t="str" cm="1">
        <f t="array" ref="AR423">_xlfn.IFS(CleanEmployeeData[[#This Row],[DistanceFromHome]]&lt;=5,"0–5 miles",CleanEmployeeData[[#This Row],[DistanceFromHome]]&lt;=10,"6–10 miles",CleanEmployeeData[[#This Row],[DistanceFromHome]]&lt;=15,"11–15 miles",TRUE,"16+ miles")</f>
        <v>16+ miles</v>
      </c>
      <c r="AS423" t="str" cm="1">
        <f t="array" ref="AS423">_xlfn.IFS(CleanEmployeeData[[#This Row],[YearsAtCompany]]&lt;=1,"0–1 years",CleanEmployeeData[[#This Row],[YearsAtCompany]]&lt;=5,"2–5 years",CleanEmployeeData[[#This Row],[YearsAtCompany]]&lt;=10,"6–10 years",TRUE,"11+ years")</f>
        <v>2–5 years</v>
      </c>
    </row>
    <row r="424" spans="1:4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cm="1">
        <f t="array" ref="AJ424">_xlfn.SWITCH(CleanEmployeeData[[#This Row],[Education]],1,"Below College",2,"College",3,"Bachelor",4,"Master",5,"Doctor","Unknown")</f>
        <v>College</v>
      </c>
      <c r="AK424" t="str" cm="1">
        <f t="array" ref="AK424">_xlfn.SWITCH(CleanEmployeeData[[#This Row],[EnvironmentSatisfaction]],1,"Low",2,"Medium",3,"High",4,"Very High","Unknown")</f>
        <v>Low</v>
      </c>
      <c r="AL424" t="str" cm="1">
        <f t="array" ref="AL424">_xlfn.SWITCH(CleanEmployeeData[[#This Row],[JobInvolvement]],1,"Low",2,"Medium",3,"High",4,"Very High","Unknown")</f>
        <v>Medium</v>
      </c>
      <c r="AM424" t="str" cm="1">
        <f t="array" ref="AM424">_xlfn.SWITCH(CleanEmployeeData[[#This Row],[JobSatisfaction]],1,"Low",2,"Medium",3,"High",4,"Very High","Unknown")</f>
        <v>Very High</v>
      </c>
      <c r="AN424" t="str" cm="1">
        <f t="array" ref="AN424">_xlfn.SWITCH(CleanEmployeeData[[#This Row],[PerformanceRating]],1,"Low",2,"Good",3,"Excellent",4,"Outstanding","Unknown")</f>
        <v>Excellent</v>
      </c>
      <c r="AO424" t="str" cm="1">
        <f t="array" ref="AO424">_xlfn.SWITCH(CleanEmployeeData[[#This Row],[WorkLifeBalance]],1,"Bad",2,"Good",3,"Better",4,"Best","Unknown")</f>
        <v>Best</v>
      </c>
      <c r="AP424">
        <f>IF(CleanEmployeeData[[#This Row],[Attrition]]="Yes",1,IF(CleanEmployeeData[[#This Row],[Attrition]]="No",0,""))</f>
        <v>1</v>
      </c>
      <c r="AQ424" t="str" cm="1">
        <f t="array" ref="AQ424">_xlfn.IFS(CleanEmployeeData[[#This Row],[MonthlyIncome]]&lt;=3000,"0–3,000",CleanEmployeeData[[#This Row],[MonthlyIncome]]&lt;=6000,"3,001–6,000",CleanEmployeeData[[#This Row],[MonthlyIncome]]&lt;=10000,"6,001–10,000",TRUE,"10,001+")</f>
        <v>0–3,000</v>
      </c>
      <c r="AR424" t="str" cm="1">
        <f t="array" ref="AR424">_xlfn.IFS(CleanEmployeeData[[#This Row],[DistanceFromHome]]&lt;=5,"0–5 miles",CleanEmployeeData[[#This Row],[DistanceFromHome]]&lt;=10,"6–10 miles",CleanEmployeeData[[#This Row],[DistanceFromHome]]&lt;=15,"11–15 miles",TRUE,"16+ miles")</f>
        <v>0–5 miles</v>
      </c>
      <c r="AS424" t="str" cm="1">
        <f t="array" ref="AS424">_xlfn.IFS(CleanEmployeeData[[#This Row],[YearsAtCompany]]&lt;=1,"0–1 years",CleanEmployeeData[[#This Row],[YearsAtCompany]]&lt;=5,"2–5 years",CleanEmployeeData[[#This Row],[YearsAtCompany]]&lt;=10,"6–10 years",TRUE,"11+ years")</f>
        <v>0–1 years</v>
      </c>
    </row>
    <row r="425" spans="1:4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cm="1">
        <f t="array" ref="AJ425">_xlfn.SWITCH(CleanEmployeeData[[#This Row],[Education]],1,"Below College",2,"College",3,"Bachelor",4,"Master",5,"Doctor","Unknown")</f>
        <v>Master</v>
      </c>
      <c r="AK425" t="str" cm="1">
        <f t="array" ref="AK425">_xlfn.SWITCH(CleanEmployeeData[[#This Row],[EnvironmentSatisfaction]],1,"Low",2,"Medium",3,"High",4,"Very High","Unknown")</f>
        <v>High</v>
      </c>
      <c r="AL425" t="str" cm="1">
        <f t="array" ref="AL425">_xlfn.SWITCH(CleanEmployeeData[[#This Row],[JobInvolvement]],1,"Low",2,"Medium",3,"High",4,"Very High","Unknown")</f>
        <v>High</v>
      </c>
      <c r="AM425" t="str" cm="1">
        <f t="array" ref="AM425">_xlfn.SWITCH(CleanEmployeeData[[#This Row],[JobSatisfaction]],1,"Low",2,"Medium",3,"High",4,"Very High","Unknown")</f>
        <v>Low</v>
      </c>
      <c r="AN425" t="str" cm="1">
        <f t="array" ref="AN425">_xlfn.SWITCH(CleanEmployeeData[[#This Row],[PerformanceRating]],1,"Low",2,"Good",3,"Excellent",4,"Outstanding","Unknown")</f>
        <v>Excellent</v>
      </c>
      <c r="AO425" t="str" cm="1">
        <f t="array" ref="AO425">_xlfn.SWITCH(CleanEmployeeData[[#This Row],[WorkLifeBalance]],1,"Bad",2,"Good",3,"Better",4,"Best","Unknown")</f>
        <v>Better</v>
      </c>
      <c r="AP425">
        <f>IF(CleanEmployeeData[[#This Row],[Attrition]]="Yes",1,IF(CleanEmployeeData[[#This Row],[Attrition]]="No",0,""))</f>
        <v>0</v>
      </c>
      <c r="AQ425" t="str" cm="1">
        <f t="array" ref="AQ425">_xlfn.IFS(CleanEmployeeData[[#This Row],[MonthlyIncome]]&lt;=3000,"0–3,000",CleanEmployeeData[[#This Row],[MonthlyIncome]]&lt;=6000,"3,001–6,000",CleanEmployeeData[[#This Row],[MonthlyIncome]]&lt;=10000,"6,001–10,000",TRUE,"10,001+")</f>
        <v>6,001–10,000</v>
      </c>
      <c r="AR425" t="str" cm="1">
        <f t="array" ref="AR425">_xlfn.IFS(CleanEmployeeData[[#This Row],[DistanceFromHome]]&lt;=5,"0–5 miles",CleanEmployeeData[[#This Row],[DistanceFromHome]]&lt;=10,"6–10 miles",CleanEmployeeData[[#This Row],[DistanceFromHome]]&lt;=15,"11–15 miles",TRUE,"16+ miles")</f>
        <v>16+ miles</v>
      </c>
      <c r="AS425" t="str" cm="1">
        <f t="array" ref="AS425">_xlfn.IFS(CleanEmployeeData[[#This Row],[YearsAtCompany]]&lt;=1,"0–1 years",CleanEmployeeData[[#This Row],[YearsAtCompany]]&lt;=5,"2–5 years",CleanEmployeeData[[#This Row],[YearsAtCompany]]&lt;=10,"6–10 years",TRUE,"11+ years")</f>
        <v>6–10 years</v>
      </c>
    </row>
    <row r="426" spans="1:4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cm="1">
        <f t="array" ref="AJ426">_xlfn.SWITCH(CleanEmployeeData[[#This Row],[Education]],1,"Below College",2,"College",3,"Bachelor",4,"Master",5,"Doctor","Unknown")</f>
        <v>Bachelor</v>
      </c>
      <c r="AK426" t="str" cm="1">
        <f t="array" ref="AK426">_xlfn.SWITCH(CleanEmployeeData[[#This Row],[EnvironmentSatisfaction]],1,"Low",2,"Medium",3,"High",4,"Very High","Unknown")</f>
        <v>Low</v>
      </c>
      <c r="AL426" t="str" cm="1">
        <f t="array" ref="AL426">_xlfn.SWITCH(CleanEmployeeData[[#This Row],[JobInvolvement]],1,"Low",2,"Medium",3,"High",4,"Very High","Unknown")</f>
        <v>Medium</v>
      </c>
      <c r="AM426" t="str" cm="1">
        <f t="array" ref="AM426">_xlfn.SWITCH(CleanEmployeeData[[#This Row],[JobSatisfaction]],1,"Low",2,"Medium",3,"High",4,"Very High","Unknown")</f>
        <v>Very High</v>
      </c>
      <c r="AN426" t="str" cm="1">
        <f t="array" ref="AN426">_xlfn.SWITCH(CleanEmployeeData[[#This Row],[PerformanceRating]],1,"Low",2,"Good",3,"Excellent",4,"Outstanding","Unknown")</f>
        <v>Excellent</v>
      </c>
      <c r="AO426" t="str" cm="1">
        <f t="array" ref="AO426">_xlfn.SWITCH(CleanEmployeeData[[#This Row],[WorkLifeBalance]],1,"Bad",2,"Good",3,"Better",4,"Best","Unknown")</f>
        <v>Good</v>
      </c>
      <c r="AP426">
        <f>IF(CleanEmployeeData[[#This Row],[Attrition]]="Yes",1,IF(CleanEmployeeData[[#This Row],[Attrition]]="No",0,""))</f>
        <v>0</v>
      </c>
      <c r="AQ426" t="str" cm="1">
        <f t="array" ref="AQ426">_xlfn.IFS(CleanEmployeeData[[#This Row],[MonthlyIncome]]&lt;=3000,"0–3,000",CleanEmployeeData[[#This Row],[MonthlyIncome]]&lt;=6000,"3,001–6,000",CleanEmployeeData[[#This Row],[MonthlyIncome]]&lt;=10000,"6,001–10,000",TRUE,"10,001+")</f>
        <v>10,001+</v>
      </c>
      <c r="AR426" t="str" cm="1">
        <f t="array" ref="AR426">_xlfn.IFS(CleanEmployeeData[[#This Row],[DistanceFromHome]]&lt;=5,"0–5 miles",CleanEmployeeData[[#This Row],[DistanceFromHome]]&lt;=10,"6–10 miles",CleanEmployeeData[[#This Row],[DistanceFromHome]]&lt;=15,"11–15 miles",TRUE,"16+ miles")</f>
        <v>16+ miles</v>
      </c>
      <c r="AS426" t="str" cm="1">
        <f t="array" ref="AS426">_xlfn.IFS(CleanEmployeeData[[#This Row],[YearsAtCompany]]&lt;=1,"0–1 years",CleanEmployeeData[[#This Row],[YearsAtCompany]]&lt;=5,"2–5 years",CleanEmployeeData[[#This Row],[YearsAtCompany]]&lt;=10,"6–10 years",TRUE,"11+ years")</f>
        <v>0–1 years</v>
      </c>
    </row>
    <row r="427" spans="1:4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cm="1">
        <f t="array" ref="AJ427">_xlfn.SWITCH(CleanEmployeeData[[#This Row],[Education]],1,"Below College",2,"College",3,"Bachelor",4,"Master",5,"Doctor","Unknown")</f>
        <v>Master</v>
      </c>
      <c r="AK427" t="str" cm="1">
        <f t="array" ref="AK427">_xlfn.SWITCH(CleanEmployeeData[[#This Row],[EnvironmentSatisfaction]],1,"Low",2,"Medium",3,"High",4,"Very High","Unknown")</f>
        <v>Medium</v>
      </c>
      <c r="AL427" t="str" cm="1">
        <f t="array" ref="AL427">_xlfn.SWITCH(CleanEmployeeData[[#This Row],[JobInvolvement]],1,"Low",2,"Medium",3,"High",4,"Very High","Unknown")</f>
        <v>Medium</v>
      </c>
      <c r="AM427" t="str" cm="1">
        <f t="array" ref="AM427">_xlfn.SWITCH(CleanEmployeeData[[#This Row],[JobSatisfaction]],1,"Low",2,"Medium",3,"High",4,"Very High","Unknown")</f>
        <v>High</v>
      </c>
      <c r="AN427" t="str" cm="1">
        <f t="array" ref="AN427">_xlfn.SWITCH(CleanEmployeeData[[#This Row],[PerformanceRating]],1,"Low",2,"Good",3,"Excellent",4,"Outstanding","Unknown")</f>
        <v>Excellent</v>
      </c>
      <c r="AO427" t="str" cm="1">
        <f t="array" ref="AO427">_xlfn.SWITCH(CleanEmployeeData[[#This Row],[WorkLifeBalance]],1,"Bad",2,"Good",3,"Better",4,"Best","Unknown")</f>
        <v>Better</v>
      </c>
      <c r="AP427">
        <f>IF(CleanEmployeeData[[#This Row],[Attrition]]="Yes",1,IF(CleanEmployeeData[[#This Row],[Attrition]]="No",0,""))</f>
        <v>0</v>
      </c>
      <c r="AQ427" t="str" cm="1">
        <f t="array" ref="AQ427">_xlfn.IFS(CleanEmployeeData[[#This Row],[MonthlyIncome]]&lt;=3000,"0–3,000",CleanEmployeeData[[#This Row],[MonthlyIncome]]&lt;=6000,"3,001–6,000",CleanEmployeeData[[#This Row],[MonthlyIncome]]&lt;=10000,"6,001–10,000",TRUE,"10,001+")</f>
        <v>10,001+</v>
      </c>
      <c r="AR427" t="str" cm="1">
        <f t="array" ref="AR427">_xlfn.IFS(CleanEmployeeData[[#This Row],[DistanceFromHome]]&lt;=5,"0–5 miles",CleanEmployeeData[[#This Row],[DistanceFromHome]]&lt;=10,"6–10 miles",CleanEmployeeData[[#This Row],[DistanceFromHome]]&lt;=15,"11–15 miles",TRUE,"16+ miles")</f>
        <v>16+ miles</v>
      </c>
      <c r="AS427" t="str" cm="1">
        <f t="array" ref="AS427">_xlfn.IFS(CleanEmployeeData[[#This Row],[YearsAtCompany]]&lt;=1,"0–1 years",CleanEmployeeData[[#This Row],[YearsAtCompany]]&lt;=5,"2–5 years",CleanEmployeeData[[#This Row],[YearsAtCompany]]&lt;=10,"6–10 years",TRUE,"11+ years")</f>
        <v>11+ years</v>
      </c>
    </row>
    <row r="428" spans="1:4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cm="1">
        <f t="array" ref="AJ428">_xlfn.SWITCH(CleanEmployeeData[[#This Row],[Education]],1,"Below College",2,"College",3,"Bachelor",4,"Master",5,"Doctor","Unknown")</f>
        <v>Bachelor</v>
      </c>
      <c r="AK428" t="str" cm="1">
        <f t="array" ref="AK428">_xlfn.SWITCH(CleanEmployeeData[[#This Row],[EnvironmentSatisfaction]],1,"Low",2,"Medium",3,"High",4,"Very High","Unknown")</f>
        <v>High</v>
      </c>
      <c r="AL428" t="str" cm="1">
        <f t="array" ref="AL428">_xlfn.SWITCH(CleanEmployeeData[[#This Row],[JobInvolvement]],1,"Low",2,"Medium",3,"High",4,"Very High","Unknown")</f>
        <v>High</v>
      </c>
      <c r="AM428" t="str" cm="1">
        <f t="array" ref="AM428">_xlfn.SWITCH(CleanEmployeeData[[#This Row],[JobSatisfaction]],1,"Low",2,"Medium",3,"High",4,"Very High","Unknown")</f>
        <v>Very High</v>
      </c>
      <c r="AN428" t="str" cm="1">
        <f t="array" ref="AN428">_xlfn.SWITCH(CleanEmployeeData[[#This Row],[PerformanceRating]],1,"Low",2,"Good",3,"Excellent",4,"Outstanding","Unknown")</f>
        <v>Excellent</v>
      </c>
      <c r="AO428" t="str" cm="1">
        <f t="array" ref="AO428">_xlfn.SWITCH(CleanEmployeeData[[#This Row],[WorkLifeBalance]],1,"Bad",2,"Good",3,"Better",4,"Best","Unknown")</f>
        <v>Good</v>
      </c>
      <c r="AP428">
        <f>IF(CleanEmployeeData[[#This Row],[Attrition]]="Yes",1,IF(CleanEmployeeData[[#This Row],[Attrition]]="No",0,""))</f>
        <v>0</v>
      </c>
      <c r="AQ428" t="str" cm="1">
        <f t="array" ref="AQ428">_xlfn.IFS(CleanEmployeeData[[#This Row],[MonthlyIncome]]&lt;=3000,"0–3,000",CleanEmployeeData[[#This Row],[MonthlyIncome]]&lt;=6000,"3,001–6,000",CleanEmployeeData[[#This Row],[MonthlyIncome]]&lt;=10000,"6,001–10,000",TRUE,"10,001+")</f>
        <v>0–3,000</v>
      </c>
      <c r="AR428" t="str" cm="1">
        <f t="array" ref="AR428">_xlfn.IFS(CleanEmployeeData[[#This Row],[DistanceFromHome]]&lt;=5,"0–5 miles",CleanEmployeeData[[#This Row],[DistanceFromHome]]&lt;=10,"6–10 miles",CleanEmployeeData[[#This Row],[DistanceFromHome]]&lt;=15,"11–15 miles",TRUE,"16+ miles")</f>
        <v>0–5 miles</v>
      </c>
      <c r="AS428" t="str" cm="1">
        <f t="array" ref="AS428">_xlfn.IFS(CleanEmployeeData[[#This Row],[YearsAtCompany]]&lt;=1,"0–1 years",CleanEmployeeData[[#This Row],[YearsAtCompany]]&lt;=5,"2–5 years",CleanEmployeeData[[#This Row],[YearsAtCompany]]&lt;=10,"6–10 years",TRUE,"11+ years")</f>
        <v>11+ years</v>
      </c>
    </row>
    <row r="429" spans="1:4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cm="1">
        <f t="array" ref="AJ429">_xlfn.SWITCH(CleanEmployeeData[[#This Row],[Education]],1,"Below College",2,"College",3,"Bachelor",4,"Master",5,"Doctor","Unknown")</f>
        <v>Bachelor</v>
      </c>
      <c r="AK429" t="str" cm="1">
        <f t="array" ref="AK429">_xlfn.SWITCH(CleanEmployeeData[[#This Row],[EnvironmentSatisfaction]],1,"Low",2,"Medium",3,"High",4,"Very High","Unknown")</f>
        <v>High</v>
      </c>
      <c r="AL429" t="str" cm="1">
        <f t="array" ref="AL429">_xlfn.SWITCH(CleanEmployeeData[[#This Row],[JobInvolvement]],1,"Low",2,"Medium",3,"High",4,"Very High","Unknown")</f>
        <v>Medium</v>
      </c>
      <c r="AM429" t="str" cm="1">
        <f t="array" ref="AM429">_xlfn.SWITCH(CleanEmployeeData[[#This Row],[JobSatisfaction]],1,"Low",2,"Medium",3,"High",4,"Very High","Unknown")</f>
        <v>Low</v>
      </c>
      <c r="AN429" t="str" cm="1">
        <f t="array" ref="AN429">_xlfn.SWITCH(CleanEmployeeData[[#This Row],[PerformanceRating]],1,"Low",2,"Good",3,"Excellent",4,"Outstanding","Unknown")</f>
        <v>Excellent</v>
      </c>
      <c r="AO429" t="str" cm="1">
        <f t="array" ref="AO429">_xlfn.SWITCH(CleanEmployeeData[[#This Row],[WorkLifeBalance]],1,"Bad",2,"Good",3,"Better",4,"Best","Unknown")</f>
        <v>Best</v>
      </c>
      <c r="AP429">
        <f>IF(CleanEmployeeData[[#This Row],[Attrition]]="Yes",1,IF(CleanEmployeeData[[#This Row],[Attrition]]="No",0,""))</f>
        <v>0</v>
      </c>
      <c r="AQ429" t="str" cm="1">
        <f t="array" ref="AQ429">_xlfn.IFS(CleanEmployeeData[[#This Row],[MonthlyIncome]]&lt;=3000,"0–3,000",CleanEmployeeData[[#This Row],[MonthlyIncome]]&lt;=6000,"3,001–6,000",CleanEmployeeData[[#This Row],[MonthlyIncome]]&lt;=10000,"6,001–10,000",TRUE,"10,001+")</f>
        <v>10,001+</v>
      </c>
      <c r="AR429" t="str" cm="1">
        <f t="array" ref="AR429">_xlfn.IFS(CleanEmployeeData[[#This Row],[DistanceFromHome]]&lt;=5,"0–5 miles",CleanEmployeeData[[#This Row],[DistanceFromHome]]&lt;=10,"6–10 miles",CleanEmployeeData[[#This Row],[DistanceFromHome]]&lt;=15,"11–15 miles",TRUE,"16+ miles")</f>
        <v>16+ miles</v>
      </c>
      <c r="AS429" t="str" cm="1">
        <f t="array" ref="AS429">_xlfn.IFS(CleanEmployeeData[[#This Row],[YearsAtCompany]]&lt;=1,"0–1 years",CleanEmployeeData[[#This Row],[YearsAtCompany]]&lt;=5,"2–5 years",CleanEmployeeData[[#This Row],[YearsAtCompany]]&lt;=10,"6–10 years",TRUE,"11+ years")</f>
        <v>11+ years</v>
      </c>
    </row>
    <row r="430" spans="1:4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cm="1">
        <f t="array" ref="AJ430">_xlfn.SWITCH(CleanEmployeeData[[#This Row],[Education]],1,"Below College",2,"College",3,"Bachelor",4,"Master",5,"Doctor","Unknown")</f>
        <v>College</v>
      </c>
      <c r="AK430" t="str" cm="1">
        <f t="array" ref="AK430">_xlfn.SWITCH(CleanEmployeeData[[#This Row],[EnvironmentSatisfaction]],1,"Low",2,"Medium",3,"High",4,"Very High","Unknown")</f>
        <v>Low</v>
      </c>
      <c r="AL430" t="str" cm="1">
        <f t="array" ref="AL430">_xlfn.SWITCH(CleanEmployeeData[[#This Row],[JobInvolvement]],1,"Low",2,"Medium",3,"High",4,"Very High","Unknown")</f>
        <v>High</v>
      </c>
      <c r="AM430" t="str" cm="1">
        <f t="array" ref="AM430">_xlfn.SWITCH(CleanEmployeeData[[#This Row],[JobSatisfaction]],1,"Low",2,"Medium",3,"High",4,"Very High","Unknown")</f>
        <v>Very High</v>
      </c>
      <c r="AN430" t="str" cm="1">
        <f t="array" ref="AN430">_xlfn.SWITCH(CleanEmployeeData[[#This Row],[PerformanceRating]],1,"Low",2,"Good",3,"Excellent",4,"Outstanding","Unknown")</f>
        <v>Excellent</v>
      </c>
      <c r="AO430" t="str" cm="1">
        <f t="array" ref="AO430">_xlfn.SWITCH(CleanEmployeeData[[#This Row],[WorkLifeBalance]],1,"Bad",2,"Good",3,"Better",4,"Best","Unknown")</f>
        <v>Better</v>
      </c>
      <c r="AP430">
        <f>IF(CleanEmployeeData[[#This Row],[Attrition]]="Yes",1,IF(CleanEmployeeData[[#This Row],[Attrition]]="No",0,""))</f>
        <v>0</v>
      </c>
      <c r="AQ430" t="str" cm="1">
        <f t="array" ref="AQ430">_xlfn.IFS(CleanEmployeeData[[#This Row],[MonthlyIncome]]&lt;=3000,"0–3,000",CleanEmployeeData[[#This Row],[MonthlyIncome]]&lt;=6000,"3,001–6,000",CleanEmployeeData[[#This Row],[MonthlyIncome]]&lt;=10000,"6,001–10,000",TRUE,"10,001+")</f>
        <v>3,001–6,000</v>
      </c>
      <c r="AR430" t="str" cm="1">
        <f t="array" ref="AR430">_xlfn.IFS(CleanEmployeeData[[#This Row],[DistanceFromHome]]&lt;=5,"0–5 miles",CleanEmployeeData[[#This Row],[DistanceFromHome]]&lt;=10,"6–10 miles",CleanEmployeeData[[#This Row],[DistanceFromHome]]&lt;=15,"11–15 miles",TRUE,"16+ miles")</f>
        <v>0–5 miles</v>
      </c>
      <c r="AS430" t="str" cm="1">
        <f t="array" ref="AS430">_xlfn.IFS(CleanEmployeeData[[#This Row],[YearsAtCompany]]&lt;=1,"0–1 years",CleanEmployeeData[[#This Row],[YearsAtCompany]]&lt;=5,"2–5 years",CleanEmployeeData[[#This Row],[YearsAtCompany]]&lt;=10,"6–10 years",TRUE,"11+ years")</f>
        <v>2–5 years</v>
      </c>
    </row>
    <row r="431" spans="1:4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cm="1">
        <f t="array" ref="AJ431">_xlfn.SWITCH(CleanEmployeeData[[#This Row],[Education]],1,"Below College",2,"College",3,"Bachelor",4,"Master",5,"Doctor","Unknown")</f>
        <v>Bachelor</v>
      </c>
      <c r="AK431" t="str" cm="1">
        <f t="array" ref="AK431">_xlfn.SWITCH(CleanEmployeeData[[#This Row],[EnvironmentSatisfaction]],1,"Low",2,"Medium",3,"High",4,"Very High","Unknown")</f>
        <v>Low</v>
      </c>
      <c r="AL431" t="str" cm="1">
        <f t="array" ref="AL431">_xlfn.SWITCH(CleanEmployeeData[[#This Row],[JobInvolvement]],1,"Low",2,"Medium",3,"High",4,"Very High","Unknown")</f>
        <v>High</v>
      </c>
      <c r="AM431" t="str" cm="1">
        <f t="array" ref="AM431">_xlfn.SWITCH(CleanEmployeeData[[#This Row],[JobSatisfaction]],1,"Low",2,"Medium",3,"High",4,"Very High","Unknown")</f>
        <v>High</v>
      </c>
      <c r="AN431" t="str" cm="1">
        <f t="array" ref="AN431">_xlfn.SWITCH(CleanEmployeeData[[#This Row],[PerformanceRating]],1,"Low",2,"Good",3,"Excellent",4,"Outstanding","Unknown")</f>
        <v>Excellent</v>
      </c>
      <c r="AO431" t="str" cm="1">
        <f t="array" ref="AO431">_xlfn.SWITCH(CleanEmployeeData[[#This Row],[WorkLifeBalance]],1,"Bad",2,"Good",3,"Better",4,"Best","Unknown")</f>
        <v>Bad</v>
      </c>
      <c r="AP431">
        <f>IF(CleanEmployeeData[[#This Row],[Attrition]]="Yes",1,IF(CleanEmployeeData[[#This Row],[Attrition]]="No",0,""))</f>
        <v>0</v>
      </c>
      <c r="AQ431" t="str" cm="1">
        <f t="array" ref="AQ431">_xlfn.IFS(CleanEmployeeData[[#This Row],[MonthlyIncome]]&lt;=3000,"0–3,000",CleanEmployeeData[[#This Row],[MonthlyIncome]]&lt;=6000,"3,001–6,000",CleanEmployeeData[[#This Row],[MonthlyIncome]]&lt;=10000,"6,001–10,000",TRUE,"10,001+")</f>
        <v>10,001+</v>
      </c>
      <c r="AR431" t="str" cm="1">
        <f t="array" ref="AR431">_xlfn.IFS(CleanEmployeeData[[#This Row],[DistanceFromHome]]&lt;=5,"0–5 miles",CleanEmployeeData[[#This Row],[DistanceFromHome]]&lt;=10,"6–10 miles",CleanEmployeeData[[#This Row],[DistanceFromHome]]&lt;=15,"11–15 miles",TRUE,"16+ miles")</f>
        <v>0–5 miles</v>
      </c>
      <c r="AS431" t="str" cm="1">
        <f t="array" ref="AS431">_xlfn.IFS(CleanEmployeeData[[#This Row],[YearsAtCompany]]&lt;=1,"0–1 years",CleanEmployeeData[[#This Row],[YearsAtCompany]]&lt;=5,"2–5 years",CleanEmployeeData[[#This Row],[YearsAtCompany]]&lt;=10,"6–10 years",TRUE,"11+ years")</f>
        <v>2–5 years</v>
      </c>
    </row>
    <row r="432" spans="1:4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cm="1">
        <f t="array" ref="AJ432">_xlfn.SWITCH(CleanEmployeeData[[#This Row],[Education]],1,"Below College",2,"College",3,"Bachelor",4,"Master",5,"Doctor","Unknown")</f>
        <v>Bachelor</v>
      </c>
      <c r="AK432" t="str" cm="1">
        <f t="array" ref="AK432">_xlfn.SWITCH(CleanEmployeeData[[#This Row],[EnvironmentSatisfaction]],1,"Low",2,"Medium",3,"High",4,"Very High","Unknown")</f>
        <v>Very High</v>
      </c>
      <c r="AL432" t="str" cm="1">
        <f t="array" ref="AL432">_xlfn.SWITCH(CleanEmployeeData[[#This Row],[JobInvolvement]],1,"Low",2,"Medium",3,"High",4,"Very High","Unknown")</f>
        <v>Low</v>
      </c>
      <c r="AM432" t="str" cm="1">
        <f t="array" ref="AM432">_xlfn.SWITCH(CleanEmployeeData[[#This Row],[JobSatisfaction]],1,"Low",2,"Medium",3,"High",4,"Very High","Unknown")</f>
        <v>High</v>
      </c>
      <c r="AN432" t="str" cm="1">
        <f t="array" ref="AN432">_xlfn.SWITCH(CleanEmployeeData[[#This Row],[PerformanceRating]],1,"Low",2,"Good",3,"Excellent",4,"Outstanding","Unknown")</f>
        <v>Excellent</v>
      </c>
      <c r="AO432" t="str" cm="1">
        <f t="array" ref="AO432">_xlfn.SWITCH(CleanEmployeeData[[#This Row],[WorkLifeBalance]],1,"Bad",2,"Good",3,"Better",4,"Best","Unknown")</f>
        <v>Better</v>
      </c>
      <c r="AP432">
        <f>IF(CleanEmployeeData[[#This Row],[Attrition]]="Yes",1,IF(CleanEmployeeData[[#This Row],[Attrition]]="No",0,""))</f>
        <v>0</v>
      </c>
      <c r="AQ432" t="str" cm="1">
        <f t="array" ref="AQ432">_xlfn.IFS(CleanEmployeeData[[#This Row],[MonthlyIncome]]&lt;=3000,"0–3,000",CleanEmployeeData[[#This Row],[MonthlyIncome]]&lt;=6000,"3,001–6,000",CleanEmployeeData[[#This Row],[MonthlyIncome]]&lt;=10000,"6,001–10,000",TRUE,"10,001+")</f>
        <v>3,001–6,000</v>
      </c>
      <c r="AR432" t="str" cm="1">
        <f t="array" ref="AR432">_xlfn.IFS(CleanEmployeeData[[#This Row],[DistanceFromHome]]&lt;=5,"0–5 miles",CleanEmployeeData[[#This Row],[DistanceFromHome]]&lt;=10,"6–10 miles",CleanEmployeeData[[#This Row],[DistanceFromHome]]&lt;=15,"11–15 miles",TRUE,"16+ miles")</f>
        <v>16+ miles</v>
      </c>
      <c r="AS432" t="str" cm="1">
        <f t="array" ref="AS432">_xlfn.IFS(CleanEmployeeData[[#This Row],[YearsAtCompany]]&lt;=1,"0–1 years",CleanEmployeeData[[#This Row],[YearsAtCompany]]&lt;=5,"2–5 years",CleanEmployeeData[[#This Row],[YearsAtCompany]]&lt;=10,"6–10 years",TRUE,"11+ years")</f>
        <v>2–5 years</v>
      </c>
    </row>
    <row r="433" spans="1:4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cm="1">
        <f t="array" ref="AJ433">_xlfn.SWITCH(CleanEmployeeData[[#This Row],[Education]],1,"Below College",2,"College",3,"Bachelor",4,"Master",5,"Doctor","Unknown")</f>
        <v>Master</v>
      </c>
      <c r="AK433" t="str" cm="1">
        <f t="array" ref="AK433">_xlfn.SWITCH(CleanEmployeeData[[#This Row],[EnvironmentSatisfaction]],1,"Low",2,"Medium",3,"High",4,"Very High","Unknown")</f>
        <v>High</v>
      </c>
      <c r="AL433" t="str" cm="1">
        <f t="array" ref="AL433">_xlfn.SWITCH(CleanEmployeeData[[#This Row],[JobInvolvement]],1,"Low",2,"Medium",3,"High",4,"Very High","Unknown")</f>
        <v>High</v>
      </c>
      <c r="AM433" t="str" cm="1">
        <f t="array" ref="AM433">_xlfn.SWITCH(CleanEmployeeData[[#This Row],[JobSatisfaction]],1,"Low",2,"Medium",3,"High",4,"Very High","Unknown")</f>
        <v>High</v>
      </c>
      <c r="AN433" t="str" cm="1">
        <f t="array" ref="AN433">_xlfn.SWITCH(CleanEmployeeData[[#This Row],[PerformanceRating]],1,"Low",2,"Good",3,"Excellent",4,"Outstanding","Unknown")</f>
        <v>Excellent</v>
      </c>
      <c r="AO433" t="str" cm="1">
        <f t="array" ref="AO433">_xlfn.SWITCH(CleanEmployeeData[[#This Row],[WorkLifeBalance]],1,"Bad",2,"Good",3,"Better",4,"Best","Unknown")</f>
        <v>Better</v>
      </c>
      <c r="AP433">
        <f>IF(CleanEmployeeData[[#This Row],[Attrition]]="Yes",1,IF(CleanEmployeeData[[#This Row],[Attrition]]="No",0,""))</f>
        <v>0</v>
      </c>
      <c r="AQ433" t="str" cm="1">
        <f t="array" ref="AQ433">_xlfn.IFS(CleanEmployeeData[[#This Row],[MonthlyIncome]]&lt;=3000,"0–3,000",CleanEmployeeData[[#This Row],[MonthlyIncome]]&lt;=6000,"3,001–6,000",CleanEmployeeData[[#This Row],[MonthlyIncome]]&lt;=10000,"6,001–10,000",TRUE,"10,001+")</f>
        <v>3,001–6,000</v>
      </c>
      <c r="AR433" t="str" cm="1">
        <f t="array" ref="AR433">_xlfn.IFS(CleanEmployeeData[[#This Row],[DistanceFromHome]]&lt;=5,"0–5 miles",CleanEmployeeData[[#This Row],[DistanceFromHome]]&lt;=10,"6–10 miles",CleanEmployeeData[[#This Row],[DistanceFromHome]]&lt;=15,"11–15 miles",TRUE,"16+ miles")</f>
        <v>6–10 miles</v>
      </c>
      <c r="AS433" t="str" cm="1">
        <f t="array" ref="AS433">_xlfn.IFS(CleanEmployeeData[[#This Row],[YearsAtCompany]]&lt;=1,"0–1 years",CleanEmployeeData[[#This Row],[YearsAtCompany]]&lt;=5,"2–5 years",CleanEmployeeData[[#This Row],[YearsAtCompany]]&lt;=10,"6–10 years",TRUE,"11+ years")</f>
        <v>0–1 years</v>
      </c>
    </row>
    <row r="434" spans="1:4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cm="1">
        <f t="array" ref="AJ434">_xlfn.SWITCH(CleanEmployeeData[[#This Row],[Education]],1,"Below College",2,"College",3,"Bachelor",4,"Master",5,"Doctor","Unknown")</f>
        <v>Master</v>
      </c>
      <c r="AK434" t="str" cm="1">
        <f t="array" ref="AK434">_xlfn.SWITCH(CleanEmployeeData[[#This Row],[EnvironmentSatisfaction]],1,"Low",2,"Medium",3,"High",4,"Very High","Unknown")</f>
        <v>Very High</v>
      </c>
      <c r="AL434" t="str" cm="1">
        <f t="array" ref="AL434">_xlfn.SWITCH(CleanEmployeeData[[#This Row],[JobInvolvement]],1,"Low",2,"Medium",3,"High",4,"Very High","Unknown")</f>
        <v>Medium</v>
      </c>
      <c r="AM434" t="str" cm="1">
        <f t="array" ref="AM434">_xlfn.SWITCH(CleanEmployeeData[[#This Row],[JobSatisfaction]],1,"Low",2,"Medium",3,"High",4,"Very High","Unknown")</f>
        <v>High</v>
      </c>
      <c r="AN434" t="str" cm="1">
        <f t="array" ref="AN434">_xlfn.SWITCH(CleanEmployeeData[[#This Row],[PerformanceRating]],1,"Low",2,"Good",3,"Excellent",4,"Outstanding","Unknown")</f>
        <v>Excellent</v>
      </c>
      <c r="AO434" t="str" cm="1">
        <f t="array" ref="AO434">_xlfn.SWITCH(CleanEmployeeData[[#This Row],[WorkLifeBalance]],1,"Bad",2,"Good",3,"Better",4,"Best","Unknown")</f>
        <v>Better</v>
      </c>
      <c r="AP434">
        <f>IF(CleanEmployeeData[[#This Row],[Attrition]]="Yes",1,IF(CleanEmployeeData[[#This Row],[Attrition]]="No",0,""))</f>
        <v>0</v>
      </c>
      <c r="AQ434" t="str" cm="1">
        <f t="array" ref="AQ434">_xlfn.IFS(CleanEmployeeData[[#This Row],[MonthlyIncome]]&lt;=3000,"0–3,000",CleanEmployeeData[[#This Row],[MonthlyIncome]]&lt;=6000,"3,001–6,000",CleanEmployeeData[[#This Row],[MonthlyIncome]]&lt;=10000,"6,001–10,000",TRUE,"10,001+")</f>
        <v>0–3,000</v>
      </c>
      <c r="AR434" t="str" cm="1">
        <f t="array" ref="AR434">_xlfn.IFS(CleanEmployeeData[[#This Row],[DistanceFromHome]]&lt;=5,"0–5 miles",CleanEmployeeData[[#This Row],[DistanceFromHome]]&lt;=10,"6–10 miles",CleanEmployeeData[[#This Row],[DistanceFromHome]]&lt;=15,"11–15 miles",TRUE,"16+ miles")</f>
        <v>0–5 miles</v>
      </c>
      <c r="AS434" t="str" cm="1">
        <f t="array" ref="AS434">_xlfn.IFS(CleanEmployeeData[[#This Row],[YearsAtCompany]]&lt;=1,"0–1 years",CleanEmployeeData[[#This Row],[YearsAtCompany]]&lt;=5,"2–5 years",CleanEmployeeData[[#This Row],[YearsAtCompany]]&lt;=10,"6–10 years",TRUE,"11+ years")</f>
        <v>6–10 years</v>
      </c>
    </row>
    <row r="435" spans="1:4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cm="1">
        <f t="array" ref="AJ435">_xlfn.SWITCH(CleanEmployeeData[[#This Row],[Education]],1,"Below College",2,"College",3,"Bachelor",4,"Master",5,"Doctor","Unknown")</f>
        <v>Bachelor</v>
      </c>
      <c r="AK435" t="str" cm="1">
        <f t="array" ref="AK435">_xlfn.SWITCH(CleanEmployeeData[[#This Row],[EnvironmentSatisfaction]],1,"Low",2,"Medium",3,"High",4,"Very High","Unknown")</f>
        <v>High</v>
      </c>
      <c r="AL435" t="str" cm="1">
        <f t="array" ref="AL435">_xlfn.SWITCH(CleanEmployeeData[[#This Row],[JobInvolvement]],1,"Low",2,"Medium",3,"High",4,"Very High","Unknown")</f>
        <v>Medium</v>
      </c>
      <c r="AM435" t="str" cm="1">
        <f t="array" ref="AM435">_xlfn.SWITCH(CleanEmployeeData[[#This Row],[JobSatisfaction]],1,"Low",2,"Medium",3,"High",4,"Very High","Unknown")</f>
        <v>Very High</v>
      </c>
      <c r="AN435" t="str" cm="1">
        <f t="array" ref="AN435">_xlfn.SWITCH(CleanEmployeeData[[#This Row],[PerformanceRating]],1,"Low",2,"Good",3,"Excellent",4,"Outstanding","Unknown")</f>
        <v>Excellent</v>
      </c>
      <c r="AO435" t="str" cm="1">
        <f t="array" ref="AO435">_xlfn.SWITCH(CleanEmployeeData[[#This Row],[WorkLifeBalance]],1,"Bad",2,"Good",3,"Better",4,"Best","Unknown")</f>
        <v>Better</v>
      </c>
      <c r="AP435">
        <f>IF(CleanEmployeeData[[#This Row],[Attrition]]="Yes",1,IF(CleanEmployeeData[[#This Row],[Attrition]]="No",0,""))</f>
        <v>0</v>
      </c>
      <c r="AQ435" t="str" cm="1">
        <f t="array" ref="AQ435">_xlfn.IFS(CleanEmployeeData[[#This Row],[MonthlyIncome]]&lt;=3000,"0–3,000",CleanEmployeeData[[#This Row],[MonthlyIncome]]&lt;=6000,"3,001–6,000",CleanEmployeeData[[#This Row],[MonthlyIncome]]&lt;=10000,"6,001–10,000",TRUE,"10,001+")</f>
        <v>6,001–10,000</v>
      </c>
      <c r="AR435" t="str" cm="1">
        <f t="array" ref="AR435">_xlfn.IFS(CleanEmployeeData[[#This Row],[DistanceFromHome]]&lt;=5,"0–5 miles",CleanEmployeeData[[#This Row],[DistanceFromHome]]&lt;=10,"6–10 miles",CleanEmployeeData[[#This Row],[DistanceFromHome]]&lt;=15,"11–15 miles",TRUE,"16+ miles")</f>
        <v>6–10 miles</v>
      </c>
      <c r="AS435" t="str" cm="1">
        <f t="array" ref="AS435">_xlfn.IFS(CleanEmployeeData[[#This Row],[YearsAtCompany]]&lt;=1,"0–1 years",CleanEmployeeData[[#This Row],[YearsAtCompany]]&lt;=5,"2–5 years",CleanEmployeeData[[#This Row],[YearsAtCompany]]&lt;=10,"6–10 years",TRUE,"11+ years")</f>
        <v>2–5 years</v>
      </c>
    </row>
    <row r="436" spans="1:4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cm="1">
        <f t="array" ref="AJ436">_xlfn.SWITCH(CleanEmployeeData[[#This Row],[Education]],1,"Below College",2,"College",3,"Bachelor",4,"Master",5,"Doctor","Unknown")</f>
        <v>Below College</v>
      </c>
      <c r="AK436" t="str" cm="1">
        <f t="array" ref="AK436">_xlfn.SWITCH(CleanEmployeeData[[#This Row],[EnvironmentSatisfaction]],1,"Low",2,"Medium",3,"High",4,"Very High","Unknown")</f>
        <v>High</v>
      </c>
      <c r="AL436" t="str" cm="1">
        <f t="array" ref="AL436">_xlfn.SWITCH(CleanEmployeeData[[#This Row],[JobInvolvement]],1,"Low",2,"Medium",3,"High",4,"Very High","Unknown")</f>
        <v>High</v>
      </c>
      <c r="AM436" t="str" cm="1">
        <f t="array" ref="AM436">_xlfn.SWITCH(CleanEmployeeData[[#This Row],[JobSatisfaction]],1,"Low",2,"Medium",3,"High",4,"Very High","Unknown")</f>
        <v>Medium</v>
      </c>
      <c r="AN436" t="str" cm="1">
        <f t="array" ref="AN436">_xlfn.SWITCH(CleanEmployeeData[[#This Row],[PerformanceRating]],1,"Low",2,"Good",3,"Excellent",4,"Outstanding","Unknown")</f>
        <v>Outstanding</v>
      </c>
      <c r="AO436" t="str" cm="1">
        <f t="array" ref="AO436">_xlfn.SWITCH(CleanEmployeeData[[#This Row],[WorkLifeBalance]],1,"Bad",2,"Good",3,"Better",4,"Best","Unknown")</f>
        <v>Best</v>
      </c>
      <c r="AP436">
        <f>IF(CleanEmployeeData[[#This Row],[Attrition]]="Yes",1,IF(CleanEmployeeData[[#This Row],[Attrition]]="No",0,""))</f>
        <v>0</v>
      </c>
      <c r="AQ436" t="str" cm="1">
        <f t="array" ref="AQ436">_xlfn.IFS(CleanEmployeeData[[#This Row],[MonthlyIncome]]&lt;=3000,"0–3,000",CleanEmployeeData[[#This Row],[MonthlyIncome]]&lt;=6000,"3,001–6,000",CleanEmployeeData[[#This Row],[MonthlyIncome]]&lt;=10000,"6,001–10,000",TRUE,"10,001+")</f>
        <v>10,001+</v>
      </c>
      <c r="AR436" t="str" cm="1">
        <f t="array" ref="AR436">_xlfn.IFS(CleanEmployeeData[[#This Row],[DistanceFromHome]]&lt;=5,"0–5 miles",CleanEmployeeData[[#This Row],[DistanceFromHome]]&lt;=10,"6–10 miles",CleanEmployeeData[[#This Row],[DistanceFromHome]]&lt;=15,"11–15 miles",TRUE,"16+ miles")</f>
        <v>6–10 miles</v>
      </c>
      <c r="AS436" t="str" cm="1">
        <f t="array" ref="AS436">_xlfn.IFS(CleanEmployeeData[[#This Row],[YearsAtCompany]]&lt;=1,"0–1 years",CleanEmployeeData[[#This Row],[YearsAtCompany]]&lt;=5,"2–5 years",CleanEmployeeData[[#This Row],[YearsAtCompany]]&lt;=10,"6–10 years",TRUE,"11+ years")</f>
        <v>11+ years</v>
      </c>
    </row>
    <row r="437" spans="1:4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cm="1">
        <f t="array" ref="AJ437">_xlfn.SWITCH(CleanEmployeeData[[#This Row],[Education]],1,"Below College",2,"College",3,"Bachelor",4,"Master",5,"Doctor","Unknown")</f>
        <v>Below College</v>
      </c>
      <c r="AK437" t="str" cm="1">
        <f t="array" ref="AK437">_xlfn.SWITCH(CleanEmployeeData[[#This Row],[EnvironmentSatisfaction]],1,"Low",2,"Medium",3,"High",4,"Very High","Unknown")</f>
        <v>Medium</v>
      </c>
      <c r="AL437" t="str" cm="1">
        <f t="array" ref="AL437">_xlfn.SWITCH(CleanEmployeeData[[#This Row],[JobInvolvement]],1,"Low",2,"Medium",3,"High",4,"Very High","Unknown")</f>
        <v>High</v>
      </c>
      <c r="AM437" t="str" cm="1">
        <f t="array" ref="AM437">_xlfn.SWITCH(CleanEmployeeData[[#This Row],[JobSatisfaction]],1,"Low",2,"Medium",3,"High",4,"Very High","Unknown")</f>
        <v>High</v>
      </c>
      <c r="AN437" t="str" cm="1">
        <f t="array" ref="AN437">_xlfn.SWITCH(CleanEmployeeData[[#This Row],[PerformanceRating]],1,"Low",2,"Good",3,"Excellent",4,"Outstanding","Unknown")</f>
        <v>Excellent</v>
      </c>
      <c r="AO437" t="str" cm="1">
        <f t="array" ref="AO437">_xlfn.SWITCH(CleanEmployeeData[[#This Row],[WorkLifeBalance]],1,"Bad",2,"Good",3,"Better",4,"Best","Unknown")</f>
        <v>Best</v>
      </c>
      <c r="AP437">
        <f>IF(CleanEmployeeData[[#This Row],[Attrition]]="Yes",1,IF(CleanEmployeeData[[#This Row],[Attrition]]="No",0,""))</f>
        <v>1</v>
      </c>
      <c r="AQ437" t="str" cm="1">
        <f t="array" ref="AQ437">_xlfn.IFS(CleanEmployeeData[[#This Row],[MonthlyIncome]]&lt;=3000,"0–3,000",CleanEmployeeData[[#This Row],[MonthlyIncome]]&lt;=6000,"3,001–6,000",CleanEmployeeData[[#This Row],[MonthlyIncome]]&lt;=10000,"6,001–10,000",TRUE,"10,001+")</f>
        <v>10,001+</v>
      </c>
      <c r="AR437" t="str" cm="1">
        <f t="array" ref="AR437">_xlfn.IFS(CleanEmployeeData[[#This Row],[DistanceFromHome]]&lt;=5,"0–5 miles",CleanEmployeeData[[#This Row],[DistanceFromHome]]&lt;=10,"6–10 miles",CleanEmployeeData[[#This Row],[DistanceFromHome]]&lt;=15,"11–15 miles",TRUE,"16+ miles")</f>
        <v>11–15 miles</v>
      </c>
      <c r="AS437" t="str" cm="1">
        <f t="array" ref="AS437">_xlfn.IFS(CleanEmployeeData[[#This Row],[YearsAtCompany]]&lt;=1,"0–1 years",CleanEmployeeData[[#This Row],[YearsAtCompany]]&lt;=5,"2–5 years",CleanEmployeeData[[#This Row],[YearsAtCompany]]&lt;=10,"6–10 years",TRUE,"11+ years")</f>
        <v>6–10 years</v>
      </c>
    </row>
    <row r="438" spans="1:4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cm="1">
        <f t="array" ref="AJ438">_xlfn.SWITCH(CleanEmployeeData[[#This Row],[Education]],1,"Below College",2,"College",3,"Bachelor",4,"Master",5,"Doctor","Unknown")</f>
        <v>Below College</v>
      </c>
      <c r="AK438" t="str" cm="1">
        <f t="array" ref="AK438">_xlfn.SWITCH(CleanEmployeeData[[#This Row],[EnvironmentSatisfaction]],1,"Low",2,"Medium",3,"High",4,"Very High","Unknown")</f>
        <v>Low</v>
      </c>
      <c r="AL438" t="str" cm="1">
        <f t="array" ref="AL438">_xlfn.SWITCH(CleanEmployeeData[[#This Row],[JobInvolvement]],1,"Low",2,"Medium",3,"High",4,"Very High","Unknown")</f>
        <v>Low</v>
      </c>
      <c r="AM438" t="str" cm="1">
        <f t="array" ref="AM438">_xlfn.SWITCH(CleanEmployeeData[[#This Row],[JobSatisfaction]],1,"Low",2,"Medium",3,"High",4,"Very High","Unknown")</f>
        <v>Very High</v>
      </c>
      <c r="AN438" t="str" cm="1">
        <f t="array" ref="AN438">_xlfn.SWITCH(CleanEmployeeData[[#This Row],[PerformanceRating]],1,"Low",2,"Good",3,"Excellent",4,"Outstanding","Unknown")</f>
        <v>Excellent</v>
      </c>
      <c r="AO438" t="str" cm="1">
        <f t="array" ref="AO438">_xlfn.SWITCH(CleanEmployeeData[[#This Row],[WorkLifeBalance]],1,"Bad",2,"Good",3,"Better",4,"Best","Unknown")</f>
        <v>Better</v>
      </c>
      <c r="AP438">
        <f>IF(CleanEmployeeData[[#This Row],[Attrition]]="Yes",1,IF(CleanEmployeeData[[#This Row],[Attrition]]="No",0,""))</f>
        <v>1</v>
      </c>
      <c r="AQ438" t="str" cm="1">
        <f t="array" ref="AQ438">_xlfn.IFS(CleanEmployeeData[[#This Row],[MonthlyIncome]]&lt;=3000,"0–3,000",CleanEmployeeData[[#This Row],[MonthlyIncome]]&lt;=6000,"3,001–6,000",CleanEmployeeData[[#This Row],[MonthlyIncome]]&lt;=10000,"6,001–10,000",TRUE,"10,001+")</f>
        <v>3,001–6,000</v>
      </c>
      <c r="AR438" t="str" cm="1">
        <f t="array" ref="AR438">_xlfn.IFS(CleanEmployeeData[[#This Row],[DistanceFromHome]]&lt;=5,"0–5 miles",CleanEmployeeData[[#This Row],[DistanceFromHome]]&lt;=10,"6–10 miles",CleanEmployeeData[[#This Row],[DistanceFromHome]]&lt;=15,"11–15 miles",TRUE,"16+ miles")</f>
        <v>6–10 miles</v>
      </c>
      <c r="AS438" t="str" cm="1">
        <f t="array" ref="AS438">_xlfn.IFS(CleanEmployeeData[[#This Row],[YearsAtCompany]]&lt;=1,"0–1 years",CleanEmployeeData[[#This Row],[YearsAtCompany]]&lt;=5,"2–5 years",CleanEmployeeData[[#This Row],[YearsAtCompany]]&lt;=10,"6–10 years",TRUE,"11+ years")</f>
        <v>2–5 years</v>
      </c>
    </row>
    <row r="439" spans="1:4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cm="1">
        <f t="array" ref="AJ439">_xlfn.SWITCH(CleanEmployeeData[[#This Row],[Education]],1,"Below College",2,"College",3,"Bachelor",4,"Master",5,"Doctor","Unknown")</f>
        <v>Below College</v>
      </c>
      <c r="AK439" t="str" cm="1">
        <f t="array" ref="AK439">_xlfn.SWITCH(CleanEmployeeData[[#This Row],[EnvironmentSatisfaction]],1,"Low",2,"Medium",3,"High",4,"Very High","Unknown")</f>
        <v>Very High</v>
      </c>
      <c r="AL439" t="str" cm="1">
        <f t="array" ref="AL439">_xlfn.SWITCH(CleanEmployeeData[[#This Row],[JobInvolvement]],1,"Low",2,"Medium",3,"High",4,"Very High","Unknown")</f>
        <v>High</v>
      </c>
      <c r="AM439" t="str" cm="1">
        <f t="array" ref="AM439">_xlfn.SWITCH(CleanEmployeeData[[#This Row],[JobSatisfaction]],1,"Low",2,"Medium",3,"High",4,"Very High","Unknown")</f>
        <v>Medium</v>
      </c>
      <c r="AN439" t="str" cm="1">
        <f t="array" ref="AN439">_xlfn.SWITCH(CleanEmployeeData[[#This Row],[PerformanceRating]],1,"Low",2,"Good",3,"Excellent",4,"Outstanding","Unknown")</f>
        <v>Excellent</v>
      </c>
      <c r="AO439" t="str" cm="1">
        <f t="array" ref="AO439">_xlfn.SWITCH(CleanEmployeeData[[#This Row],[WorkLifeBalance]],1,"Bad",2,"Good",3,"Better",4,"Best","Unknown")</f>
        <v>Better</v>
      </c>
      <c r="AP439">
        <f>IF(CleanEmployeeData[[#This Row],[Attrition]]="Yes",1,IF(CleanEmployeeData[[#This Row],[Attrition]]="No",0,""))</f>
        <v>0</v>
      </c>
      <c r="AQ439" t="str" cm="1">
        <f t="array" ref="AQ439">_xlfn.IFS(CleanEmployeeData[[#This Row],[MonthlyIncome]]&lt;=3000,"0–3,000",CleanEmployeeData[[#This Row],[MonthlyIncome]]&lt;=6000,"3,001–6,000",CleanEmployeeData[[#This Row],[MonthlyIncome]]&lt;=10000,"6,001–10,000",TRUE,"10,001+")</f>
        <v>0–3,000</v>
      </c>
      <c r="AR439" t="str" cm="1">
        <f t="array" ref="AR439">_xlfn.IFS(CleanEmployeeData[[#This Row],[DistanceFromHome]]&lt;=5,"0–5 miles",CleanEmployeeData[[#This Row],[DistanceFromHome]]&lt;=10,"6–10 miles",CleanEmployeeData[[#This Row],[DistanceFromHome]]&lt;=15,"11–15 miles",TRUE,"16+ miles")</f>
        <v>6–10 miles</v>
      </c>
      <c r="AS439" t="str" cm="1">
        <f t="array" ref="AS439">_xlfn.IFS(CleanEmployeeData[[#This Row],[YearsAtCompany]]&lt;=1,"0–1 years",CleanEmployeeData[[#This Row],[YearsAtCompany]]&lt;=5,"2–5 years",CleanEmployeeData[[#This Row],[YearsAtCompany]]&lt;=10,"6–10 years",TRUE,"11+ years")</f>
        <v>2–5 years</v>
      </c>
    </row>
    <row r="440" spans="1:4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cm="1">
        <f t="array" ref="AJ440">_xlfn.SWITCH(CleanEmployeeData[[#This Row],[Education]],1,"Below College",2,"College",3,"Bachelor",4,"Master",5,"Doctor","Unknown")</f>
        <v>Bachelor</v>
      </c>
      <c r="AK440" t="str" cm="1">
        <f t="array" ref="AK440">_xlfn.SWITCH(CleanEmployeeData[[#This Row],[EnvironmentSatisfaction]],1,"Low",2,"Medium",3,"High",4,"Very High","Unknown")</f>
        <v>Very High</v>
      </c>
      <c r="AL440" t="str" cm="1">
        <f t="array" ref="AL440">_xlfn.SWITCH(CleanEmployeeData[[#This Row],[JobInvolvement]],1,"Low",2,"Medium",3,"High",4,"Very High","Unknown")</f>
        <v>High</v>
      </c>
      <c r="AM440" t="str" cm="1">
        <f t="array" ref="AM440">_xlfn.SWITCH(CleanEmployeeData[[#This Row],[JobSatisfaction]],1,"Low",2,"Medium",3,"High",4,"Very High","Unknown")</f>
        <v>High</v>
      </c>
      <c r="AN440" t="str" cm="1">
        <f t="array" ref="AN440">_xlfn.SWITCH(CleanEmployeeData[[#This Row],[PerformanceRating]],1,"Low",2,"Good",3,"Excellent",4,"Outstanding","Unknown")</f>
        <v>Excellent</v>
      </c>
      <c r="AO440" t="str" cm="1">
        <f t="array" ref="AO440">_xlfn.SWITCH(CleanEmployeeData[[#This Row],[WorkLifeBalance]],1,"Bad",2,"Good",3,"Better",4,"Best","Unknown")</f>
        <v>Better</v>
      </c>
      <c r="AP440">
        <f>IF(CleanEmployeeData[[#This Row],[Attrition]]="Yes",1,IF(CleanEmployeeData[[#This Row],[Attrition]]="No",0,""))</f>
        <v>0</v>
      </c>
      <c r="AQ440" t="str" cm="1">
        <f t="array" ref="AQ440">_xlfn.IFS(CleanEmployeeData[[#This Row],[MonthlyIncome]]&lt;=3000,"0–3,000",CleanEmployeeData[[#This Row],[MonthlyIncome]]&lt;=6000,"3,001–6,000",CleanEmployeeData[[#This Row],[MonthlyIncome]]&lt;=10000,"6,001–10,000",TRUE,"10,001+")</f>
        <v>6,001–10,000</v>
      </c>
      <c r="AR440" t="str" cm="1">
        <f t="array" ref="AR440">_xlfn.IFS(CleanEmployeeData[[#This Row],[DistanceFromHome]]&lt;=5,"0–5 miles",CleanEmployeeData[[#This Row],[DistanceFromHome]]&lt;=10,"6–10 miles",CleanEmployeeData[[#This Row],[DistanceFromHome]]&lt;=15,"11–15 miles",TRUE,"16+ miles")</f>
        <v>16+ miles</v>
      </c>
      <c r="AS440" t="str" cm="1">
        <f t="array" ref="AS440">_xlfn.IFS(CleanEmployeeData[[#This Row],[YearsAtCompany]]&lt;=1,"0–1 years",CleanEmployeeData[[#This Row],[YearsAtCompany]]&lt;=5,"2–5 years",CleanEmployeeData[[#This Row],[YearsAtCompany]]&lt;=10,"6–10 years",TRUE,"11+ years")</f>
        <v>6–10 years</v>
      </c>
    </row>
    <row r="441" spans="1:4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cm="1">
        <f t="array" ref="AJ441">_xlfn.SWITCH(CleanEmployeeData[[#This Row],[Education]],1,"Below College",2,"College",3,"Bachelor",4,"Master",5,"Doctor","Unknown")</f>
        <v>Bachelor</v>
      </c>
      <c r="AK441" t="str" cm="1">
        <f t="array" ref="AK441">_xlfn.SWITCH(CleanEmployeeData[[#This Row],[EnvironmentSatisfaction]],1,"Low",2,"Medium",3,"High",4,"Very High","Unknown")</f>
        <v>Low</v>
      </c>
      <c r="AL441" t="str" cm="1">
        <f t="array" ref="AL441">_xlfn.SWITCH(CleanEmployeeData[[#This Row],[JobInvolvement]],1,"Low",2,"Medium",3,"High",4,"Very High","Unknown")</f>
        <v>High</v>
      </c>
      <c r="AM441" t="str" cm="1">
        <f t="array" ref="AM441">_xlfn.SWITCH(CleanEmployeeData[[#This Row],[JobSatisfaction]],1,"Low",2,"Medium",3,"High",4,"Very High","Unknown")</f>
        <v>High</v>
      </c>
      <c r="AN441" t="str" cm="1">
        <f t="array" ref="AN441">_xlfn.SWITCH(CleanEmployeeData[[#This Row],[PerformanceRating]],1,"Low",2,"Good",3,"Excellent",4,"Outstanding","Unknown")</f>
        <v>Excellent</v>
      </c>
      <c r="AO441" t="str" cm="1">
        <f t="array" ref="AO441">_xlfn.SWITCH(CleanEmployeeData[[#This Row],[WorkLifeBalance]],1,"Bad",2,"Good",3,"Better",4,"Best","Unknown")</f>
        <v>Better</v>
      </c>
      <c r="AP441">
        <f>IF(CleanEmployeeData[[#This Row],[Attrition]]="Yes",1,IF(CleanEmployeeData[[#This Row],[Attrition]]="No",0,""))</f>
        <v>1</v>
      </c>
      <c r="AQ441" t="str" cm="1">
        <f t="array" ref="AQ441">_xlfn.IFS(CleanEmployeeData[[#This Row],[MonthlyIncome]]&lt;=3000,"0–3,000",CleanEmployeeData[[#This Row],[MonthlyIncome]]&lt;=6000,"3,001–6,000",CleanEmployeeData[[#This Row],[MonthlyIncome]]&lt;=10000,"6,001–10,000",TRUE,"10,001+")</f>
        <v>6,001–10,000</v>
      </c>
      <c r="AR441" t="str" cm="1">
        <f t="array" ref="AR441">_xlfn.IFS(CleanEmployeeData[[#This Row],[DistanceFromHome]]&lt;=5,"0–5 miles",CleanEmployeeData[[#This Row],[DistanceFromHome]]&lt;=10,"6–10 miles",CleanEmployeeData[[#This Row],[DistanceFromHome]]&lt;=15,"11–15 miles",TRUE,"16+ miles")</f>
        <v>16+ miles</v>
      </c>
      <c r="AS441" t="str" cm="1">
        <f t="array" ref="AS441">_xlfn.IFS(CleanEmployeeData[[#This Row],[YearsAtCompany]]&lt;=1,"0–1 years",CleanEmployeeData[[#This Row],[YearsAtCompany]]&lt;=5,"2–5 years",CleanEmployeeData[[#This Row],[YearsAtCompany]]&lt;=10,"6–10 years",TRUE,"11+ years")</f>
        <v>0–1 years</v>
      </c>
    </row>
    <row r="442" spans="1:4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cm="1">
        <f t="array" ref="AJ442">_xlfn.SWITCH(CleanEmployeeData[[#This Row],[Education]],1,"Below College",2,"College",3,"Bachelor",4,"Master",5,"Doctor","Unknown")</f>
        <v>Bachelor</v>
      </c>
      <c r="AK442" t="str" cm="1">
        <f t="array" ref="AK442">_xlfn.SWITCH(CleanEmployeeData[[#This Row],[EnvironmentSatisfaction]],1,"Low",2,"Medium",3,"High",4,"Very High","Unknown")</f>
        <v>Medium</v>
      </c>
      <c r="AL442" t="str" cm="1">
        <f t="array" ref="AL442">_xlfn.SWITCH(CleanEmployeeData[[#This Row],[JobInvolvement]],1,"Low",2,"Medium",3,"High",4,"Very High","Unknown")</f>
        <v>High</v>
      </c>
      <c r="AM442" t="str" cm="1">
        <f t="array" ref="AM442">_xlfn.SWITCH(CleanEmployeeData[[#This Row],[JobSatisfaction]],1,"Low",2,"Medium",3,"High",4,"Very High","Unknown")</f>
        <v>Low</v>
      </c>
      <c r="AN442" t="str" cm="1">
        <f t="array" ref="AN442">_xlfn.SWITCH(CleanEmployeeData[[#This Row],[PerformanceRating]],1,"Low",2,"Good",3,"Excellent",4,"Outstanding","Unknown")</f>
        <v>Excellent</v>
      </c>
      <c r="AO442" t="str" cm="1">
        <f t="array" ref="AO442">_xlfn.SWITCH(CleanEmployeeData[[#This Row],[WorkLifeBalance]],1,"Bad",2,"Good",3,"Better",4,"Best","Unknown")</f>
        <v>Better</v>
      </c>
      <c r="AP442">
        <f>IF(CleanEmployeeData[[#This Row],[Attrition]]="Yes",1,IF(CleanEmployeeData[[#This Row],[Attrition]]="No",0,""))</f>
        <v>1</v>
      </c>
      <c r="AQ442" t="str" cm="1">
        <f t="array" ref="AQ442">_xlfn.IFS(CleanEmployeeData[[#This Row],[MonthlyIncome]]&lt;=3000,"0–3,000",CleanEmployeeData[[#This Row],[MonthlyIncome]]&lt;=6000,"3,001–6,000",CleanEmployeeData[[#This Row],[MonthlyIncome]]&lt;=10000,"6,001–10,000",TRUE,"10,001+")</f>
        <v>6,001–10,000</v>
      </c>
      <c r="AR442" t="str" cm="1">
        <f t="array" ref="AR442">_xlfn.IFS(CleanEmployeeData[[#This Row],[DistanceFromHome]]&lt;=5,"0–5 miles",CleanEmployeeData[[#This Row],[DistanceFromHome]]&lt;=10,"6–10 miles",CleanEmployeeData[[#This Row],[DistanceFromHome]]&lt;=15,"11–15 miles",TRUE,"16+ miles")</f>
        <v>16+ miles</v>
      </c>
      <c r="AS442" t="str" cm="1">
        <f t="array" ref="AS442">_xlfn.IFS(CleanEmployeeData[[#This Row],[YearsAtCompany]]&lt;=1,"0–1 years",CleanEmployeeData[[#This Row],[YearsAtCompany]]&lt;=5,"2–5 years",CleanEmployeeData[[#This Row],[YearsAtCompany]]&lt;=10,"6–10 years",TRUE,"11+ years")</f>
        <v>2–5 years</v>
      </c>
    </row>
    <row r="443" spans="1:4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cm="1">
        <f t="array" ref="AJ443">_xlfn.SWITCH(CleanEmployeeData[[#This Row],[Education]],1,"Below College",2,"College",3,"Bachelor",4,"Master",5,"Doctor","Unknown")</f>
        <v>College</v>
      </c>
      <c r="AK443" t="str" cm="1">
        <f t="array" ref="AK443">_xlfn.SWITCH(CleanEmployeeData[[#This Row],[EnvironmentSatisfaction]],1,"Low",2,"Medium",3,"High",4,"Very High","Unknown")</f>
        <v>Medium</v>
      </c>
      <c r="AL443" t="str" cm="1">
        <f t="array" ref="AL443">_xlfn.SWITCH(CleanEmployeeData[[#This Row],[JobInvolvement]],1,"Low",2,"Medium",3,"High",4,"Very High","Unknown")</f>
        <v>High</v>
      </c>
      <c r="AM443" t="str" cm="1">
        <f t="array" ref="AM443">_xlfn.SWITCH(CleanEmployeeData[[#This Row],[JobSatisfaction]],1,"Low",2,"Medium",3,"High",4,"Very High","Unknown")</f>
        <v>High</v>
      </c>
      <c r="AN443" t="str" cm="1">
        <f t="array" ref="AN443">_xlfn.SWITCH(CleanEmployeeData[[#This Row],[PerformanceRating]],1,"Low",2,"Good",3,"Excellent",4,"Outstanding","Unknown")</f>
        <v>Excellent</v>
      </c>
      <c r="AO443" t="str" cm="1">
        <f t="array" ref="AO443">_xlfn.SWITCH(CleanEmployeeData[[#This Row],[WorkLifeBalance]],1,"Bad",2,"Good",3,"Better",4,"Best","Unknown")</f>
        <v>Better</v>
      </c>
      <c r="AP443">
        <f>IF(CleanEmployeeData[[#This Row],[Attrition]]="Yes",1,IF(CleanEmployeeData[[#This Row],[Attrition]]="No",0,""))</f>
        <v>0</v>
      </c>
      <c r="AQ443" t="str" cm="1">
        <f t="array" ref="AQ443">_xlfn.IFS(CleanEmployeeData[[#This Row],[MonthlyIncome]]&lt;=3000,"0–3,000",CleanEmployeeData[[#This Row],[MonthlyIncome]]&lt;=6000,"3,001–6,000",CleanEmployeeData[[#This Row],[MonthlyIncome]]&lt;=10000,"6,001–10,000",TRUE,"10,001+")</f>
        <v>0–3,000</v>
      </c>
      <c r="AR443" t="str" cm="1">
        <f t="array" ref="AR443">_xlfn.IFS(CleanEmployeeData[[#This Row],[DistanceFromHome]]&lt;=5,"0–5 miles",CleanEmployeeData[[#This Row],[DistanceFromHome]]&lt;=10,"6–10 miles",CleanEmployeeData[[#This Row],[DistanceFromHome]]&lt;=15,"11–15 miles",TRUE,"16+ miles")</f>
        <v>0–5 miles</v>
      </c>
      <c r="AS443" t="str" cm="1">
        <f t="array" ref="AS443">_xlfn.IFS(CleanEmployeeData[[#This Row],[YearsAtCompany]]&lt;=1,"0–1 years",CleanEmployeeData[[#This Row],[YearsAtCompany]]&lt;=5,"2–5 years",CleanEmployeeData[[#This Row],[YearsAtCompany]]&lt;=10,"6–10 years",TRUE,"11+ years")</f>
        <v>2–5 years</v>
      </c>
    </row>
    <row r="444" spans="1:4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cm="1">
        <f t="array" ref="AJ444">_xlfn.SWITCH(CleanEmployeeData[[#This Row],[Education]],1,"Below College",2,"College",3,"Bachelor",4,"Master",5,"Doctor","Unknown")</f>
        <v>Master</v>
      </c>
      <c r="AK444" t="str" cm="1">
        <f t="array" ref="AK444">_xlfn.SWITCH(CleanEmployeeData[[#This Row],[EnvironmentSatisfaction]],1,"Low",2,"Medium",3,"High",4,"Very High","Unknown")</f>
        <v>Medium</v>
      </c>
      <c r="AL444" t="str" cm="1">
        <f t="array" ref="AL444">_xlfn.SWITCH(CleanEmployeeData[[#This Row],[JobInvolvement]],1,"Low",2,"Medium",3,"High",4,"Very High","Unknown")</f>
        <v>High</v>
      </c>
      <c r="AM444" t="str" cm="1">
        <f t="array" ref="AM444">_xlfn.SWITCH(CleanEmployeeData[[#This Row],[JobSatisfaction]],1,"Low",2,"Medium",3,"High",4,"Very High","Unknown")</f>
        <v>Very High</v>
      </c>
      <c r="AN444" t="str" cm="1">
        <f t="array" ref="AN444">_xlfn.SWITCH(CleanEmployeeData[[#This Row],[PerformanceRating]],1,"Low",2,"Good",3,"Excellent",4,"Outstanding","Unknown")</f>
        <v>Excellent</v>
      </c>
      <c r="AO444" t="str" cm="1">
        <f t="array" ref="AO444">_xlfn.SWITCH(CleanEmployeeData[[#This Row],[WorkLifeBalance]],1,"Bad",2,"Good",3,"Better",4,"Best","Unknown")</f>
        <v>Good</v>
      </c>
      <c r="AP444">
        <f>IF(CleanEmployeeData[[#This Row],[Attrition]]="Yes",1,IF(CleanEmployeeData[[#This Row],[Attrition]]="No",0,""))</f>
        <v>0</v>
      </c>
      <c r="AQ444" t="str" cm="1">
        <f t="array" ref="AQ444">_xlfn.IFS(CleanEmployeeData[[#This Row],[MonthlyIncome]]&lt;=3000,"0–3,000",CleanEmployeeData[[#This Row],[MonthlyIncome]]&lt;=6000,"3,001–6,000",CleanEmployeeData[[#This Row],[MonthlyIncome]]&lt;=10000,"6,001–10,000",TRUE,"10,001+")</f>
        <v>6,001–10,000</v>
      </c>
      <c r="AR444" t="str" cm="1">
        <f t="array" ref="AR444">_xlfn.IFS(CleanEmployeeData[[#This Row],[DistanceFromHome]]&lt;=5,"0–5 miles",CleanEmployeeData[[#This Row],[DistanceFromHome]]&lt;=10,"6–10 miles",CleanEmployeeData[[#This Row],[DistanceFromHome]]&lt;=15,"11–15 miles",TRUE,"16+ miles")</f>
        <v>6–10 miles</v>
      </c>
      <c r="AS444" t="str" cm="1">
        <f t="array" ref="AS444">_xlfn.IFS(CleanEmployeeData[[#This Row],[YearsAtCompany]]&lt;=1,"0–1 years",CleanEmployeeData[[#This Row],[YearsAtCompany]]&lt;=5,"2–5 years",CleanEmployeeData[[#This Row],[YearsAtCompany]]&lt;=10,"6–10 years",TRUE,"11+ years")</f>
        <v>6–10 years</v>
      </c>
    </row>
    <row r="445" spans="1:4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cm="1">
        <f t="array" ref="AJ445">_xlfn.SWITCH(CleanEmployeeData[[#This Row],[Education]],1,"Below College",2,"College",3,"Bachelor",4,"Master",5,"Doctor","Unknown")</f>
        <v>Below College</v>
      </c>
      <c r="AK445" t="str" cm="1">
        <f t="array" ref="AK445">_xlfn.SWITCH(CleanEmployeeData[[#This Row],[EnvironmentSatisfaction]],1,"Low",2,"Medium",3,"High",4,"Very High","Unknown")</f>
        <v>High</v>
      </c>
      <c r="AL445" t="str" cm="1">
        <f t="array" ref="AL445">_xlfn.SWITCH(CleanEmployeeData[[#This Row],[JobInvolvement]],1,"Low",2,"Medium",3,"High",4,"Very High","Unknown")</f>
        <v>Medium</v>
      </c>
      <c r="AM445" t="str" cm="1">
        <f t="array" ref="AM445">_xlfn.SWITCH(CleanEmployeeData[[#This Row],[JobSatisfaction]],1,"Low",2,"Medium",3,"High",4,"Very High","Unknown")</f>
        <v>High</v>
      </c>
      <c r="AN445" t="str" cm="1">
        <f t="array" ref="AN445">_xlfn.SWITCH(CleanEmployeeData[[#This Row],[PerformanceRating]],1,"Low",2,"Good",3,"Excellent",4,"Outstanding","Unknown")</f>
        <v>Excellent</v>
      </c>
      <c r="AO445" t="str" cm="1">
        <f t="array" ref="AO445">_xlfn.SWITCH(CleanEmployeeData[[#This Row],[WorkLifeBalance]],1,"Bad",2,"Good",3,"Better",4,"Best","Unknown")</f>
        <v>Better</v>
      </c>
      <c r="AP445">
        <f>IF(CleanEmployeeData[[#This Row],[Attrition]]="Yes",1,IF(CleanEmployeeData[[#This Row],[Attrition]]="No",0,""))</f>
        <v>1</v>
      </c>
      <c r="AQ445" t="str" cm="1">
        <f t="array" ref="AQ445">_xlfn.IFS(CleanEmployeeData[[#This Row],[MonthlyIncome]]&lt;=3000,"0–3,000",CleanEmployeeData[[#This Row],[MonthlyIncome]]&lt;=6000,"3,001–6,000",CleanEmployeeData[[#This Row],[MonthlyIncome]]&lt;=10000,"6,001–10,000",TRUE,"10,001+")</f>
        <v>3,001–6,000</v>
      </c>
      <c r="AR445" t="str" cm="1">
        <f t="array" ref="AR445">_xlfn.IFS(CleanEmployeeData[[#This Row],[DistanceFromHome]]&lt;=5,"0–5 miles",CleanEmployeeData[[#This Row],[DistanceFromHome]]&lt;=10,"6–10 miles",CleanEmployeeData[[#This Row],[DistanceFromHome]]&lt;=15,"11–15 miles",TRUE,"16+ miles")</f>
        <v>0–5 miles</v>
      </c>
      <c r="AS445" t="str" cm="1">
        <f t="array" ref="AS445">_xlfn.IFS(CleanEmployeeData[[#This Row],[YearsAtCompany]]&lt;=1,"0–1 years",CleanEmployeeData[[#This Row],[YearsAtCompany]]&lt;=5,"2–5 years",CleanEmployeeData[[#This Row],[YearsAtCompany]]&lt;=10,"6–10 years",TRUE,"11+ years")</f>
        <v>2–5 years</v>
      </c>
    </row>
    <row r="446" spans="1:4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cm="1">
        <f t="array" ref="AJ446">_xlfn.SWITCH(CleanEmployeeData[[#This Row],[Education]],1,"Below College",2,"College",3,"Bachelor",4,"Master",5,"Doctor","Unknown")</f>
        <v>Doctor</v>
      </c>
      <c r="AK446" t="str" cm="1">
        <f t="array" ref="AK446">_xlfn.SWITCH(CleanEmployeeData[[#This Row],[EnvironmentSatisfaction]],1,"Low",2,"Medium",3,"High",4,"Very High","Unknown")</f>
        <v>Medium</v>
      </c>
      <c r="AL446" t="str" cm="1">
        <f t="array" ref="AL446">_xlfn.SWITCH(CleanEmployeeData[[#This Row],[JobInvolvement]],1,"Low",2,"Medium",3,"High",4,"Very High","Unknown")</f>
        <v>High</v>
      </c>
      <c r="AM446" t="str" cm="1">
        <f t="array" ref="AM446">_xlfn.SWITCH(CleanEmployeeData[[#This Row],[JobSatisfaction]],1,"Low",2,"Medium",3,"High",4,"Very High","Unknown")</f>
        <v>Very High</v>
      </c>
      <c r="AN446" t="str" cm="1">
        <f t="array" ref="AN446">_xlfn.SWITCH(CleanEmployeeData[[#This Row],[PerformanceRating]],1,"Low",2,"Good",3,"Excellent",4,"Outstanding","Unknown")</f>
        <v>Excellent</v>
      </c>
      <c r="AO446" t="str" cm="1">
        <f t="array" ref="AO446">_xlfn.SWITCH(CleanEmployeeData[[#This Row],[WorkLifeBalance]],1,"Bad",2,"Good",3,"Better",4,"Best","Unknown")</f>
        <v>Better</v>
      </c>
      <c r="AP446">
        <f>IF(CleanEmployeeData[[#This Row],[Attrition]]="Yes",1,IF(CleanEmployeeData[[#This Row],[Attrition]]="No",0,""))</f>
        <v>0</v>
      </c>
      <c r="AQ446" t="str" cm="1">
        <f t="array" ref="AQ446">_xlfn.IFS(CleanEmployeeData[[#This Row],[MonthlyIncome]]&lt;=3000,"0–3,000",CleanEmployeeData[[#This Row],[MonthlyIncome]]&lt;=6000,"3,001–6,000",CleanEmployeeData[[#This Row],[MonthlyIncome]]&lt;=10000,"6,001–10,000",TRUE,"10,001+")</f>
        <v>3,001–6,000</v>
      </c>
      <c r="AR446" t="str" cm="1">
        <f t="array" ref="AR446">_xlfn.IFS(CleanEmployeeData[[#This Row],[DistanceFromHome]]&lt;=5,"0–5 miles",CleanEmployeeData[[#This Row],[DistanceFromHome]]&lt;=10,"6–10 miles",CleanEmployeeData[[#This Row],[DistanceFromHome]]&lt;=15,"11–15 miles",TRUE,"16+ miles")</f>
        <v>0–5 miles</v>
      </c>
      <c r="AS446" t="str" cm="1">
        <f t="array" ref="AS446">_xlfn.IFS(CleanEmployeeData[[#This Row],[YearsAtCompany]]&lt;=1,"0–1 years",CleanEmployeeData[[#This Row],[YearsAtCompany]]&lt;=5,"2–5 years",CleanEmployeeData[[#This Row],[YearsAtCompany]]&lt;=10,"6–10 years",TRUE,"11+ years")</f>
        <v>6–10 years</v>
      </c>
    </row>
    <row r="447" spans="1:4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cm="1">
        <f t="array" ref="AJ447">_xlfn.SWITCH(CleanEmployeeData[[#This Row],[Education]],1,"Below College",2,"College",3,"Bachelor",4,"Master",5,"Doctor","Unknown")</f>
        <v>Doctor</v>
      </c>
      <c r="AK447" t="str" cm="1">
        <f t="array" ref="AK447">_xlfn.SWITCH(CleanEmployeeData[[#This Row],[EnvironmentSatisfaction]],1,"Low",2,"Medium",3,"High",4,"Very High","Unknown")</f>
        <v>Low</v>
      </c>
      <c r="AL447" t="str" cm="1">
        <f t="array" ref="AL447">_xlfn.SWITCH(CleanEmployeeData[[#This Row],[JobInvolvement]],1,"Low",2,"Medium",3,"High",4,"Very High","Unknown")</f>
        <v>High</v>
      </c>
      <c r="AM447" t="str" cm="1">
        <f t="array" ref="AM447">_xlfn.SWITCH(CleanEmployeeData[[#This Row],[JobSatisfaction]],1,"Low",2,"Medium",3,"High",4,"Very High","Unknown")</f>
        <v>Medium</v>
      </c>
      <c r="AN447" t="str" cm="1">
        <f t="array" ref="AN447">_xlfn.SWITCH(CleanEmployeeData[[#This Row],[PerformanceRating]],1,"Low",2,"Good",3,"Excellent",4,"Outstanding","Unknown")</f>
        <v>Outstanding</v>
      </c>
      <c r="AO447" t="str" cm="1">
        <f t="array" ref="AO447">_xlfn.SWITCH(CleanEmployeeData[[#This Row],[WorkLifeBalance]],1,"Bad",2,"Good",3,"Better",4,"Best","Unknown")</f>
        <v>Better</v>
      </c>
      <c r="AP447">
        <f>IF(CleanEmployeeData[[#This Row],[Attrition]]="Yes",1,IF(CleanEmployeeData[[#This Row],[Attrition]]="No",0,""))</f>
        <v>0</v>
      </c>
      <c r="AQ447" t="str" cm="1">
        <f t="array" ref="AQ447">_xlfn.IFS(CleanEmployeeData[[#This Row],[MonthlyIncome]]&lt;=3000,"0–3,000",CleanEmployeeData[[#This Row],[MonthlyIncome]]&lt;=6000,"3,001–6,000",CleanEmployeeData[[#This Row],[MonthlyIncome]]&lt;=10000,"6,001–10,000",TRUE,"10,001+")</f>
        <v>10,001+</v>
      </c>
      <c r="AR447" t="str" cm="1">
        <f t="array" ref="AR447">_xlfn.IFS(CleanEmployeeData[[#This Row],[DistanceFromHome]]&lt;=5,"0–5 miles",CleanEmployeeData[[#This Row],[DistanceFromHome]]&lt;=10,"6–10 miles",CleanEmployeeData[[#This Row],[DistanceFromHome]]&lt;=15,"11–15 miles",TRUE,"16+ miles")</f>
        <v>16+ miles</v>
      </c>
      <c r="AS447" t="str" cm="1">
        <f t="array" ref="AS447">_xlfn.IFS(CleanEmployeeData[[#This Row],[YearsAtCompany]]&lt;=1,"0–1 years",CleanEmployeeData[[#This Row],[YearsAtCompany]]&lt;=5,"2–5 years",CleanEmployeeData[[#This Row],[YearsAtCompany]]&lt;=10,"6–10 years",TRUE,"11+ years")</f>
        <v>6–10 years</v>
      </c>
    </row>
    <row r="448" spans="1:4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cm="1">
        <f t="array" ref="AJ448">_xlfn.SWITCH(CleanEmployeeData[[#This Row],[Education]],1,"Below College",2,"College",3,"Bachelor",4,"Master",5,"Doctor","Unknown")</f>
        <v>College</v>
      </c>
      <c r="AK448" t="str" cm="1">
        <f t="array" ref="AK448">_xlfn.SWITCH(CleanEmployeeData[[#This Row],[EnvironmentSatisfaction]],1,"Low",2,"Medium",3,"High",4,"Very High","Unknown")</f>
        <v>Very High</v>
      </c>
      <c r="AL448" t="str" cm="1">
        <f t="array" ref="AL448">_xlfn.SWITCH(CleanEmployeeData[[#This Row],[JobInvolvement]],1,"Low",2,"Medium",3,"High",4,"Very High","Unknown")</f>
        <v>High</v>
      </c>
      <c r="AM448" t="str" cm="1">
        <f t="array" ref="AM448">_xlfn.SWITCH(CleanEmployeeData[[#This Row],[JobSatisfaction]],1,"Low",2,"Medium",3,"High",4,"Very High","Unknown")</f>
        <v>Very High</v>
      </c>
      <c r="AN448" t="str" cm="1">
        <f t="array" ref="AN448">_xlfn.SWITCH(CleanEmployeeData[[#This Row],[PerformanceRating]],1,"Low",2,"Good",3,"Excellent",4,"Outstanding","Unknown")</f>
        <v>Excellent</v>
      </c>
      <c r="AO448" t="str" cm="1">
        <f t="array" ref="AO448">_xlfn.SWITCH(CleanEmployeeData[[#This Row],[WorkLifeBalance]],1,"Bad",2,"Good",3,"Better",4,"Best","Unknown")</f>
        <v>Better</v>
      </c>
      <c r="AP448">
        <f>IF(CleanEmployeeData[[#This Row],[Attrition]]="Yes",1,IF(CleanEmployeeData[[#This Row],[Attrition]]="No",0,""))</f>
        <v>0</v>
      </c>
      <c r="AQ448" t="str" cm="1">
        <f t="array" ref="AQ448">_xlfn.IFS(CleanEmployeeData[[#This Row],[MonthlyIncome]]&lt;=3000,"0–3,000",CleanEmployeeData[[#This Row],[MonthlyIncome]]&lt;=6000,"3,001–6,000",CleanEmployeeData[[#This Row],[MonthlyIncome]]&lt;=10000,"6,001–10,000",TRUE,"10,001+")</f>
        <v>6,001–10,000</v>
      </c>
      <c r="AR448" t="str" cm="1">
        <f t="array" ref="AR448">_xlfn.IFS(CleanEmployeeData[[#This Row],[DistanceFromHome]]&lt;=5,"0–5 miles",CleanEmployeeData[[#This Row],[DistanceFromHome]]&lt;=10,"6–10 miles",CleanEmployeeData[[#This Row],[DistanceFromHome]]&lt;=15,"11–15 miles",TRUE,"16+ miles")</f>
        <v>6–10 miles</v>
      </c>
      <c r="AS448" t="str" cm="1">
        <f t="array" ref="AS448">_xlfn.IFS(CleanEmployeeData[[#This Row],[YearsAtCompany]]&lt;=1,"0–1 years",CleanEmployeeData[[#This Row],[YearsAtCompany]]&lt;=5,"2–5 years",CleanEmployeeData[[#This Row],[YearsAtCompany]]&lt;=10,"6–10 years",TRUE,"11+ years")</f>
        <v>11+ years</v>
      </c>
    </row>
    <row r="449" spans="1:4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cm="1">
        <f t="array" ref="AJ449">_xlfn.SWITCH(CleanEmployeeData[[#This Row],[Education]],1,"Below College",2,"College",3,"Bachelor",4,"Master",5,"Doctor","Unknown")</f>
        <v>Bachelor</v>
      </c>
      <c r="AK449" t="str" cm="1">
        <f t="array" ref="AK449">_xlfn.SWITCH(CleanEmployeeData[[#This Row],[EnvironmentSatisfaction]],1,"Low",2,"Medium",3,"High",4,"Very High","Unknown")</f>
        <v>Medium</v>
      </c>
      <c r="AL449" t="str" cm="1">
        <f t="array" ref="AL449">_xlfn.SWITCH(CleanEmployeeData[[#This Row],[JobInvolvement]],1,"Low",2,"Medium",3,"High",4,"Very High","Unknown")</f>
        <v>High</v>
      </c>
      <c r="AM449" t="str" cm="1">
        <f t="array" ref="AM449">_xlfn.SWITCH(CleanEmployeeData[[#This Row],[JobSatisfaction]],1,"Low",2,"Medium",3,"High",4,"Very High","Unknown")</f>
        <v>High</v>
      </c>
      <c r="AN449" t="str" cm="1">
        <f t="array" ref="AN449">_xlfn.SWITCH(CleanEmployeeData[[#This Row],[PerformanceRating]],1,"Low",2,"Good",3,"Excellent",4,"Outstanding","Unknown")</f>
        <v>Excellent</v>
      </c>
      <c r="AO449" t="str" cm="1">
        <f t="array" ref="AO449">_xlfn.SWITCH(CleanEmployeeData[[#This Row],[WorkLifeBalance]],1,"Bad",2,"Good",3,"Better",4,"Best","Unknown")</f>
        <v>Better</v>
      </c>
      <c r="AP449">
        <f>IF(CleanEmployeeData[[#This Row],[Attrition]]="Yes",1,IF(CleanEmployeeData[[#This Row],[Attrition]]="No",0,""))</f>
        <v>0</v>
      </c>
      <c r="AQ449" t="str" cm="1">
        <f t="array" ref="AQ449">_xlfn.IFS(CleanEmployeeData[[#This Row],[MonthlyIncome]]&lt;=3000,"0–3,000",CleanEmployeeData[[#This Row],[MonthlyIncome]]&lt;=6000,"3,001–6,000",CleanEmployeeData[[#This Row],[MonthlyIncome]]&lt;=10000,"6,001–10,000",TRUE,"10,001+")</f>
        <v>3,001–6,000</v>
      </c>
      <c r="AR449" t="str" cm="1">
        <f t="array" ref="AR449">_xlfn.IFS(CleanEmployeeData[[#This Row],[DistanceFromHome]]&lt;=5,"0–5 miles",CleanEmployeeData[[#This Row],[DistanceFromHome]]&lt;=10,"6–10 miles",CleanEmployeeData[[#This Row],[DistanceFromHome]]&lt;=15,"11–15 miles",TRUE,"16+ miles")</f>
        <v>0–5 miles</v>
      </c>
      <c r="AS449" t="str" cm="1">
        <f t="array" ref="AS449">_xlfn.IFS(CleanEmployeeData[[#This Row],[YearsAtCompany]]&lt;=1,"0–1 years",CleanEmployeeData[[#This Row],[YearsAtCompany]]&lt;=5,"2–5 years",CleanEmployeeData[[#This Row],[YearsAtCompany]]&lt;=10,"6–10 years",TRUE,"11+ years")</f>
        <v>11+ years</v>
      </c>
    </row>
    <row r="450" spans="1:4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cm="1">
        <f t="array" ref="AJ450">_xlfn.SWITCH(CleanEmployeeData[[#This Row],[Education]],1,"Below College",2,"College",3,"Bachelor",4,"Master",5,"Doctor","Unknown")</f>
        <v>Bachelor</v>
      </c>
      <c r="AK450" t="str" cm="1">
        <f t="array" ref="AK450">_xlfn.SWITCH(CleanEmployeeData[[#This Row],[EnvironmentSatisfaction]],1,"Low",2,"Medium",3,"High",4,"Very High","Unknown")</f>
        <v>Medium</v>
      </c>
      <c r="AL450" t="str" cm="1">
        <f t="array" ref="AL450">_xlfn.SWITCH(CleanEmployeeData[[#This Row],[JobInvolvement]],1,"Low",2,"Medium",3,"High",4,"Very High","Unknown")</f>
        <v>High</v>
      </c>
      <c r="AM450" t="str" cm="1">
        <f t="array" ref="AM450">_xlfn.SWITCH(CleanEmployeeData[[#This Row],[JobSatisfaction]],1,"Low",2,"Medium",3,"High",4,"Very High","Unknown")</f>
        <v>High</v>
      </c>
      <c r="AN450" t="str" cm="1">
        <f t="array" ref="AN450">_xlfn.SWITCH(CleanEmployeeData[[#This Row],[PerformanceRating]],1,"Low",2,"Good",3,"Excellent",4,"Outstanding","Unknown")</f>
        <v>Excellent</v>
      </c>
      <c r="AO450" t="str" cm="1">
        <f t="array" ref="AO450">_xlfn.SWITCH(CleanEmployeeData[[#This Row],[WorkLifeBalance]],1,"Bad",2,"Good",3,"Better",4,"Best","Unknown")</f>
        <v>Better</v>
      </c>
      <c r="AP450">
        <f>IF(CleanEmployeeData[[#This Row],[Attrition]]="Yes",1,IF(CleanEmployeeData[[#This Row],[Attrition]]="No",0,""))</f>
        <v>0</v>
      </c>
      <c r="AQ450" t="str" cm="1">
        <f t="array" ref="AQ450">_xlfn.IFS(CleanEmployeeData[[#This Row],[MonthlyIncome]]&lt;=3000,"0–3,000",CleanEmployeeData[[#This Row],[MonthlyIncome]]&lt;=6000,"3,001–6,000",CleanEmployeeData[[#This Row],[MonthlyIncome]]&lt;=10000,"6,001–10,000",TRUE,"10,001+")</f>
        <v>10,001+</v>
      </c>
      <c r="AR450" t="str" cm="1">
        <f t="array" ref="AR450">_xlfn.IFS(CleanEmployeeData[[#This Row],[DistanceFromHome]]&lt;=5,"0–5 miles",CleanEmployeeData[[#This Row],[DistanceFromHome]]&lt;=10,"6–10 miles",CleanEmployeeData[[#This Row],[DistanceFromHome]]&lt;=15,"11–15 miles",TRUE,"16+ miles")</f>
        <v>6–10 miles</v>
      </c>
      <c r="AS450" t="str" cm="1">
        <f t="array" ref="AS450">_xlfn.IFS(CleanEmployeeData[[#This Row],[YearsAtCompany]]&lt;=1,"0–1 years",CleanEmployeeData[[#This Row],[YearsAtCompany]]&lt;=5,"2–5 years",CleanEmployeeData[[#This Row],[YearsAtCompany]]&lt;=10,"6–10 years",TRUE,"11+ years")</f>
        <v>11+ years</v>
      </c>
    </row>
    <row r="451" spans="1:4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cm="1">
        <f t="array" ref="AJ451">_xlfn.SWITCH(CleanEmployeeData[[#This Row],[Education]],1,"Below College",2,"College",3,"Bachelor",4,"Master",5,"Doctor","Unknown")</f>
        <v>Below College</v>
      </c>
      <c r="AK451" t="str" cm="1">
        <f t="array" ref="AK451">_xlfn.SWITCH(CleanEmployeeData[[#This Row],[EnvironmentSatisfaction]],1,"Low",2,"Medium",3,"High",4,"Very High","Unknown")</f>
        <v>High</v>
      </c>
      <c r="AL451" t="str" cm="1">
        <f t="array" ref="AL451">_xlfn.SWITCH(CleanEmployeeData[[#This Row],[JobInvolvement]],1,"Low",2,"Medium",3,"High",4,"Very High","Unknown")</f>
        <v>High</v>
      </c>
      <c r="AM451" t="str" cm="1">
        <f t="array" ref="AM451">_xlfn.SWITCH(CleanEmployeeData[[#This Row],[JobSatisfaction]],1,"Low",2,"Medium",3,"High",4,"Very High","Unknown")</f>
        <v>High</v>
      </c>
      <c r="AN451" t="str" cm="1">
        <f t="array" ref="AN451">_xlfn.SWITCH(CleanEmployeeData[[#This Row],[PerformanceRating]],1,"Low",2,"Good",3,"Excellent",4,"Outstanding","Unknown")</f>
        <v>Excellent</v>
      </c>
      <c r="AO451" t="str" cm="1">
        <f t="array" ref="AO451">_xlfn.SWITCH(CleanEmployeeData[[#This Row],[WorkLifeBalance]],1,"Bad",2,"Good",3,"Better",4,"Best","Unknown")</f>
        <v>Better</v>
      </c>
      <c r="AP451">
        <f>IF(CleanEmployeeData[[#This Row],[Attrition]]="Yes",1,IF(CleanEmployeeData[[#This Row],[Attrition]]="No",0,""))</f>
        <v>0</v>
      </c>
      <c r="AQ451" t="str" cm="1">
        <f t="array" ref="AQ451">_xlfn.IFS(CleanEmployeeData[[#This Row],[MonthlyIncome]]&lt;=3000,"0–3,000",CleanEmployeeData[[#This Row],[MonthlyIncome]]&lt;=6000,"3,001–6,000",CleanEmployeeData[[#This Row],[MonthlyIncome]]&lt;=10000,"6,001–10,000",TRUE,"10,001+")</f>
        <v>3,001–6,000</v>
      </c>
      <c r="AR451" t="str" cm="1">
        <f t="array" ref="AR451">_xlfn.IFS(CleanEmployeeData[[#This Row],[DistanceFromHome]]&lt;=5,"0–5 miles",CleanEmployeeData[[#This Row],[DistanceFromHome]]&lt;=10,"6–10 miles",CleanEmployeeData[[#This Row],[DistanceFromHome]]&lt;=15,"11–15 miles",TRUE,"16+ miles")</f>
        <v>6–10 miles</v>
      </c>
      <c r="AS451" t="str" cm="1">
        <f t="array" ref="AS451">_xlfn.IFS(CleanEmployeeData[[#This Row],[YearsAtCompany]]&lt;=1,"0–1 years",CleanEmployeeData[[#This Row],[YearsAtCompany]]&lt;=5,"2–5 years",CleanEmployeeData[[#This Row],[YearsAtCompany]]&lt;=10,"6–10 years",TRUE,"11+ years")</f>
        <v>6–10 years</v>
      </c>
    </row>
    <row r="452" spans="1:4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cm="1">
        <f t="array" ref="AJ452">_xlfn.SWITCH(CleanEmployeeData[[#This Row],[Education]],1,"Below College",2,"College",3,"Bachelor",4,"Master",5,"Doctor","Unknown")</f>
        <v>Below College</v>
      </c>
      <c r="AK452" t="str" cm="1">
        <f t="array" ref="AK452">_xlfn.SWITCH(CleanEmployeeData[[#This Row],[EnvironmentSatisfaction]],1,"Low",2,"Medium",3,"High",4,"Very High","Unknown")</f>
        <v>Medium</v>
      </c>
      <c r="AL452" t="str" cm="1">
        <f t="array" ref="AL452">_xlfn.SWITCH(CleanEmployeeData[[#This Row],[JobInvolvement]],1,"Low",2,"Medium",3,"High",4,"Very High","Unknown")</f>
        <v>High</v>
      </c>
      <c r="AM452" t="str" cm="1">
        <f t="array" ref="AM452">_xlfn.SWITCH(CleanEmployeeData[[#This Row],[JobSatisfaction]],1,"Low",2,"Medium",3,"High",4,"Very High","Unknown")</f>
        <v>Very High</v>
      </c>
      <c r="AN452" t="str" cm="1">
        <f t="array" ref="AN452">_xlfn.SWITCH(CleanEmployeeData[[#This Row],[PerformanceRating]],1,"Low",2,"Good",3,"Excellent",4,"Outstanding","Unknown")</f>
        <v>Excellent</v>
      </c>
      <c r="AO452" t="str" cm="1">
        <f t="array" ref="AO452">_xlfn.SWITCH(CleanEmployeeData[[#This Row],[WorkLifeBalance]],1,"Bad",2,"Good",3,"Better",4,"Best","Unknown")</f>
        <v>Best</v>
      </c>
      <c r="AP452">
        <f>IF(CleanEmployeeData[[#This Row],[Attrition]]="Yes",1,IF(CleanEmployeeData[[#This Row],[Attrition]]="No",0,""))</f>
        <v>0</v>
      </c>
      <c r="AQ452" t="str" cm="1">
        <f t="array" ref="AQ452">_xlfn.IFS(CleanEmployeeData[[#This Row],[MonthlyIncome]]&lt;=3000,"0–3,000",CleanEmployeeData[[#This Row],[MonthlyIncome]]&lt;=6000,"3,001–6,000",CleanEmployeeData[[#This Row],[MonthlyIncome]]&lt;=10000,"6,001–10,000",TRUE,"10,001+")</f>
        <v>6,001–10,000</v>
      </c>
      <c r="AR452" t="str" cm="1">
        <f t="array" ref="AR452">_xlfn.IFS(CleanEmployeeData[[#This Row],[DistanceFromHome]]&lt;=5,"0–5 miles",CleanEmployeeData[[#This Row],[DistanceFromHome]]&lt;=10,"6–10 miles",CleanEmployeeData[[#This Row],[DistanceFromHome]]&lt;=15,"11–15 miles",TRUE,"16+ miles")</f>
        <v>0–5 miles</v>
      </c>
      <c r="AS452" t="str" cm="1">
        <f t="array" ref="AS452">_xlfn.IFS(CleanEmployeeData[[#This Row],[YearsAtCompany]]&lt;=1,"0–1 years",CleanEmployeeData[[#This Row],[YearsAtCompany]]&lt;=5,"2–5 years",CleanEmployeeData[[#This Row],[YearsAtCompany]]&lt;=10,"6–10 years",TRUE,"11+ years")</f>
        <v>6–10 years</v>
      </c>
    </row>
    <row r="453" spans="1:4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cm="1">
        <f t="array" ref="AJ453">_xlfn.SWITCH(CleanEmployeeData[[#This Row],[Education]],1,"Below College",2,"College",3,"Bachelor",4,"Master",5,"Doctor","Unknown")</f>
        <v>Bachelor</v>
      </c>
      <c r="AK453" t="str" cm="1">
        <f t="array" ref="AK453">_xlfn.SWITCH(CleanEmployeeData[[#This Row],[EnvironmentSatisfaction]],1,"Low",2,"Medium",3,"High",4,"Very High","Unknown")</f>
        <v>Very High</v>
      </c>
      <c r="AL453" t="str" cm="1">
        <f t="array" ref="AL453">_xlfn.SWITCH(CleanEmployeeData[[#This Row],[JobInvolvement]],1,"Low",2,"Medium",3,"High",4,"Very High","Unknown")</f>
        <v>High</v>
      </c>
      <c r="AM453" t="str" cm="1">
        <f t="array" ref="AM453">_xlfn.SWITCH(CleanEmployeeData[[#This Row],[JobSatisfaction]],1,"Low",2,"Medium",3,"High",4,"Very High","Unknown")</f>
        <v>Low</v>
      </c>
      <c r="AN453" t="str" cm="1">
        <f t="array" ref="AN453">_xlfn.SWITCH(CleanEmployeeData[[#This Row],[PerformanceRating]],1,"Low",2,"Good",3,"Excellent",4,"Outstanding","Unknown")</f>
        <v>Outstanding</v>
      </c>
      <c r="AO453" t="str" cm="1">
        <f t="array" ref="AO453">_xlfn.SWITCH(CleanEmployeeData[[#This Row],[WorkLifeBalance]],1,"Bad",2,"Good",3,"Better",4,"Best","Unknown")</f>
        <v>Good</v>
      </c>
      <c r="AP453">
        <f>IF(CleanEmployeeData[[#This Row],[Attrition]]="Yes",1,IF(CleanEmployeeData[[#This Row],[Attrition]]="No",0,""))</f>
        <v>0</v>
      </c>
      <c r="AQ453" t="str" cm="1">
        <f t="array" ref="AQ453">_xlfn.IFS(CleanEmployeeData[[#This Row],[MonthlyIncome]]&lt;=3000,"0–3,000",CleanEmployeeData[[#This Row],[MonthlyIncome]]&lt;=6000,"3,001–6,000",CleanEmployeeData[[#This Row],[MonthlyIncome]]&lt;=10000,"6,001–10,000",TRUE,"10,001+")</f>
        <v>6,001–10,000</v>
      </c>
      <c r="AR453" t="str" cm="1">
        <f t="array" ref="AR453">_xlfn.IFS(CleanEmployeeData[[#This Row],[DistanceFromHome]]&lt;=5,"0–5 miles",CleanEmployeeData[[#This Row],[DistanceFromHome]]&lt;=10,"6–10 miles",CleanEmployeeData[[#This Row],[DistanceFromHome]]&lt;=15,"11–15 miles",TRUE,"16+ miles")</f>
        <v>16+ miles</v>
      </c>
      <c r="AS453" t="str" cm="1">
        <f t="array" ref="AS453">_xlfn.IFS(CleanEmployeeData[[#This Row],[YearsAtCompany]]&lt;=1,"0–1 years",CleanEmployeeData[[#This Row],[YearsAtCompany]]&lt;=5,"2–5 years",CleanEmployeeData[[#This Row],[YearsAtCompany]]&lt;=10,"6–10 years",TRUE,"11+ years")</f>
        <v>6–10 years</v>
      </c>
    </row>
    <row r="454" spans="1:4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cm="1">
        <f t="array" ref="AJ454">_xlfn.SWITCH(CleanEmployeeData[[#This Row],[Education]],1,"Below College",2,"College",3,"Bachelor",4,"Master",5,"Doctor","Unknown")</f>
        <v>Bachelor</v>
      </c>
      <c r="AK454" t="str" cm="1">
        <f t="array" ref="AK454">_xlfn.SWITCH(CleanEmployeeData[[#This Row],[EnvironmentSatisfaction]],1,"Low",2,"Medium",3,"High",4,"Very High","Unknown")</f>
        <v>Very High</v>
      </c>
      <c r="AL454" t="str" cm="1">
        <f t="array" ref="AL454">_xlfn.SWITCH(CleanEmployeeData[[#This Row],[JobInvolvement]],1,"Low",2,"Medium",3,"High",4,"Very High","Unknown")</f>
        <v>High</v>
      </c>
      <c r="AM454" t="str" cm="1">
        <f t="array" ref="AM454">_xlfn.SWITCH(CleanEmployeeData[[#This Row],[JobSatisfaction]],1,"Low",2,"Medium",3,"High",4,"Very High","Unknown")</f>
        <v>Medium</v>
      </c>
      <c r="AN454" t="str" cm="1">
        <f t="array" ref="AN454">_xlfn.SWITCH(CleanEmployeeData[[#This Row],[PerformanceRating]],1,"Low",2,"Good",3,"Excellent",4,"Outstanding","Unknown")</f>
        <v>Excellent</v>
      </c>
      <c r="AO454" t="str" cm="1">
        <f t="array" ref="AO454">_xlfn.SWITCH(CleanEmployeeData[[#This Row],[WorkLifeBalance]],1,"Bad",2,"Good",3,"Better",4,"Best","Unknown")</f>
        <v>Best</v>
      </c>
      <c r="AP454">
        <f>IF(CleanEmployeeData[[#This Row],[Attrition]]="Yes",1,IF(CleanEmployeeData[[#This Row],[Attrition]]="No",0,""))</f>
        <v>0</v>
      </c>
      <c r="AQ454" t="str" cm="1">
        <f t="array" ref="AQ454">_xlfn.IFS(CleanEmployeeData[[#This Row],[MonthlyIncome]]&lt;=3000,"0–3,000",CleanEmployeeData[[#This Row],[MonthlyIncome]]&lt;=6000,"3,001–6,000",CleanEmployeeData[[#This Row],[MonthlyIncome]]&lt;=10000,"6,001–10,000",TRUE,"10,001+")</f>
        <v>3,001–6,000</v>
      </c>
      <c r="AR454" t="str" cm="1">
        <f t="array" ref="AR454">_xlfn.IFS(CleanEmployeeData[[#This Row],[DistanceFromHome]]&lt;=5,"0–5 miles",CleanEmployeeData[[#This Row],[DistanceFromHome]]&lt;=10,"6–10 miles",CleanEmployeeData[[#This Row],[DistanceFromHome]]&lt;=15,"11–15 miles",TRUE,"16+ miles")</f>
        <v>0–5 miles</v>
      </c>
      <c r="AS454" t="str" cm="1">
        <f t="array" ref="AS454">_xlfn.IFS(CleanEmployeeData[[#This Row],[YearsAtCompany]]&lt;=1,"0–1 years",CleanEmployeeData[[#This Row],[YearsAtCompany]]&lt;=5,"2–5 years",CleanEmployeeData[[#This Row],[YearsAtCompany]]&lt;=10,"6–10 years",TRUE,"11+ years")</f>
        <v>6–10 years</v>
      </c>
    </row>
    <row r="455" spans="1:4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cm="1">
        <f t="array" ref="AJ455">_xlfn.SWITCH(CleanEmployeeData[[#This Row],[Education]],1,"Below College",2,"College",3,"Bachelor",4,"Master",5,"Doctor","Unknown")</f>
        <v>Master</v>
      </c>
      <c r="AK455" t="str" cm="1">
        <f t="array" ref="AK455">_xlfn.SWITCH(CleanEmployeeData[[#This Row],[EnvironmentSatisfaction]],1,"Low",2,"Medium",3,"High",4,"Very High","Unknown")</f>
        <v>Medium</v>
      </c>
      <c r="AL455" t="str" cm="1">
        <f t="array" ref="AL455">_xlfn.SWITCH(CleanEmployeeData[[#This Row],[JobInvolvement]],1,"Low",2,"Medium",3,"High",4,"Very High","Unknown")</f>
        <v>High</v>
      </c>
      <c r="AM455" t="str" cm="1">
        <f t="array" ref="AM455">_xlfn.SWITCH(CleanEmployeeData[[#This Row],[JobSatisfaction]],1,"Low",2,"Medium",3,"High",4,"Very High","Unknown")</f>
        <v>High</v>
      </c>
      <c r="AN455" t="str" cm="1">
        <f t="array" ref="AN455">_xlfn.SWITCH(CleanEmployeeData[[#This Row],[PerformanceRating]],1,"Low",2,"Good",3,"Excellent",4,"Outstanding","Unknown")</f>
        <v>Excellent</v>
      </c>
      <c r="AO455" t="str" cm="1">
        <f t="array" ref="AO455">_xlfn.SWITCH(CleanEmployeeData[[#This Row],[WorkLifeBalance]],1,"Bad",2,"Good",3,"Better",4,"Best","Unknown")</f>
        <v>Good</v>
      </c>
      <c r="AP455">
        <f>IF(CleanEmployeeData[[#This Row],[Attrition]]="Yes",1,IF(CleanEmployeeData[[#This Row],[Attrition]]="No",0,""))</f>
        <v>1</v>
      </c>
      <c r="AQ455" t="str" cm="1">
        <f t="array" ref="AQ455">_xlfn.IFS(CleanEmployeeData[[#This Row],[MonthlyIncome]]&lt;=3000,"0–3,000",CleanEmployeeData[[#This Row],[MonthlyIncome]]&lt;=6000,"3,001–6,000",CleanEmployeeData[[#This Row],[MonthlyIncome]]&lt;=10000,"6,001–10,000",TRUE,"10,001+")</f>
        <v>0–3,000</v>
      </c>
      <c r="AR455" t="str" cm="1">
        <f t="array" ref="AR455">_xlfn.IFS(CleanEmployeeData[[#This Row],[DistanceFromHome]]&lt;=5,"0–5 miles",CleanEmployeeData[[#This Row],[DistanceFromHome]]&lt;=10,"6–10 miles",CleanEmployeeData[[#This Row],[DistanceFromHome]]&lt;=15,"11–15 miles",TRUE,"16+ miles")</f>
        <v>16+ miles</v>
      </c>
      <c r="AS455" t="str" cm="1">
        <f t="array" ref="AS455">_xlfn.IFS(CleanEmployeeData[[#This Row],[YearsAtCompany]]&lt;=1,"0–1 years",CleanEmployeeData[[#This Row],[YearsAtCompany]]&lt;=5,"2–5 years",CleanEmployeeData[[#This Row],[YearsAtCompany]]&lt;=10,"6–10 years",TRUE,"11+ years")</f>
        <v>6–10 years</v>
      </c>
    </row>
    <row r="456" spans="1:4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cm="1">
        <f t="array" ref="AJ456">_xlfn.SWITCH(CleanEmployeeData[[#This Row],[Education]],1,"Below College",2,"College",3,"Bachelor",4,"Master",5,"Doctor","Unknown")</f>
        <v>Bachelor</v>
      </c>
      <c r="AK456" t="str" cm="1">
        <f t="array" ref="AK456">_xlfn.SWITCH(CleanEmployeeData[[#This Row],[EnvironmentSatisfaction]],1,"Low",2,"Medium",3,"High",4,"Very High","Unknown")</f>
        <v>Very High</v>
      </c>
      <c r="AL456" t="str" cm="1">
        <f t="array" ref="AL456">_xlfn.SWITCH(CleanEmployeeData[[#This Row],[JobInvolvement]],1,"Low",2,"Medium",3,"High",4,"Very High","Unknown")</f>
        <v>High</v>
      </c>
      <c r="AM456" t="str" cm="1">
        <f t="array" ref="AM456">_xlfn.SWITCH(CleanEmployeeData[[#This Row],[JobSatisfaction]],1,"Low",2,"Medium",3,"High",4,"Very High","Unknown")</f>
        <v>Very High</v>
      </c>
      <c r="AN456" t="str" cm="1">
        <f t="array" ref="AN456">_xlfn.SWITCH(CleanEmployeeData[[#This Row],[PerformanceRating]],1,"Low",2,"Good",3,"Excellent",4,"Outstanding","Unknown")</f>
        <v>Excellent</v>
      </c>
      <c r="AO456" t="str" cm="1">
        <f t="array" ref="AO456">_xlfn.SWITCH(CleanEmployeeData[[#This Row],[WorkLifeBalance]],1,"Bad",2,"Good",3,"Better",4,"Best","Unknown")</f>
        <v>Best</v>
      </c>
      <c r="AP456">
        <f>IF(CleanEmployeeData[[#This Row],[Attrition]]="Yes",1,IF(CleanEmployeeData[[#This Row],[Attrition]]="No",0,""))</f>
        <v>0</v>
      </c>
      <c r="AQ456" t="str" cm="1">
        <f t="array" ref="AQ456">_xlfn.IFS(CleanEmployeeData[[#This Row],[MonthlyIncome]]&lt;=3000,"0–3,000",CleanEmployeeData[[#This Row],[MonthlyIncome]]&lt;=6000,"3,001–6,000",CleanEmployeeData[[#This Row],[MonthlyIncome]]&lt;=10000,"6,001–10,000",TRUE,"10,001+")</f>
        <v>3,001–6,000</v>
      </c>
      <c r="AR456" t="str" cm="1">
        <f t="array" ref="AR456">_xlfn.IFS(CleanEmployeeData[[#This Row],[DistanceFromHome]]&lt;=5,"0–5 miles",CleanEmployeeData[[#This Row],[DistanceFromHome]]&lt;=10,"6–10 miles",CleanEmployeeData[[#This Row],[DistanceFromHome]]&lt;=15,"11–15 miles",TRUE,"16+ miles")</f>
        <v>16+ miles</v>
      </c>
      <c r="AS456" t="str" cm="1">
        <f t="array" ref="AS456">_xlfn.IFS(CleanEmployeeData[[#This Row],[YearsAtCompany]]&lt;=1,"0–1 years",CleanEmployeeData[[#This Row],[YearsAtCompany]]&lt;=5,"2–5 years",CleanEmployeeData[[#This Row],[YearsAtCompany]]&lt;=10,"6–10 years",TRUE,"11+ years")</f>
        <v>2–5 years</v>
      </c>
    </row>
    <row r="457" spans="1:4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cm="1">
        <f t="array" ref="AJ457">_xlfn.SWITCH(CleanEmployeeData[[#This Row],[Education]],1,"Below College",2,"College",3,"Bachelor",4,"Master",5,"Doctor","Unknown")</f>
        <v>Doctor</v>
      </c>
      <c r="AK457" t="str" cm="1">
        <f t="array" ref="AK457">_xlfn.SWITCH(CleanEmployeeData[[#This Row],[EnvironmentSatisfaction]],1,"Low",2,"Medium",3,"High",4,"Very High","Unknown")</f>
        <v>Low</v>
      </c>
      <c r="AL457" t="str" cm="1">
        <f t="array" ref="AL457">_xlfn.SWITCH(CleanEmployeeData[[#This Row],[JobInvolvement]],1,"Low",2,"Medium",3,"High",4,"Very High","Unknown")</f>
        <v>Very High</v>
      </c>
      <c r="AM457" t="str" cm="1">
        <f t="array" ref="AM457">_xlfn.SWITCH(CleanEmployeeData[[#This Row],[JobSatisfaction]],1,"Low",2,"Medium",3,"High",4,"Very High","Unknown")</f>
        <v>High</v>
      </c>
      <c r="AN457" t="str" cm="1">
        <f t="array" ref="AN457">_xlfn.SWITCH(CleanEmployeeData[[#This Row],[PerformanceRating]],1,"Low",2,"Good",3,"Excellent",4,"Outstanding","Unknown")</f>
        <v>Excellent</v>
      </c>
      <c r="AO457" t="str" cm="1">
        <f t="array" ref="AO457">_xlfn.SWITCH(CleanEmployeeData[[#This Row],[WorkLifeBalance]],1,"Bad",2,"Good",3,"Better",4,"Best","Unknown")</f>
        <v>Better</v>
      </c>
      <c r="AP457">
        <f>IF(CleanEmployeeData[[#This Row],[Attrition]]="Yes",1,IF(CleanEmployeeData[[#This Row],[Attrition]]="No",0,""))</f>
        <v>0</v>
      </c>
      <c r="AQ457" t="str" cm="1">
        <f t="array" ref="AQ457">_xlfn.IFS(CleanEmployeeData[[#This Row],[MonthlyIncome]]&lt;=3000,"0–3,000",CleanEmployeeData[[#This Row],[MonthlyIncome]]&lt;=6000,"3,001–6,000",CleanEmployeeData[[#This Row],[MonthlyIncome]]&lt;=10000,"6,001–10,000",TRUE,"10,001+")</f>
        <v>10,001+</v>
      </c>
      <c r="AR457" t="str" cm="1">
        <f t="array" ref="AR457">_xlfn.IFS(CleanEmployeeData[[#This Row],[DistanceFromHome]]&lt;=5,"0–5 miles",CleanEmployeeData[[#This Row],[DistanceFromHome]]&lt;=10,"6–10 miles",CleanEmployeeData[[#This Row],[DistanceFromHome]]&lt;=15,"11–15 miles",TRUE,"16+ miles")</f>
        <v>0–5 miles</v>
      </c>
      <c r="AS457" t="str" cm="1">
        <f t="array" ref="AS457">_xlfn.IFS(CleanEmployeeData[[#This Row],[YearsAtCompany]]&lt;=1,"0–1 years",CleanEmployeeData[[#This Row],[YearsAtCompany]]&lt;=5,"2–5 years",CleanEmployeeData[[#This Row],[YearsAtCompany]]&lt;=10,"6–10 years",TRUE,"11+ years")</f>
        <v>6–10 years</v>
      </c>
    </row>
    <row r="458" spans="1:4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cm="1">
        <f t="array" ref="AJ458">_xlfn.SWITCH(CleanEmployeeData[[#This Row],[Education]],1,"Below College",2,"College",3,"Bachelor",4,"Master",5,"Doctor","Unknown")</f>
        <v>Bachelor</v>
      </c>
      <c r="AK458" t="str" cm="1">
        <f t="array" ref="AK458">_xlfn.SWITCH(CleanEmployeeData[[#This Row],[EnvironmentSatisfaction]],1,"Low",2,"Medium",3,"High",4,"Very High","Unknown")</f>
        <v>High</v>
      </c>
      <c r="AL458" t="str" cm="1">
        <f t="array" ref="AL458">_xlfn.SWITCH(CleanEmployeeData[[#This Row],[JobInvolvement]],1,"Low",2,"Medium",3,"High",4,"Very High","Unknown")</f>
        <v>Medium</v>
      </c>
      <c r="AM458" t="str" cm="1">
        <f t="array" ref="AM458">_xlfn.SWITCH(CleanEmployeeData[[#This Row],[JobSatisfaction]],1,"Low",2,"Medium",3,"High",4,"Very High","Unknown")</f>
        <v>Very High</v>
      </c>
      <c r="AN458" t="str" cm="1">
        <f t="array" ref="AN458">_xlfn.SWITCH(CleanEmployeeData[[#This Row],[PerformanceRating]],1,"Low",2,"Good",3,"Excellent",4,"Outstanding","Unknown")</f>
        <v>Outstanding</v>
      </c>
      <c r="AO458" t="str" cm="1">
        <f t="array" ref="AO458">_xlfn.SWITCH(CleanEmployeeData[[#This Row],[WorkLifeBalance]],1,"Bad",2,"Good",3,"Better",4,"Best","Unknown")</f>
        <v>Good</v>
      </c>
      <c r="AP458">
        <f>IF(CleanEmployeeData[[#This Row],[Attrition]]="Yes",1,IF(CleanEmployeeData[[#This Row],[Attrition]]="No",0,""))</f>
        <v>0</v>
      </c>
      <c r="AQ458" t="str" cm="1">
        <f t="array" ref="AQ458">_xlfn.IFS(CleanEmployeeData[[#This Row],[MonthlyIncome]]&lt;=3000,"0–3,000",CleanEmployeeData[[#This Row],[MonthlyIncome]]&lt;=6000,"3,001–6,000",CleanEmployeeData[[#This Row],[MonthlyIncome]]&lt;=10000,"6,001–10,000",TRUE,"10,001+")</f>
        <v>10,001+</v>
      </c>
      <c r="AR458" t="str" cm="1">
        <f t="array" ref="AR458">_xlfn.IFS(CleanEmployeeData[[#This Row],[DistanceFromHome]]&lt;=5,"0–5 miles",CleanEmployeeData[[#This Row],[DistanceFromHome]]&lt;=10,"6–10 miles",CleanEmployeeData[[#This Row],[DistanceFromHome]]&lt;=15,"11–15 miles",TRUE,"16+ miles")</f>
        <v>6–10 miles</v>
      </c>
      <c r="AS458" t="str" cm="1">
        <f t="array" ref="AS458">_xlfn.IFS(CleanEmployeeData[[#This Row],[YearsAtCompany]]&lt;=1,"0–1 years",CleanEmployeeData[[#This Row],[YearsAtCompany]]&lt;=5,"2–5 years",CleanEmployeeData[[#This Row],[YearsAtCompany]]&lt;=10,"6–10 years",TRUE,"11+ years")</f>
        <v>2–5 years</v>
      </c>
    </row>
    <row r="459" spans="1:4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cm="1">
        <f t="array" ref="AJ459">_xlfn.SWITCH(CleanEmployeeData[[#This Row],[Education]],1,"Below College",2,"College",3,"Bachelor",4,"Master",5,"Doctor","Unknown")</f>
        <v>Bachelor</v>
      </c>
      <c r="AK459" t="str" cm="1">
        <f t="array" ref="AK459">_xlfn.SWITCH(CleanEmployeeData[[#This Row],[EnvironmentSatisfaction]],1,"Low",2,"Medium",3,"High",4,"Very High","Unknown")</f>
        <v>Medium</v>
      </c>
      <c r="AL459" t="str" cm="1">
        <f t="array" ref="AL459">_xlfn.SWITCH(CleanEmployeeData[[#This Row],[JobInvolvement]],1,"Low",2,"Medium",3,"High",4,"Very High","Unknown")</f>
        <v>High</v>
      </c>
      <c r="AM459" t="str" cm="1">
        <f t="array" ref="AM459">_xlfn.SWITCH(CleanEmployeeData[[#This Row],[JobSatisfaction]],1,"Low",2,"Medium",3,"High",4,"Very High","Unknown")</f>
        <v>Medium</v>
      </c>
      <c r="AN459" t="str" cm="1">
        <f t="array" ref="AN459">_xlfn.SWITCH(CleanEmployeeData[[#This Row],[PerformanceRating]],1,"Low",2,"Good",3,"Excellent",4,"Outstanding","Unknown")</f>
        <v>Excellent</v>
      </c>
      <c r="AO459" t="str" cm="1">
        <f t="array" ref="AO459">_xlfn.SWITCH(CleanEmployeeData[[#This Row],[WorkLifeBalance]],1,"Bad",2,"Good",3,"Better",4,"Best","Unknown")</f>
        <v>Better</v>
      </c>
      <c r="AP459">
        <f>IF(CleanEmployeeData[[#This Row],[Attrition]]="Yes",1,IF(CleanEmployeeData[[#This Row],[Attrition]]="No",0,""))</f>
        <v>1</v>
      </c>
      <c r="AQ459" t="str" cm="1">
        <f t="array" ref="AQ459">_xlfn.IFS(CleanEmployeeData[[#This Row],[MonthlyIncome]]&lt;=3000,"0–3,000",CleanEmployeeData[[#This Row],[MonthlyIncome]]&lt;=6000,"3,001–6,000",CleanEmployeeData[[#This Row],[MonthlyIncome]]&lt;=10000,"6,001–10,000",TRUE,"10,001+")</f>
        <v>0–3,000</v>
      </c>
      <c r="AR459" t="str" cm="1">
        <f t="array" ref="AR459">_xlfn.IFS(CleanEmployeeData[[#This Row],[DistanceFromHome]]&lt;=5,"0–5 miles",CleanEmployeeData[[#This Row],[DistanceFromHome]]&lt;=10,"6–10 miles",CleanEmployeeData[[#This Row],[DistanceFromHome]]&lt;=15,"11–15 miles",TRUE,"16+ miles")</f>
        <v>0–5 miles</v>
      </c>
      <c r="AS459" t="str" cm="1">
        <f t="array" ref="AS459">_xlfn.IFS(CleanEmployeeData[[#This Row],[YearsAtCompany]]&lt;=1,"0–1 years",CleanEmployeeData[[#This Row],[YearsAtCompany]]&lt;=5,"2–5 years",CleanEmployeeData[[#This Row],[YearsAtCompany]]&lt;=10,"6–10 years",TRUE,"11+ years")</f>
        <v>0–1 years</v>
      </c>
    </row>
    <row r="460" spans="1:4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cm="1">
        <f t="array" ref="AJ460">_xlfn.SWITCH(CleanEmployeeData[[#This Row],[Education]],1,"Below College",2,"College",3,"Bachelor",4,"Master",5,"Doctor","Unknown")</f>
        <v>Bachelor</v>
      </c>
      <c r="AK460" t="str" cm="1">
        <f t="array" ref="AK460">_xlfn.SWITCH(CleanEmployeeData[[#This Row],[EnvironmentSatisfaction]],1,"Low",2,"Medium",3,"High",4,"Very High","Unknown")</f>
        <v>High</v>
      </c>
      <c r="AL460" t="str" cm="1">
        <f t="array" ref="AL460">_xlfn.SWITCH(CleanEmployeeData[[#This Row],[JobInvolvement]],1,"Low",2,"Medium",3,"High",4,"Very High","Unknown")</f>
        <v>Low</v>
      </c>
      <c r="AM460" t="str" cm="1">
        <f t="array" ref="AM460">_xlfn.SWITCH(CleanEmployeeData[[#This Row],[JobSatisfaction]],1,"Low",2,"Medium",3,"High",4,"Very High","Unknown")</f>
        <v>Low</v>
      </c>
      <c r="AN460" t="str" cm="1">
        <f t="array" ref="AN460">_xlfn.SWITCH(CleanEmployeeData[[#This Row],[PerformanceRating]],1,"Low",2,"Good",3,"Excellent",4,"Outstanding","Unknown")</f>
        <v>Excellent</v>
      </c>
      <c r="AO460" t="str" cm="1">
        <f t="array" ref="AO460">_xlfn.SWITCH(CleanEmployeeData[[#This Row],[WorkLifeBalance]],1,"Bad",2,"Good",3,"Better",4,"Best","Unknown")</f>
        <v>Better</v>
      </c>
      <c r="AP460">
        <f>IF(CleanEmployeeData[[#This Row],[Attrition]]="Yes",1,IF(CleanEmployeeData[[#This Row],[Attrition]]="No",0,""))</f>
        <v>0</v>
      </c>
      <c r="AQ460" t="str" cm="1">
        <f t="array" ref="AQ460">_xlfn.IFS(CleanEmployeeData[[#This Row],[MonthlyIncome]]&lt;=3000,"0–3,000",CleanEmployeeData[[#This Row],[MonthlyIncome]]&lt;=6000,"3,001–6,000",CleanEmployeeData[[#This Row],[MonthlyIncome]]&lt;=10000,"6,001–10,000",TRUE,"10,001+")</f>
        <v>10,001+</v>
      </c>
      <c r="AR460" t="str" cm="1">
        <f t="array" ref="AR460">_xlfn.IFS(CleanEmployeeData[[#This Row],[DistanceFromHome]]&lt;=5,"0–5 miles",CleanEmployeeData[[#This Row],[DistanceFromHome]]&lt;=10,"6–10 miles",CleanEmployeeData[[#This Row],[DistanceFromHome]]&lt;=15,"11–15 miles",TRUE,"16+ miles")</f>
        <v>16+ miles</v>
      </c>
      <c r="AS460" t="str" cm="1">
        <f t="array" ref="AS460">_xlfn.IFS(CleanEmployeeData[[#This Row],[YearsAtCompany]]&lt;=1,"0–1 years",CleanEmployeeData[[#This Row],[YearsAtCompany]]&lt;=5,"2–5 years",CleanEmployeeData[[#This Row],[YearsAtCompany]]&lt;=10,"6–10 years",TRUE,"11+ years")</f>
        <v>0–1 years</v>
      </c>
    </row>
    <row r="461" spans="1:4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cm="1">
        <f t="array" ref="AJ461">_xlfn.SWITCH(CleanEmployeeData[[#This Row],[Education]],1,"Below College",2,"College",3,"Bachelor",4,"Master",5,"Doctor","Unknown")</f>
        <v>Master</v>
      </c>
      <c r="AK461" t="str" cm="1">
        <f t="array" ref="AK461">_xlfn.SWITCH(CleanEmployeeData[[#This Row],[EnvironmentSatisfaction]],1,"Low",2,"Medium",3,"High",4,"Very High","Unknown")</f>
        <v>Low</v>
      </c>
      <c r="AL461" t="str" cm="1">
        <f t="array" ref="AL461">_xlfn.SWITCH(CleanEmployeeData[[#This Row],[JobInvolvement]],1,"Low",2,"Medium",3,"High",4,"Very High","Unknown")</f>
        <v>Medium</v>
      </c>
      <c r="AM461" t="str" cm="1">
        <f t="array" ref="AM461">_xlfn.SWITCH(CleanEmployeeData[[#This Row],[JobSatisfaction]],1,"Low",2,"Medium",3,"High",4,"Very High","Unknown")</f>
        <v>High</v>
      </c>
      <c r="AN461" t="str" cm="1">
        <f t="array" ref="AN461">_xlfn.SWITCH(CleanEmployeeData[[#This Row],[PerformanceRating]],1,"Low",2,"Good",3,"Excellent",4,"Outstanding","Unknown")</f>
        <v>Excellent</v>
      </c>
      <c r="AO461" t="str" cm="1">
        <f t="array" ref="AO461">_xlfn.SWITCH(CleanEmployeeData[[#This Row],[WorkLifeBalance]],1,"Bad",2,"Good",3,"Better",4,"Best","Unknown")</f>
        <v>Better</v>
      </c>
      <c r="AP461">
        <f>IF(CleanEmployeeData[[#This Row],[Attrition]]="Yes",1,IF(CleanEmployeeData[[#This Row],[Attrition]]="No",0,""))</f>
        <v>0</v>
      </c>
      <c r="AQ461" t="str" cm="1">
        <f t="array" ref="AQ461">_xlfn.IFS(CleanEmployeeData[[#This Row],[MonthlyIncome]]&lt;=3000,"0–3,000",CleanEmployeeData[[#This Row],[MonthlyIncome]]&lt;=6000,"3,001–6,000",CleanEmployeeData[[#This Row],[MonthlyIncome]]&lt;=10000,"6,001–10,000",TRUE,"10,001+")</f>
        <v>6,001–10,000</v>
      </c>
      <c r="AR461" t="str" cm="1">
        <f t="array" ref="AR461">_xlfn.IFS(CleanEmployeeData[[#This Row],[DistanceFromHome]]&lt;=5,"0–5 miles",CleanEmployeeData[[#This Row],[DistanceFromHome]]&lt;=10,"6–10 miles",CleanEmployeeData[[#This Row],[DistanceFromHome]]&lt;=15,"11–15 miles",TRUE,"16+ miles")</f>
        <v>0–5 miles</v>
      </c>
      <c r="AS461" t="str" cm="1">
        <f t="array" ref="AS461">_xlfn.IFS(CleanEmployeeData[[#This Row],[YearsAtCompany]]&lt;=1,"0–1 years",CleanEmployeeData[[#This Row],[YearsAtCompany]]&lt;=5,"2–5 years",CleanEmployeeData[[#This Row],[YearsAtCompany]]&lt;=10,"6–10 years",TRUE,"11+ years")</f>
        <v>6–10 years</v>
      </c>
    </row>
    <row r="462" spans="1:4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cm="1">
        <f t="array" ref="AJ462">_xlfn.SWITCH(CleanEmployeeData[[#This Row],[Education]],1,"Below College",2,"College",3,"Bachelor",4,"Master",5,"Doctor","Unknown")</f>
        <v>College</v>
      </c>
      <c r="AK462" t="str" cm="1">
        <f t="array" ref="AK462">_xlfn.SWITCH(CleanEmployeeData[[#This Row],[EnvironmentSatisfaction]],1,"Low",2,"Medium",3,"High",4,"Very High","Unknown")</f>
        <v>Low</v>
      </c>
      <c r="AL462" t="str" cm="1">
        <f t="array" ref="AL462">_xlfn.SWITCH(CleanEmployeeData[[#This Row],[JobInvolvement]],1,"Low",2,"Medium",3,"High",4,"Very High","Unknown")</f>
        <v>High</v>
      </c>
      <c r="AM462" t="str" cm="1">
        <f t="array" ref="AM462">_xlfn.SWITCH(CleanEmployeeData[[#This Row],[JobSatisfaction]],1,"Low",2,"Medium",3,"High",4,"Very High","Unknown")</f>
        <v>High</v>
      </c>
      <c r="AN462" t="str" cm="1">
        <f t="array" ref="AN462">_xlfn.SWITCH(CleanEmployeeData[[#This Row],[PerformanceRating]],1,"Low",2,"Good",3,"Excellent",4,"Outstanding","Unknown")</f>
        <v>Excellent</v>
      </c>
      <c r="AO462" t="str" cm="1">
        <f t="array" ref="AO462">_xlfn.SWITCH(CleanEmployeeData[[#This Row],[WorkLifeBalance]],1,"Bad",2,"Good",3,"Better",4,"Best","Unknown")</f>
        <v>Better</v>
      </c>
      <c r="AP462">
        <f>IF(CleanEmployeeData[[#This Row],[Attrition]]="Yes",1,IF(CleanEmployeeData[[#This Row],[Attrition]]="No",0,""))</f>
        <v>0</v>
      </c>
      <c r="AQ462" t="str" cm="1">
        <f t="array" ref="AQ462">_xlfn.IFS(CleanEmployeeData[[#This Row],[MonthlyIncome]]&lt;=3000,"0–3,000",CleanEmployeeData[[#This Row],[MonthlyIncome]]&lt;=6000,"3,001–6,000",CleanEmployeeData[[#This Row],[MonthlyIncome]]&lt;=10000,"6,001–10,000",TRUE,"10,001+")</f>
        <v>3,001–6,000</v>
      </c>
      <c r="AR462" t="str" cm="1">
        <f t="array" ref="AR462">_xlfn.IFS(CleanEmployeeData[[#This Row],[DistanceFromHome]]&lt;=5,"0–5 miles",CleanEmployeeData[[#This Row],[DistanceFromHome]]&lt;=10,"6–10 miles",CleanEmployeeData[[#This Row],[DistanceFromHome]]&lt;=15,"11–15 miles",TRUE,"16+ miles")</f>
        <v>16+ miles</v>
      </c>
      <c r="AS462" t="str" cm="1">
        <f t="array" ref="AS462">_xlfn.IFS(CleanEmployeeData[[#This Row],[YearsAtCompany]]&lt;=1,"0–1 years",CleanEmployeeData[[#This Row],[YearsAtCompany]]&lt;=5,"2–5 years",CleanEmployeeData[[#This Row],[YearsAtCompany]]&lt;=10,"6–10 years",TRUE,"11+ years")</f>
        <v>0–1 years</v>
      </c>
    </row>
    <row r="463" spans="1:4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cm="1">
        <f t="array" ref="AJ463">_xlfn.SWITCH(CleanEmployeeData[[#This Row],[Education]],1,"Below College",2,"College",3,"Bachelor",4,"Master",5,"Doctor","Unknown")</f>
        <v>Bachelor</v>
      </c>
      <c r="AK463" t="str" cm="1">
        <f t="array" ref="AK463">_xlfn.SWITCH(CleanEmployeeData[[#This Row],[EnvironmentSatisfaction]],1,"Low",2,"Medium",3,"High",4,"Very High","Unknown")</f>
        <v>Low</v>
      </c>
      <c r="AL463" t="str" cm="1">
        <f t="array" ref="AL463">_xlfn.SWITCH(CleanEmployeeData[[#This Row],[JobInvolvement]],1,"Low",2,"Medium",3,"High",4,"Very High","Unknown")</f>
        <v>High</v>
      </c>
      <c r="AM463" t="str" cm="1">
        <f t="array" ref="AM463">_xlfn.SWITCH(CleanEmployeeData[[#This Row],[JobSatisfaction]],1,"Low",2,"Medium",3,"High",4,"Very High","Unknown")</f>
        <v>High</v>
      </c>
      <c r="AN463" t="str" cm="1">
        <f t="array" ref="AN463">_xlfn.SWITCH(CleanEmployeeData[[#This Row],[PerformanceRating]],1,"Low",2,"Good",3,"Excellent",4,"Outstanding","Unknown")</f>
        <v>Excellent</v>
      </c>
      <c r="AO463" t="str" cm="1">
        <f t="array" ref="AO463">_xlfn.SWITCH(CleanEmployeeData[[#This Row],[WorkLifeBalance]],1,"Bad",2,"Good",3,"Better",4,"Best","Unknown")</f>
        <v>Better</v>
      </c>
      <c r="AP463">
        <f>IF(CleanEmployeeData[[#This Row],[Attrition]]="Yes",1,IF(CleanEmployeeData[[#This Row],[Attrition]]="No",0,""))</f>
        <v>0</v>
      </c>
      <c r="AQ463" t="str" cm="1">
        <f t="array" ref="AQ463">_xlfn.IFS(CleanEmployeeData[[#This Row],[MonthlyIncome]]&lt;=3000,"0–3,000",CleanEmployeeData[[#This Row],[MonthlyIncome]]&lt;=6000,"3,001–6,000",CleanEmployeeData[[#This Row],[MonthlyIncome]]&lt;=10000,"6,001–10,000",TRUE,"10,001+")</f>
        <v>3,001–6,000</v>
      </c>
      <c r="AR463" t="str" cm="1">
        <f t="array" ref="AR463">_xlfn.IFS(CleanEmployeeData[[#This Row],[DistanceFromHome]]&lt;=5,"0–5 miles",CleanEmployeeData[[#This Row],[DistanceFromHome]]&lt;=10,"6–10 miles",CleanEmployeeData[[#This Row],[DistanceFromHome]]&lt;=15,"11–15 miles",TRUE,"16+ miles")</f>
        <v>0–5 miles</v>
      </c>
      <c r="AS463" t="str" cm="1">
        <f t="array" ref="AS463">_xlfn.IFS(CleanEmployeeData[[#This Row],[YearsAtCompany]]&lt;=1,"0–1 years",CleanEmployeeData[[#This Row],[YearsAtCompany]]&lt;=5,"2–5 years",CleanEmployeeData[[#This Row],[YearsAtCompany]]&lt;=10,"6–10 years",TRUE,"11+ years")</f>
        <v>2–5 years</v>
      </c>
    </row>
    <row r="464" spans="1:4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cm="1">
        <f t="array" ref="AJ464">_xlfn.SWITCH(CleanEmployeeData[[#This Row],[Education]],1,"Below College",2,"College",3,"Bachelor",4,"Master",5,"Doctor","Unknown")</f>
        <v>Master</v>
      </c>
      <c r="AK464" t="str" cm="1">
        <f t="array" ref="AK464">_xlfn.SWITCH(CleanEmployeeData[[#This Row],[EnvironmentSatisfaction]],1,"Low",2,"Medium",3,"High",4,"Very High","Unknown")</f>
        <v>Very High</v>
      </c>
      <c r="AL464" t="str" cm="1">
        <f t="array" ref="AL464">_xlfn.SWITCH(CleanEmployeeData[[#This Row],[JobInvolvement]],1,"Low",2,"Medium",3,"High",4,"Very High","Unknown")</f>
        <v>Very High</v>
      </c>
      <c r="AM464" t="str" cm="1">
        <f t="array" ref="AM464">_xlfn.SWITCH(CleanEmployeeData[[#This Row],[JobSatisfaction]],1,"Low",2,"Medium",3,"High",4,"Very High","Unknown")</f>
        <v>Very High</v>
      </c>
      <c r="AN464" t="str" cm="1">
        <f t="array" ref="AN464">_xlfn.SWITCH(CleanEmployeeData[[#This Row],[PerformanceRating]],1,"Low",2,"Good",3,"Excellent",4,"Outstanding","Unknown")</f>
        <v>Excellent</v>
      </c>
      <c r="AO464" t="str" cm="1">
        <f t="array" ref="AO464">_xlfn.SWITCH(CleanEmployeeData[[#This Row],[WorkLifeBalance]],1,"Bad",2,"Good",3,"Better",4,"Best","Unknown")</f>
        <v>Better</v>
      </c>
      <c r="AP464">
        <f>IF(CleanEmployeeData[[#This Row],[Attrition]]="Yes",1,IF(CleanEmployeeData[[#This Row],[Attrition]]="No",0,""))</f>
        <v>0</v>
      </c>
      <c r="AQ464" t="str" cm="1">
        <f t="array" ref="AQ464">_xlfn.IFS(CleanEmployeeData[[#This Row],[MonthlyIncome]]&lt;=3000,"0–3,000",CleanEmployeeData[[#This Row],[MonthlyIncome]]&lt;=6000,"3,001–6,000",CleanEmployeeData[[#This Row],[MonthlyIncome]]&lt;=10000,"6,001–10,000",TRUE,"10,001+")</f>
        <v>3,001–6,000</v>
      </c>
      <c r="AR464" t="str" cm="1">
        <f t="array" ref="AR464">_xlfn.IFS(CleanEmployeeData[[#This Row],[DistanceFromHome]]&lt;=5,"0–5 miles",CleanEmployeeData[[#This Row],[DistanceFromHome]]&lt;=10,"6–10 miles",CleanEmployeeData[[#This Row],[DistanceFromHome]]&lt;=15,"11–15 miles",TRUE,"16+ miles")</f>
        <v>16+ miles</v>
      </c>
      <c r="AS464" t="str" cm="1">
        <f t="array" ref="AS464">_xlfn.IFS(CleanEmployeeData[[#This Row],[YearsAtCompany]]&lt;=1,"0–1 years",CleanEmployeeData[[#This Row],[YearsAtCompany]]&lt;=5,"2–5 years",CleanEmployeeData[[#This Row],[YearsAtCompany]]&lt;=10,"6–10 years",TRUE,"11+ years")</f>
        <v>6–10 years</v>
      </c>
    </row>
    <row r="465" spans="1:4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cm="1">
        <f t="array" ref="AJ465">_xlfn.SWITCH(CleanEmployeeData[[#This Row],[Education]],1,"Below College",2,"College",3,"Bachelor",4,"Master",5,"Doctor","Unknown")</f>
        <v>Bachelor</v>
      </c>
      <c r="AK465" t="str" cm="1">
        <f t="array" ref="AK465">_xlfn.SWITCH(CleanEmployeeData[[#This Row],[EnvironmentSatisfaction]],1,"Low",2,"Medium",3,"High",4,"Very High","Unknown")</f>
        <v>High</v>
      </c>
      <c r="AL465" t="str" cm="1">
        <f t="array" ref="AL465">_xlfn.SWITCH(CleanEmployeeData[[#This Row],[JobInvolvement]],1,"Low",2,"Medium",3,"High",4,"Very High","Unknown")</f>
        <v>Low</v>
      </c>
      <c r="AM465" t="str" cm="1">
        <f t="array" ref="AM465">_xlfn.SWITCH(CleanEmployeeData[[#This Row],[JobSatisfaction]],1,"Low",2,"Medium",3,"High",4,"Very High","Unknown")</f>
        <v>Very High</v>
      </c>
      <c r="AN465" t="str" cm="1">
        <f t="array" ref="AN465">_xlfn.SWITCH(CleanEmployeeData[[#This Row],[PerformanceRating]],1,"Low",2,"Good",3,"Excellent",4,"Outstanding","Unknown")</f>
        <v>Excellent</v>
      </c>
      <c r="AO465" t="str" cm="1">
        <f t="array" ref="AO465">_xlfn.SWITCH(CleanEmployeeData[[#This Row],[WorkLifeBalance]],1,"Bad",2,"Good",3,"Better",4,"Best","Unknown")</f>
        <v>Bad</v>
      </c>
      <c r="AP465">
        <f>IF(CleanEmployeeData[[#This Row],[Attrition]]="Yes",1,IF(CleanEmployeeData[[#This Row],[Attrition]]="No",0,""))</f>
        <v>1</v>
      </c>
      <c r="AQ465" t="str" cm="1">
        <f t="array" ref="AQ465">_xlfn.IFS(CleanEmployeeData[[#This Row],[MonthlyIncome]]&lt;=3000,"0–3,000",CleanEmployeeData[[#This Row],[MonthlyIncome]]&lt;=6000,"3,001–6,000",CleanEmployeeData[[#This Row],[MonthlyIncome]]&lt;=10000,"6,001–10,000",TRUE,"10,001+")</f>
        <v>0–3,000</v>
      </c>
      <c r="AR465" t="str" cm="1">
        <f t="array" ref="AR465">_xlfn.IFS(CleanEmployeeData[[#This Row],[DistanceFromHome]]&lt;=5,"0–5 miles",CleanEmployeeData[[#This Row],[DistanceFromHome]]&lt;=10,"6–10 miles",CleanEmployeeData[[#This Row],[DistanceFromHome]]&lt;=15,"11–15 miles",TRUE,"16+ miles")</f>
        <v>16+ miles</v>
      </c>
      <c r="AS465" t="str" cm="1">
        <f t="array" ref="AS465">_xlfn.IFS(CleanEmployeeData[[#This Row],[YearsAtCompany]]&lt;=1,"0–1 years",CleanEmployeeData[[#This Row],[YearsAtCompany]]&lt;=5,"2–5 years",CleanEmployeeData[[#This Row],[YearsAtCompany]]&lt;=10,"6–10 years",TRUE,"11+ years")</f>
        <v>0–1 years</v>
      </c>
    </row>
    <row r="466" spans="1:4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cm="1">
        <f t="array" ref="AJ466">_xlfn.SWITCH(CleanEmployeeData[[#This Row],[Education]],1,"Below College",2,"College",3,"Bachelor",4,"Master",5,"Doctor","Unknown")</f>
        <v>Bachelor</v>
      </c>
      <c r="AK466" t="str" cm="1">
        <f t="array" ref="AK466">_xlfn.SWITCH(CleanEmployeeData[[#This Row],[EnvironmentSatisfaction]],1,"Low",2,"Medium",3,"High",4,"Very High","Unknown")</f>
        <v>Medium</v>
      </c>
      <c r="AL466" t="str" cm="1">
        <f t="array" ref="AL466">_xlfn.SWITCH(CleanEmployeeData[[#This Row],[JobInvolvement]],1,"Low",2,"Medium",3,"High",4,"Very High","Unknown")</f>
        <v>High</v>
      </c>
      <c r="AM466" t="str" cm="1">
        <f t="array" ref="AM466">_xlfn.SWITCH(CleanEmployeeData[[#This Row],[JobSatisfaction]],1,"Low",2,"Medium",3,"High",4,"Very High","Unknown")</f>
        <v>Very High</v>
      </c>
      <c r="AN466" t="str" cm="1">
        <f t="array" ref="AN466">_xlfn.SWITCH(CleanEmployeeData[[#This Row],[PerformanceRating]],1,"Low",2,"Good",3,"Excellent",4,"Outstanding","Unknown")</f>
        <v>Excellent</v>
      </c>
      <c r="AO466" t="str" cm="1">
        <f t="array" ref="AO466">_xlfn.SWITCH(CleanEmployeeData[[#This Row],[WorkLifeBalance]],1,"Bad",2,"Good",3,"Better",4,"Best","Unknown")</f>
        <v>Best</v>
      </c>
      <c r="AP466">
        <f>IF(CleanEmployeeData[[#This Row],[Attrition]]="Yes",1,IF(CleanEmployeeData[[#This Row],[Attrition]]="No",0,""))</f>
        <v>0</v>
      </c>
      <c r="AQ466" t="str" cm="1">
        <f t="array" ref="AQ466">_xlfn.IFS(CleanEmployeeData[[#This Row],[MonthlyIncome]]&lt;=3000,"0–3,000",CleanEmployeeData[[#This Row],[MonthlyIncome]]&lt;=6000,"3,001–6,000",CleanEmployeeData[[#This Row],[MonthlyIncome]]&lt;=10000,"6,001–10,000",TRUE,"10,001+")</f>
        <v>6,001–10,000</v>
      </c>
      <c r="AR466" t="str" cm="1">
        <f t="array" ref="AR466">_xlfn.IFS(CleanEmployeeData[[#This Row],[DistanceFromHome]]&lt;=5,"0–5 miles",CleanEmployeeData[[#This Row],[DistanceFromHome]]&lt;=10,"6–10 miles",CleanEmployeeData[[#This Row],[DistanceFromHome]]&lt;=15,"11–15 miles",TRUE,"16+ miles")</f>
        <v>0–5 miles</v>
      </c>
      <c r="AS466" t="str" cm="1">
        <f t="array" ref="AS466">_xlfn.IFS(CleanEmployeeData[[#This Row],[YearsAtCompany]]&lt;=1,"0–1 years",CleanEmployeeData[[#This Row],[YearsAtCompany]]&lt;=5,"2–5 years",CleanEmployeeData[[#This Row],[YearsAtCompany]]&lt;=10,"6–10 years",TRUE,"11+ years")</f>
        <v>6–10 years</v>
      </c>
    </row>
    <row r="467" spans="1:4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cm="1">
        <f t="array" ref="AJ467">_xlfn.SWITCH(CleanEmployeeData[[#This Row],[Education]],1,"Below College",2,"College",3,"Bachelor",4,"Master",5,"Doctor","Unknown")</f>
        <v>Below College</v>
      </c>
      <c r="AK467" t="str" cm="1">
        <f t="array" ref="AK467">_xlfn.SWITCH(CleanEmployeeData[[#This Row],[EnvironmentSatisfaction]],1,"Low",2,"Medium",3,"High",4,"Very High","Unknown")</f>
        <v>Low</v>
      </c>
      <c r="AL467" t="str" cm="1">
        <f t="array" ref="AL467">_xlfn.SWITCH(CleanEmployeeData[[#This Row],[JobInvolvement]],1,"Low",2,"Medium",3,"High",4,"Very High","Unknown")</f>
        <v>High</v>
      </c>
      <c r="AM467" t="str" cm="1">
        <f t="array" ref="AM467">_xlfn.SWITCH(CleanEmployeeData[[#This Row],[JobSatisfaction]],1,"Low",2,"Medium",3,"High",4,"Very High","Unknown")</f>
        <v>High</v>
      </c>
      <c r="AN467" t="str" cm="1">
        <f t="array" ref="AN467">_xlfn.SWITCH(CleanEmployeeData[[#This Row],[PerformanceRating]],1,"Low",2,"Good",3,"Excellent",4,"Outstanding","Unknown")</f>
        <v>Excellent</v>
      </c>
      <c r="AO467" t="str" cm="1">
        <f t="array" ref="AO467">_xlfn.SWITCH(CleanEmployeeData[[#This Row],[WorkLifeBalance]],1,"Bad",2,"Good",3,"Better",4,"Best","Unknown")</f>
        <v>Good</v>
      </c>
      <c r="AP467">
        <f>IF(CleanEmployeeData[[#This Row],[Attrition]]="Yes",1,IF(CleanEmployeeData[[#This Row],[Attrition]]="No",0,""))</f>
        <v>0</v>
      </c>
      <c r="AQ467" t="str" cm="1">
        <f t="array" ref="AQ467">_xlfn.IFS(CleanEmployeeData[[#This Row],[MonthlyIncome]]&lt;=3000,"0–3,000",CleanEmployeeData[[#This Row],[MonthlyIncome]]&lt;=6000,"3,001–6,000",CleanEmployeeData[[#This Row],[MonthlyIncome]]&lt;=10000,"6,001–10,000",TRUE,"10,001+")</f>
        <v>10,001+</v>
      </c>
      <c r="AR467" t="str" cm="1">
        <f t="array" ref="AR467">_xlfn.IFS(CleanEmployeeData[[#This Row],[DistanceFromHome]]&lt;=5,"0–5 miles",CleanEmployeeData[[#This Row],[DistanceFromHome]]&lt;=10,"6–10 miles",CleanEmployeeData[[#This Row],[DistanceFromHome]]&lt;=15,"11–15 miles",TRUE,"16+ miles")</f>
        <v>16+ miles</v>
      </c>
      <c r="AS467" t="str" cm="1">
        <f t="array" ref="AS467">_xlfn.IFS(CleanEmployeeData[[#This Row],[YearsAtCompany]]&lt;=1,"0–1 years",CleanEmployeeData[[#This Row],[YearsAtCompany]]&lt;=5,"2–5 years",CleanEmployeeData[[#This Row],[YearsAtCompany]]&lt;=10,"6–10 years",TRUE,"11+ years")</f>
        <v>2–5 years</v>
      </c>
    </row>
    <row r="468" spans="1:4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cm="1">
        <f t="array" ref="AJ468">_xlfn.SWITCH(CleanEmployeeData[[#This Row],[Education]],1,"Below College",2,"College",3,"Bachelor",4,"Master",5,"Doctor","Unknown")</f>
        <v>Doctor</v>
      </c>
      <c r="AK468" t="str" cm="1">
        <f t="array" ref="AK468">_xlfn.SWITCH(CleanEmployeeData[[#This Row],[EnvironmentSatisfaction]],1,"Low",2,"Medium",3,"High",4,"Very High","Unknown")</f>
        <v>Medium</v>
      </c>
      <c r="AL468" t="str" cm="1">
        <f t="array" ref="AL468">_xlfn.SWITCH(CleanEmployeeData[[#This Row],[JobInvolvement]],1,"Low",2,"Medium",3,"High",4,"Very High","Unknown")</f>
        <v>High</v>
      </c>
      <c r="AM468" t="str" cm="1">
        <f t="array" ref="AM468">_xlfn.SWITCH(CleanEmployeeData[[#This Row],[JobSatisfaction]],1,"Low",2,"Medium",3,"High",4,"Very High","Unknown")</f>
        <v>Low</v>
      </c>
      <c r="AN468" t="str" cm="1">
        <f t="array" ref="AN468">_xlfn.SWITCH(CleanEmployeeData[[#This Row],[PerformanceRating]],1,"Low",2,"Good",3,"Excellent",4,"Outstanding","Unknown")</f>
        <v>Excellent</v>
      </c>
      <c r="AO468" t="str" cm="1">
        <f t="array" ref="AO468">_xlfn.SWITCH(CleanEmployeeData[[#This Row],[WorkLifeBalance]],1,"Bad",2,"Good",3,"Better",4,"Best","Unknown")</f>
        <v>Better</v>
      </c>
      <c r="AP468">
        <f>IF(CleanEmployeeData[[#This Row],[Attrition]]="Yes",1,IF(CleanEmployeeData[[#This Row],[Attrition]]="No",0,""))</f>
        <v>0</v>
      </c>
      <c r="AQ468" t="str" cm="1">
        <f t="array" ref="AQ468">_xlfn.IFS(CleanEmployeeData[[#This Row],[MonthlyIncome]]&lt;=3000,"0–3,000",CleanEmployeeData[[#This Row],[MonthlyIncome]]&lt;=6000,"3,001–6,000",CleanEmployeeData[[#This Row],[MonthlyIncome]]&lt;=10000,"6,001–10,000",TRUE,"10,001+")</f>
        <v>10,001+</v>
      </c>
      <c r="AR468" t="str" cm="1">
        <f t="array" ref="AR468">_xlfn.IFS(CleanEmployeeData[[#This Row],[DistanceFromHome]]&lt;=5,"0–5 miles",CleanEmployeeData[[#This Row],[DistanceFromHome]]&lt;=10,"6–10 miles",CleanEmployeeData[[#This Row],[DistanceFromHome]]&lt;=15,"11–15 miles",TRUE,"16+ miles")</f>
        <v>0–5 miles</v>
      </c>
      <c r="AS468" t="str" cm="1">
        <f t="array" ref="AS468">_xlfn.IFS(CleanEmployeeData[[#This Row],[YearsAtCompany]]&lt;=1,"0–1 years",CleanEmployeeData[[#This Row],[YearsAtCompany]]&lt;=5,"2–5 years",CleanEmployeeData[[#This Row],[YearsAtCompany]]&lt;=10,"6–10 years",TRUE,"11+ years")</f>
        <v>11+ years</v>
      </c>
    </row>
    <row r="469" spans="1:4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cm="1">
        <f t="array" ref="AJ469">_xlfn.SWITCH(CleanEmployeeData[[#This Row],[Education]],1,"Below College",2,"College",3,"Bachelor",4,"Master",5,"Doctor","Unknown")</f>
        <v>Master</v>
      </c>
      <c r="AK469" t="str" cm="1">
        <f t="array" ref="AK469">_xlfn.SWITCH(CleanEmployeeData[[#This Row],[EnvironmentSatisfaction]],1,"Low",2,"Medium",3,"High",4,"Very High","Unknown")</f>
        <v>Low</v>
      </c>
      <c r="AL469" t="str" cm="1">
        <f t="array" ref="AL469">_xlfn.SWITCH(CleanEmployeeData[[#This Row],[JobInvolvement]],1,"Low",2,"Medium",3,"High",4,"Very High","Unknown")</f>
        <v>High</v>
      </c>
      <c r="AM469" t="str" cm="1">
        <f t="array" ref="AM469">_xlfn.SWITCH(CleanEmployeeData[[#This Row],[JobSatisfaction]],1,"Low",2,"Medium",3,"High",4,"Very High","Unknown")</f>
        <v>Medium</v>
      </c>
      <c r="AN469" t="str" cm="1">
        <f t="array" ref="AN469">_xlfn.SWITCH(CleanEmployeeData[[#This Row],[PerformanceRating]],1,"Low",2,"Good",3,"Excellent",4,"Outstanding","Unknown")</f>
        <v>Excellent</v>
      </c>
      <c r="AO469" t="str" cm="1">
        <f t="array" ref="AO469">_xlfn.SWITCH(CleanEmployeeData[[#This Row],[WorkLifeBalance]],1,"Bad",2,"Good",3,"Better",4,"Best","Unknown")</f>
        <v>Better</v>
      </c>
      <c r="AP469">
        <f>IF(CleanEmployeeData[[#This Row],[Attrition]]="Yes",1,IF(CleanEmployeeData[[#This Row],[Attrition]]="No",0,""))</f>
        <v>0</v>
      </c>
      <c r="AQ469" t="str" cm="1">
        <f t="array" ref="AQ469">_xlfn.IFS(CleanEmployeeData[[#This Row],[MonthlyIncome]]&lt;=3000,"0–3,000",CleanEmployeeData[[#This Row],[MonthlyIncome]]&lt;=6000,"3,001–6,000",CleanEmployeeData[[#This Row],[MonthlyIncome]]&lt;=10000,"6,001–10,000",TRUE,"10,001+")</f>
        <v>6,001–10,000</v>
      </c>
      <c r="AR469" t="str" cm="1">
        <f t="array" ref="AR469">_xlfn.IFS(CleanEmployeeData[[#This Row],[DistanceFromHome]]&lt;=5,"0–5 miles",CleanEmployeeData[[#This Row],[DistanceFromHome]]&lt;=10,"6–10 miles",CleanEmployeeData[[#This Row],[DistanceFromHome]]&lt;=15,"11–15 miles",TRUE,"16+ miles")</f>
        <v>6–10 miles</v>
      </c>
      <c r="AS469" t="str" cm="1">
        <f t="array" ref="AS469">_xlfn.IFS(CleanEmployeeData[[#This Row],[YearsAtCompany]]&lt;=1,"0–1 years",CleanEmployeeData[[#This Row],[YearsAtCompany]]&lt;=5,"2–5 years",CleanEmployeeData[[#This Row],[YearsAtCompany]]&lt;=10,"6–10 years",TRUE,"11+ years")</f>
        <v>6–10 years</v>
      </c>
    </row>
    <row r="470" spans="1:4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cm="1">
        <f t="array" ref="AJ470">_xlfn.SWITCH(CleanEmployeeData[[#This Row],[Education]],1,"Below College",2,"College",3,"Bachelor",4,"Master",5,"Doctor","Unknown")</f>
        <v>College</v>
      </c>
      <c r="AK470" t="str" cm="1">
        <f t="array" ref="AK470">_xlfn.SWITCH(CleanEmployeeData[[#This Row],[EnvironmentSatisfaction]],1,"Low",2,"Medium",3,"High",4,"Very High","Unknown")</f>
        <v>Very High</v>
      </c>
      <c r="AL470" t="str" cm="1">
        <f t="array" ref="AL470">_xlfn.SWITCH(CleanEmployeeData[[#This Row],[JobInvolvement]],1,"Low",2,"Medium",3,"High",4,"Very High","Unknown")</f>
        <v>High</v>
      </c>
      <c r="AM470" t="str" cm="1">
        <f t="array" ref="AM470">_xlfn.SWITCH(CleanEmployeeData[[#This Row],[JobSatisfaction]],1,"Low",2,"Medium",3,"High",4,"Very High","Unknown")</f>
        <v>Low</v>
      </c>
      <c r="AN470" t="str" cm="1">
        <f t="array" ref="AN470">_xlfn.SWITCH(CleanEmployeeData[[#This Row],[PerformanceRating]],1,"Low",2,"Good",3,"Excellent",4,"Outstanding","Unknown")</f>
        <v>Excellent</v>
      </c>
      <c r="AO470" t="str" cm="1">
        <f t="array" ref="AO470">_xlfn.SWITCH(CleanEmployeeData[[#This Row],[WorkLifeBalance]],1,"Bad",2,"Good",3,"Better",4,"Best","Unknown")</f>
        <v>Better</v>
      </c>
      <c r="AP470">
        <f>IF(CleanEmployeeData[[#This Row],[Attrition]]="Yes",1,IF(CleanEmployeeData[[#This Row],[Attrition]]="No",0,""))</f>
        <v>0</v>
      </c>
      <c r="AQ470" t="str" cm="1">
        <f t="array" ref="AQ470">_xlfn.IFS(CleanEmployeeData[[#This Row],[MonthlyIncome]]&lt;=3000,"0–3,000",CleanEmployeeData[[#This Row],[MonthlyIncome]]&lt;=6000,"3,001–6,000",CleanEmployeeData[[#This Row],[MonthlyIncome]]&lt;=10000,"6,001–10,000",TRUE,"10,001+")</f>
        <v>3,001–6,000</v>
      </c>
      <c r="AR470" t="str" cm="1">
        <f t="array" ref="AR470">_xlfn.IFS(CleanEmployeeData[[#This Row],[DistanceFromHome]]&lt;=5,"0–5 miles",CleanEmployeeData[[#This Row],[DistanceFromHome]]&lt;=10,"6–10 miles",CleanEmployeeData[[#This Row],[DistanceFromHome]]&lt;=15,"11–15 miles",TRUE,"16+ miles")</f>
        <v>6–10 miles</v>
      </c>
      <c r="AS470" t="str" cm="1">
        <f t="array" ref="AS470">_xlfn.IFS(CleanEmployeeData[[#This Row],[YearsAtCompany]]&lt;=1,"0–1 years",CleanEmployeeData[[#This Row],[YearsAtCompany]]&lt;=5,"2–5 years",CleanEmployeeData[[#This Row],[YearsAtCompany]]&lt;=10,"6–10 years",TRUE,"11+ years")</f>
        <v>6–10 years</v>
      </c>
    </row>
    <row r="471" spans="1:4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cm="1">
        <f t="array" ref="AJ471">_xlfn.SWITCH(CleanEmployeeData[[#This Row],[Education]],1,"Below College",2,"College",3,"Bachelor",4,"Master",5,"Doctor","Unknown")</f>
        <v>Master</v>
      </c>
      <c r="AK471" t="str" cm="1">
        <f t="array" ref="AK471">_xlfn.SWITCH(CleanEmployeeData[[#This Row],[EnvironmentSatisfaction]],1,"Low",2,"Medium",3,"High",4,"Very High","Unknown")</f>
        <v>Very High</v>
      </c>
      <c r="AL471" t="str" cm="1">
        <f t="array" ref="AL471">_xlfn.SWITCH(CleanEmployeeData[[#This Row],[JobInvolvement]],1,"Low",2,"Medium",3,"High",4,"Very High","Unknown")</f>
        <v>Very High</v>
      </c>
      <c r="AM471" t="str" cm="1">
        <f t="array" ref="AM471">_xlfn.SWITCH(CleanEmployeeData[[#This Row],[JobSatisfaction]],1,"Low",2,"Medium",3,"High",4,"Very High","Unknown")</f>
        <v>High</v>
      </c>
      <c r="AN471" t="str" cm="1">
        <f t="array" ref="AN471">_xlfn.SWITCH(CleanEmployeeData[[#This Row],[PerformanceRating]],1,"Low",2,"Good",3,"Excellent",4,"Outstanding","Unknown")</f>
        <v>Excellent</v>
      </c>
      <c r="AO471" t="str" cm="1">
        <f t="array" ref="AO471">_xlfn.SWITCH(CleanEmployeeData[[#This Row],[WorkLifeBalance]],1,"Bad",2,"Good",3,"Better",4,"Best","Unknown")</f>
        <v>Better</v>
      </c>
      <c r="AP471">
        <f>IF(CleanEmployeeData[[#This Row],[Attrition]]="Yes",1,IF(CleanEmployeeData[[#This Row],[Attrition]]="No",0,""))</f>
        <v>1</v>
      </c>
      <c r="AQ471" t="str" cm="1">
        <f t="array" ref="AQ471">_xlfn.IFS(CleanEmployeeData[[#This Row],[MonthlyIncome]]&lt;=3000,"0–3,000",CleanEmployeeData[[#This Row],[MonthlyIncome]]&lt;=6000,"3,001–6,000",CleanEmployeeData[[#This Row],[MonthlyIncome]]&lt;=10000,"6,001–10,000",TRUE,"10,001+")</f>
        <v>3,001–6,000</v>
      </c>
      <c r="AR471" t="str" cm="1">
        <f t="array" ref="AR471">_xlfn.IFS(CleanEmployeeData[[#This Row],[DistanceFromHome]]&lt;=5,"0–5 miles",CleanEmployeeData[[#This Row],[DistanceFromHome]]&lt;=10,"6–10 miles",CleanEmployeeData[[#This Row],[DistanceFromHome]]&lt;=15,"11–15 miles",TRUE,"16+ miles")</f>
        <v>11–15 miles</v>
      </c>
      <c r="AS471" t="str" cm="1">
        <f t="array" ref="AS471">_xlfn.IFS(CleanEmployeeData[[#This Row],[YearsAtCompany]]&lt;=1,"0–1 years",CleanEmployeeData[[#This Row],[YearsAtCompany]]&lt;=5,"2–5 years",CleanEmployeeData[[#This Row],[YearsAtCompany]]&lt;=10,"6–10 years",TRUE,"11+ years")</f>
        <v>2–5 years</v>
      </c>
    </row>
    <row r="472" spans="1:4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cm="1">
        <f t="array" ref="AJ472">_xlfn.SWITCH(CleanEmployeeData[[#This Row],[Education]],1,"Below College",2,"College",3,"Bachelor",4,"Master",5,"Doctor","Unknown")</f>
        <v>Bachelor</v>
      </c>
      <c r="AK472" t="str" cm="1">
        <f t="array" ref="AK472">_xlfn.SWITCH(CleanEmployeeData[[#This Row],[EnvironmentSatisfaction]],1,"Low",2,"Medium",3,"High",4,"Very High","Unknown")</f>
        <v>Very High</v>
      </c>
      <c r="AL472" t="str" cm="1">
        <f t="array" ref="AL472">_xlfn.SWITCH(CleanEmployeeData[[#This Row],[JobInvolvement]],1,"Low",2,"Medium",3,"High",4,"Very High","Unknown")</f>
        <v>High</v>
      </c>
      <c r="AM472" t="str" cm="1">
        <f t="array" ref="AM472">_xlfn.SWITCH(CleanEmployeeData[[#This Row],[JobSatisfaction]],1,"Low",2,"Medium",3,"High",4,"Very High","Unknown")</f>
        <v>Very High</v>
      </c>
      <c r="AN472" t="str" cm="1">
        <f t="array" ref="AN472">_xlfn.SWITCH(CleanEmployeeData[[#This Row],[PerformanceRating]],1,"Low",2,"Good",3,"Excellent",4,"Outstanding","Unknown")</f>
        <v>Excellent</v>
      </c>
      <c r="AO472" t="str" cm="1">
        <f t="array" ref="AO472">_xlfn.SWITCH(CleanEmployeeData[[#This Row],[WorkLifeBalance]],1,"Bad",2,"Good",3,"Better",4,"Best","Unknown")</f>
        <v>Better</v>
      </c>
      <c r="AP472">
        <f>IF(CleanEmployeeData[[#This Row],[Attrition]]="Yes",1,IF(CleanEmployeeData[[#This Row],[Attrition]]="No",0,""))</f>
        <v>0</v>
      </c>
      <c r="AQ472" t="str" cm="1">
        <f t="array" ref="AQ472">_xlfn.IFS(CleanEmployeeData[[#This Row],[MonthlyIncome]]&lt;=3000,"0–3,000",CleanEmployeeData[[#This Row],[MonthlyIncome]]&lt;=6000,"3,001–6,000",CleanEmployeeData[[#This Row],[MonthlyIncome]]&lt;=10000,"6,001–10,000",TRUE,"10,001+")</f>
        <v>0–3,000</v>
      </c>
      <c r="AR472" t="str" cm="1">
        <f t="array" ref="AR472">_xlfn.IFS(CleanEmployeeData[[#This Row],[DistanceFromHome]]&lt;=5,"0–5 miles",CleanEmployeeData[[#This Row],[DistanceFromHome]]&lt;=10,"6–10 miles",CleanEmployeeData[[#This Row],[DistanceFromHome]]&lt;=15,"11–15 miles",TRUE,"16+ miles")</f>
        <v>16+ miles</v>
      </c>
      <c r="AS472" t="str" cm="1">
        <f t="array" ref="AS472">_xlfn.IFS(CleanEmployeeData[[#This Row],[YearsAtCompany]]&lt;=1,"0–1 years",CleanEmployeeData[[#This Row],[YearsAtCompany]]&lt;=5,"2–5 years",CleanEmployeeData[[#This Row],[YearsAtCompany]]&lt;=10,"6–10 years",TRUE,"11+ years")</f>
        <v>2–5 years</v>
      </c>
    </row>
    <row r="473" spans="1:4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cm="1">
        <f t="array" ref="AJ473">_xlfn.SWITCH(CleanEmployeeData[[#This Row],[Education]],1,"Below College",2,"College",3,"Bachelor",4,"Master",5,"Doctor","Unknown")</f>
        <v>Bachelor</v>
      </c>
      <c r="AK473" t="str" cm="1">
        <f t="array" ref="AK473">_xlfn.SWITCH(CleanEmployeeData[[#This Row],[EnvironmentSatisfaction]],1,"Low",2,"Medium",3,"High",4,"Very High","Unknown")</f>
        <v>High</v>
      </c>
      <c r="AL473" t="str" cm="1">
        <f t="array" ref="AL473">_xlfn.SWITCH(CleanEmployeeData[[#This Row],[JobInvolvement]],1,"Low",2,"Medium",3,"High",4,"Very High","Unknown")</f>
        <v>High</v>
      </c>
      <c r="AM473" t="str" cm="1">
        <f t="array" ref="AM473">_xlfn.SWITCH(CleanEmployeeData[[#This Row],[JobSatisfaction]],1,"Low",2,"Medium",3,"High",4,"Very High","Unknown")</f>
        <v>High</v>
      </c>
      <c r="AN473" t="str" cm="1">
        <f t="array" ref="AN473">_xlfn.SWITCH(CleanEmployeeData[[#This Row],[PerformanceRating]],1,"Low",2,"Good",3,"Excellent",4,"Outstanding","Unknown")</f>
        <v>Excellent</v>
      </c>
      <c r="AO473" t="str" cm="1">
        <f t="array" ref="AO473">_xlfn.SWITCH(CleanEmployeeData[[#This Row],[WorkLifeBalance]],1,"Bad",2,"Good",3,"Better",4,"Best","Unknown")</f>
        <v>Better</v>
      </c>
      <c r="AP473">
        <f>IF(CleanEmployeeData[[#This Row],[Attrition]]="Yes",1,IF(CleanEmployeeData[[#This Row],[Attrition]]="No",0,""))</f>
        <v>0</v>
      </c>
      <c r="AQ473" t="str" cm="1">
        <f t="array" ref="AQ473">_xlfn.IFS(CleanEmployeeData[[#This Row],[MonthlyIncome]]&lt;=3000,"0–3,000",CleanEmployeeData[[#This Row],[MonthlyIncome]]&lt;=6000,"3,001–6,000",CleanEmployeeData[[#This Row],[MonthlyIncome]]&lt;=10000,"6,001–10,000",TRUE,"10,001+")</f>
        <v>6,001–10,000</v>
      </c>
      <c r="AR473" t="str" cm="1">
        <f t="array" ref="AR473">_xlfn.IFS(CleanEmployeeData[[#This Row],[DistanceFromHome]]&lt;=5,"0–5 miles",CleanEmployeeData[[#This Row],[DistanceFromHome]]&lt;=10,"6–10 miles",CleanEmployeeData[[#This Row],[DistanceFromHome]]&lt;=15,"11–15 miles",TRUE,"16+ miles")</f>
        <v>6–10 miles</v>
      </c>
      <c r="AS473" t="str" cm="1">
        <f t="array" ref="AS473">_xlfn.IFS(CleanEmployeeData[[#This Row],[YearsAtCompany]]&lt;=1,"0–1 years",CleanEmployeeData[[#This Row],[YearsAtCompany]]&lt;=5,"2–5 years",CleanEmployeeData[[#This Row],[YearsAtCompany]]&lt;=10,"6–10 years",TRUE,"11+ years")</f>
        <v>0–1 years</v>
      </c>
    </row>
    <row r="474" spans="1:4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cm="1">
        <f t="array" ref="AJ474">_xlfn.SWITCH(CleanEmployeeData[[#This Row],[Education]],1,"Below College",2,"College",3,"Bachelor",4,"Master",5,"Doctor","Unknown")</f>
        <v>Master</v>
      </c>
      <c r="AK474" t="str" cm="1">
        <f t="array" ref="AK474">_xlfn.SWITCH(CleanEmployeeData[[#This Row],[EnvironmentSatisfaction]],1,"Low",2,"Medium",3,"High",4,"Very High","Unknown")</f>
        <v>Medium</v>
      </c>
      <c r="AL474" t="str" cm="1">
        <f t="array" ref="AL474">_xlfn.SWITCH(CleanEmployeeData[[#This Row],[JobInvolvement]],1,"Low",2,"Medium",3,"High",4,"Very High","Unknown")</f>
        <v>High</v>
      </c>
      <c r="AM474" t="str" cm="1">
        <f t="array" ref="AM474">_xlfn.SWITCH(CleanEmployeeData[[#This Row],[JobSatisfaction]],1,"Low",2,"Medium",3,"High",4,"Very High","Unknown")</f>
        <v>Medium</v>
      </c>
      <c r="AN474" t="str" cm="1">
        <f t="array" ref="AN474">_xlfn.SWITCH(CleanEmployeeData[[#This Row],[PerformanceRating]],1,"Low",2,"Good",3,"Excellent",4,"Outstanding","Unknown")</f>
        <v>Excellent</v>
      </c>
      <c r="AO474" t="str" cm="1">
        <f t="array" ref="AO474">_xlfn.SWITCH(CleanEmployeeData[[#This Row],[WorkLifeBalance]],1,"Bad",2,"Good",3,"Better",4,"Best","Unknown")</f>
        <v>Good</v>
      </c>
      <c r="AP474">
        <f>IF(CleanEmployeeData[[#This Row],[Attrition]]="Yes",1,IF(CleanEmployeeData[[#This Row],[Attrition]]="No",0,""))</f>
        <v>0</v>
      </c>
      <c r="AQ474" t="str" cm="1">
        <f t="array" ref="AQ474">_xlfn.IFS(CleanEmployeeData[[#This Row],[MonthlyIncome]]&lt;=3000,"0–3,000",CleanEmployeeData[[#This Row],[MonthlyIncome]]&lt;=6000,"3,001–6,000",CleanEmployeeData[[#This Row],[MonthlyIncome]]&lt;=10000,"6,001–10,000",TRUE,"10,001+")</f>
        <v>6,001–10,000</v>
      </c>
      <c r="AR474" t="str" cm="1">
        <f t="array" ref="AR474">_xlfn.IFS(CleanEmployeeData[[#This Row],[DistanceFromHome]]&lt;=5,"0–5 miles",CleanEmployeeData[[#This Row],[DistanceFromHome]]&lt;=10,"6–10 miles",CleanEmployeeData[[#This Row],[DistanceFromHome]]&lt;=15,"11–15 miles",TRUE,"16+ miles")</f>
        <v>0–5 miles</v>
      </c>
      <c r="AS474" t="str" cm="1">
        <f t="array" ref="AS474">_xlfn.IFS(CleanEmployeeData[[#This Row],[YearsAtCompany]]&lt;=1,"0–1 years",CleanEmployeeData[[#This Row],[YearsAtCompany]]&lt;=5,"2–5 years",CleanEmployeeData[[#This Row],[YearsAtCompany]]&lt;=10,"6–10 years",TRUE,"11+ years")</f>
        <v>6–10 years</v>
      </c>
    </row>
    <row r="475" spans="1:4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cm="1">
        <f t="array" ref="AJ475">_xlfn.SWITCH(CleanEmployeeData[[#This Row],[Education]],1,"Below College",2,"College",3,"Bachelor",4,"Master",5,"Doctor","Unknown")</f>
        <v>Master</v>
      </c>
      <c r="AK475" t="str" cm="1">
        <f t="array" ref="AK475">_xlfn.SWITCH(CleanEmployeeData[[#This Row],[EnvironmentSatisfaction]],1,"Low",2,"Medium",3,"High",4,"Very High","Unknown")</f>
        <v>Very High</v>
      </c>
      <c r="AL475" t="str" cm="1">
        <f t="array" ref="AL475">_xlfn.SWITCH(CleanEmployeeData[[#This Row],[JobInvolvement]],1,"Low",2,"Medium",3,"High",4,"Very High","Unknown")</f>
        <v>Medium</v>
      </c>
      <c r="AM475" t="str" cm="1">
        <f t="array" ref="AM475">_xlfn.SWITCH(CleanEmployeeData[[#This Row],[JobSatisfaction]],1,"Low",2,"Medium",3,"High",4,"Very High","Unknown")</f>
        <v>High</v>
      </c>
      <c r="AN475" t="str" cm="1">
        <f t="array" ref="AN475">_xlfn.SWITCH(CleanEmployeeData[[#This Row],[PerformanceRating]],1,"Low",2,"Good",3,"Excellent",4,"Outstanding","Unknown")</f>
        <v>Excellent</v>
      </c>
      <c r="AO475" t="str" cm="1">
        <f t="array" ref="AO475">_xlfn.SWITCH(CleanEmployeeData[[#This Row],[WorkLifeBalance]],1,"Bad",2,"Good",3,"Better",4,"Best","Unknown")</f>
        <v>Better</v>
      </c>
      <c r="AP475">
        <f>IF(CleanEmployeeData[[#This Row],[Attrition]]="Yes",1,IF(CleanEmployeeData[[#This Row],[Attrition]]="No",0,""))</f>
        <v>0</v>
      </c>
      <c r="AQ475" t="str" cm="1">
        <f t="array" ref="AQ475">_xlfn.IFS(CleanEmployeeData[[#This Row],[MonthlyIncome]]&lt;=3000,"0–3,000",CleanEmployeeData[[#This Row],[MonthlyIncome]]&lt;=6000,"3,001–6,000",CleanEmployeeData[[#This Row],[MonthlyIncome]]&lt;=10000,"6,001–10,000",TRUE,"10,001+")</f>
        <v>10,001+</v>
      </c>
      <c r="AR475" t="str" cm="1">
        <f t="array" ref="AR475">_xlfn.IFS(CleanEmployeeData[[#This Row],[DistanceFromHome]]&lt;=5,"0–5 miles",CleanEmployeeData[[#This Row],[DistanceFromHome]]&lt;=10,"6–10 miles",CleanEmployeeData[[#This Row],[DistanceFromHome]]&lt;=15,"11–15 miles",TRUE,"16+ miles")</f>
        <v>16+ miles</v>
      </c>
      <c r="AS475" t="str" cm="1">
        <f t="array" ref="AS475">_xlfn.IFS(CleanEmployeeData[[#This Row],[YearsAtCompany]]&lt;=1,"0–1 years",CleanEmployeeData[[#This Row],[YearsAtCompany]]&lt;=5,"2–5 years",CleanEmployeeData[[#This Row],[YearsAtCompany]]&lt;=10,"6–10 years",TRUE,"11+ years")</f>
        <v>11+ years</v>
      </c>
    </row>
    <row r="476" spans="1:4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cm="1">
        <f t="array" ref="AJ476">_xlfn.SWITCH(CleanEmployeeData[[#This Row],[Education]],1,"Below College",2,"College",3,"Bachelor",4,"Master",5,"Doctor","Unknown")</f>
        <v>Bachelor</v>
      </c>
      <c r="AK476" t="str" cm="1">
        <f t="array" ref="AK476">_xlfn.SWITCH(CleanEmployeeData[[#This Row],[EnvironmentSatisfaction]],1,"Low",2,"Medium",3,"High",4,"Very High","Unknown")</f>
        <v>Medium</v>
      </c>
      <c r="AL476" t="str" cm="1">
        <f t="array" ref="AL476">_xlfn.SWITCH(CleanEmployeeData[[#This Row],[JobInvolvement]],1,"Low",2,"Medium",3,"High",4,"Very High","Unknown")</f>
        <v>Very High</v>
      </c>
      <c r="AM476" t="str" cm="1">
        <f t="array" ref="AM476">_xlfn.SWITCH(CleanEmployeeData[[#This Row],[JobSatisfaction]],1,"Low",2,"Medium",3,"High",4,"Very High","Unknown")</f>
        <v>Very High</v>
      </c>
      <c r="AN476" t="str" cm="1">
        <f t="array" ref="AN476">_xlfn.SWITCH(CleanEmployeeData[[#This Row],[PerformanceRating]],1,"Low",2,"Good",3,"Excellent",4,"Outstanding","Unknown")</f>
        <v>Excellent</v>
      </c>
      <c r="AO476" t="str" cm="1">
        <f t="array" ref="AO476">_xlfn.SWITCH(CleanEmployeeData[[#This Row],[WorkLifeBalance]],1,"Bad",2,"Good",3,"Better",4,"Best","Unknown")</f>
        <v>Better</v>
      </c>
      <c r="AP476">
        <f>IF(CleanEmployeeData[[#This Row],[Attrition]]="Yes",1,IF(CleanEmployeeData[[#This Row],[Attrition]]="No",0,""))</f>
        <v>0</v>
      </c>
      <c r="AQ476" t="str" cm="1">
        <f t="array" ref="AQ476">_xlfn.IFS(CleanEmployeeData[[#This Row],[MonthlyIncome]]&lt;=3000,"0–3,000",CleanEmployeeData[[#This Row],[MonthlyIncome]]&lt;=6000,"3,001–6,000",CleanEmployeeData[[#This Row],[MonthlyIncome]]&lt;=10000,"6,001–10,000",TRUE,"10,001+")</f>
        <v>0–3,000</v>
      </c>
      <c r="AR476" t="str" cm="1">
        <f t="array" ref="AR476">_xlfn.IFS(CleanEmployeeData[[#This Row],[DistanceFromHome]]&lt;=5,"0–5 miles",CleanEmployeeData[[#This Row],[DistanceFromHome]]&lt;=10,"6–10 miles",CleanEmployeeData[[#This Row],[DistanceFromHome]]&lt;=15,"11–15 miles",TRUE,"16+ miles")</f>
        <v>16+ miles</v>
      </c>
      <c r="AS476" t="str" cm="1">
        <f t="array" ref="AS476">_xlfn.IFS(CleanEmployeeData[[#This Row],[YearsAtCompany]]&lt;=1,"0–1 years",CleanEmployeeData[[#This Row],[YearsAtCompany]]&lt;=5,"2–5 years",CleanEmployeeData[[#This Row],[YearsAtCompany]]&lt;=10,"6–10 years",TRUE,"11+ years")</f>
        <v>6–10 years</v>
      </c>
    </row>
    <row r="477" spans="1:4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cm="1">
        <f t="array" ref="AJ477">_xlfn.SWITCH(CleanEmployeeData[[#This Row],[Education]],1,"Below College",2,"College",3,"Bachelor",4,"Master",5,"Doctor","Unknown")</f>
        <v>College</v>
      </c>
      <c r="AK477" t="str" cm="1">
        <f t="array" ref="AK477">_xlfn.SWITCH(CleanEmployeeData[[#This Row],[EnvironmentSatisfaction]],1,"Low",2,"Medium",3,"High",4,"Very High","Unknown")</f>
        <v>Low</v>
      </c>
      <c r="AL477" t="str" cm="1">
        <f t="array" ref="AL477">_xlfn.SWITCH(CleanEmployeeData[[#This Row],[JobInvolvement]],1,"Low",2,"Medium",3,"High",4,"Very High","Unknown")</f>
        <v>High</v>
      </c>
      <c r="AM477" t="str" cm="1">
        <f t="array" ref="AM477">_xlfn.SWITCH(CleanEmployeeData[[#This Row],[JobSatisfaction]],1,"Low",2,"Medium",3,"High",4,"Very High","Unknown")</f>
        <v>Medium</v>
      </c>
      <c r="AN477" t="str" cm="1">
        <f t="array" ref="AN477">_xlfn.SWITCH(CleanEmployeeData[[#This Row],[PerformanceRating]],1,"Low",2,"Good",3,"Excellent",4,"Outstanding","Unknown")</f>
        <v>Outstanding</v>
      </c>
      <c r="AO477" t="str" cm="1">
        <f t="array" ref="AO477">_xlfn.SWITCH(CleanEmployeeData[[#This Row],[WorkLifeBalance]],1,"Bad",2,"Good",3,"Better",4,"Best","Unknown")</f>
        <v>Best</v>
      </c>
      <c r="AP477">
        <f>IF(CleanEmployeeData[[#This Row],[Attrition]]="Yes",1,IF(CleanEmployeeData[[#This Row],[Attrition]]="No",0,""))</f>
        <v>0</v>
      </c>
      <c r="AQ477" t="str" cm="1">
        <f t="array" ref="AQ477">_xlfn.IFS(CleanEmployeeData[[#This Row],[MonthlyIncome]]&lt;=3000,"0–3,000",CleanEmployeeData[[#This Row],[MonthlyIncome]]&lt;=6000,"3,001–6,000",CleanEmployeeData[[#This Row],[MonthlyIncome]]&lt;=10000,"6,001–10,000",TRUE,"10,001+")</f>
        <v>6,001–10,000</v>
      </c>
      <c r="AR477" t="str" cm="1">
        <f t="array" ref="AR477">_xlfn.IFS(CleanEmployeeData[[#This Row],[DistanceFromHome]]&lt;=5,"0–5 miles",CleanEmployeeData[[#This Row],[DistanceFromHome]]&lt;=10,"6–10 miles",CleanEmployeeData[[#This Row],[DistanceFromHome]]&lt;=15,"11–15 miles",TRUE,"16+ miles")</f>
        <v>16+ miles</v>
      </c>
      <c r="AS477" t="str" cm="1">
        <f t="array" ref="AS477">_xlfn.IFS(CleanEmployeeData[[#This Row],[YearsAtCompany]]&lt;=1,"0–1 years",CleanEmployeeData[[#This Row],[YearsAtCompany]]&lt;=5,"2–5 years",CleanEmployeeData[[#This Row],[YearsAtCompany]]&lt;=10,"6–10 years",TRUE,"11+ years")</f>
        <v>2–5 years</v>
      </c>
    </row>
    <row r="478" spans="1:4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cm="1">
        <f t="array" ref="AJ478">_xlfn.SWITCH(CleanEmployeeData[[#This Row],[Education]],1,"Below College",2,"College",3,"Bachelor",4,"Master",5,"Doctor","Unknown")</f>
        <v>College</v>
      </c>
      <c r="AK478" t="str" cm="1">
        <f t="array" ref="AK478">_xlfn.SWITCH(CleanEmployeeData[[#This Row],[EnvironmentSatisfaction]],1,"Low",2,"Medium",3,"High",4,"Very High","Unknown")</f>
        <v>Very High</v>
      </c>
      <c r="AL478" t="str" cm="1">
        <f t="array" ref="AL478">_xlfn.SWITCH(CleanEmployeeData[[#This Row],[JobInvolvement]],1,"Low",2,"Medium",3,"High",4,"Very High","Unknown")</f>
        <v>Medium</v>
      </c>
      <c r="AM478" t="str" cm="1">
        <f t="array" ref="AM478">_xlfn.SWITCH(CleanEmployeeData[[#This Row],[JobSatisfaction]],1,"Low",2,"Medium",3,"High",4,"Very High","Unknown")</f>
        <v>Medium</v>
      </c>
      <c r="AN478" t="str" cm="1">
        <f t="array" ref="AN478">_xlfn.SWITCH(CleanEmployeeData[[#This Row],[PerformanceRating]],1,"Low",2,"Good",3,"Excellent",4,"Outstanding","Unknown")</f>
        <v>Outstanding</v>
      </c>
      <c r="AO478" t="str" cm="1">
        <f t="array" ref="AO478">_xlfn.SWITCH(CleanEmployeeData[[#This Row],[WorkLifeBalance]],1,"Bad",2,"Good",3,"Better",4,"Best","Unknown")</f>
        <v>Better</v>
      </c>
      <c r="AP478">
        <f>IF(CleanEmployeeData[[#This Row],[Attrition]]="Yes",1,IF(CleanEmployeeData[[#This Row],[Attrition]]="No",0,""))</f>
        <v>0</v>
      </c>
      <c r="AQ478" t="str" cm="1">
        <f t="array" ref="AQ478">_xlfn.IFS(CleanEmployeeData[[#This Row],[MonthlyIncome]]&lt;=3000,"0–3,000",CleanEmployeeData[[#This Row],[MonthlyIncome]]&lt;=6000,"3,001–6,000",CleanEmployeeData[[#This Row],[MonthlyIncome]]&lt;=10000,"6,001–10,000",TRUE,"10,001+")</f>
        <v>0–3,000</v>
      </c>
      <c r="AR478" t="str" cm="1">
        <f t="array" ref="AR478">_xlfn.IFS(CleanEmployeeData[[#This Row],[DistanceFromHome]]&lt;=5,"0–5 miles",CleanEmployeeData[[#This Row],[DistanceFromHome]]&lt;=10,"6–10 miles",CleanEmployeeData[[#This Row],[DistanceFromHome]]&lt;=15,"11–15 miles",TRUE,"16+ miles")</f>
        <v>16+ miles</v>
      </c>
      <c r="AS478" t="str" cm="1">
        <f t="array" ref="AS478">_xlfn.IFS(CleanEmployeeData[[#This Row],[YearsAtCompany]]&lt;=1,"0–1 years",CleanEmployeeData[[#This Row],[YearsAtCompany]]&lt;=5,"2–5 years",CleanEmployeeData[[#This Row],[YearsAtCompany]]&lt;=10,"6–10 years",TRUE,"11+ years")</f>
        <v>0–1 years</v>
      </c>
    </row>
    <row r="479" spans="1:4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cm="1">
        <f t="array" ref="AJ479">_xlfn.SWITCH(CleanEmployeeData[[#This Row],[Education]],1,"Below College",2,"College",3,"Bachelor",4,"Master",5,"Doctor","Unknown")</f>
        <v>Bachelor</v>
      </c>
      <c r="AK479" t="str" cm="1">
        <f t="array" ref="AK479">_xlfn.SWITCH(CleanEmployeeData[[#This Row],[EnvironmentSatisfaction]],1,"Low",2,"Medium",3,"High",4,"Very High","Unknown")</f>
        <v>Low</v>
      </c>
      <c r="AL479" t="str" cm="1">
        <f t="array" ref="AL479">_xlfn.SWITCH(CleanEmployeeData[[#This Row],[JobInvolvement]],1,"Low",2,"Medium",3,"High",4,"Very High","Unknown")</f>
        <v>High</v>
      </c>
      <c r="AM479" t="str" cm="1">
        <f t="array" ref="AM479">_xlfn.SWITCH(CleanEmployeeData[[#This Row],[JobSatisfaction]],1,"Low",2,"Medium",3,"High",4,"Very High","Unknown")</f>
        <v>Medium</v>
      </c>
      <c r="AN479" t="str" cm="1">
        <f t="array" ref="AN479">_xlfn.SWITCH(CleanEmployeeData[[#This Row],[PerformanceRating]],1,"Low",2,"Good",3,"Excellent",4,"Outstanding","Unknown")</f>
        <v>Excellent</v>
      </c>
      <c r="AO479" t="str" cm="1">
        <f t="array" ref="AO479">_xlfn.SWITCH(CleanEmployeeData[[#This Row],[WorkLifeBalance]],1,"Bad",2,"Good",3,"Better",4,"Best","Unknown")</f>
        <v>Better</v>
      </c>
      <c r="AP479">
        <f>IF(CleanEmployeeData[[#This Row],[Attrition]]="Yes",1,IF(CleanEmployeeData[[#This Row],[Attrition]]="No",0,""))</f>
        <v>0</v>
      </c>
      <c r="AQ479" t="str" cm="1">
        <f t="array" ref="AQ479">_xlfn.IFS(CleanEmployeeData[[#This Row],[MonthlyIncome]]&lt;=3000,"0–3,000",CleanEmployeeData[[#This Row],[MonthlyIncome]]&lt;=6000,"3,001–6,000",CleanEmployeeData[[#This Row],[MonthlyIncome]]&lt;=10000,"6,001–10,000",TRUE,"10,001+")</f>
        <v>10,001+</v>
      </c>
      <c r="AR479" t="str" cm="1">
        <f t="array" ref="AR479">_xlfn.IFS(CleanEmployeeData[[#This Row],[DistanceFromHome]]&lt;=5,"0–5 miles",CleanEmployeeData[[#This Row],[DistanceFromHome]]&lt;=10,"6–10 miles",CleanEmployeeData[[#This Row],[DistanceFromHome]]&lt;=15,"11–15 miles",TRUE,"16+ miles")</f>
        <v>0–5 miles</v>
      </c>
      <c r="AS479" t="str" cm="1">
        <f t="array" ref="AS479">_xlfn.IFS(CleanEmployeeData[[#This Row],[YearsAtCompany]]&lt;=1,"0–1 years",CleanEmployeeData[[#This Row],[YearsAtCompany]]&lt;=5,"2–5 years",CleanEmployeeData[[#This Row],[YearsAtCompany]]&lt;=10,"6–10 years",TRUE,"11+ years")</f>
        <v>11+ years</v>
      </c>
    </row>
    <row r="480" spans="1:4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cm="1">
        <f t="array" ref="AJ480">_xlfn.SWITCH(CleanEmployeeData[[#This Row],[Education]],1,"Below College",2,"College",3,"Bachelor",4,"Master",5,"Doctor","Unknown")</f>
        <v>Below College</v>
      </c>
      <c r="AK480" t="str" cm="1">
        <f t="array" ref="AK480">_xlfn.SWITCH(CleanEmployeeData[[#This Row],[EnvironmentSatisfaction]],1,"Low",2,"Medium",3,"High",4,"Very High","Unknown")</f>
        <v>Medium</v>
      </c>
      <c r="AL480" t="str" cm="1">
        <f t="array" ref="AL480">_xlfn.SWITCH(CleanEmployeeData[[#This Row],[JobInvolvement]],1,"Low",2,"Medium",3,"High",4,"Very High","Unknown")</f>
        <v>High</v>
      </c>
      <c r="AM480" t="str" cm="1">
        <f t="array" ref="AM480">_xlfn.SWITCH(CleanEmployeeData[[#This Row],[JobSatisfaction]],1,"Low",2,"Medium",3,"High",4,"Very High","Unknown")</f>
        <v>High</v>
      </c>
      <c r="AN480" t="str" cm="1">
        <f t="array" ref="AN480">_xlfn.SWITCH(CleanEmployeeData[[#This Row],[PerformanceRating]],1,"Low",2,"Good",3,"Excellent",4,"Outstanding","Unknown")</f>
        <v>Excellent</v>
      </c>
      <c r="AO480" t="str" cm="1">
        <f t="array" ref="AO480">_xlfn.SWITCH(CleanEmployeeData[[#This Row],[WorkLifeBalance]],1,"Bad",2,"Good",3,"Better",4,"Best","Unknown")</f>
        <v>Better</v>
      </c>
      <c r="AP480">
        <f>IF(CleanEmployeeData[[#This Row],[Attrition]]="Yes",1,IF(CleanEmployeeData[[#This Row],[Attrition]]="No",0,""))</f>
        <v>0</v>
      </c>
      <c r="AQ480" t="str" cm="1">
        <f t="array" ref="AQ480">_xlfn.IFS(CleanEmployeeData[[#This Row],[MonthlyIncome]]&lt;=3000,"0–3,000",CleanEmployeeData[[#This Row],[MonthlyIncome]]&lt;=6000,"3,001–6,000",CleanEmployeeData[[#This Row],[MonthlyIncome]]&lt;=10000,"6,001–10,000",TRUE,"10,001+")</f>
        <v>0–3,000</v>
      </c>
      <c r="AR480" t="str" cm="1">
        <f t="array" ref="AR480">_xlfn.IFS(CleanEmployeeData[[#This Row],[DistanceFromHome]]&lt;=5,"0–5 miles",CleanEmployeeData[[#This Row],[DistanceFromHome]]&lt;=10,"6–10 miles",CleanEmployeeData[[#This Row],[DistanceFromHome]]&lt;=15,"11–15 miles",TRUE,"16+ miles")</f>
        <v>11–15 miles</v>
      </c>
      <c r="AS480" t="str" cm="1">
        <f t="array" ref="AS480">_xlfn.IFS(CleanEmployeeData[[#This Row],[YearsAtCompany]]&lt;=1,"0–1 years",CleanEmployeeData[[#This Row],[YearsAtCompany]]&lt;=5,"2–5 years",CleanEmployeeData[[#This Row],[YearsAtCompany]]&lt;=10,"6–10 years",TRUE,"11+ years")</f>
        <v>6–10 years</v>
      </c>
    </row>
    <row r="481" spans="1:4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cm="1">
        <f t="array" ref="AJ481">_xlfn.SWITCH(CleanEmployeeData[[#This Row],[Education]],1,"Below College",2,"College",3,"Bachelor",4,"Master",5,"Doctor","Unknown")</f>
        <v>Bachelor</v>
      </c>
      <c r="AK481" t="str" cm="1">
        <f t="array" ref="AK481">_xlfn.SWITCH(CleanEmployeeData[[#This Row],[EnvironmentSatisfaction]],1,"Low",2,"Medium",3,"High",4,"Very High","Unknown")</f>
        <v>Low</v>
      </c>
      <c r="AL481" t="str" cm="1">
        <f t="array" ref="AL481">_xlfn.SWITCH(CleanEmployeeData[[#This Row],[JobInvolvement]],1,"Low",2,"Medium",3,"High",4,"Very High","Unknown")</f>
        <v>High</v>
      </c>
      <c r="AM481" t="str" cm="1">
        <f t="array" ref="AM481">_xlfn.SWITCH(CleanEmployeeData[[#This Row],[JobSatisfaction]],1,"Low",2,"Medium",3,"High",4,"Very High","Unknown")</f>
        <v>High</v>
      </c>
      <c r="AN481" t="str" cm="1">
        <f t="array" ref="AN481">_xlfn.SWITCH(CleanEmployeeData[[#This Row],[PerformanceRating]],1,"Low",2,"Good",3,"Excellent",4,"Outstanding","Unknown")</f>
        <v>Excellent</v>
      </c>
      <c r="AO481" t="str" cm="1">
        <f t="array" ref="AO481">_xlfn.SWITCH(CleanEmployeeData[[#This Row],[WorkLifeBalance]],1,"Bad",2,"Good",3,"Better",4,"Best","Unknown")</f>
        <v>Better</v>
      </c>
      <c r="AP481">
        <f>IF(CleanEmployeeData[[#This Row],[Attrition]]="Yes",1,IF(CleanEmployeeData[[#This Row],[Attrition]]="No",0,""))</f>
        <v>1</v>
      </c>
      <c r="AQ481" t="str" cm="1">
        <f t="array" ref="AQ481">_xlfn.IFS(CleanEmployeeData[[#This Row],[MonthlyIncome]]&lt;=3000,"0–3,000",CleanEmployeeData[[#This Row],[MonthlyIncome]]&lt;=6000,"3,001–6,000",CleanEmployeeData[[#This Row],[MonthlyIncome]]&lt;=10000,"6,001–10,000",TRUE,"10,001+")</f>
        <v>0–3,000</v>
      </c>
      <c r="AR481" t="str" cm="1">
        <f t="array" ref="AR481">_xlfn.IFS(CleanEmployeeData[[#This Row],[DistanceFromHome]]&lt;=5,"0–5 miles",CleanEmployeeData[[#This Row],[DistanceFromHome]]&lt;=10,"6–10 miles",CleanEmployeeData[[#This Row],[DistanceFromHome]]&lt;=15,"11–15 miles",TRUE,"16+ miles")</f>
        <v>6–10 miles</v>
      </c>
      <c r="AS481" t="str" cm="1">
        <f t="array" ref="AS481">_xlfn.IFS(CleanEmployeeData[[#This Row],[YearsAtCompany]]&lt;=1,"0–1 years",CleanEmployeeData[[#This Row],[YearsAtCompany]]&lt;=5,"2–5 years",CleanEmployeeData[[#This Row],[YearsAtCompany]]&lt;=10,"6–10 years",TRUE,"11+ years")</f>
        <v>6–10 years</v>
      </c>
    </row>
    <row r="482" spans="1:4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cm="1">
        <f t="array" ref="AJ482">_xlfn.SWITCH(CleanEmployeeData[[#This Row],[Education]],1,"Below College",2,"College",3,"Bachelor",4,"Master",5,"Doctor","Unknown")</f>
        <v>Master</v>
      </c>
      <c r="AK482" t="str" cm="1">
        <f t="array" ref="AK482">_xlfn.SWITCH(CleanEmployeeData[[#This Row],[EnvironmentSatisfaction]],1,"Low",2,"Medium",3,"High",4,"Very High","Unknown")</f>
        <v>Medium</v>
      </c>
      <c r="AL482" t="str" cm="1">
        <f t="array" ref="AL482">_xlfn.SWITCH(CleanEmployeeData[[#This Row],[JobInvolvement]],1,"Low",2,"Medium",3,"High",4,"Very High","Unknown")</f>
        <v>Medium</v>
      </c>
      <c r="AM482" t="str" cm="1">
        <f t="array" ref="AM482">_xlfn.SWITCH(CleanEmployeeData[[#This Row],[JobSatisfaction]],1,"Low",2,"Medium",3,"High",4,"Very High","Unknown")</f>
        <v>Low</v>
      </c>
      <c r="AN482" t="str" cm="1">
        <f t="array" ref="AN482">_xlfn.SWITCH(CleanEmployeeData[[#This Row],[PerformanceRating]],1,"Low",2,"Good",3,"Excellent",4,"Outstanding","Unknown")</f>
        <v>Excellent</v>
      </c>
      <c r="AO482" t="str" cm="1">
        <f t="array" ref="AO482">_xlfn.SWITCH(CleanEmployeeData[[#This Row],[WorkLifeBalance]],1,"Bad",2,"Good",3,"Better",4,"Best","Unknown")</f>
        <v>Best</v>
      </c>
      <c r="AP482">
        <f>IF(CleanEmployeeData[[#This Row],[Attrition]]="Yes",1,IF(CleanEmployeeData[[#This Row],[Attrition]]="No",0,""))</f>
        <v>1</v>
      </c>
      <c r="AQ482" t="str" cm="1">
        <f t="array" ref="AQ482">_xlfn.IFS(CleanEmployeeData[[#This Row],[MonthlyIncome]]&lt;=3000,"0–3,000",CleanEmployeeData[[#This Row],[MonthlyIncome]]&lt;=6000,"3,001–6,000",CleanEmployeeData[[#This Row],[MonthlyIncome]]&lt;=10000,"6,001–10,000",TRUE,"10,001+")</f>
        <v>0–3,000</v>
      </c>
      <c r="AR482" t="str" cm="1">
        <f t="array" ref="AR482">_xlfn.IFS(CleanEmployeeData[[#This Row],[DistanceFromHome]]&lt;=5,"0–5 miles",CleanEmployeeData[[#This Row],[DistanceFromHome]]&lt;=10,"6–10 miles",CleanEmployeeData[[#This Row],[DistanceFromHome]]&lt;=15,"11–15 miles",TRUE,"16+ miles")</f>
        <v>11–15 miles</v>
      </c>
      <c r="AS482" t="str" cm="1">
        <f t="array" ref="AS482">_xlfn.IFS(CleanEmployeeData[[#This Row],[YearsAtCompany]]&lt;=1,"0–1 years",CleanEmployeeData[[#This Row],[YearsAtCompany]]&lt;=5,"2–5 years",CleanEmployeeData[[#This Row],[YearsAtCompany]]&lt;=10,"6–10 years",TRUE,"11+ years")</f>
        <v>0–1 years</v>
      </c>
    </row>
    <row r="483" spans="1:4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cm="1">
        <f t="array" ref="AJ483">_xlfn.SWITCH(CleanEmployeeData[[#This Row],[Education]],1,"Below College",2,"College",3,"Bachelor",4,"Master",5,"Doctor","Unknown")</f>
        <v>College</v>
      </c>
      <c r="AK483" t="str" cm="1">
        <f t="array" ref="AK483">_xlfn.SWITCH(CleanEmployeeData[[#This Row],[EnvironmentSatisfaction]],1,"Low",2,"Medium",3,"High",4,"Very High","Unknown")</f>
        <v>Medium</v>
      </c>
      <c r="AL483" t="str" cm="1">
        <f t="array" ref="AL483">_xlfn.SWITCH(CleanEmployeeData[[#This Row],[JobInvolvement]],1,"Low",2,"Medium",3,"High",4,"Very High","Unknown")</f>
        <v>Medium</v>
      </c>
      <c r="AM483" t="str" cm="1">
        <f t="array" ref="AM483">_xlfn.SWITCH(CleanEmployeeData[[#This Row],[JobSatisfaction]],1,"Low",2,"Medium",3,"High",4,"Very High","Unknown")</f>
        <v>Very High</v>
      </c>
      <c r="AN483" t="str" cm="1">
        <f t="array" ref="AN483">_xlfn.SWITCH(CleanEmployeeData[[#This Row],[PerformanceRating]],1,"Low",2,"Good",3,"Excellent",4,"Outstanding","Unknown")</f>
        <v>Excellent</v>
      </c>
      <c r="AO483" t="str" cm="1">
        <f t="array" ref="AO483">_xlfn.SWITCH(CleanEmployeeData[[#This Row],[WorkLifeBalance]],1,"Bad",2,"Good",3,"Better",4,"Best","Unknown")</f>
        <v>Better</v>
      </c>
      <c r="AP483">
        <f>IF(CleanEmployeeData[[#This Row],[Attrition]]="Yes",1,IF(CleanEmployeeData[[#This Row],[Attrition]]="No",0,""))</f>
        <v>0</v>
      </c>
      <c r="AQ483" t="str" cm="1">
        <f t="array" ref="AQ483">_xlfn.IFS(CleanEmployeeData[[#This Row],[MonthlyIncome]]&lt;=3000,"0–3,000",CleanEmployeeData[[#This Row],[MonthlyIncome]]&lt;=6000,"3,001–6,000",CleanEmployeeData[[#This Row],[MonthlyIncome]]&lt;=10000,"6,001–10,000",TRUE,"10,001+")</f>
        <v>3,001–6,000</v>
      </c>
      <c r="AR483" t="str" cm="1">
        <f t="array" ref="AR483">_xlfn.IFS(CleanEmployeeData[[#This Row],[DistanceFromHome]]&lt;=5,"0–5 miles",CleanEmployeeData[[#This Row],[DistanceFromHome]]&lt;=10,"6–10 miles",CleanEmployeeData[[#This Row],[DistanceFromHome]]&lt;=15,"11–15 miles",TRUE,"16+ miles")</f>
        <v>0–5 miles</v>
      </c>
      <c r="AS483" t="str" cm="1">
        <f t="array" ref="AS483">_xlfn.IFS(CleanEmployeeData[[#This Row],[YearsAtCompany]]&lt;=1,"0–1 years",CleanEmployeeData[[#This Row],[YearsAtCompany]]&lt;=5,"2–5 years",CleanEmployeeData[[#This Row],[YearsAtCompany]]&lt;=10,"6–10 years",TRUE,"11+ years")</f>
        <v>6–10 years</v>
      </c>
    </row>
    <row r="484" spans="1:4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cm="1">
        <f t="array" ref="AJ484">_xlfn.SWITCH(CleanEmployeeData[[#This Row],[Education]],1,"Below College",2,"College",3,"Bachelor",4,"Master",5,"Doctor","Unknown")</f>
        <v>Master</v>
      </c>
      <c r="AK484" t="str" cm="1">
        <f t="array" ref="AK484">_xlfn.SWITCH(CleanEmployeeData[[#This Row],[EnvironmentSatisfaction]],1,"Low",2,"Medium",3,"High",4,"Very High","Unknown")</f>
        <v>Medium</v>
      </c>
      <c r="AL484" t="str" cm="1">
        <f t="array" ref="AL484">_xlfn.SWITCH(CleanEmployeeData[[#This Row],[JobInvolvement]],1,"Low",2,"Medium",3,"High",4,"Very High","Unknown")</f>
        <v>High</v>
      </c>
      <c r="AM484" t="str" cm="1">
        <f t="array" ref="AM484">_xlfn.SWITCH(CleanEmployeeData[[#This Row],[JobSatisfaction]],1,"Low",2,"Medium",3,"High",4,"Very High","Unknown")</f>
        <v>Low</v>
      </c>
      <c r="AN484" t="str" cm="1">
        <f t="array" ref="AN484">_xlfn.SWITCH(CleanEmployeeData[[#This Row],[PerformanceRating]],1,"Low",2,"Good",3,"Excellent",4,"Outstanding","Unknown")</f>
        <v>Excellent</v>
      </c>
      <c r="AO484" t="str" cm="1">
        <f t="array" ref="AO484">_xlfn.SWITCH(CleanEmployeeData[[#This Row],[WorkLifeBalance]],1,"Bad",2,"Good",3,"Better",4,"Best","Unknown")</f>
        <v>Bad</v>
      </c>
      <c r="AP484">
        <f>IF(CleanEmployeeData[[#This Row],[Attrition]]="Yes",1,IF(CleanEmployeeData[[#This Row],[Attrition]]="No",0,""))</f>
        <v>1</v>
      </c>
      <c r="AQ484" t="str" cm="1">
        <f t="array" ref="AQ484">_xlfn.IFS(CleanEmployeeData[[#This Row],[MonthlyIncome]]&lt;=3000,"0–3,000",CleanEmployeeData[[#This Row],[MonthlyIncome]]&lt;=6000,"3,001–6,000",CleanEmployeeData[[#This Row],[MonthlyIncome]]&lt;=10000,"6,001–10,000",TRUE,"10,001+")</f>
        <v>3,001–6,000</v>
      </c>
      <c r="AR484" t="str" cm="1">
        <f t="array" ref="AR484">_xlfn.IFS(CleanEmployeeData[[#This Row],[DistanceFromHome]]&lt;=5,"0–5 miles",CleanEmployeeData[[#This Row],[DistanceFromHome]]&lt;=10,"6–10 miles",CleanEmployeeData[[#This Row],[DistanceFromHome]]&lt;=15,"11–15 miles",TRUE,"16+ miles")</f>
        <v>11–15 miles</v>
      </c>
      <c r="AS484" t="str" cm="1">
        <f t="array" ref="AS484">_xlfn.IFS(CleanEmployeeData[[#This Row],[YearsAtCompany]]&lt;=1,"0–1 years",CleanEmployeeData[[#This Row],[YearsAtCompany]]&lt;=5,"2–5 years",CleanEmployeeData[[#This Row],[YearsAtCompany]]&lt;=10,"6–10 years",TRUE,"11+ years")</f>
        <v>2–5 years</v>
      </c>
    </row>
    <row r="485" spans="1:4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cm="1">
        <f t="array" ref="AJ485">_xlfn.SWITCH(CleanEmployeeData[[#This Row],[Education]],1,"Below College",2,"College",3,"Bachelor",4,"Master",5,"Doctor","Unknown")</f>
        <v>College</v>
      </c>
      <c r="AK485" t="str" cm="1">
        <f t="array" ref="AK485">_xlfn.SWITCH(CleanEmployeeData[[#This Row],[EnvironmentSatisfaction]],1,"Low",2,"Medium",3,"High",4,"Very High","Unknown")</f>
        <v>Low</v>
      </c>
      <c r="AL485" t="str" cm="1">
        <f t="array" ref="AL485">_xlfn.SWITCH(CleanEmployeeData[[#This Row],[JobInvolvement]],1,"Low",2,"Medium",3,"High",4,"Very High","Unknown")</f>
        <v>Medium</v>
      </c>
      <c r="AM485" t="str" cm="1">
        <f t="array" ref="AM485">_xlfn.SWITCH(CleanEmployeeData[[#This Row],[JobSatisfaction]],1,"Low",2,"Medium",3,"High",4,"Very High","Unknown")</f>
        <v>Very High</v>
      </c>
      <c r="AN485" t="str" cm="1">
        <f t="array" ref="AN485">_xlfn.SWITCH(CleanEmployeeData[[#This Row],[PerformanceRating]],1,"Low",2,"Good",3,"Excellent",4,"Outstanding","Unknown")</f>
        <v>Excellent</v>
      </c>
      <c r="AO485" t="str" cm="1">
        <f t="array" ref="AO485">_xlfn.SWITCH(CleanEmployeeData[[#This Row],[WorkLifeBalance]],1,"Bad",2,"Good",3,"Better",4,"Best","Unknown")</f>
        <v>Better</v>
      </c>
      <c r="AP485">
        <f>IF(CleanEmployeeData[[#This Row],[Attrition]]="Yes",1,IF(CleanEmployeeData[[#This Row],[Attrition]]="No",0,""))</f>
        <v>0</v>
      </c>
      <c r="AQ485" t="str" cm="1">
        <f t="array" ref="AQ485">_xlfn.IFS(CleanEmployeeData[[#This Row],[MonthlyIncome]]&lt;=3000,"0–3,000",CleanEmployeeData[[#This Row],[MonthlyIncome]]&lt;=6000,"3,001–6,000",CleanEmployeeData[[#This Row],[MonthlyIncome]]&lt;=10000,"6,001–10,000",TRUE,"10,001+")</f>
        <v>3,001–6,000</v>
      </c>
      <c r="AR485" t="str" cm="1">
        <f t="array" ref="AR485">_xlfn.IFS(CleanEmployeeData[[#This Row],[DistanceFromHome]]&lt;=5,"0–5 miles",CleanEmployeeData[[#This Row],[DistanceFromHome]]&lt;=10,"6–10 miles",CleanEmployeeData[[#This Row],[DistanceFromHome]]&lt;=15,"11–15 miles",TRUE,"16+ miles")</f>
        <v>16+ miles</v>
      </c>
      <c r="AS485" t="str" cm="1">
        <f t="array" ref="AS485">_xlfn.IFS(CleanEmployeeData[[#This Row],[YearsAtCompany]]&lt;=1,"0–1 years",CleanEmployeeData[[#This Row],[YearsAtCompany]]&lt;=5,"2–5 years",CleanEmployeeData[[#This Row],[YearsAtCompany]]&lt;=10,"6–10 years",TRUE,"11+ years")</f>
        <v>2–5 years</v>
      </c>
    </row>
    <row r="486" spans="1:4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cm="1">
        <f t="array" ref="AJ486">_xlfn.SWITCH(CleanEmployeeData[[#This Row],[Education]],1,"Below College",2,"College",3,"Bachelor",4,"Master",5,"Doctor","Unknown")</f>
        <v>Master</v>
      </c>
      <c r="AK486" t="str" cm="1">
        <f t="array" ref="AK486">_xlfn.SWITCH(CleanEmployeeData[[#This Row],[EnvironmentSatisfaction]],1,"Low",2,"Medium",3,"High",4,"Very High","Unknown")</f>
        <v>Low</v>
      </c>
      <c r="AL486" t="str" cm="1">
        <f t="array" ref="AL486">_xlfn.SWITCH(CleanEmployeeData[[#This Row],[JobInvolvement]],1,"Low",2,"Medium",3,"High",4,"Very High","Unknown")</f>
        <v>Very High</v>
      </c>
      <c r="AM486" t="str" cm="1">
        <f t="array" ref="AM486">_xlfn.SWITCH(CleanEmployeeData[[#This Row],[JobSatisfaction]],1,"Low",2,"Medium",3,"High",4,"Very High","Unknown")</f>
        <v>Very High</v>
      </c>
      <c r="AN486" t="str" cm="1">
        <f t="array" ref="AN486">_xlfn.SWITCH(CleanEmployeeData[[#This Row],[PerformanceRating]],1,"Low",2,"Good",3,"Excellent",4,"Outstanding","Unknown")</f>
        <v>Outstanding</v>
      </c>
      <c r="AO486" t="str" cm="1">
        <f t="array" ref="AO486">_xlfn.SWITCH(CleanEmployeeData[[#This Row],[WorkLifeBalance]],1,"Bad",2,"Good",3,"Better",4,"Best","Unknown")</f>
        <v>Best</v>
      </c>
      <c r="AP486">
        <f>IF(CleanEmployeeData[[#This Row],[Attrition]]="Yes",1,IF(CleanEmployeeData[[#This Row],[Attrition]]="No",0,""))</f>
        <v>0</v>
      </c>
      <c r="AQ486" t="str" cm="1">
        <f t="array" ref="AQ486">_xlfn.IFS(CleanEmployeeData[[#This Row],[MonthlyIncome]]&lt;=3000,"0–3,000",CleanEmployeeData[[#This Row],[MonthlyIncome]]&lt;=6000,"3,001–6,000",CleanEmployeeData[[#This Row],[MonthlyIncome]]&lt;=10000,"6,001–10,000",TRUE,"10,001+")</f>
        <v>3,001–6,000</v>
      </c>
      <c r="AR486" t="str" cm="1">
        <f t="array" ref="AR486">_xlfn.IFS(CleanEmployeeData[[#This Row],[DistanceFromHome]]&lt;=5,"0–5 miles",CleanEmployeeData[[#This Row],[DistanceFromHome]]&lt;=10,"6–10 miles",CleanEmployeeData[[#This Row],[DistanceFromHome]]&lt;=15,"11–15 miles",TRUE,"16+ miles")</f>
        <v>6–10 miles</v>
      </c>
      <c r="AS486" t="str" cm="1">
        <f t="array" ref="AS486">_xlfn.IFS(CleanEmployeeData[[#This Row],[YearsAtCompany]]&lt;=1,"0–1 years",CleanEmployeeData[[#This Row],[YearsAtCompany]]&lt;=5,"2–5 years",CleanEmployeeData[[#This Row],[YearsAtCompany]]&lt;=10,"6–10 years",TRUE,"11+ years")</f>
        <v>6–10 years</v>
      </c>
    </row>
    <row r="487" spans="1:4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cm="1">
        <f t="array" ref="AJ487">_xlfn.SWITCH(CleanEmployeeData[[#This Row],[Education]],1,"Below College",2,"College",3,"Bachelor",4,"Master",5,"Doctor","Unknown")</f>
        <v>Master</v>
      </c>
      <c r="AK487" t="str" cm="1">
        <f t="array" ref="AK487">_xlfn.SWITCH(CleanEmployeeData[[#This Row],[EnvironmentSatisfaction]],1,"Low",2,"Medium",3,"High",4,"Very High","Unknown")</f>
        <v>Low</v>
      </c>
      <c r="AL487" t="str" cm="1">
        <f t="array" ref="AL487">_xlfn.SWITCH(CleanEmployeeData[[#This Row],[JobInvolvement]],1,"Low",2,"Medium",3,"High",4,"Very High","Unknown")</f>
        <v>Medium</v>
      </c>
      <c r="AM487" t="str" cm="1">
        <f t="array" ref="AM487">_xlfn.SWITCH(CleanEmployeeData[[#This Row],[JobSatisfaction]],1,"Low",2,"Medium",3,"High",4,"Very High","Unknown")</f>
        <v>High</v>
      </c>
      <c r="AN487" t="str" cm="1">
        <f t="array" ref="AN487">_xlfn.SWITCH(CleanEmployeeData[[#This Row],[PerformanceRating]],1,"Low",2,"Good",3,"Excellent",4,"Outstanding","Unknown")</f>
        <v>Excellent</v>
      </c>
      <c r="AO487" t="str" cm="1">
        <f t="array" ref="AO487">_xlfn.SWITCH(CleanEmployeeData[[#This Row],[WorkLifeBalance]],1,"Bad",2,"Good",3,"Better",4,"Best","Unknown")</f>
        <v>Good</v>
      </c>
      <c r="AP487">
        <f>IF(CleanEmployeeData[[#This Row],[Attrition]]="Yes",1,IF(CleanEmployeeData[[#This Row],[Attrition]]="No",0,""))</f>
        <v>0</v>
      </c>
      <c r="AQ487" t="str" cm="1">
        <f t="array" ref="AQ487">_xlfn.IFS(CleanEmployeeData[[#This Row],[MonthlyIncome]]&lt;=3000,"0–3,000",CleanEmployeeData[[#This Row],[MonthlyIncome]]&lt;=6000,"3,001–6,000",CleanEmployeeData[[#This Row],[MonthlyIncome]]&lt;=10000,"6,001–10,000",TRUE,"10,001+")</f>
        <v>0–3,000</v>
      </c>
      <c r="AR487" t="str" cm="1">
        <f t="array" ref="AR487">_xlfn.IFS(CleanEmployeeData[[#This Row],[DistanceFromHome]]&lt;=5,"0–5 miles",CleanEmployeeData[[#This Row],[DistanceFromHome]]&lt;=10,"6–10 miles",CleanEmployeeData[[#This Row],[DistanceFromHome]]&lt;=15,"11–15 miles",TRUE,"16+ miles")</f>
        <v>6–10 miles</v>
      </c>
      <c r="AS487" t="str" cm="1">
        <f t="array" ref="AS487">_xlfn.IFS(CleanEmployeeData[[#This Row],[YearsAtCompany]]&lt;=1,"0–1 years",CleanEmployeeData[[#This Row],[YearsAtCompany]]&lt;=5,"2–5 years",CleanEmployeeData[[#This Row],[YearsAtCompany]]&lt;=10,"6–10 years",TRUE,"11+ years")</f>
        <v>2–5 years</v>
      </c>
    </row>
    <row r="488" spans="1:4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cm="1">
        <f t="array" ref="AJ488">_xlfn.SWITCH(CleanEmployeeData[[#This Row],[Education]],1,"Below College",2,"College",3,"Bachelor",4,"Master",5,"Doctor","Unknown")</f>
        <v>Bachelor</v>
      </c>
      <c r="AK488" t="str" cm="1">
        <f t="array" ref="AK488">_xlfn.SWITCH(CleanEmployeeData[[#This Row],[EnvironmentSatisfaction]],1,"Low",2,"Medium",3,"High",4,"Very High","Unknown")</f>
        <v>Very High</v>
      </c>
      <c r="AL488" t="str" cm="1">
        <f t="array" ref="AL488">_xlfn.SWITCH(CleanEmployeeData[[#This Row],[JobInvolvement]],1,"Low",2,"Medium",3,"High",4,"Very High","Unknown")</f>
        <v>High</v>
      </c>
      <c r="AM488" t="str" cm="1">
        <f t="array" ref="AM488">_xlfn.SWITCH(CleanEmployeeData[[#This Row],[JobSatisfaction]],1,"Low",2,"Medium",3,"High",4,"Very High","Unknown")</f>
        <v>High</v>
      </c>
      <c r="AN488" t="str" cm="1">
        <f t="array" ref="AN488">_xlfn.SWITCH(CleanEmployeeData[[#This Row],[PerformanceRating]],1,"Low",2,"Good",3,"Excellent",4,"Outstanding","Unknown")</f>
        <v>Excellent</v>
      </c>
      <c r="AO488" t="str" cm="1">
        <f t="array" ref="AO488">_xlfn.SWITCH(CleanEmployeeData[[#This Row],[WorkLifeBalance]],1,"Bad",2,"Good",3,"Better",4,"Best","Unknown")</f>
        <v>Good</v>
      </c>
      <c r="AP488">
        <f>IF(CleanEmployeeData[[#This Row],[Attrition]]="Yes",1,IF(CleanEmployeeData[[#This Row],[Attrition]]="No",0,""))</f>
        <v>0</v>
      </c>
      <c r="AQ488" t="str" cm="1">
        <f t="array" ref="AQ488">_xlfn.IFS(CleanEmployeeData[[#This Row],[MonthlyIncome]]&lt;=3000,"0–3,000",CleanEmployeeData[[#This Row],[MonthlyIncome]]&lt;=6000,"3,001–6,000",CleanEmployeeData[[#This Row],[MonthlyIncome]]&lt;=10000,"6,001–10,000",TRUE,"10,001+")</f>
        <v>6,001–10,000</v>
      </c>
      <c r="AR488" t="str" cm="1">
        <f t="array" ref="AR488">_xlfn.IFS(CleanEmployeeData[[#This Row],[DistanceFromHome]]&lt;=5,"0–5 miles",CleanEmployeeData[[#This Row],[DistanceFromHome]]&lt;=10,"6–10 miles",CleanEmployeeData[[#This Row],[DistanceFromHome]]&lt;=15,"11–15 miles",TRUE,"16+ miles")</f>
        <v>0–5 miles</v>
      </c>
      <c r="AS488" t="str" cm="1">
        <f t="array" ref="AS488">_xlfn.IFS(CleanEmployeeData[[#This Row],[YearsAtCompany]]&lt;=1,"0–1 years",CleanEmployeeData[[#This Row],[YearsAtCompany]]&lt;=5,"2–5 years",CleanEmployeeData[[#This Row],[YearsAtCompany]]&lt;=10,"6–10 years",TRUE,"11+ years")</f>
        <v>2–5 years</v>
      </c>
    </row>
    <row r="489" spans="1:4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cm="1">
        <f t="array" ref="AJ489">_xlfn.SWITCH(CleanEmployeeData[[#This Row],[Education]],1,"Below College",2,"College",3,"Bachelor",4,"Master",5,"Doctor","Unknown")</f>
        <v>Bachelor</v>
      </c>
      <c r="AK489" t="str" cm="1">
        <f t="array" ref="AK489">_xlfn.SWITCH(CleanEmployeeData[[#This Row],[EnvironmentSatisfaction]],1,"Low",2,"Medium",3,"High",4,"Very High","Unknown")</f>
        <v>Very High</v>
      </c>
      <c r="AL489" t="str" cm="1">
        <f t="array" ref="AL489">_xlfn.SWITCH(CleanEmployeeData[[#This Row],[JobInvolvement]],1,"Low",2,"Medium",3,"High",4,"Very High","Unknown")</f>
        <v>Medium</v>
      </c>
      <c r="AM489" t="str" cm="1">
        <f t="array" ref="AM489">_xlfn.SWITCH(CleanEmployeeData[[#This Row],[JobSatisfaction]],1,"Low",2,"Medium",3,"High",4,"Very High","Unknown")</f>
        <v>Medium</v>
      </c>
      <c r="AN489" t="str" cm="1">
        <f t="array" ref="AN489">_xlfn.SWITCH(CleanEmployeeData[[#This Row],[PerformanceRating]],1,"Low",2,"Good",3,"Excellent",4,"Outstanding","Unknown")</f>
        <v>Excellent</v>
      </c>
      <c r="AO489" t="str" cm="1">
        <f t="array" ref="AO489">_xlfn.SWITCH(CleanEmployeeData[[#This Row],[WorkLifeBalance]],1,"Bad",2,"Good",3,"Better",4,"Best","Unknown")</f>
        <v>Best</v>
      </c>
      <c r="AP489">
        <f>IF(CleanEmployeeData[[#This Row],[Attrition]]="Yes",1,IF(CleanEmployeeData[[#This Row],[Attrition]]="No",0,""))</f>
        <v>0</v>
      </c>
      <c r="AQ489" t="str" cm="1">
        <f t="array" ref="AQ489">_xlfn.IFS(CleanEmployeeData[[#This Row],[MonthlyIncome]]&lt;=3000,"0–3,000",CleanEmployeeData[[#This Row],[MonthlyIncome]]&lt;=6000,"3,001–6,000",CleanEmployeeData[[#This Row],[MonthlyIncome]]&lt;=10000,"6,001–10,000",TRUE,"10,001+")</f>
        <v>0–3,000</v>
      </c>
      <c r="AR489" t="str" cm="1">
        <f t="array" ref="AR489">_xlfn.IFS(CleanEmployeeData[[#This Row],[DistanceFromHome]]&lt;=5,"0–5 miles",CleanEmployeeData[[#This Row],[DistanceFromHome]]&lt;=10,"6–10 miles",CleanEmployeeData[[#This Row],[DistanceFromHome]]&lt;=15,"11–15 miles",TRUE,"16+ miles")</f>
        <v>0–5 miles</v>
      </c>
      <c r="AS489" t="str" cm="1">
        <f t="array" ref="AS489">_xlfn.IFS(CleanEmployeeData[[#This Row],[YearsAtCompany]]&lt;=1,"0–1 years",CleanEmployeeData[[#This Row],[YearsAtCompany]]&lt;=5,"2–5 years",CleanEmployeeData[[#This Row],[YearsAtCompany]]&lt;=10,"6–10 years",TRUE,"11+ years")</f>
        <v>0–1 years</v>
      </c>
    </row>
    <row r="490" spans="1:4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cm="1">
        <f t="array" ref="AJ490">_xlfn.SWITCH(CleanEmployeeData[[#This Row],[Education]],1,"Below College",2,"College",3,"Bachelor",4,"Master",5,"Doctor","Unknown")</f>
        <v>Master</v>
      </c>
      <c r="AK490" t="str" cm="1">
        <f t="array" ref="AK490">_xlfn.SWITCH(CleanEmployeeData[[#This Row],[EnvironmentSatisfaction]],1,"Low",2,"Medium",3,"High",4,"Very High","Unknown")</f>
        <v>High</v>
      </c>
      <c r="AL490" t="str" cm="1">
        <f t="array" ref="AL490">_xlfn.SWITCH(CleanEmployeeData[[#This Row],[JobInvolvement]],1,"Low",2,"Medium",3,"High",4,"Very High","Unknown")</f>
        <v>High</v>
      </c>
      <c r="AM490" t="str" cm="1">
        <f t="array" ref="AM490">_xlfn.SWITCH(CleanEmployeeData[[#This Row],[JobSatisfaction]],1,"Low",2,"Medium",3,"High",4,"Very High","Unknown")</f>
        <v>Very High</v>
      </c>
      <c r="AN490" t="str" cm="1">
        <f t="array" ref="AN490">_xlfn.SWITCH(CleanEmployeeData[[#This Row],[PerformanceRating]],1,"Low",2,"Good",3,"Excellent",4,"Outstanding","Unknown")</f>
        <v>Excellent</v>
      </c>
      <c r="AO490" t="str" cm="1">
        <f t="array" ref="AO490">_xlfn.SWITCH(CleanEmployeeData[[#This Row],[WorkLifeBalance]],1,"Bad",2,"Good",3,"Better",4,"Best","Unknown")</f>
        <v>Better</v>
      </c>
      <c r="AP490">
        <f>IF(CleanEmployeeData[[#This Row],[Attrition]]="Yes",1,IF(CleanEmployeeData[[#This Row],[Attrition]]="No",0,""))</f>
        <v>0</v>
      </c>
      <c r="AQ490" t="str" cm="1">
        <f t="array" ref="AQ490">_xlfn.IFS(CleanEmployeeData[[#This Row],[MonthlyIncome]]&lt;=3000,"0–3,000",CleanEmployeeData[[#This Row],[MonthlyIncome]]&lt;=6000,"3,001–6,000",CleanEmployeeData[[#This Row],[MonthlyIncome]]&lt;=10000,"6,001–10,000",TRUE,"10,001+")</f>
        <v>3,001–6,000</v>
      </c>
      <c r="AR490" t="str" cm="1">
        <f t="array" ref="AR490">_xlfn.IFS(CleanEmployeeData[[#This Row],[DistanceFromHome]]&lt;=5,"0–5 miles",CleanEmployeeData[[#This Row],[DistanceFromHome]]&lt;=10,"6–10 miles",CleanEmployeeData[[#This Row],[DistanceFromHome]]&lt;=15,"11–15 miles",TRUE,"16+ miles")</f>
        <v>0–5 miles</v>
      </c>
      <c r="AS490" t="str" cm="1">
        <f t="array" ref="AS490">_xlfn.IFS(CleanEmployeeData[[#This Row],[YearsAtCompany]]&lt;=1,"0–1 years",CleanEmployeeData[[#This Row],[YearsAtCompany]]&lt;=5,"2–5 years",CleanEmployeeData[[#This Row],[YearsAtCompany]]&lt;=10,"6–10 years",TRUE,"11+ years")</f>
        <v>6–10 years</v>
      </c>
    </row>
    <row r="491" spans="1:4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cm="1">
        <f t="array" ref="AJ491">_xlfn.SWITCH(CleanEmployeeData[[#This Row],[Education]],1,"Below College",2,"College",3,"Bachelor",4,"Master",5,"Doctor","Unknown")</f>
        <v>Master</v>
      </c>
      <c r="AK491" t="str" cm="1">
        <f t="array" ref="AK491">_xlfn.SWITCH(CleanEmployeeData[[#This Row],[EnvironmentSatisfaction]],1,"Low",2,"Medium",3,"High",4,"Very High","Unknown")</f>
        <v>Medium</v>
      </c>
      <c r="AL491" t="str" cm="1">
        <f t="array" ref="AL491">_xlfn.SWITCH(CleanEmployeeData[[#This Row],[JobInvolvement]],1,"Low",2,"Medium",3,"High",4,"Very High","Unknown")</f>
        <v>Medium</v>
      </c>
      <c r="AM491" t="str" cm="1">
        <f t="array" ref="AM491">_xlfn.SWITCH(CleanEmployeeData[[#This Row],[JobSatisfaction]],1,"Low",2,"Medium",3,"High",4,"Very High","Unknown")</f>
        <v>Very High</v>
      </c>
      <c r="AN491" t="str" cm="1">
        <f t="array" ref="AN491">_xlfn.SWITCH(CleanEmployeeData[[#This Row],[PerformanceRating]],1,"Low",2,"Good",3,"Excellent",4,"Outstanding","Unknown")</f>
        <v>Excellent</v>
      </c>
      <c r="AO491" t="str" cm="1">
        <f t="array" ref="AO491">_xlfn.SWITCH(CleanEmployeeData[[#This Row],[WorkLifeBalance]],1,"Bad",2,"Good",3,"Better",4,"Best","Unknown")</f>
        <v>Good</v>
      </c>
      <c r="AP491">
        <f>IF(CleanEmployeeData[[#This Row],[Attrition]]="Yes",1,IF(CleanEmployeeData[[#This Row],[Attrition]]="No",0,""))</f>
        <v>0</v>
      </c>
      <c r="AQ491" t="str" cm="1">
        <f t="array" ref="AQ491">_xlfn.IFS(CleanEmployeeData[[#This Row],[MonthlyIncome]]&lt;=3000,"0–3,000",CleanEmployeeData[[#This Row],[MonthlyIncome]]&lt;=6000,"3,001–6,000",CleanEmployeeData[[#This Row],[MonthlyIncome]]&lt;=10000,"6,001–10,000",TRUE,"10,001+")</f>
        <v>10,001+</v>
      </c>
      <c r="AR491" t="str" cm="1">
        <f t="array" ref="AR491">_xlfn.IFS(CleanEmployeeData[[#This Row],[DistanceFromHome]]&lt;=5,"0–5 miles",CleanEmployeeData[[#This Row],[DistanceFromHome]]&lt;=10,"6–10 miles",CleanEmployeeData[[#This Row],[DistanceFromHome]]&lt;=15,"11–15 miles",TRUE,"16+ miles")</f>
        <v>6–10 miles</v>
      </c>
      <c r="AS491" t="str" cm="1">
        <f t="array" ref="AS491">_xlfn.IFS(CleanEmployeeData[[#This Row],[YearsAtCompany]]&lt;=1,"0–1 years",CleanEmployeeData[[#This Row],[YearsAtCompany]]&lt;=5,"2–5 years",CleanEmployeeData[[#This Row],[YearsAtCompany]]&lt;=10,"6–10 years",TRUE,"11+ years")</f>
        <v>0–1 years</v>
      </c>
    </row>
    <row r="492" spans="1:4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cm="1">
        <f t="array" ref="AJ492">_xlfn.SWITCH(CleanEmployeeData[[#This Row],[Education]],1,"Below College",2,"College",3,"Bachelor",4,"Master",5,"Doctor","Unknown")</f>
        <v>Below College</v>
      </c>
      <c r="AK492" t="str" cm="1">
        <f t="array" ref="AK492">_xlfn.SWITCH(CleanEmployeeData[[#This Row],[EnvironmentSatisfaction]],1,"Low",2,"Medium",3,"High",4,"Very High","Unknown")</f>
        <v>High</v>
      </c>
      <c r="AL492" t="str" cm="1">
        <f t="array" ref="AL492">_xlfn.SWITCH(CleanEmployeeData[[#This Row],[JobInvolvement]],1,"Low",2,"Medium",3,"High",4,"Very High","Unknown")</f>
        <v>High</v>
      </c>
      <c r="AM492" t="str" cm="1">
        <f t="array" ref="AM492">_xlfn.SWITCH(CleanEmployeeData[[#This Row],[JobSatisfaction]],1,"Low",2,"Medium",3,"High",4,"Very High","Unknown")</f>
        <v>Low</v>
      </c>
      <c r="AN492" t="str" cm="1">
        <f t="array" ref="AN492">_xlfn.SWITCH(CleanEmployeeData[[#This Row],[PerformanceRating]],1,"Low",2,"Good",3,"Excellent",4,"Outstanding","Unknown")</f>
        <v>Excellent</v>
      </c>
      <c r="AO492" t="str" cm="1">
        <f t="array" ref="AO492">_xlfn.SWITCH(CleanEmployeeData[[#This Row],[WorkLifeBalance]],1,"Bad",2,"Good",3,"Better",4,"Best","Unknown")</f>
        <v>Good</v>
      </c>
      <c r="AP492">
        <f>IF(CleanEmployeeData[[#This Row],[Attrition]]="Yes",1,IF(CleanEmployeeData[[#This Row],[Attrition]]="No",0,""))</f>
        <v>0</v>
      </c>
      <c r="AQ492" t="str" cm="1">
        <f t="array" ref="AQ492">_xlfn.IFS(CleanEmployeeData[[#This Row],[MonthlyIncome]]&lt;=3000,"0–3,000",CleanEmployeeData[[#This Row],[MonthlyIncome]]&lt;=6000,"3,001–6,000",CleanEmployeeData[[#This Row],[MonthlyIncome]]&lt;=10000,"6,001–10,000",TRUE,"10,001+")</f>
        <v>0–3,000</v>
      </c>
      <c r="AR492" t="str" cm="1">
        <f t="array" ref="AR492">_xlfn.IFS(CleanEmployeeData[[#This Row],[DistanceFromHome]]&lt;=5,"0–5 miles",CleanEmployeeData[[#This Row],[DistanceFromHome]]&lt;=10,"6–10 miles",CleanEmployeeData[[#This Row],[DistanceFromHome]]&lt;=15,"11–15 miles",TRUE,"16+ miles")</f>
        <v>0–5 miles</v>
      </c>
      <c r="AS492" t="str" cm="1">
        <f t="array" ref="AS492">_xlfn.IFS(CleanEmployeeData[[#This Row],[YearsAtCompany]]&lt;=1,"0–1 years",CleanEmployeeData[[#This Row],[YearsAtCompany]]&lt;=5,"2–5 years",CleanEmployeeData[[#This Row],[YearsAtCompany]]&lt;=10,"6–10 years",TRUE,"11+ years")</f>
        <v>0–1 years</v>
      </c>
    </row>
    <row r="493" spans="1:4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cm="1">
        <f t="array" ref="AJ493">_xlfn.SWITCH(CleanEmployeeData[[#This Row],[Education]],1,"Below College",2,"College",3,"Bachelor",4,"Master",5,"Doctor","Unknown")</f>
        <v>Doctor</v>
      </c>
      <c r="AK493" t="str" cm="1">
        <f t="array" ref="AK493">_xlfn.SWITCH(CleanEmployeeData[[#This Row],[EnvironmentSatisfaction]],1,"Low",2,"Medium",3,"High",4,"Very High","Unknown")</f>
        <v>Very High</v>
      </c>
      <c r="AL493" t="str" cm="1">
        <f t="array" ref="AL493">_xlfn.SWITCH(CleanEmployeeData[[#This Row],[JobInvolvement]],1,"Low",2,"Medium",3,"High",4,"Very High","Unknown")</f>
        <v>High</v>
      </c>
      <c r="AM493" t="str" cm="1">
        <f t="array" ref="AM493">_xlfn.SWITCH(CleanEmployeeData[[#This Row],[JobSatisfaction]],1,"Low",2,"Medium",3,"High",4,"Very High","Unknown")</f>
        <v>High</v>
      </c>
      <c r="AN493" t="str" cm="1">
        <f t="array" ref="AN493">_xlfn.SWITCH(CleanEmployeeData[[#This Row],[PerformanceRating]],1,"Low",2,"Good",3,"Excellent",4,"Outstanding","Unknown")</f>
        <v>Excellent</v>
      </c>
      <c r="AO493" t="str" cm="1">
        <f t="array" ref="AO493">_xlfn.SWITCH(CleanEmployeeData[[#This Row],[WorkLifeBalance]],1,"Bad",2,"Good",3,"Better",4,"Best","Unknown")</f>
        <v>Better</v>
      </c>
      <c r="AP493">
        <f>IF(CleanEmployeeData[[#This Row],[Attrition]]="Yes",1,IF(CleanEmployeeData[[#This Row],[Attrition]]="No",0,""))</f>
        <v>0</v>
      </c>
      <c r="AQ493" t="str" cm="1">
        <f t="array" ref="AQ493">_xlfn.IFS(CleanEmployeeData[[#This Row],[MonthlyIncome]]&lt;=3000,"0–3,000",CleanEmployeeData[[#This Row],[MonthlyIncome]]&lt;=6000,"3,001–6,000",CleanEmployeeData[[#This Row],[MonthlyIncome]]&lt;=10000,"6,001–10,000",TRUE,"10,001+")</f>
        <v>3,001–6,000</v>
      </c>
      <c r="AR493" t="str" cm="1">
        <f t="array" ref="AR493">_xlfn.IFS(CleanEmployeeData[[#This Row],[DistanceFromHome]]&lt;=5,"0–5 miles",CleanEmployeeData[[#This Row],[DistanceFromHome]]&lt;=10,"6–10 miles",CleanEmployeeData[[#This Row],[DistanceFromHome]]&lt;=15,"11–15 miles",TRUE,"16+ miles")</f>
        <v>6–10 miles</v>
      </c>
      <c r="AS493" t="str" cm="1">
        <f t="array" ref="AS493">_xlfn.IFS(CleanEmployeeData[[#This Row],[YearsAtCompany]]&lt;=1,"0–1 years",CleanEmployeeData[[#This Row],[YearsAtCompany]]&lt;=5,"2–5 years",CleanEmployeeData[[#This Row],[YearsAtCompany]]&lt;=10,"6–10 years",TRUE,"11+ years")</f>
        <v>6–10 years</v>
      </c>
    </row>
    <row r="494" spans="1:4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cm="1">
        <f t="array" ref="AJ494">_xlfn.SWITCH(CleanEmployeeData[[#This Row],[Education]],1,"Below College",2,"College",3,"Bachelor",4,"Master",5,"Doctor","Unknown")</f>
        <v>Master</v>
      </c>
      <c r="AK494" t="str" cm="1">
        <f t="array" ref="AK494">_xlfn.SWITCH(CleanEmployeeData[[#This Row],[EnvironmentSatisfaction]],1,"Low",2,"Medium",3,"High",4,"Very High","Unknown")</f>
        <v>Very High</v>
      </c>
      <c r="AL494" t="str" cm="1">
        <f t="array" ref="AL494">_xlfn.SWITCH(CleanEmployeeData[[#This Row],[JobInvolvement]],1,"Low",2,"Medium",3,"High",4,"Very High","Unknown")</f>
        <v>Medium</v>
      </c>
      <c r="AM494" t="str" cm="1">
        <f t="array" ref="AM494">_xlfn.SWITCH(CleanEmployeeData[[#This Row],[JobSatisfaction]],1,"Low",2,"Medium",3,"High",4,"Very High","Unknown")</f>
        <v>Low</v>
      </c>
      <c r="AN494" t="str" cm="1">
        <f t="array" ref="AN494">_xlfn.SWITCH(CleanEmployeeData[[#This Row],[PerformanceRating]],1,"Low",2,"Good",3,"Excellent",4,"Outstanding","Unknown")</f>
        <v>Excellent</v>
      </c>
      <c r="AO494" t="str" cm="1">
        <f t="array" ref="AO494">_xlfn.SWITCH(CleanEmployeeData[[#This Row],[WorkLifeBalance]],1,"Bad",2,"Good",3,"Better",4,"Best","Unknown")</f>
        <v>Bad</v>
      </c>
      <c r="AP494">
        <f>IF(CleanEmployeeData[[#This Row],[Attrition]]="Yes",1,IF(CleanEmployeeData[[#This Row],[Attrition]]="No",0,""))</f>
        <v>0</v>
      </c>
      <c r="AQ494" t="str" cm="1">
        <f t="array" ref="AQ494">_xlfn.IFS(CleanEmployeeData[[#This Row],[MonthlyIncome]]&lt;=3000,"0–3,000",CleanEmployeeData[[#This Row],[MonthlyIncome]]&lt;=6000,"3,001–6,000",CleanEmployeeData[[#This Row],[MonthlyIncome]]&lt;=10000,"6,001–10,000",TRUE,"10,001+")</f>
        <v>10,001+</v>
      </c>
      <c r="AR494" t="str" cm="1">
        <f t="array" ref="AR494">_xlfn.IFS(CleanEmployeeData[[#This Row],[DistanceFromHome]]&lt;=5,"0–5 miles",CleanEmployeeData[[#This Row],[DistanceFromHome]]&lt;=10,"6–10 miles",CleanEmployeeData[[#This Row],[DistanceFromHome]]&lt;=15,"11–15 miles",TRUE,"16+ miles")</f>
        <v>0–5 miles</v>
      </c>
      <c r="AS494" t="str" cm="1">
        <f t="array" ref="AS494">_xlfn.IFS(CleanEmployeeData[[#This Row],[YearsAtCompany]]&lt;=1,"0–1 years",CleanEmployeeData[[#This Row],[YearsAtCompany]]&lt;=5,"2–5 years",CleanEmployeeData[[#This Row],[YearsAtCompany]]&lt;=10,"6–10 years",TRUE,"11+ years")</f>
        <v>2–5 years</v>
      </c>
    </row>
    <row r="495" spans="1:4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cm="1">
        <f t="array" ref="AJ495">_xlfn.SWITCH(CleanEmployeeData[[#This Row],[Education]],1,"Below College",2,"College",3,"Bachelor",4,"Master",5,"Doctor","Unknown")</f>
        <v>Master</v>
      </c>
      <c r="AK495" t="str" cm="1">
        <f t="array" ref="AK495">_xlfn.SWITCH(CleanEmployeeData[[#This Row],[EnvironmentSatisfaction]],1,"Low",2,"Medium",3,"High",4,"Very High","Unknown")</f>
        <v>Low</v>
      </c>
      <c r="AL495" t="str" cm="1">
        <f t="array" ref="AL495">_xlfn.SWITCH(CleanEmployeeData[[#This Row],[JobInvolvement]],1,"Low",2,"Medium",3,"High",4,"Very High","Unknown")</f>
        <v>Medium</v>
      </c>
      <c r="AM495" t="str" cm="1">
        <f t="array" ref="AM495">_xlfn.SWITCH(CleanEmployeeData[[#This Row],[JobSatisfaction]],1,"Low",2,"Medium",3,"High",4,"Very High","Unknown")</f>
        <v>High</v>
      </c>
      <c r="AN495" t="str" cm="1">
        <f t="array" ref="AN495">_xlfn.SWITCH(CleanEmployeeData[[#This Row],[PerformanceRating]],1,"Low",2,"Good",3,"Excellent",4,"Outstanding","Unknown")</f>
        <v>Excellent</v>
      </c>
      <c r="AO495" t="str" cm="1">
        <f t="array" ref="AO495">_xlfn.SWITCH(CleanEmployeeData[[#This Row],[WorkLifeBalance]],1,"Bad",2,"Good",3,"Better",4,"Best","Unknown")</f>
        <v>Best</v>
      </c>
      <c r="AP495">
        <f>IF(CleanEmployeeData[[#This Row],[Attrition]]="Yes",1,IF(CleanEmployeeData[[#This Row],[Attrition]]="No",0,""))</f>
        <v>0</v>
      </c>
      <c r="AQ495" t="str" cm="1">
        <f t="array" ref="AQ495">_xlfn.IFS(CleanEmployeeData[[#This Row],[MonthlyIncome]]&lt;=3000,"0–3,000",CleanEmployeeData[[#This Row],[MonthlyIncome]]&lt;=6000,"3,001–6,000",CleanEmployeeData[[#This Row],[MonthlyIncome]]&lt;=10000,"6,001–10,000",TRUE,"10,001+")</f>
        <v>3,001–6,000</v>
      </c>
      <c r="AR495" t="str" cm="1">
        <f t="array" ref="AR495">_xlfn.IFS(CleanEmployeeData[[#This Row],[DistanceFromHome]]&lt;=5,"0–5 miles",CleanEmployeeData[[#This Row],[DistanceFromHome]]&lt;=10,"6–10 miles",CleanEmployeeData[[#This Row],[DistanceFromHome]]&lt;=15,"11–15 miles",TRUE,"16+ miles")</f>
        <v>0–5 miles</v>
      </c>
      <c r="AS495" t="str" cm="1">
        <f t="array" ref="AS495">_xlfn.IFS(CleanEmployeeData[[#This Row],[YearsAtCompany]]&lt;=1,"0–1 years",CleanEmployeeData[[#This Row],[YearsAtCompany]]&lt;=5,"2–5 years",CleanEmployeeData[[#This Row],[YearsAtCompany]]&lt;=10,"6–10 years",TRUE,"11+ years")</f>
        <v>2–5 years</v>
      </c>
    </row>
    <row r="496" spans="1:4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cm="1">
        <f t="array" ref="AJ496">_xlfn.SWITCH(CleanEmployeeData[[#This Row],[Education]],1,"Below College",2,"College",3,"Bachelor",4,"Master",5,"Doctor","Unknown")</f>
        <v>Bachelor</v>
      </c>
      <c r="AK496" t="str" cm="1">
        <f t="array" ref="AK496">_xlfn.SWITCH(CleanEmployeeData[[#This Row],[EnvironmentSatisfaction]],1,"Low",2,"Medium",3,"High",4,"Very High","Unknown")</f>
        <v>High</v>
      </c>
      <c r="AL496" t="str" cm="1">
        <f t="array" ref="AL496">_xlfn.SWITCH(CleanEmployeeData[[#This Row],[JobInvolvement]],1,"Low",2,"Medium",3,"High",4,"Very High","Unknown")</f>
        <v>High</v>
      </c>
      <c r="AM496" t="str" cm="1">
        <f t="array" ref="AM496">_xlfn.SWITCH(CleanEmployeeData[[#This Row],[JobSatisfaction]],1,"Low",2,"Medium",3,"High",4,"Very High","Unknown")</f>
        <v>High</v>
      </c>
      <c r="AN496" t="str" cm="1">
        <f t="array" ref="AN496">_xlfn.SWITCH(CleanEmployeeData[[#This Row],[PerformanceRating]],1,"Low",2,"Good",3,"Excellent",4,"Outstanding","Unknown")</f>
        <v>Excellent</v>
      </c>
      <c r="AO496" t="str" cm="1">
        <f t="array" ref="AO496">_xlfn.SWITCH(CleanEmployeeData[[#This Row],[WorkLifeBalance]],1,"Bad",2,"Good",3,"Better",4,"Best","Unknown")</f>
        <v>Better</v>
      </c>
      <c r="AP496">
        <f>IF(CleanEmployeeData[[#This Row],[Attrition]]="Yes",1,IF(CleanEmployeeData[[#This Row],[Attrition]]="No",0,""))</f>
        <v>0</v>
      </c>
      <c r="AQ496" t="str" cm="1">
        <f t="array" ref="AQ496">_xlfn.IFS(CleanEmployeeData[[#This Row],[MonthlyIncome]]&lt;=3000,"0–3,000",CleanEmployeeData[[#This Row],[MonthlyIncome]]&lt;=6000,"3,001–6,000",CleanEmployeeData[[#This Row],[MonthlyIncome]]&lt;=10000,"6,001–10,000",TRUE,"10,001+")</f>
        <v>0–3,000</v>
      </c>
      <c r="AR496" t="str" cm="1">
        <f t="array" ref="AR496">_xlfn.IFS(CleanEmployeeData[[#This Row],[DistanceFromHome]]&lt;=5,"0–5 miles",CleanEmployeeData[[#This Row],[DistanceFromHome]]&lt;=10,"6–10 miles",CleanEmployeeData[[#This Row],[DistanceFromHome]]&lt;=15,"11–15 miles",TRUE,"16+ miles")</f>
        <v>11–15 miles</v>
      </c>
      <c r="AS496" t="str" cm="1">
        <f t="array" ref="AS496">_xlfn.IFS(CleanEmployeeData[[#This Row],[YearsAtCompany]]&lt;=1,"0–1 years",CleanEmployeeData[[#This Row],[YearsAtCompany]]&lt;=5,"2–5 years",CleanEmployeeData[[#This Row],[YearsAtCompany]]&lt;=10,"6–10 years",TRUE,"11+ years")</f>
        <v>6–10 years</v>
      </c>
    </row>
    <row r="497" spans="1:4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cm="1">
        <f t="array" ref="AJ497">_xlfn.SWITCH(CleanEmployeeData[[#This Row],[Education]],1,"Below College",2,"College",3,"Bachelor",4,"Master",5,"Doctor","Unknown")</f>
        <v>Below College</v>
      </c>
      <c r="AK497" t="str" cm="1">
        <f t="array" ref="AK497">_xlfn.SWITCH(CleanEmployeeData[[#This Row],[EnvironmentSatisfaction]],1,"Low",2,"Medium",3,"High",4,"Very High","Unknown")</f>
        <v>High</v>
      </c>
      <c r="AL497" t="str" cm="1">
        <f t="array" ref="AL497">_xlfn.SWITCH(CleanEmployeeData[[#This Row],[JobInvolvement]],1,"Low",2,"Medium",3,"High",4,"Very High","Unknown")</f>
        <v>High</v>
      </c>
      <c r="AM497" t="str" cm="1">
        <f t="array" ref="AM497">_xlfn.SWITCH(CleanEmployeeData[[#This Row],[JobSatisfaction]],1,"Low",2,"Medium",3,"High",4,"Very High","Unknown")</f>
        <v>Low</v>
      </c>
      <c r="AN497" t="str" cm="1">
        <f t="array" ref="AN497">_xlfn.SWITCH(CleanEmployeeData[[#This Row],[PerformanceRating]],1,"Low",2,"Good",3,"Excellent",4,"Outstanding","Unknown")</f>
        <v>Excellent</v>
      </c>
      <c r="AO497" t="str" cm="1">
        <f t="array" ref="AO497">_xlfn.SWITCH(CleanEmployeeData[[#This Row],[WorkLifeBalance]],1,"Bad",2,"Good",3,"Better",4,"Best","Unknown")</f>
        <v>Better</v>
      </c>
      <c r="AP497">
        <f>IF(CleanEmployeeData[[#This Row],[Attrition]]="Yes",1,IF(CleanEmployeeData[[#This Row],[Attrition]]="No",0,""))</f>
        <v>1</v>
      </c>
      <c r="AQ497" t="str" cm="1">
        <f t="array" ref="AQ497">_xlfn.IFS(CleanEmployeeData[[#This Row],[MonthlyIncome]]&lt;=3000,"0–3,000",CleanEmployeeData[[#This Row],[MonthlyIncome]]&lt;=6000,"3,001–6,000",CleanEmployeeData[[#This Row],[MonthlyIncome]]&lt;=10000,"6,001–10,000",TRUE,"10,001+")</f>
        <v>3,001–6,000</v>
      </c>
      <c r="AR497" t="str" cm="1">
        <f t="array" ref="AR497">_xlfn.IFS(CleanEmployeeData[[#This Row],[DistanceFromHome]]&lt;=5,"0–5 miles",CleanEmployeeData[[#This Row],[DistanceFromHome]]&lt;=10,"6–10 miles",CleanEmployeeData[[#This Row],[DistanceFromHome]]&lt;=15,"11–15 miles",TRUE,"16+ miles")</f>
        <v>0–5 miles</v>
      </c>
      <c r="AS497" t="str" cm="1">
        <f t="array" ref="AS497">_xlfn.IFS(CleanEmployeeData[[#This Row],[YearsAtCompany]]&lt;=1,"0–1 years",CleanEmployeeData[[#This Row],[YearsAtCompany]]&lt;=5,"2–5 years",CleanEmployeeData[[#This Row],[YearsAtCompany]]&lt;=10,"6–10 years",TRUE,"11+ years")</f>
        <v>2–5 years</v>
      </c>
    </row>
    <row r="498" spans="1:4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cm="1">
        <f t="array" ref="AJ498">_xlfn.SWITCH(CleanEmployeeData[[#This Row],[Education]],1,"Below College",2,"College",3,"Bachelor",4,"Master",5,"Doctor","Unknown")</f>
        <v>Below College</v>
      </c>
      <c r="AK498" t="str" cm="1">
        <f t="array" ref="AK498">_xlfn.SWITCH(CleanEmployeeData[[#This Row],[EnvironmentSatisfaction]],1,"Low",2,"Medium",3,"High",4,"Very High","Unknown")</f>
        <v>High</v>
      </c>
      <c r="AL498" t="str" cm="1">
        <f t="array" ref="AL498">_xlfn.SWITCH(CleanEmployeeData[[#This Row],[JobInvolvement]],1,"Low",2,"Medium",3,"High",4,"Very High","Unknown")</f>
        <v>High</v>
      </c>
      <c r="AM498" t="str" cm="1">
        <f t="array" ref="AM498">_xlfn.SWITCH(CleanEmployeeData[[#This Row],[JobSatisfaction]],1,"Low",2,"Medium",3,"High",4,"Very High","Unknown")</f>
        <v>High</v>
      </c>
      <c r="AN498" t="str" cm="1">
        <f t="array" ref="AN498">_xlfn.SWITCH(CleanEmployeeData[[#This Row],[PerformanceRating]],1,"Low",2,"Good",3,"Excellent",4,"Outstanding","Unknown")</f>
        <v>Excellent</v>
      </c>
      <c r="AO498" t="str" cm="1">
        <f t="array" ref="AO498">_xlfn.SWITCH(CleanEmployeeData[[#This Row],[WorkLifeBalance]],1,"Bad",2,"Good",3,"Better",4,"Best","Unknown")</f>
        <v>Better</v>
      </c>
      <c r="AP498">
        <f>IF(CleanEmployeeData[[#This Row],[Attrition]]="Yes",1,IF(CleanEmployeeData[[#This Row],[Attrition]]="No",0,""))</f>
        <v>0</v>
      </c>
      <c r="AQ498" t="str" cm="1">
        <f t="array" ref="AQ498">_xlfn.IFS(CleanEmployeeData[[#This Row],[MonthlyIncome]]&lt;=3000,"0–3,000",CleanEmployeeData[[#This Row],[MonthlyIncome]]&lt;=6000,"3,001–6,000",CleanEmployeeData[[#This Row],[MonthlyIncome]]&lt;=10000,"6,001–10,000",TRUE,"10,001+")</f>
        <v>3,001–6,000</v>
      </c>
      <c r="AR498" t="str" cm="1">
        <f t="array" ref="AR498">_xlfn.IFS(CleanEmployeeData[[#This Row],[DistanceFromHome]]&lt;=5,"0–5 miles",CleanEmployeeData[[#This Row],[DistanceFromHome]]&lt;=10,"6–10 miles",CleanEmployeeData[[#This Row],[DistanceFromHome]]&lt;=15,"11–15 miles",TRUE,"16+ miles")</f>
        <v>16+ miles</v>
      </c>
      <c r="AS498" t="str" cm="1">
        <f t="array" ref="AS498">_xlfn.IFS(CleanEmployeeData[[#This Row],[YearsAtCompany]]&lt;=1,"0–1 years",CleanEmployeeData[[#This Row],[YearsAtCompany]]&lt;=5,"2–5 years",CleanEmployeeData[[#This Row],[YearsAtCompany]]&lt;=10,"6–10 years",TRUE,"11+ years")</f>
        <v>2–5 years</v>
      </c>
    </row>
    <row r="499" spans="1:4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cm="1">
        <f t="array" ref="AJ499">_xlfn.SWITCH(CleanEmployeeData[[#This Row],[Education]],1,"Below College",2,"College",3,"Bachelor",4,"Master",5,"Doctor","Unknown")</f>
        <v>Master</v>
      </c>
      <c r="AK499" t="str" cm="1">
        <f t="array" ref="AK499">_xlfn.SWITCH(CleanEmployeeData[[#This Row],[EnvironmentSatisfaction]],1,"Low",2,"Medium",3,"High",4,"Very High","Unknown")</f>
        <v>Very High</v>
      </c>
      <c r="AL499" t="str" cm="1">
        <f t="array" ref="AL499">_xlfn.SWITCH(CleanEmployeeData[[#This Row],[JobInvolvement]],1,"Low",2,"Medium",3,"High",4,"Very High","Unknown")</f>
        <v>High</v>
      </c>
      <c r="AM499" t="str" cm="1">
        <f t="array" ref="AM499">_xlfn.SWITCH(CleanEmployeeData[[#This Row],[JobSatisfaction]],1,"Low",2,"Medium",3,"High",4,"Very High","Unknown")</f>
        <v>Very High</v>
      </c>
      <c r="AN499" t="str" cm="1">
        <f t="array" ref="AN499">_xlfn.SWITCH(CleanEmployeeData[[#This Row],[PerformanceRating]],1,"Low",2,"Good",3,"Excellent",4,"Outstanding","Unknown")</f>
        <v>Excellent</v>
      </c>
      <c r="AO499" t="str" cm="1">
        <f t="array" ref="AO499">_xlfn.SWITCH(CleanEmployeeData[[#This Row],[WorkLifeBalance]],1,"Bad",2,"Good",3,"Better",4,"Best","Unknown")</f>
        <v>Best</v>
      </c>
      <c r="AP499">
        <f>IF(CleanEmployeeData[[#This Row],[Attrition]]="Yes",1,IF(CleanEmployeeData[[#This Row],[Attrition]]="No",0,""))</f>
        <v>0</v>
      </c>
      <c r="AQ499" t="str" cm="1">
        <f t="array" ref="AQ499">_xlfn.IFS(CleanEmployeeData[[#This Row],[MonthlyIncome]]&lt;=3000,"0–3,000",CleanEmployeeData[[#This Row],[MonthlyIncome]]&lt;=6000,"3,001–6,000",CleanEmployeeData[[#This Row],[MonthlyIncome]]&lt;=10000,"6,001–10,000",TRUE,"10,001+")</f>
        <v>10,001+</v>
      </c>
      <c r="AR499" t="str" cm="1">
        <f t="array" ref="AR499">_xlfn.IFS(CleanEmployeeData[[#This Row],[DistanceFromHome]]&lt;=5,"0–5 miles",CleanEmployeeData[[#This Row],[DistanceFromHome]]&lt;=10,"6–10 miles",CleanEmployeeData[[#This Row],[DistanceFromHome]]&lt;=15,"11–15 miles",TRUE,"16+ miles")</f>
        <v>0–5 miles</v>
      </c>
      <c r="AS499" t="str" cm="1">
        <f t="array" ref="AS499">_xlfn.IFS(CleanEmployeeData[[#This Row],[YearsAtCompany]]&lt;=1,"0–1 years",CleanEmployeeData[[#This Row],[YearsAtCompany]]&lt;=5,"2–5 years",CleanEmployeeData[[#This Row],[YearsAtCompany]]&lt;=10,"6–10 years",TRUE,"11+ years")</f>
        <v>2–5 years</v>
      </c>
    </row>
    <row r="500" spans="1:4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cm="1">
        <f t="array" ref="AJ500">_xlfn.SWITCH(CleanEmployeeData[[#This Row],[Education]],1,"Below College",2,"College",3,"Bachelor",4,"Master",5,"Doctor","Unknown")</f>
        <v>Below College</v>
      </c>
      <c r="AK500" t="str" cm="1">
        <f t="array" ref="AK500">_xlfn.SWITCH(CleanEmployeeData[[#This Row],[EnvironmentSatisfaction]],1,"Low",2,"Medium",3,"High",4,"Very High","Unknown")</f>
        <v>Low</v>
      </c>
      <c r="AL500" t="str" cm="1">
        <f t="array" ref="AL500">_xlfn.SWITCH(CleanEmployeeData[[#This Row],[JobInvolvement]],1,"Low",2,"Medium",3,"High",4,"Very High","Unknown")</f>
        <v>High</v>
      </c>
      <c r="AM500" t="str" cm="1">
        <f t="array" ref="AM500">_xlfn.SWITCH(CleanEmployeeData[[#This Row],[JobSatisfaction]],1,"Low",2,"Medium",3,"High",4,"Very High","Unknown")</f>
        <v>High</v>
      </c>
      <c r="AN500" t="str" cm="1">
        <f t="array" ref="AN500">_xlfn.SWITCH(CleanEmployeeData[[#This Row],[PerformanceRating]],1,"Low",2,"Good",3,"Excellent",4,"Outstanding","Unknown")</f>
        <v>Outstanding</v>
      </c>
      <c r="AO500" t="str" cm="1">
        <f t="array" ref="AO500">_xlfn.SWITCH(CleanEmployeeData[[#This Row],[WorkLifeBalance]],1,"Bad",2,"Good",3,"Better",4,"Best","Unknown")</f>
        <v>Better</v>
      </c>
      <c r="AP500">
        <f>IF(CleanEmployeeData[[#This Row],[Attrition]]="Yes",1,IF(CleanEmployeeData[[#This Row],[Attrition]]="No",0,""))</f>
        <v>0</v>
      </c>
      <c r="AQ500" t="str" cm="1">
        <f t="array" ref="AQ500">_xlfn.IFS(CleanEmployeeData[[#This Row],[MonthlyIncome]]&lt;=3000,"0–3,000",CleanEmployeeData[[#This Row],[MonthlyIncome]]&lt;=6000,"3,001–6,000",CleanEmployeeData[[#This Row],[MonthlyIncome]]&lt;=10000,"6,001–10,000",TRUE,"10,001+")</f>
        <v>0–3,000</v>
      </c>
      <c r="AR500" t="str" cm="1">
        <f t="array" ref="AR500">_xlfn.IFS(CleanEmployeeData[[#This Row],[DistanceFromHome]]&lt;=5,"0–5 miles",CleanEmployeeData[[#This Row],[DistanceFromHome]]&lt;=10,"6–10 miles",CleanEmployeeData[[#This Row],[DistanceFromHome]]&lt;=15,"11–15 miles",TRUE,"16+ miles")</f>
        <v>6–10 miles</v>
      </c>
      <c r="AS500" t="str" cm="1">
        <f t="array" ref="AS500">_xlfn.IFS(CleanEmployeeData[[#This Row],[YearsAtCompany]]&lt;=1,"0–1 years",CleanEmployeeData[[#This Row],[YearsAtCompany]]&lt;=5,"2–5 years",CleanEmployeeData[[#This Row],[YearsAtCompany]]&lt;=10,"6–10 years",TRUE,"11+ years")</f>
        <v>2–5 years</v>
      </c>
    </row>
    <row r="501" spans="1:4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cm="1">
        <f t="array" ref="AJ501">_xlfn.SWITCH(CleanEmployeeData[[#This Row],[Education]],1,"Below College",2,"College",3,"Bachelor",4,"Master",5,"Doctor","Unknown")</f>
        <v>Master</v>
      </c>
      <c r="AK501" t="str" cm="1">
        <f t="array" ref="AK501">_xlfn.SWITCH(CleanEmployeeData[[#This Row],[EnvironmentSatisfaction]],1,"Low",2,"Medium",3,"High",4,"Very High","Unknown")</f>
        <v>High</v>
      </c>
      <c r="AL501" t="str" cm="1">
        <f t="array" ref="AL501">_xlfn.SWITCH(CleanEmployeeData[[#This Row],[JobInvolvement]],1,"Low",2,"Medium",3,"High",4,"Very High","Unknown")</f>
        <v>High</v>
      </c>
      <c r="AM501" t="str" cm="1">
        <f t="array" ref="AM501">_xlfn.SWITCH(CleanEmployeeData[[#This Row],[JobSatisfaction]],1,"Low",2,"Medium",3,"High",4,"Very High","Unknown")</f>
        <v>High</v>
      </c>
      <c r="AN501" t="str" cm="1">
        <f t="array" ref="AN501">_xlfn.SWITCH(CleanEmployeeData[[#This Row],[PerformanceRating]],1,"Low",2,"Good",3,"Excellent",4,"Outstanding","Unknown")</f>
        <v>Excellent</v>
      </c>
      <c r="AO501" t="str" cm="1">
        <f t="array" ref="AO501">_xlfn.SWITCH(CleanEmployeeData[[#This Row],[WorkLifeBalance]],1,"Bad",2,"Good",3,"Better",4,"Best","Unknown")</f>
        <v>Better</v>
      </c>
      <c r="AP501">
        <f>IF(CleanEmployeeData[[#This Row],[Attrition]]="Yes",1,IF(CleanEmployeeData[[#This Row],[Attrition]]="No",0,""))</f>
        <v>0</v>
      </c>
      <c r="AQ501" t="str" cm="1">
        <f t="array" ref="AQ501">_xlfn.IFS(CleanEmployeeData[[#This Row],[MonthlyIncome]]&lt;=3000,"0–3,000",CleanEmployeeData[[#This Row],[MonthlyIncome]]&lt;=6000,"3,001–6,000",CleanEmployeeData[[#This Row],[MonthlyIncome]]&lt;=10000,"6,001–10,000",TRUE,"10,001+")</f>
        <v>6,001–10,000</v>
      </c>
      <c r="AR501" t="str" cm="1">
        <f t="array" ref="AR501">_xlfn.IFS(CleanEmployeeData[[#This Row],[DistanceFromHome]]&lt;=5,"0–5 miles",CleanEmployeeData[[#This Row],[DistanceFromHome]]&lt;=10,"6–10 miles",CleanEmployeeData[[#This Row],[DistanceFromHome]]&lt;=15,"11–15 miles",TRUE,"16+ miles")</f>
        <v>6–10 miles</v>
      </c>
      <c r="AS501" t="str" cm="1">
        <f t="array" ref="AS501">_xlfn.IFS(CleanEmployeeData[[#This Row],[YearsAtCompany]]&lt;=1,"0–1 years",CleanEmployeeData[[#This Row],[YearsAtCompany]]&lt;=5,"2–5 years",CleanEmployeeData[[#This Row],[YearsAtCompany]]&lt;=10,"6–10 years",TRUE,"11+ years")</f>
        <v>2–5 years</v>
      </c>
    </row>
    <row r="502" spans="1:4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cm="1">
        <f t="array" ref="AJ502">_xlfn.SWITCH(CleanEmployeeData[[#This Row],[Education]],1,"Below College",2,"College",3,"Bachelor",4,"Master",5,"Doctor","Unknown")</f>
        <v>Master</v>
      </c>
      <c r="AK502" t="str" cm="1">
        <f t="array" ref="AK502">_xlfn.SWITCH(CleanEmployeeData[[#This Row],[EnvironmentSatisfaction]],1,"Low",2,"Medium",3,"High",4,"Very High","Unknown")</f>
        <v>Low</v>
      </c>
      <c r="AL502" t="str" cm="1">
        <f t="array" ref="AL502">_xlfn.SWITCH(CleanEmployeeData[[#This Row],[JobInvolvement]],1,"Low",2,"Medium",3,"High",4,"Very High","Unknown")</f>
        <v>High</v>
      </c>
      <c r="AM502" t="str" cm="1">
        <f t="array" ref="AM502">_xlfn.SWITCH(CleanEmployeeData[[#This Row],[JobSatisfaction]],1,"Low",2,"Medium",3,"High",4,"Very High","Unknown")</f>
        <v>Very High</v>
      </c>
      <c r="AN502" t="str" cm="1">
        <f t="array" ref="AN502">_xlfn.SWITCH(CleanEmployeeData[[#This Row],[PerformanceRating]],1,"Low",2,"Good",3,"Excellent",4,"Outstanding","Unknown")</f>
        <v>Excellent</v>
      </c>
      <c r="AO502" t="str" cm="1">
        <f t="array" ref="AO502">_xlfn.SWITCH(CleanEmployeeData[[#This Row],[WorkLifeBalance]],1,"Bad",2,"Good",3,"Better",4,"Best","Unknown")</f>
        <v>Good</v>
      </c>
      <c r="AP502">
        <f>IF(CleanEmployeeData[[#This Row],[Attrition]]="Yes",1,IF(CleanEmployeeData[[#This Row],[Attrition]]="No",0,""))</f>
        <v>0</v>
      </c>
      <c r="AQ502" t="str" cm="1">
        <f t="array" ref="AQ502">_xlfn.IFS(CleanEmployeeData[[#This Row],[MonthlyIncome]]&lt;=3000,"0–3,000",CleanEmployeeData[[#This Row],[MonthlyIncome]]&lt;=6000,"3,001–6,000",CleanEmployeeData[[#This Row],[MonthlyIncome]]&lt;=10000,"6,001–10,000",TRUE,"10,001+")</f>
        <v>6,001–10,000</v>
      </c>
      <c r="AR502" t="str" cm="1">
        <f t="array" ref="AR502">_xlfn.IFS(CleanEmployeeData[[#This Row],[DistanceFromHome]]&lt;=5,"0–5 miles",CleanEmployeeData[[#This Row],[DistanceFromHome]]&lt;=10,"6–10 miles",CleanEmployeeData[[#This Row],[DistanceFromHome]]&lt;=15,"11–15 miles",TRUE,"16+ miles")</f>
        <v>6–10 miles</v>
      </c>
      <c r="AS502" t="str" cm="1">
        <f t="array" ref="AS502">_xlfn.IFS(CleanEmployeeData[[#This Row],[YearsAtCompany]]&lt;=1,"0–1 years",CleanEmployeeData[[#This Row],[YearsAtCompany]]&lt;=5,"2–5 years",CleanEmployeeData[[#This Row],[YearsAtCompany]]&lt;=10,"6–10 years",TRUE,"11+ years")</f>
        <v>6–10 years</v>
      </c>
    </row>
    <row r="503" spans="1:4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cm="1">
        <f t="array" ref="AJ503">_xlfn.SWITCH(CleanEmployeeData[[#This Row],[Education]],1,"Below College",2,"College",3,"Bachelor",4,"Master",5,"Doctor","Unknown")</f>
        <v>Bachelor</v>
      </c>
      <c r="AK503" t="str" cm="1">
        <f t="array" ref="AK503">_xlfn.SWITCH(CleanEmployeeData[[#This Row],[EnvironmentSatisfaction]],1,"Low",2,"Medium",3,"High",4,"Very High","Unknown")</f>
        <v>High</v>
      </c>
      <c r="AL503" t="str" cm="1">
        <f t="array" ref="AL503">_xlfn.SWITCH(CleanEmployeeData[[#This Row],[JobInvolvement]],1,"Low",2,"Medium",3,"High",4,"Very High","Unknown")</f>
        <v>High</v>
      </c>
      <c r="AM503" t="str" cm="1">
        <f t="array" ref="AM503">_xlfn.SWITCH(CleanEmployeeData[[#This Row],[JobSatisfaction]],1,"Low",2,"Medium",3,"High",4,"Very High","Unknown")</f>
        <v>High</v>
      </c>
      <c r="AN503" t="str" cm="1">
        <f t="array" ref="AN503">_xlfn.SWITCH(CleanEmployeeData[[#This Row],[PerformanceRating]],1,"Low",2,"Good",3,"Excellent",4,"Outstanding","Unknown")</f>
        <v>Outstanding</v>
      </c>
      <c r="AO503" t="str" cm="1">
        <f t="array" ref="AO503">_xlfn.SWITCH(CleanEmployeeData[[#This Row],[WorkLifeBalance]],1,"Bad",2,"Good",3,"Better",4,"Best","Unknown")</f>
        <v>Better</v>
      </c>
      <c r="AP503">
        <f>IF(CleanEmployeeData[[#This Row],[Attrition]]="Yes",1,IF(CleanEmployeeData[[#This Row],[Attrition]]="No",0,""))</f>
        <v>0</v>
      </c>
      <c r="AQ503" t="str" cm="1">
        <f t="array" ref="AQ503">_xlfn.IFS(CleanEmployeeData[[#This Row],[MonthlyIncome]]&lt;=3000,"0–3,000",CleanEmployeeData[[#This Row],[MonthlyIncome]]&lt;=6000,"3,001–6,000",CleanEmployeeData[[#This Row],[MonthlyIncome]]&lt;=10000,"6,001–10,000",TRUE,"10,001+")</f>
        <v>0–3,000</v>
      </c>
      <c r="AR503" t="str" cm="1">
        <f t="array" ref="AR503">_xlfn.IFS(CleanEmployeeData[[#This Row],[DistanceFromHome]]&lt;=5,"0–5 miles",CleanEmployeeData[[#This Row],[DistanceFromHome]]&lt;=10,"6–10 miles",CleanEmployeeData[[#This Row],[DistanceFromHome]]&lt;=15,"11–15 miles",TRUE,"16+ miles")</f>
        <v>0–5 miles</v>
      </c>
      <c r="AS503" t="str" cm="1">
        <f t="array" ref="AS503">_xlfn.IFS(CleanEmployeeData[[#This Row],[YearsAtCompany]]&lt;=1,"0–1 years",CleanEmployeeData[[#This Row],[YearsAtCompany]]&lt;=5,"2–5 years",CleanEmployeeData[[#This Row],[YearsAtCompany]]&lt;=10,"6–10 years",TRUE,"11+ years")</f>
        <v>0–1 years</v>
      </c>
    </row>
    <row r="504" spans="1:4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cm="1">
        <f t="array" ref="AJ504">_xlfn.SWITCH(CleanEmployeeData[[#This Row],[Education]],1,"Below College",2,"College",3,"Bachelor",4,"Master",5,"Doctor","Unknown")</f>
        <v>Below College</v>
      </c>
      <c r="AK504" t="str" cm="1">
        <f t="array" ref="AK504">_xlfn.SWITCH(CleanEmployeeData[[#This Row],[EnvironmentSatisfaction]],1,"Low",2,"Medium",3,"High",4,"Very High","Unknown")</f>
        <v>Very High</v>
      </c>
      <c r="AL504" t="str" cm="1">
        <f t="array" ref="AL504">_xlfn.SWITCH(CleanEmployeeData[[#This Row],[JobInvolvement]],1,"Low",2,"Medium",3,"High",4,"Very High","Unknown")</f>
        <v>High</v>
      </c>
      <c r="AM504" t="str" cm="1">
        <f t="array" ref="AM504">_xlfn.SWITCH(CleanEmployeeData[[#This Row],[JobSatisfaction]],1,"Low",2,"Medium",3,"High",4,"Very High","Unknown")</f>
        <v>Low</v>
      </c>
      <c r="AN504" t="str" cm="1">
        <f t="array" ref="AN504">_xlfn.SWITCH(CleanEmployeeData[[#This Row],[PerformanceRating]],1,"Low",2,"Good",3,"Excellent",4,"Outstanding","Unknown")</f>
        <v>Outstanding</v>
      </c>
      <c r="AO504" t="str" cm="1">
        <f t="array" ref="AO504">_xlfn.SWITCH(CleanEmployeeData[[#This Row],[WorkLifeBalance]],1,"Bad",2,"Good",3,"Better",4,"Best","Unknown")</f>
        <v>Best</v>
      </c>
      <c r="AP504">
        <f>IF(CleanEmployeeData[[#This Row],[Attrition]]="Yes",1,IF(CleanEmployeeData[[#This Row],[Attrition]]="No",0,""))</f>
        <v>0</v>
      </c>
      <c r="AQ504" t="str" cm="1">
        <f t="array" ref="AQ504">_xlfn.IFS(CleanEmployeeData[[#This Row],[MonthlyIncome]]&lt;=3000,"0–3,000",CleanEmployeeData[[#This Row],[MonthlyIncome]]&lt;=6000,"3,001–6,000",CleanEmployeeData[[#This Row],[MonthlyIncome]]&lt;=10000,"6,001–10,000",TRUE,"10,001+")</f>
        <v>6,001–10,000</v>
      </c>
      <c r="AR504" t="str" cm="1">
        <f t="array" ref="AR504">_xlfn.IFS(CleanEmployeeData[[#This Row],[DistanceFromHome]]&lt;=5,"0–5 miles",CleanEmployeeData[[#This Row],[DistanceFromHome]]&lt;=10,"6–10 miles",CleanEmployeeData[[#This Row],[DistanceFromHome]]&lt;=15,"11–15 miles",TRUE,"16+ miles")</f>
        <v>0–5 miles</v>
      </c>
      <c r="AS504" t="str" cm="1">
        <f t="array" ref="AS504">_xlfn.IFS(CleanEmployeeData[[#This Row],[YearsAtCompany]]&lt;=1,"0–1 years",CleanEmployeeData[[#This Row],[YearsAtCompany]]&lt;=5,"2–5 years",CleanEmployeeData[[#This Row],[YearsAtCompany]]&lt;=10,"6–10 years",TRUE,"11+ years")</f>
        <v>11+ years</v>
      </c>
    </row>
    <row r="505" spans="1:4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cm="1">
        <f t="array" ref="AJ505">_xlfn.SWITCH(CleanEmployeeData[[#This Row],[Education]],1,"Below College",2,"College",3,"Bachelor",4,"Master",5,"Doctor","Unknown")</f>
        <v>Doctor</v>
      </c>
      <c r="AK505" t="str" cm="1">
        <f t="array" ref="AK505">_xlfn.SWITCH(CleanEmployeeData[[#This Row],[EnvironmentSatisfaction]],1,"Low",2,"Medium",3,"High",4,"Very High","Unknown")</f>
        <v>Medium</v>
      </c>
      <c r="AL505" t="str" cm="1">
        <f t="array" ref="AL505">_xlfn.SWITCH(CleanEmployeeData[[#This Row],[JobInvolvement]],1,"Low",2,"Medium",3,"High",4,"Very High","Unknown")</f>
        <v>High</v>
      </c>
      <c r="AM505" t="str" cm="1">
        <f t="array" ref="AM505">_xlfn.SWITCH(CleanEmployeeData[[#This Row],[JobSatisfaction]],1,"Low",2,"Medium",3,"High",4,"Very High","Unknown")</f>
        <v>Very High</v>
      </c>
      <c r="AN505" t="str" cm="1">
        <f t="array" ref="AN505">_xlfn.SWITCH(CleanEmployeeData[[#This Row],[PerformanceRating]],1,"Low",2,"Good",3,"Excellent",4,"Outstanding","Unknown")</f>
        <v>Excellent</v>
      </c>
      <c r="AO505" t="str" cm="1">
        <f t="array" ref="AO505">_xlfn.SWITCH(CleanEmployeeData[[#This Row],[WorkLifeBalance]],1,"Bad",2,"Good",3,"Better",4,"Best","Unknown")</f>
        <v>Good</v>
      </c>
      <c r="AP505">
        <f>IF(CleanEmployeeData[[#This Row],[Attrition]]="Yes",1,IF(CleanEmployeeData[[#This Row],[Attrition]]="No",0,""))</f>
        <v>0</v>
      </c>
      <c r="AQ505" t="str" cm="1">
        <f t="array" ref="AQ505">_xlfn.IFS(CleanEmployeeData[[#This Row],[MonthlyIncome]]&lt;=3000,"0–3,000",CleanEmployeeData[[#This Row],[MonthlyIncome]]&lt;=6000,"3,001–6,000",CleanEmployeeData[[#This Row],[MonthlyIncome]]&lt;=10000,"6,001–10,000",TRUE,"10,001+")</f>
        <v>0–3,000</v>
      </c>
      <c r="AR505" t="str" cm="1">
        <f t="array" ref="AR505">_xlfn.IFS(CleanEmployeeData[[#This Row],[DistanceFromHome]]&lt;=5,"0–5 miles",CleanEmployeeData[[#This Row],[DistanceFromHome]]&lt;=10,"6–10 miles",CleanEmployeeData[[#This Row],[DistanceFromHome]]&lt;=15,"11–15 miles",TRUE,"16+ miles")</f>
        <v>0–5 miles</v>
      </c>
      <c r="AS505" t="str" cm="1">
        <f t="array" ref="AS505">_xlfn.IFS(CleanEmployeeData[[#This Row],[YearsAtCompany]]&lt;=1,"0–1 years",CleanEmployeeData[[#This Row],[YearsAtCompany]]&lt;=5,"2–5 years",CleanEmployeeData[[#This Row],[YearsAtCompany]]&lt;=10,"6–10 years",TRUE,"11+ years")</f>
        <v>6–10 years</v>
      </c>
    </row>
    <row r="506" spans="1:4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cm="1">
        <f t="array" ref="AJ506">_xlfn.SWITCH(CleanEmployeeData[[#This Row],[Education]],1,"Below College",2,"College",3,"Bachelor",4,"Master",5,"Doctor","Unknown")</f>
        <v>Master</v>
      </c>
      <c r="AK506" t="str" cm="1">
        <f t="array" ref="AK506">_xlfn.SWITCH(CleanEmployeeData[[#This Row],[EnvironmentSatisfaction]],1,"Low",2,"Medium",3,"High",4,"Very High","Unknown")</f>
        <v>Low</v>
      </c>
      <c r="AL506" t="str" cm="1">
        <f t="array" ref="AL506">_xlfn.SWITCH(CleanEmployeeData[[#This Row],[JobInvolvement]],1,"Low",2,"Medium",3,"High",4,"Very High","Unknown")</f>
        <v>High</v>
      </c>
      <c r="AM506" t="str" cm="1">
        <f t="array" ref="AM506">_xlfn.SWITCH(CleanEmployeeData[[#This Row],[JobSatisfaction]],1,"Low",2,"Medium",3,"High",4,"Very High","Unknown")</f>
        <v>Low</v>
      </c>
      <c r="AN506" t="str" cm="1">
        <f t="array" ref="AN506">_xlfn.SWITCH(CleanEmployeeData[[#This Row],[PerformanceRating]],1,"Low",2,"Good",3,"Excellent",4,"Outstanding","Unknown")</f>
        <v>Excellent</v>
      </c>
      <c r="AO506" t="str" cm="1">
        <f t="array" ref="AO506">_xlfn.SWITCH(CleanEmployeeData[[#This Row],[WorkLifeBalance]],1,"Bad",2,"Good",3,"Better",4,"Best","Unknown")</f>
        <v>Better</v>
      </c>
      <c r="AP506">
        <f>IF(CleanEmployeeData[[#This Row],[Attrition]]="Yes",1,IF(CleanEmployeeData[[#This Row],[Attrition]]="No",0,""))</f>
        <v>1</v>
      </c>
      <c r="AQ506" t="str" cm="1">
        <f t="array" ref="AQ506">_xlfn.IFS(CleanEmployeeData[[#This Row],[MonthlyIncome]]&lt;=3000,"0–3,000",CleanEmployeeData[[#This Row],[MonthlyIncome]]&lt;=6000,"3,001–6,000",CleanEmployeeData[[#This Row],[MonthlyIncome]]&lt;=10000,"6,001–10,000",TRUE,"10,001+")</f>
        <v>3,001–6,000</v>
      </c>
      <c r="AR506" t="str" cm="1">
        <f t="array" ref="AR506">_xlfn.IFS(CleanEmployeeData[[#This Row],[DistanceFromHome]]&lt;=5,"0–5 miles",CleanEmployeeData[[#This Row],[DistanceFromHome]]&lt;=10,"6–10 miles",CleanEmployeeData[[#This Row],[DistanceFromHome]]&lt;=15,"11–15 miles",TRUE,"16+ miles")</f>
        <v>16+ miles</v>
      </c>
      <c r="AS506" t="str" cm="1">
        <f t="array" ref="AS506">_xlfn.IFS(CleanEmployeeData[[#This Row],[YearsAtCompany]]&lt;=1,"0–1 years",CleanEmployeeData[[#This Row],[YearsAtCompany]]&lt;=5,"2–5 years",CleanEmployeeData[[#This Row],[YearsAtCompany]]&lt;=10,"6–10 years",TRUE,"11+ years")</f>
        <v>0–1 years</v>
      </c>
    </row>
    <row r="507" spans="1:4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cm="1">
        <f t="array" ref="AJ507">_xlfn.SWITCH(CleanEmployeeData[[#This Row],[Education]],1,"Below College",2,"College",3,"Bachelor",4,"Master",5,"Doctor","Unknown")</f>
        <v>Bachelor</v>
      </c>
      <c r="AK507" t="str" cm="1">
        <f t="array" ref="AK507">_xlfn.SWITCH(CleanEmployeeData[[#This Row],[EnvironmentSatisfaction]],1,"Low",2,"Medium",3,"High",4,"Very High","Unknown")</f>
        <v>High</v>
      </c>
      <c r="AL507" t="str" cm="1">
        <f t="array" ref="AL507">_xlfn.SWITCH(CleanEmployeeData[[#This Row],[JobInvolvement]],1,"Low",2,"Medium",3,"High",4,"Very High","Unknown")</f>
        <v>High</v>
      </c>
      <c r="AM507" t="str" cm="1">
        <f t="array" ref="AM507">_xlfn.SWITCH(CleanEmployeeData[[#This Row],[JobSatisfaction]],1,"Low",2,"Medium",3,"High",4,"Very High","Unknown")</f>
        <v>Very High</v>
      </c>
      <c r="AN507" t="str" cm="1">
        <f t="array" ref="AN507">_xlfn.SWITCH(CleanEmployeeData[[#This Row],[PerformanceRating]],1,"Low",2,"Good",3,"Excellent",4,"Outstanding","Unknown")</f>
        <v>Excellent</v>
      </c>
      <c r="AO507" t="str" cm="1">
        <f t="array" ref="AO507">_xlfn.SWITCH(CleanEmployeeData[[#This Row],[WorkLifeBalance]],1,"Bad",2,"Good",3,"Better",4,"Best","Unknown")</f>
        <v>Better</v>
      </c>
      <c r="AP507">
        <f>IF(CleanEmployeeData[[#This Row],[Attrition]]="Yes",1,IF(CleanEmployeeData[[#This Row],[Attrition]]="No",0,""))</f>
        <v>0</v>
      </c>
      <c r="AQ507" t="str" cm="1">
        <f t="array" ref="AQ507">_xlfn.IFS(CleanEmployeeData[[#This Row],[MonthlyIncome]]&lt;=3000,"0–3,000",CleanEmployeeData[[#This Row],[MonthlyIncome]]&lt;=6000,"3,001–6,000",CleanEmployeeData[[#This Row],[MonthlyIncome]]&lt;=10000,"6,001–10,000",TRUE,"10,001+")</f>
        <v>0–3,000</v>
      </c>
      <c r="AR507" t="str" cm="1">
        <f t="array" ref="AR507">_xlfn.IFS(CleanEmployeeData[[#This Row],[DistanceFromHome]]&lt;=5,"0–5 miles",CleanEmployeeData[[#This Row],[DistanceFromHome]]&lt;=10,"6–10 miles",CleanEmployeeData[[#This Row],[DistanceFromHome]]&lt;=15,"11–15 miles",TRUE,"16+ miles")</f>
        <v>6–10 miles</v>
      </c>
      <c r="AS507" t="str" cm="1">
        <f t="array" ref="AS507">_xlfn.IFS(CleanEmployeeData[[#This Row],[YearsAtCompany]]&lt;=1,"0–1 years",CleanEmployeeData[[#This Row],[YearsAtCompany]]&lt;=5,"2–5 years",CleanEmployeeData[[#This Row],[YearsAtCompany]]&lt;=10,"6–10 years",TRUE,"11+ years")</f>
        <v>2–5 years</v>
      </c>
    </row>
    <row r="508" spans="1:4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cm="1">
        <f t="array" ref="AJ508">_xlfn.SWITCH(CleanEmployeeData[[#This Row],[Education]],1,"Below College",2,"College",3,"Bachelor",4,"Master",5,"Doctor","Unknown")</f>
        <v>Bachelor</v>
      </c>
      <c r="AK508" t="str" cm="1">
        <f t="array" ref="AK508">_xlfn.SWITCH(CleanEmployeeData[[#This Row],[EnvironmentSatisfaction]],1,"Low",2,"Medium",3,"High",4,"Very High","Unknown")</f>
        <v>High</v>
      </c>
      <c r="AL508" t="str" cm="1">
        <f t="array" ref="AL508">_xlfn.SWITCH(CleanEmployeeData[[#This Row],[JobInvolvement]],1,"Low",2,"Medium",3,"High",4,"Very High","Unknown")</f>
        <v>High</v>
      </c>
      <c r="AM508" t="str" cm="1">
        <f t="array" ref="AM508">_xlfn.SWITCH(CleanEmployeeData[[#This Row],[JobSatisfaction]],1,"Low",2,"Medium",3,"High",4,"Very High","Unknown")</f>
        <v>High</v>
      </c>
      <c r="AN508" t="str" cm="1">
        <f t="array" ref="AN508">_xlfn.SWITCH(CleanEmployeeData[[#This Row],[PerformanceRating]],1,"Low",2,"Good",3,"Excellent",4,"Outstanding","Unknown")</f>
        <v>Excellent</v>
      </c>
      <c r="AO508" t="str" cm="1">
        <f t="array" ref="AO508">_xlfn.SWITCH(CleanEmployeeData[[#This Row],[WorkLifeBalance]],1,"Bad",2,"Good",3,"Better",4,"Best","Unknown")</f>
        <v>Better</v>
      </c>
      <c r="AP508">
        <f>IF(CleanEmployeeData[[#This Row],[Attrition]]="Yes",1,IF(CleanEmployeeData[[#This Row],[Attrition]]="No",0,""))</f>
        <v>0</v>
      </c>
      <c r="AQ508" t="str" cm="1">
        <f t="array" ref="AQ508">_xlfn.IFS(CleanEmployeeData[[#This Row],[MonthlyIncome]]&lt;=3000,"0–3,000",CleanEmployeeData[[#This Row],[MonthlyIncome]]&lt;=6000,"3,001–6,000",CleanEmployeeData[[#This Row],[MonthlyIncome]]&lt;=10000,"6,001–10,000",TRUE,"10,001+")</f>
        <v>6,001–10,000</v>
      </c>
      <c r="AR508" t="str" cm="1">
        <f t="array" ref="AR508">_xlfn.IFS(CleanEmployeeData[[#This Row],[DistanceFromHome]]&lt;=5,"0–5 miles",CleanEmployeeData[[#This Row],[DistanceFromHome]]&lt;=10,"6–10 miles",CleanEmployeeData[[#This Row],[DistanceFromHome]]&lt;=15,"11–15 miles",TRUE,"16+ miles")</f>
        <v>0–5 miles</v>
      </c>
      <c r="AS508" t="str" cm="1">
        <f t="array" ref="AS508">_xlfn.IFS(CleanEmployeeData[[#This Row],[YearsAtCompany]]&lt;=1,"0–1 years",CleanEmployeeData[[#This Row],[YearsAtCompany]]&lt;=5,"2–5 years",CleanEmployeeData[[#This Row],[YearsAtCompany]]&lt;=10,"6–10 years",TRUE,"11+ years")</f>
        <v>6–10 years</v>
      </c>
    </row>
    <row r="509" spans="1:4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cm="1">
        <f t="array" ref="AJ509">_xlfn.SWITCH(CleanEmployeeData[[#This Row],[Education]],1,"Below College",2,"College",3,"Bachelor",4,"Master",5,"Doctor","Unknown")</f>
        <v>College</v>
      </c>
      <c r="AK509" t="str" cm="1">
        <f t="array" ref="AK509">_xlfn.SWITCH(CleanEmployeeData[[#This Row],[EnvironmentSatisfaction]],1,"Low",2,"Medium",3,"High",4,"Very High","Unknown")</f>
        <v>Medium</v>
      </c>
      <c r="AL509" t="str" cm="1">
        <f t="array" ref="AL509">_xlfn.SWITCH(CleanEmployeeData[[#This Row],[JobInvolvement]],1,"Low",2,"Medium",3,"High",4,"Very High","Unknown")</f>
        <v>High</v>
      </c>
      <c r="AM509" t="str" cm="1">
        <f t="array" ref="AM509">_xlfn.SWITCH(CleanEmployeeData[[#This Row],[JobSatisfaction]],1,"Low",2,"Medium",3,"High",4,"Very High","Unknown")</f>
        <v>High</v>
      </c>
      <c r="AN509" t="str" cm="1">
        <f t="array" ref="AN509">_xlfn.SWITCH(CleanEmployeeData[[#This Row],[PerformanceRating]],1,"Low",2,"Good",3,"Excellent",4,"Outstanding","Unknown")</f>
        <v>Excellent</v>
      </c>
      <c r="AO509" t="str" cm="1">
        <f t="array" ref="AO509">_xlfn.SWITCH(CleanEmployeeData[[#This Row],[WorkLifeBalance]],1,"Bad",2,"Good",3,"Better",4,"Best","Unknown")</f>
        <v>Good</v>
      </c>
      <c r="AP509">
        <f>IF(CleanEmployeeData[[#This Row],[Attrition]]="Yes",1,IF(CleanEmployeeData[[#This Row],[Attrition]]="No",0,""))</f>
        <v>0</v>
      </c>
      <c r="AQ509" t="str" cm="1">
        <f t="array" ref="AQ509">_xlfn.IFS(CleanEmployeeData[[#This Row],[MonthlyIncome]]&lt;=3000,"0–3,000",CleanEmployeeData[[#This Row],[MonthlyIncome]]&lt;=6000,"3,001–6,000",CleanEmployeeData[[#This Row],[MonthlyIncome]]&lt;=10000,"6,001–10,000",TRUE,"10,001+")</f>
        <v>3,001–6,000</v>
      </c>
      <c r="AR509" t="str" cm="1">
        <f t="array" ref="AR509">_xlfn.IFS(CleanEmployeeData[[#This Row],[DistanceFromHome]]&lt;=5,"0–5 miles",CleanEmployeeData[[#This Row],[DistanceFromHome]]&lt;=10,"6–10 miles",CleanEmployeeData[[#This Row],[DistanceFromHome]]&lt;=15,"11–15 miles",TRUE,"16+ miles")</f>
        <v>0–5 miles</v>
      </c>
      <c r="AS509" t="str" cm="1">
        <f t="array" ref="AS509">_xlfn.IFS(CleanEmployeeData[[#This Row],[YearsAtCompany]]&lt;=1,"0–1 years",CleanEmployeeData[[#This Row],[YearsAtCompany]]&lt;=5,"2–5 years",CleanEmployeeData[[#This Row],[YearsAtCompany]]&lt;=10,"6–10 years",TRUE,"11+ years")</f>
        <v>6–10 years</v>
      </c>
    </row>
    <row r="510" spans="1:4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cm="1">
        <f t="array" ref="AJ510">_xlfn.SWITCH(CleanEmployeeData[[#This Row],[Education]],1,"Below College",2,"College",3,"Bachelor",4,"Master",5,"Doctor","Unknown")</f>
        <v>Master</v>
      </c>
      <c r="AK510" t="str" cm="1">
        <f t="array" ref="AK510">_xlfn.SWITCH(CleanEmployeeData[[#This Row],[EnvironmentSatisfaction]],1,"Low",2,"Medium",3,"High",4,"Very High","Unknown")</f>
        <v>Medium</v>
      </c>
      <c r="AL510" t="str" cm="1">
        <f t="array" ref="AL510">_xlfn.SWITCH(CleanEmployeeData[[#This Row],[JobInvolvement]],1,"Low",2,"Medium",3,"High",4,"Very High","Unknown")</f>
        <v>Low</v>
      </c>
      <c r="AM510" t="str" cm="1">
        <f t="array" ref="AM510">_xlfn.SWITCH(CleanEmployeeData[[#This Row],[JobSatisfaction]],1,"Low",2,"Medium",3,"High",4,"Very High","Unknown")</f>
        <v>Very High</v>
      </c>
      <c r="AN510" t="str" cm="1">
        <f t="array" ref="AN510">_xlfn.SWITCH(CleanEmployeeData[[#This Row],[PerformanceRating]],1,"Low",2,"Good",3,"Excellent",4,"Outstanding","Unknown")</f>
        <v>Excellent</v>
      </c>
      <c r="AO510" t="str" cm="1">
        <f t="array" ref="AO510">_xlfn.SWITCH(CleanEmployeeData[[#This Row],[WorkLifeBalance]],1,"Bad",2,"Good",3,"Better",4,"Best","Unknown")</f>
        <v>Better</v>
      </c>
      <c r="AP510">
        <f>IF(CleanEmployeeData[[#This Row],[Attrition]]="Yes",1,IF(CleanEmployeeData[[#This Row],[Attrition]]="No",0,""))</f>
        <v>0</v>
      </c>
      <c r="AQ510" t="str" cm="1">
        <f t="array" ref="AQ510">_xlfn.IFS(CleanEmployeeData[[#This Row],[MonthlyIncome]]&lt;=3000,"0–3,000",CleanEmployeeData[[#This Row],[MonthlyIncome]]&lt;=6000,"3,001–6,000",CleanEmployeeData[[#This Row],[MonthlyIncome]]&lt;=10000,"6,001–10,000",TRUE,"10,001+")</f>
        <v>6,001–10,000</v>
      </c>
      <c r="AR510" t="str" cm="1">
        <f t="array" ref="AR510">_xlfn.IFS(CleanEmployeeData[[#This Row],[DistanceFromHome]]&lt;=5,"0–5 miles",CleanEmployeeData[[#This Row],[DistanceFromHome]]&lt;=10,"6–10 miles",CleanEmployeeData[[#This Row],[DistanceFromHome]]&lt;=15,"11–15 miles",TRUE,"16+ miles")</f>
        <v>6–10 miles</v>
      </c>
      <c r="AS510" t="str" cm="1">
        <f t="array" ref="AS510">_xlfn.IFS(CleanEmployeeData[[#This Row],[YearsAtCompany]]&lt;=1,"0–1 years",CleanEmployeeData[[#This Row],[YearsAtCompany]]&lt;=5,"2–5 years",CleanEmployeeData[[#This Row],[YearsAtCompany]]&lt;=10,"6–10 years",TRUE,"11+ years")</f>
        <v>11+ years</v>
      </c>
    </row>
    <row r="511" spans="1:4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cm="1">
        <f t="array" ref="AJ511">_xlfn.SWITCH(CleanEmployeeData[[#This Row],[Education]],1,"Below College",2,"College",3,"Bachelor",4,"Master",5,"Doctor","Unknown")</f>
        <v>Bachelor</v>
      </c>
      <c r="AK511" t="str" cm="1">
        <f t="array" ref="AK511">_xlfn.SWITCH(CleanEmployeeData[[#This Row],[EnvironmentSatisfaction]],1,"Low",2,"Medium",3,"High",4,"Very High","Unknown")</f>
        <v>High</v>
      </c>
      <c r="AL511" t="str" cm="1">
        <f t="array" ref="AL511">_xlfn.SWITCH(CleanEmployeeData[[#This Row],[JobInvolvement]],1,"Low",2,"Medium",3,"High",4,"Very High","Unknown")</f>
        <v>High</v>
      </c>
      <c r="AM511" t="str" cm="1">
        <f t="array" ref="AM511">_xlfn.SWITCH(CleanEmployeeData[[#This Row],[JobSatisfaction]],1,"Low",2,"Medium",3,"High",4,"Very High","Unknown")</f>
        <v>Very High</v>
      </c>
      <c r="AN511" t="str" cm="1">
        <f t="array" ref="AN511">_xlfn.SWITCH(CleanEmployeeData[[#This Row],[PerformanceRating]],1,"Low",2,"Good",3,"Excellent",4,"Outstanding","Unknown")</f>
        <v>Outstanding</v>
      </c>
      <c r="AO511" t="str" cm="1">
        <f t="array" ref="AO511">_xlfn.SWITCH(CleanEmployeeData[[#This Row],[WorkLifeBalance]],1,"Bad",2,"Good",3,"Better",4,"Best","Unknown")</f>
        <v>Bad</v>
      </c>
      <c r="AP511">
        <f>IF(CleanEmployeeData[[#This Row],[Attrition]]="Yes",1,IF(CleanEmployeeData[[#This Row],[Attrition]]="No",0,""))</f>
        <v>0</v>
      </c>
      <c r="AQ511" t="str" cm="1">
        <f t="array" ref="AQ511">_xlfn.IFS(CleanEmployeeData[[#This Row],[MonthlyIncome]]&lt;=3000,"0–3,000",CleanEmployeeData[[#This Row],[MonthlyIncome]]&lt;=6000,"3,001–6,000",CleanEmployeeData[[#This Row],[MonthlyIncome]]&lt;=10000,"6,001–10,000",TRUE,"10,001+")</f>
        <v>6,001–10,000</v>
      </c>
      <c r="AR511" t="str" cm="1">
        <f t="array" ref="AR511">_xlfn.IFS(CleanEmployeeData[[#This Row],[DistanceFromHome]]&lt;=5,"0–5 miles",CleanEmployeeData[[#This Row],[DistanceFromHome]]&lt;=10,"6–10 miles",CleanEmployeeData[[#This Row],[DistanceFromHome]]&lt;=15,"11–15 miles",TRUE,"16+ miles")</f>
        <v>6–10 miles</v>
      </c>
      <c r="AS511" t="str" cm="1">
        <f t="array" ref="AS511">_xlfn.IFS(CleanEmployeeData[[#This Row],[YearsAtCompany]]&lt;=1,"0–1 years",CleanEmployeeData[[#This Row],[YearsAtCompany]]&lt;=5,"2–5 years",CleanEmployeeData[[#This Row],[YearsAtCompany]]&lt;=10,"6–10 years",TRUE,"11+ years")</f>
        <v>11+ years</v>
      </c>
    </row>
    <row r="512" spans="1:4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cm="1">
        <f t="array" ref="AJ512">_xlfn.SWITCH(CleanEmployeeData[[#This Row],[Education]],1,"Below College",2,"College",3,"Bachelor",4,"Master",5,"Doctor","Unknown")</f>
        <v>Master</v>
      </c>
      <c r="AK512" t="str" cm="1">
        <f t="array" ref="AK512">_xlfn.SWITCH(CleanEmployeeData[[#This Row],[EnvironmentSatisfaction]],1,"Low",2,"Medium",3,"High",4,"Very High","Unknown")</f>
        <v>High</v>
      </c>
      <c r="AL512" t="str" cm="1">
        <f t="array" ref="AL512">_xlfn.SWITCH(CleanEmployeeData[[#This Row],[JobInvolvement]],1,"Low",2,"Medium",3,"High",4,"Very High","Unknown")</f>
        <v>High</v>
      </c>
      <c r="AM512" t="str" cm="1">
        <f t="array" ref="AM512">_xlfn.SWITCH(CleanEmployeeData[[#This Row],[JobSatisfaction]],1,"Low",2,"Medium",3,"High",4,"Very High","Unknown")</f>
        <v>Medium</v>
      </c>
      <c r="AN512" t="str" cm="1">
        <f t="array" ref="AN512">_xlfn.SWITCH(CleanEmployeeData[[#This Row],[PerformanceRating]],1,"Low",2,"Good",3,"Excellent",4,"Outstanding","Unknown")</f>
        <v>Excellent</v>
      </c>
      <c r="AO512" t="str" cm="1">
        <f t="array" ref="AO512">_xlfn.SWITCH(CleanEmployeeData[[#This Row],[WorkLifeBalance]],1,"Bad",2,"Good",3,"Better",4,"Best","Unknown")</f>
        <v>Best</v>
      </c>
      <c r="AP512">
        <f>IF(CleanEmployeeData[[#This Row],[Attrition]]="Yes",1,IF(CleanEmployeeData[[#This Row],[Attrition]]="No",0,""))</f>
        <v>0</v>
      </c>
      <c r="AQ512" t="str" cm="1">
        <f t="array" ref="AQ512">_xlfn.IFS(CleanEmployeeData[[#This Row],[MonthlyIncome]]&lt;=3000,"0–3,000",CleanEmployeeData[[#This Row],[MonthlyIncome]]&lt;=6000,"3,001–6,000",CleanEmployeeData[[#This Row],[MonthlyIncome]]&lt;=10000,"6,001–10,000",TRUE,"10,001+")</f>
        <v>10,001+</v>
      </c>
      <c r="AR512" t="str" cm="1">
        <f t="array" ref="AR512">_xlfn.IFS(CleanEmployeeData[[#This Row],[DistanceFromHome]]&lt;=5,"0–5 miles",CleanEmployeeData[[#This Row],[DistanceFromHome]]&lt;=10,"6–10 miles",CleanEmployeeData[[#This Row],[DistanceFromHome]]&lt;=15,"11–15 miles",TRUE,"16+ miles")</f>
        <v>16+ miles</v>
      </c>
      <c r="AS512" t="str" cm="1">
        <f t="array" ref="AS512">_xlfn.IFS(CleanEmployeeData[[#This Row],[YearsAtCompany]]&lt;=1,"0–1 years",CleanEmployeeData[[#This Row],[YearsAtCompany]]&lt;=5,"2–5 years",CleanEmployeeData[[#This Row],[YearsAtCompany]]&lt;=10,"6–10 years",TRUE,"11+ years")</f>
        <v>6–10 years</v>
      </c>
    </row>
    <row r="513" spans="1:4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cm="1">
        <f t="array" ref="AJ513">_xlfn.SWITCH(CleanEmployeeData[[#This Row],[Education]],1,"Below College",2,"College",3,"Bachelor",4,"Master",5,"Doctor","Unknown")</f>
        <v>College</v>
      </c>
      <c r="AK513" t="str" cm="1">
        <f t="array" ref="AK513">_xlfn.SWITCH(CleanEmployeeData[[#This Row],[EnvironmentSatisfaction]],1,"Low",2,"Medium",3,"High",4,"Very High","Unknown")</f>
        <v>Medium</v>
      </c>
      <c r="AL513" t="str" cm="1">
        <f t="array" ref="AL513">_xlfn.SWITCH(CleanEmployeeData[[#This Row],[JobInvolvement]],1,"Low",2,"Medium",3,"High",4,"Very High","Unknown")</f>
        <v>Medium</v>
      </c>
      <c r="AM513" t="str" cm="1">
        <f t="array" ref="AM513">_xlfn.SWITCH(CleanEmployeeData[[#This Row],[JobSatisfaction]],1,"Low",2,"Medium",3,"High",4,"Very High","Unknown")</f>
        <v>Medium</v>
      </c>
      <c r="AN513" t="str" cm="1">
        <f t="array" ref="AN513">_xlfn.SWITCH(CleanEmployeeData[[#This Row],[PerformanceRating]],1,"Low",2,"Good",3,"Excellent",4,"Outstanding","Unknown")</f>
        <v>Excellent</v>
      </c>
      <c r="AO513" t="str" cm="1">
        <f t="array" ref="AO513">_xlfn.SWITCH(CleanEmployeeData[[#This Row],[WorkLifeBalance]],1,"Bad",2,"Good",3,"Better",4,"Best","Unknown")</f>
        <v>Better</v>
      </c>
      <c r="AP513">
        <f>IF(CleanEmployeeData[[#This Row],[Attrition]]="Yes",1,IF(CleanEmployeeData[[#This Row],[Attrition]]="No",0,""))</f>
        <v>0</v>
      </c>
      <c r="AQ513" t="str" cm="1">
        <f t="array" ref="AQ513">_xlfn.IFS(CleanEmployeeData[[#This Row],[MonthlyIncome]]&lt;=3000,"0–3,000",CleanEmployeeData[[#This Row],[MonthlyIncome]]&lt;=6000,"3,001–6,000",CleanEmployeeData[[#This Row],[MonthlyIncome]]&lt;=10000,"6,001–10,000",TRUE,"10,001+")</f>
        <v>6,001–10,000</v>
      </c>
      <c r="AR513" t="str" cm="1">
        <f t="array" ref="AR513">_xlfn.IFS(CleanEmployeeData[[#This Row],[DistanceFromHome]]&lt;=5,"0–5 miles",CleanEmployeeData[[#This Row],[DistanceFromHome]]&lt;=10,"6–10 miles",CleanEmployeeData[[#This Row],[DistanceFromHome]]&lt;=15,"11–15 miles",TRUE,"16+ miles")</f>
        <v>6–10 miles</v>
      </c>
      <c r="AS513" t="str" cm="1">
        <f t="array" ref="AS513">_xlfn.IFS(CleanEmployeeData[[#This Row],[YearsAtCompany]]&lt;=1,"0–1 years",CleanEmployeeData[[#This Row],[YearsAtCompany]]&lt;=5,"2–5 years",CleanEmployeeData[[#This Row],[YearsAtCompany]]&lt;=10,"6–10 years",TRUE,"11+ years")</f>
        <v>2–5 years</v>
      </c>
    </row>
    <row r="514" spans="1:4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cm="1">
        <f t="array" ref="AJ514">_xlfn.SWITCH(CleanEmployeeData[[#This Row],[Education]],1,"Below College",2,"College",3,"Bachelor",4,"Master",5,"Doctor","Unknown")</f>
        <v>Master</v>
      </c>
      <c r="AK514" t="str" cm="1">
        <f t="array" ref="AK514">_xlfn.SWITCH(CleanEmployeeData[[#This Row],[EnvironmentSatisfaction]],1,"Low",2,"Medium",3,"High",4,"Very High","Unknown")</f>
        <v>Low</v>
      </c>
      <c r="AL514" t="str" cm="1">
        <f t="array" ref="AL514">_xlfn.SWITCH(CleanEmployeeData[[#This Row],[JobInvolvement]],1,"Low",2,"Medium",3,"High",4,"Very High","Unknown")</f>
        <v>Medium</v>
      </c>
      <c r="AM514" t="str" cm="1">
        <f t="array" ref="AM514">_xlfn.SWITCH(CleanEmployeeData[[#This Row],[JobSatisfaction]],1,"Low",2,"Medium",3,"High",4,"Very High","Unknown")</f>
        <v>Very High</v>
      </c>
      <c r="AN514" t="str" cm="1">
        <f t="array" ref="AN514">_xlfn.SWITCH(CleanEmployeeData[[#This Row],[PerformanceRating]],1,"Low",2,"Good",3,"Excellent",4,"Outstanding","Unknown")</f>
        <v>Excellent</v>
      </c>
      <c r="AO514" t="str" cm="1">
        <f t="array" ref="AO514">_xlfn.SWITCH(CleanEmployeeData[[#This Row],[WorkLifeBalance]],1,"Bad",2,"Good",3,"Better",4,"Best","Unknown")</f>
        <v>Better</v>
      </c>
      <c r="AP514">
        <f>IF(CleanEmployeeData[[#This Row],[Attrition]]="Yes",1,IF(CleanEmployeeData[[#This Row],[Attrition]]="No",0,""))</f>
        <v>0</v>
      </c>
      <c r="AQ514" t="str" cm="1">
        <f t="array" ref="AQ514">_xlfn.IFS(CleanEmployeeData[[#This Row],[MonthlyIncome]]&lt;=3000,"0–3,000",CleanEmployeeData[[#This Row],[MonthlyIncome]]&lt;=6000,"3,001–6,000",CleanEmployeeData[[#This Row],[MonthlyIncome]]&lt;=10000,"6,001–10,000",TRUE,"10,001+")</f>
        <v>0–3,000</v>
      </c>
      <c r="AR514" t="str" cm="1">
        <f t="array" ref="AR514">_xlfn.IFS(CleanEmployeeData[[#This Row],[DistanceFromHome]]&lt;=5,"0–5 miles",CleanEmployeeData[[#This Row],[DistanceFromHome]]&lt;=10,"6–10 miles",CleanEmployeeData[[#This Row],[DistanceFromHome]]&lt;=15,"11–15 miles",TRUE,"16+ miles")</f>
        <v>0–5 miles</v>
      </c>
      <c r="AS514" t="str" cm="1">
        <f t="array" ref="AS514">_xlfn.IFS(CleanEmployeeData[[#This Row],[YearsAtCompany]]&lt;=1,"0–1 years",CleanEmployeeData[[#This Row],[YearsAtCompany]]&lt;=5,"2–5 years",CleanEmployeeData[[#This Row],[YearsAtCompany]]&lt;=10,"6–10 years",TRUE,"11+ years")</f>
        <v>2–5 years</v>
      </c>
    </row>
    <row r="515" spans="1:4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cm="1">
        <f t="array" ref="AJ515">_xlfn.SWITCH(CleanEmployeeData[[#This Row],[Education]],1,"Below College",2,"College",3,"Bachelor",4,"Master",5,"Doctor","Unknown")</f>
        <v>Below College</v>
      </c>
      <c r="AK515" t="str" cm="1">
        <f t="array" ref="AK515">_xlfn.SWITCH(CleanEmployeeData[[#This Row],[EnvironmentSatisfaction]],1,"Low",2,"Medium",3,"High",4,"Very High","Unknown")</f>
        <v>Very High</v>
      </c>
      <c r="AL515" t="str" cm="1">
        <f t="array" ref="AL515">_xlfn.SWITCH(CleanEmployeeData[[#This Row],[JobInvolvement]],1,"Low",2,"Medium",3,"High",4,"Very High","Unknown")</f>
        <v>High</v>
      </c>
      <c r="AM515" t="str" cm="1">
        <f t="array" ref="AM515">_xlfn.SWITCH(CleanEmployeeData[[#This Row],[JobSatisfaction]],1,"Low",2,"Medium",3,"High",4,"Very High","Unknown")</f>
        <v>High</v>
      </c>
      <c r="AN515" t="str" cm="1">
        <f t="array" ref="AN515">_xlfn.SWITCH(CleanEmployeeData[[#This Row],[PerformanceRating]],1,"Low",2,"Good",3,"Excellent",4,"Outstanding","Unknown")</f>
        <v>Excellent</v>
      </c>
      <c r="AO515" t="str" cm="1">
        <f t="array" ref="AO515">_xlfn.SWITCH(CleanEmployeeData[[#This Row],[WorkLifeBalance]],1,"Bad",2,"Good",3,"Better",4,"Best","Unknown")</f>
        <v>Better</v>
      </c>
      <c r="AP515">
        <f>IF(CleanEmployeeData[[#This Row],[Attrition]]="Yes",1,IF(CleanEmployeeData[[#This Row],[Attrition]]="No",0,""))</f>
        <v>1</v>
      </c>
      <c r="AQ515" t="str" cm="1">
        <f t="array" ref="AQ515">_xlfn.IFS(CleanEmployeeData[[#This Row],[MonthlyIncome]]&lt;=3000,"0–3,000",CleanEmployeeData[[#This Row],[MonthlyIncome]]&lt;=6000,"3,001–6,000",CleanEmployeeData[[#This Row],[MonthlyIncome]]&lt;=10000,"6,001–10,000",TRUE,"10,001+")</f>
        <v>0–3,000</v>
      </c>
      <c r="AR515" t="str" cm="1">
        <f t="array" ref="AR515">_xlfn.IFS(CleanEmployeeData[[#This Row],[DistanceFromHome]]&lt;=5,"0–5 miles",CleanEmployeeData[[#This Row],[DistanceFromHome]]&lt;=10,"6–10 miles",CleanEmployeeData[[#This Row],[DistanceFromHome]]&lt;=15,"11–15 miles",TRUE,"16+ miles")</f>
        <v>6–10 miles</v>
      </c>
      <c r="AS515" t="str" cm="1">
        <f t="array" ref="AS515">_xlfn.IFS(CleanEmployeeData[[#This Row],[YearsAtCompany]]&lt;=1,"0–1 years",CleanEmployeeData[[#This Row],[YearsAtCompany]]&lt;=5,"2–5 years",CleanEmployeeData[[#This Row],[YearsAtCompany]]&lt;=10,"6–10 years",TRUE,"11+ years")</f>
        <v>0–1 years</v>
      </c>
    </row>
    <row r="516" spans="1:4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cm="1">
        <f t="array" ref="AJ516">_xlfn.SWITCH(CleanEmployeeData[[#This Row],[Education]],1,"Below College",2,"College",3,"Bachelor",4,"Master",5,"Doctor","Unknown")</f>
        <v>Bachelor</v>
      </c>
      <c r="AK516" t="str" cm="1">
        <f t="array" ref="AK516">_xlfn.SWITCH(CleanEmployeeData[[#This Row],[EnvironmentSatisfaction]],1,"Low",2,"Medium",3,"High",4,"Very High","Unknown")</f>
        <v>Low</v>
      </c>
      <c r="AL516" t="str" cm="1">
        <f t="array" ref="AL516">_xlfn.SWITCH(CleanEmployeeData[[#This Row],[JobInvolvement]],1,"Low",2,"Medium",3,"High",4,"Very High","Unknown")</f>
        <v>High</v>
      </c>
      <c r="AM516" t="str" cm="1">
        <f t="array" ref="AM516">_xlfn.SWITCH(CleanEmployeeData[[#This Row],[JobSatisfaction]],1,"Low",2,"Medium",3,"High",4,"Very High","Unknown")</f>
        <v>Low</v>
      </c>
      <c r="AN516" t="str" cm="1">
        <f t="array" ref="AN516">_xlfn.SWITCH(CleanEmployeeData[[#This Row],[PerformanceRating]],1,"Low",2,"Good",3,"Excellent",4,"Outstanding","Unknown")</f>
        <v>Excellent</v>
      </c>
      <c r="AO516" t="str" cm="1">
        <f t="array" ref="AO516">_xlfn.SWITCH(CleanEmployeeData[[#This Row],[WorkLifeBalance]],1,"Bad",2,"Good",3,"Better",4,"Best","Unknown")</f>
        <v>Better</v>
      </c>
      <c r="AP516">
        <f>IF(CleanEmployeeData[[#This Row],[Attrition]]="Yes",1,IF(CleanEmployeeData[[#This Row],[Attrition]]="No",0,""))</f>
        <v>1</v>
      </c>
      <c r="AQ516" t="str" cm="1">
        <f t="array" ref="AQ516">_xlfn.IFS(CleanEmployeeData[[#This Row],[MonthlyIncome]]&lt;=3000,"0–3,000",CleanEmployeeData[[#This Row],[MonthlyIncome]]&lt;=6000,"3,001–6,000",CleanEmployeeData[[#This Row],[MonthlyIncome]]&lt;=10000,"6,001–10,000",TRUE,"10,001+")</f>
        <v>3,001–6,000</v>
      </c>
      <c r="AR516" t="str" cm="1">
        <f t="array" ref="AR516">_xlfn.IFS(CleanEmployeeData[[#This Row],[DistanceFromHome]]&lt;=5,"0–5 miles",CleanEmployeeData[[#This Row],[DistanceFromHome]]&lt;=10,"6–10 miles",CleanEmployeeData[[#This Row],[DistanceFromHome]]&lt;=15,"11–15 miles",TRUE,"16+ miles")</f>
        <v>0–5 miles</v>
      </c>
      <c r="AS516" t="str" cm="1">
        <f t="array" ref="AS516">_xlfn.IFS(CleanEmployeeData[[#This Row],[YearsAtCompany]]&lt;=1,"0–1 years",CleanEmployeeData[[#This Row],[YearsAtCompany]]&lt;=5,"2–5 years",CleanEmployeeData[[#This Row],[YearsAtCompany]]&lt;=10,"6–10 years",TRUE,"11+ years")</f>
        <v>6–10 years</v>
      </c>
    </row>
    <row r="517" spans="1:4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cm="1">
        <f t="array" ref="AJ517">_xlfn.SWITCH(CleanEmployeeData[[#This Row],[Education]],1,"Below College",2,"College",3,"Bachelor",4,"Master",5,"Doctor","Unknown")</f>
        <v>Bachelor</v>
      </c>
      <c r="AK517" t="str" cm="1">
        <f t="array" ref="AK517">_xlfn.SWITCH(CleanEmployeeData[[#This Row],[EnvironmentSatisfaction]],1,"Low",2,"Medium",3,"High",4,"Very High","Unknown")</f>
        <v>High</v>
      </c>
      <c r="AL517" t="str" cm="1">
        <f t="array" ref="AL517">_xlfn.SWITCH(CleanEmployeeData[[#This Row],[JobInvolvement]],1,"Low",2,"Medium",3,"High",4,"Very High","Unknown")</f>
        <v>Medium</v>
      </c>
      <c r="AM517" t="str" cm="1">
        <f t="array" ref="AM517">_xlfn.SWITCH(CleanEmployeeData[[#This Row],[JobSatisfaction]],1,"Low",2,"Medium",3,"High",4,"Very High","Unknown")</f>
        <v>High</v>
      </c>
      <c r="AN517" t="str" cm="1">
        <f t="array" ref="AN517">_xlfn.SWITCH(CleanEmployeeData[[#This Row],[PerformanceRating]],1,"Low",2,"Good",3,"Excellent",4,"Outstanding","Unknown")</f>
        <v>Excellent</v>
      </c>
      <c r="AO517" t="str" cm="1">
        <f t="array" ref="AO517">_xlfn.SWITCH(CleanEmployeeData[[#This Row],[WorkLifeBalance]],1,"Bad",2,"Good",3,"Better",4,"Best","Unknown")</f>
        <v>Better</v>
      </c>
      <c r="AP517">
        <f>IF(CleanEmployeeData[[#This Row],[Attrition]]="Yes",1,IF(CleanEmployeeData[[#This Row],[Attrition]]="No",0,""))</f>
        <v>0</v>
      </c>
      <c r="AQ517" t="str" cm="1">
        <f t="array" ref="AQ517">_xlfn.IFS(CleanEmployeeData[[#This Row],[MonthlyIncome]]&lt;=3000,"0–3,000",CleanEmployeeData[[#This Row],[MonthlyIncome]]&lt;=6000,"3,001–6,000",CleanEmployeeData[[#This Row],[MonthlyIncome]]&lt;=10000,"6,001–10,000",TRUE,"10,001+")</f>
        <v>0–3,000</v>
      </c>
      <c r="AR517" t="str" cm="1">
        <f t="array" ref="AR517">_xlfn.IFS(CleanEmployeeData[[#This Row],[DistanceFromHome]]&lt;=5,"0–5 miles",CleanEmployeeData[[#This Row],[DistanceFromHome]]&lt;=10,"6–10 miles",CleanEmployeeData[[#This Row],[DistanceFromHome]]&lt;=15,"11–15 miles",TRUE,"16+ miles")</f>
        <v>0–5 miles</v>
      </c>
      <c r="AS517" t="str" cm="1">
        <f t="array" ref="AS517">_xlfn.IFS(CleanEmployeeData[[#This Row],[YearsAtCompany]]&lt;=1,"0–1 years",CleanEmployeeData[[#This Row],[YearsAtCompany]]&lt;=5,"2–5 years",CleanEmployeeData[[#This Row],[YearsAtCompany]]&lt;=10,"6–10 years",TRUE,"11+ years")</f>
        <v>0–1 years</v>
      </c>
    </row>
    <row r="518" spans="1:4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cm="1">
        <f t="array" ref="AJ518">_xlfn.SWITCH(CleanEmployeeData[[#This Row],[Education]],1,"Below College",2,"College",3,"Bachelor",4,"Master",5,"Doctor","Unknown")</f>
        <v>Bachelor</v>
      </c>
      <c r="AK518" t="str" cm="1">
        <f t="array" ref="AK518">_xlfn.SWITCH(CleanEmployeeData[[#This Row],[EnvironmentSatisfaction]],1,"Low",2,"Medium",3,"High",4,"Very High","Unknown")</f>
        <v>Low</v>
      </c>
      <c r="AL518" t="str" cm="1">
        <f t="array" ref="AL518">_xlfn.SWITCH(CleanEmployeeData[[#This Row],[JobInvolvement]],1,"Low",2,"Medium",3,"High",4,"Very High","Unknown")</f>
        <v>Very High</v>
      </c>
      <c r="AM518" t="str" cm="1">
        <f t="array" ref="AM518">_xlfn.SWITCH(CleanEmployeeData[[#This Row],[JobSatisfaction]],1,"Low",2,"Medium",3,"High",4,"Very High","Unknown")</f>
        <v>Low</v>
      </c>
      <c r="AN518" t="str" cm="1">
        <f t="array" ref="AN518">_xlfn.SWITCH(CleanEmployeeData[[#This Row],[PerformanceRating]],1,"Low",2,"Good",3,"Excellent",4,"Outstanding","Unknown")</f>
        <v>Excellent</v>
      </c>
      <c r="AO518" t="str" cm="1">
        <f t="array" ref="AO518">_xlfn.SWITCH(CleanEmployeeData[[#This Row],[WorkLifeBalance]],1,"Bad",2,"Good",3,"Better",4,"Best","Unknown")</f>
        <v>Best</v>
      </c>
      <c r="AP518">
        <f>IF(CleanEmployeeData[[#This Row],[Attrition]]="Yes",1,IF(CleanEmployeeData[[#This Row],[Attrition]]="No",0,""))</f>
        <v>0</v>
      </c>
      <c r="AQ518" t="str" cm="1">
        <f t="array" ref="AQ518">_xlfn.IFS(CleanEmployeeData[[#This Row],[MonthlyIncome]]&lt;=3000,"0–3,000",CleanEmployeeData[[#This Row],[MonthlyIncome]]&lt;=6000,"3,001–6,000",CleanEmployeeData[[#This Row],[MonthlyIncome]]&lt;=10000,"6,001–10,000",TRUE,"10,001+")</f>
        <v>0–3,000</v>
      </c>
      <c r="AR518" t="str" cm="1">
        <f t="array" ref="AR518">_xlfn.IFS(CleanEmployeeData[[#This Row],[DistanceFromHome]]&lt;=5,"0–5 miles",CleanEmployeeData[[#This Row],[DistanceFromHome]]&lt;=10,"6–10 miles",CleanEmployeeData[[#This Row],[DistanceFromHome]]&lt;=15,"11–15 miles",TRUE,"16+ miles")</f>
        <v>0–5 miles</v>
      </c>
      <c r="AS518" t="str" cm="1">
        <f t="array" ref="AS518">_xlfn.IFS(CleanEmployeeData[[#This Row],[YearsAtCompany]]&lt;=1,"0–1 years",CleanEmployeeData[[#This Row],[YearsAtCompany]]&lt;=5,"2–5 years",CleanEmployeeData[[#This Row],[YearsAtCompany]]&lt;=10,"6–10 years",TRUE,"11+ years")</f>
        <v>2–5 years</v>
      </c>
    </row>
    <row r="519" spans="1:4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cm="1">
        <f t="array" ref="AJ519">_xlfn.SWITCH(CleanEmployeeData[[#This Row],[Education]],1,"Below College",2,"College",3,"Bachelor",4,"Master",5,"Doctor","Unknown")</f>
        <v>Bachelor</v>
      </c>
      <c r="AK519" t="str" cm="1">
        <f t="array" ref="AK519">_xlfn.SWITCH(CleanEmployeeData[[#This Row],[EnvironmentSatisfaction]],1,"Low",2,"Medium",3,"High",4,"Very High","Unknown")</f>
        <v>Very High</v>
      </c>
      <c r="AL519" t="str" cm="1">
        <f t="array" ref="AL519">_xlfn.SWITCH(CleanEmployeeData[[#This Row],[JobInvolvement]],1,"Low",2,"Medium",3,"High",4,"Very High","Unknown")</f>
        <v>Very High</v>
      </c>
      <c r="AM519" t="str" cm="1">
        <f t="array" ref="AM519">_xlfn.SWITCH(CleanEmployeeData[[#This Row],[JobSatisfaction]],1,"Low",2,"Medium",3,"High",4,"Very High","Unknown")</f>
        <v>Medium</v>
      </c>
      <c r="AN519" t="str" cm="1">
        <f t="array" ref="AN519">_xlfn.SWITCH(CleanEmployeeData[[#This Row],[PerformanceRating]],1,"Low",2,"Good",3,"Excellent",4,"Outstanding","Unknown")</f>
        <v>Outstanding</v>
      </c>
      <c r="AO519" t="str" cm="1">
        <f t="array" ref="AO519">_xlfn.SWITCH(CleanEmployeeData[[#This Row],[WorkLifeBalance]],1,"Bad",2,"Good",3,"Better",4,"Best","Unknown")</f>
        <v>Better</v>
      </c>
      <c r="AP519">
        <f>IF(CleanEmployeeData[[#This Row],[Attrition]]="Yes",1,IF(CleanEmployeeData[[#This Row],[Attrition]]="No",0,""))</f>
        <v>0</v>
      </c>
      <c r="AQ519" t="str" cm="1">
        <f t="array" ref="AQ519">_xlfn.IFS(CleanEmployeeData[[#This Row],[MonthlyIncome]]&lt;=3000,"0–3,000",CleanEmployeeData[[#This Row],[MonthlyIncome]]&lt;=6000,"3,001–6,000",CleanEmployeeData[[#This Row],[MonthlyIncome]]&lt;=10000,"6,001–10,000",TRUE,"10,001+")</f>
        <v>3,001–6,000</v>
      </c>
      <c r="AR519" t="str" cm="1">
        <f t="array" ref="AR519">_xlfn.IFS(CleanEmployeeData[[#This Row],[DistanceFromHome]]&lt;=5,"0–5 miles",CleanEmployeeData[[#This Row],[DistanceFromHome]]&lt;=10,"6–10 miles",CleanEmployeeData[[#This Row],[DistanceFromHome]]&lt;=15,"11–15 miles",TRUE,"16+ miles")</f>
        <v>6–10 miles</v>
      </c>
      <c r="AS519" t="str" cm="1">
        <f t="array" ref="AS519">_xlfn.IFS(CleanEmployeeData[[#This Row],[YearsAtCompany]]&lt;=1,"0–1 years",CleanEmployeeData[[#This Row],[YearsAtCompany]]&lt;=5,"2–5 years",CleanEmployeeData[[#This Row],[YearsAtCompany]]&lt;=10,"6–10 years",TRUE,"11+ years")</f>
        <v>2–5 years</v>
      </c>
    </row>
    <row r="520" spans="1:4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cm="1">
        <f t="array" ref="AJ520">_xlfn.SWITCH(CleanEmployeeData[[#This Row],[Education]],1,"Below College",2,"College",3,"Bachelor",4,"Master",5,"Doctor","Unknown")</f>
        <v>Master</v>
      </c>
      <c r="AK520" t="str" cm="1">
        <f t="array" ref="AK520">_xlfn.SWITCH(CleanEmployeeData[[#This Row],[EnvironmentSatisfaction]],1,"Low",2,"Medium",3,"High",4,"Very High","Unknown")</f>
        <v>Very High</v>
      </c>
      <c r="AL520" t="str" cm="1">
        <f t="array" ref="AL520">_xlfn.SWITCH(CleanEmployeeData[[#This Row],[JobInvolvement]],1,"Low",2,"Medium",3,"High",4,"Very High","Unknown")</f>
        <v>Medium</v>
      </c>
      <c r="AM520" t="str" cm="1">
        <f t="array" ref="AM520">_xlfn.SWITCH(CleanEmployeeData[[#This Row],[JobSatisfaction]],1,"Low",2,"Medium",3,"High",4,"Very High","Unknown")</f>
        <v>Very High</v>
      </c>
      <c r="AN520" t="str" cm="1">
        <f t="array" ref="AN520">_xlfn.SWITCH(CleanEmployeeData[[#This Row],[PerformanceRating]],1,"Low",2,"Good",3,"Excellent",4,"Outstanding","Unknown")</f>
        <v>Outstanding</v>
      </c>
      <c r="AO520" t="str" cm="1">
        <f t="array" ref="AO520">_xlfn.SWITCH(CleanEmployeeData[[#This Row],[WorkLifeBalance]],1,"Bad",2,"Good",3,"Better",4,"Best","Unknown")</f>
        <v>Better</v>
      </c>
      <c r="AP520">
        <f>IF(CleanEmployeeData[[#This Row],[Attrition]]="Yes",1,IF(CleanEmployeeData[[#This Row],[Attrition]]="No",0,""))</f>
        <v>0</v>
      </c>
      <c r="AQ520" t="str" cm="1">
        <f t="array" ref="AQ520">_xlfn.IFS(CleanEmployeeData[[#This Row],[MonthlyIncome]]&lt;=3000,"0–3,000",CleanEmployeeData[[#This Row],[MonthlyIncome]]&lt;=6000,"3,001–6,000",CleanEmployeeData[[#This Row],[MonthlyIncome]]&lt;=10000,"6,001–10,000",TRUE,"10,001+")</f>
        <v>3,001–6,000</v>
      </c>
      <c r="AR520" t="str" cm="1">
        <f t="array" ref="AR520">_xlfn.IFS(CleanEmployeeData[[#This Row],[DistanceFromHome]]&lt;=5,"0–5 miles",CleanEmployeeData[[#This Row],[DistanceFromHome]]&lt;=10,"6–10 miles",CleanEmployeeData[[#This Row],[DistanceFromHome]]&lt;=15,"11–15 miles",TRUE,"16+ miles")</f>
        <v>6–10 miles</v>
      </c>
      <c r="AS520" t="str" cm="1">
        <f t="array" ref="AS520">_xlfn.IFS(CleanEmployeeData[[#This Row],[YearsAtCompany]]&lt;=1,"0–1 years",CleanEmployeeData[[#This Row],[YearsAtCompany]]&lt;=5,"2–5 years",CleanEmployeeData[[#This Row],[YearsAtCompany]]&lt;=10,"6–10 years",TRUE,"11+ years")</f>
        <v>6–10 years</v>
      </c>
    </row>
    <row r="521" spans="1:4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cm="1">
        <f t="array" ref="AJ521">_xlfn.SWITCH(CleanEmployeeData[[#This Row],[Education]],1,"Below College",2,"College",3,"Bachelor",4,"Master",5,"Doctor","Unknown")</f>
        <v>Master</v>
      </c>
      <c r="AK521" t="str" cm="1">
        <f t="array" ref="AK521">_xlfn.SWITCH(CleanEmployeeData[[#This Row],[EnvironmentSatisfaction]],1,"Low",2,"Medium",3,"High",4,"Very High","Unknown")</f>
        <v>Medium</v>
      </c>
      <c r="AL521" t="str" cm="1">
        <f t="array" ref="AL521">_xlfn.SWITCH(CleanEmployeeData[[#This Row],[JobInvolvement]],1,"Low",2,"Medium",3,"High",4,"Very High","Unknown")</f>
        <v>Low</v>
      </c>
      <c r="AM521" t="str" cm="1">
        <f t="array" ref="AM521">_xlfn.SWITCH(CleanEmployeeData[[#This Row],[JobSatisfaction]],1,"Low",2,"Medium",3,"High",4,"Very High","Unknown")</f>
        <v>Very High</v>
      </c>
      <c r="AN521" t="str" cm="1">
        <f t="array" ref="AN521">_xlfn.SWITCH(CleanEmployeeData[[#This Row],[PerformanceRating]],1,"Low",2,"Good",3,"Excellent",4,"Outstanding","Unknown")</f>
        <v>Excellent</v>
      </c>
      <c r="AO521" t="str" cm="1">
        <f t="array" ref="AO521">_xlfn.SWITCH(CleanEmployeeData[[#This Row],[WorkLifeBalance]],1,"Bad",2,"Good",3,"Better",4,"Best","Unknown")</f>
        <v>Better</v>
      </c>
      <c r="AP521">
        <f>IF(CleanEmployeeData[[#This Row],[Attrition]]="Yes",1,IF(CleanEmployeeData[[#This Row],[Attrition]]="No",0,""))</f>
        <v>0</v>
      </c>
      <c r="AQ521" t="str" cm="1">
        <f t="array" ref="AQ521">_xlfn.IFS(CleanEmployeeData[[#This Row],[MonthlyIncome]]&lt;=3000,"0–3,000",CleanEmployeeData[[#This Row],[MonthlyIncome]]&lt;=6000,"3,001–6,000",CleanEmployeeData[[#This Row],[MonthlyIncome]]&lt;=10000,"6,001–10,000",TRUE,"10,001+")</f>
        <v>0–3,000</v>
      </c>
      <c r="AR521" t="str" cm="1">
        <f t="array" ref="AR521">_xlfn.IFS(CleanEmployeeData[[#This Row],[DistanceFromHome]]&lt;=5,"0–5 miles",CleanEmployeeData[[#This Row],[DistanceFromHome]]&lt;=10,"6–10 miles",CleanEmployeeData[[#This Row],[DistanceFromHome]]&lt;=15,"11–15 miles",TRUE,"16+ miles")</f>
        <v>0–5 miles</v>
      </c>
      <c r="AS521" t="str" cm="1">
        <f t="array" ref="AS521">_xlfn.IFS(CleanEmployeeData[[#This Row],[YearsAtCompany]]&lt;=1,"0–1 years",CleanEmployeeData[[#This Row],[YearsAtCompany]]&lt;=5,"2–5 years",CleanEmployeeData[[#This Row],[YearsAtCompany]]&lt;=10,"6–10 years",TRUE,"11+ years")</f>
        <v>6–10 years</v>
      </c>
    </row>
    <row r="522" spans="1:4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cm="1">
        <f t="array" ref="AJ522">_xlfn.SWITCH(CleanEmployeeData[[#This Row],[Education]],1,"Below College",2,"College",3,"Bachelor",4,"Master",5,"Doctor","Unknown")</f>
        <v>Below College</v>
      </c>
      <c r="AK522" t="str" cm="1">
        <f t="array" ref="AK522">_xlfn.SWITCH(CleanEmployeeData[[#This Row],[EnvironmentSatisfaction]],1,"Low",2,"Medium",3,"High",4,"Very High","Unknown")</f>
        <v>Medium</v>
      </c>
      <c r="AL522" t="str" cm="1">
        <f t="array" ref="AL522">_xlfn.SWITCH(CleanEmployeeData[[#This Row],[JobInvolvement]],1,"Low",2,"Medium",3,"High",4,"Very High","Unknown")</f>
        <v>Very High</v>
      </c>
      <c r="AM522" t="str" cm="1">
        <f t="array" ref="AM522">_xlfn.SWITCH(CleanEmployeeData[[#This Row],[JobSatisfaction]],1,"Low",2,"Medium",3,"High",4,"Very High","Unknown")</f>
        <v>Medium</v>
      </c>
      <c r="AN522" t="str" cm="1">
        <f t="array" ref="AN522">_xlfn.SWITCH(CleanEmployeeData[[#This Row],[PerformanceRating]],1,"Low",2,"Good",3,"Excellent",4,"Outstanding","Unknown")</f>
        <v>Excellent</v>
      </c>
      <c r="AO522" t="str" cm="1">
        <f t="array" ref="AO522">_xlfn.SWITCH(CleanEmployeeData[[#This Row],[WorkLifeBalance]],1,"Bad",2,"Good",3,"Better",4,"Best","Unknown")</f>
        <v>Better</v>
      </c>
      <c r="AP522">
        <f>IF(CleanEmployeeData[[#This Row],[Attrition]]="Yes",1,IF(CleanEmployeeData[[#This Row],[Attrition]]="No",0,""))</f>
        <v>0</v>
      </c>
      <c r="AQ522" t="str" cm="1">
        <f t="array" ref="AQ522">_xlfn.IFS(CleanEmployeeData[[#This Row],[MonthlyIncome]]&lt;=3000,"0–3,000",CleanEmployeeData[[#This Row],[MonthlyIncome]]&lt;=6000,"3,001–6,000",CleanEmployeeData[[#This Row],[MonthlyIncome]]&lt;=10000,"6,001–10,000",TRUE,"10,001+")</f>
        <v>6,001–10,000</v>
      </c>
      <c r="AR522" t="str" cm="1">
        <f t="array" ref="AR522">_xlfn.IFS(CleanEmployeeData[[#This Row],[DistanceFromHome]]&lt;=5,"0–5 miles",CleanEmployeeData[[#This Row],[DistanceFromHome]]&lt;=10,"6–10 miles",CleanEmployeeData[[#This Row],[DistanceFromHome]]&lt;=15,"11–15 miles",TRUE,"16+ miles")</f>
        <v>0–5 miles</v>
      </c>
      <c r="AS522" t="str" cm="1">
        <f t="array" ref="AS522">_xlfn.IFS(CleanEmployeeData[[#This Row],[YearsAtCompany]]&lt;=1,"0–1 years",CleanEmployeeData[[#This Row],[YearsAtCompany]]&lt;=5,"2–5 years",CleanEmployeeData[[#This Row],[YearsAtCompany]]&lt;=10,"6–10 years",TRUE,"11+ years")</f>
        <v>2–5 years</v>
      </c>
    </row>
    <row r="523" spans="1:4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cm="1">
        <f t="array" ref="AJ523">_xlfn.SWITCH(CleanEmployeeData[[#This Row],[Education]],1,"Below College",2,"College",3,"Bachelor",4,"Master",5,"Doctor","Unknown")</f>
        <v>Below College</v>
      </c>
      <c r="AK523" t="str" cm="1">
        <f t="array" ref="AK523">_xlfn.SWITCH(CleanEmployeeData[[#This Row],[EnvironmentSatisfaction]],1,"Low",2,"Medium",3,"High",4,"Very High","Unknown")</f>
        <v>Very High</v>
      </c>
      <c r="AL523" t="str" cm="1">
        <f t="array" ref="AL523">_xlfn.SWITCH(CleanEmployeeData[[#This Row],[JobInvolvement]],1,"Low",2,"Medium",3,"High",4,"Very High","Unknown")</f>
        <v>Very High</v>
      </c>
      <c r="AM523" t="str" cm="1">
        <f t="array" ref="AM523">_xlfn.SWITCH(CleanEmployeeData[[#This Row],[JobSatisfaction]],1,"Low",2,"Medium",3,"High",4,"Very High","Unknown")</f>
        <v>Very High</v>
      </c>
      <c r="AN523" t="str" cm="1">
        <f t="array" ref="AN523">_xlfn.SWITCH(CleanEmployeeData[[#This Row],[PerformanceRating]],1,"Low",2,"Good",3,"Excellent",4,"Outstanding","Unknown")</f>
        <v>Outstanding</v>
      </c>
      <c r="AO523" t="str" cm="1">
        <f t="array" ref="AO523">_xlfn.SWITCH(CleanEmployeeData[[#This Row],[WorkLifeBalance]],1,"Bad",2,"Good",3,"Better",4,"Best","Unknown")</f>
        <v>Better</v>
      </c>
      <c r="AP523">
        <f>IF(CleanEmployeeData[[#This Row],[Attrition]]="Yes",1,IF(CleanEmployeeData[[#This Row],[Attrition]]="No",0,""))</f>
        <v>0</v>
      </c>
      <c r="AQ523" t="str" cm="1">
        <f t="array" ref="AQ523">_xlfn.IFS(CleanEmployeeData[[#This Row],[MonthlyIncome]]&lt;=3000,"0–3,000",CleanEmployeeData[[#This Row],[MonthlyIncome]]&lt;=6000,"3,001–6,000",CleanEmployeeData[[#This Row],[MonthlyIncome]]&lt;=10000,"6,001–10,000",TRUE,"10,001+")</f>
        <v>3,001–6,000</v>
      </c>
      <c r="AR523" t="str" cm="1">
        <f t="array" ref="AR523">_xlfn.IFS(CleanEmployeeData[[#This Row],[DistanceFromHome]]&lt;=5,"0–5 miles",CleanEmployeeData[[#This Row],[DistanceFromHome]]&lt;=10,"6–10 miles",CleanEmployeeData[[#This Row],[DistanceFromHome]]&lt;=15,"11–15 miles",TRUE,"16+ miles")</f>
        <v>0–5 miles</v>
      </c>
      <c r="AS523" t="str" cm="1">
        <f t="array" ref="AS523">_xlfn.IFS(CleanEmployeeData[[#This Row],[YearsAtCompany]]&lt;=1,"0–1 years",CleanEmployeeData[[#This Row],[YearsAtCompany]]&lt;=5,"2–5 years",CleanEmployeeData[[#This Row],[YearsAtCompany]]&lt;=10,"6–10 years",TRUE,"11+ years")</f>
        <v>6–10 years</v>
      </c>
    </row>
    <row r="524" spans="1:4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cm="1">
        <f t="array" ref="AJ524">_xlfn.SWITCH(CleanEmployeeData[[#This Row],[Education]],1,"Below College",2,"College",3,"Bachelor",4,"Master",5,"Doctor","Unknown")</f>
        <v>College</v>
      </c>
      <c r="AK524" t="str" cm="1">
        <f t="array" ref="AK524">_xlfn.SWITCH(CleanEmployeeData[[#This Row],[EnvironmentSatisfaction]],1,"Low",2,"Medium",3,"High",4,"Very High","Unknown")</f>
        <v>Very High</v>
      </c>
      <c r="AL524" t="str" cm="1">
        <f t="array" ref="AL524">_xlfn.SWITCH(CleanEmployeeData[[#This Row],[JobInvolvement]],1,"Low",2,"Medium",3,"High",4,"Very High","Unknown")</f>
        <v>Very High</v>
      </c>
      <c r="AM524" t="str" cm="1">
        <f t="array" ref="AM524">_xlfn.SWITCH(CleanEmployeeData[[#This Row],[JobSatisfaction]],1,"Low",2,"Medium",3,"High",4,"Very High","Unknown")</f>
        <v>Very High</v>
      </c>
      <c r="AN524" t="str" cm="1">
        <f t="array" ref="AN524">_xlfn.SWITCH(CleanEmployeeData[[#This Row],[PerformanceRating]],1,"Low",2,"Good",3,"Excellent",4,"Outstanding","Unknown")</f>
        <v>Excellent</v>
      </c>
      <c r="AO524" t="str" cm="1">
        <f t="array" ref="AO524">_xlfn.SWITCH(CleanEmployeeData[[#This Row],[WorkLifeBalance]],1,"Bad",2,"Good",3,"Better",4,"Best","Unknown")</f>
        <v>Better</v>
      </c>
      <c r="AP524">
        <f>IF(CleanEmployeeData[[#This Row],[Attrition]]="Yes",1,IF(CleanEmployeeData[[#This Row],[Attrition]]="No",0,""))</f>
        <v>0</v>
      </c>
      <c r="AQ524" t="str" cm="1">
        <f t="array" ref="AQ524">_xlfn.IFS(CleanEmployeeData[[#This Row],[MonthlyIncome]]&lt;=3000,"0–3,000",CleanEmployeeData[[#This Row],[MonthlyIncome]]&lt;=6000,"3,001–6,000",CleanEmployeeData[[#This Row],[MonthlyIncome]]&lt;=10000,"6,001–10,000",TRUE,"10,001+")</f>
        <v>3,001–6,000</v>
      </c>
      <c r="AR524" t="str" cm="1">
        <f t="array" ref="AR524">_xlfn.IFS(CleanEmployeeData[[#This Row],[DistanceFromHome]]&lt;=5,"0–5 miles",CleanEmployeeData[[#This Row],[DistanceFromHome]]&lt;=10,"6–10 miles",CleanEmployeeData[[#This Row],[DistanceFromHome]]&lt;=15,"11–15 miles",TRUE,"16+ miles")</f>
        <v>6–10 miles</v>
      </c>
      <c r="AS524" t="str" cm="1">
        <f t="array" ref="AS524">_xlfn.IFS(CleanEmployeeData[[#This Row],[YearsAtCompany]]&lt;=1,"0–1 years",CleanEmployeeData[[#This Row],[YearsAtCompany]]&lt;=5,"2–5 years",CleanEmployeeData[[#This Row],[YearsAtCompany]]&lt;=10,"6–10 years",TRUE,"11+ years")</f>
        <v>0–1 years</v>
      </c>
    </row>
    <row r="525" spans="1:4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cm="1">
        <f t="array" ref="AJ525">_xlfn.SWITCH(CleanEmployeeData[[#This Row],[Education]],1,"Below College",2,"College",3,"Bachelor",4,"Master",5,"Doctor","Unknown")</f>
        <v>Below College</v>
      </c>
      <c r="AK525" t="str" cm="1">
        <f t="array" ref="AK525">_xlfn.SWITCH(CleanEmployeeData[[#This Row],[EnvironmentSatisfaction]],1,"Low",2,"Medium",3,"High",4,"Very High","Unknown")</f>
        <v>Very High</v>
      </c>
      <c r="AL525" t="str" cm="1">
        <f t="array" ref="AL525">_xlfn.SWITCH(CleanEmployeeData[[#This Row],[JobInvolvement]],1,"Low",2,"Medium",3,"High",4,"Very High","Unknown")</f>
        <v>Very High</v>
      </c>
      <c r="AM525" t="str" cm="1">
        <f t="array" ref="AM525">_xlfn.SWITCH(CleanEmployeeData[[#This Row],[JobSatisfaction]],1,"Low",2,"Medium",3,"High",4,"Very High","Unknown")</f>
        <v>High</v>
      </c>
      <c r="AN525" t="str" cm="1">
        <f t="array" ref="AN525">_xlfn.SWITCH(CleanEmployeeData[[#This Row],[PerformanceRating]],1,"Low",2,"Good",3,"Excellent",4,"Outstanding","Unknown")</f>
        <v>Excellent</v>
      </c>
      <c r="AO525" t="str" cm="1">
        <f t="array" ref="AO525">_xlfn.SWITCH(CleanEmployeeData[[#This Row],[WorkLifeBalance]],1,"Bad",2,"Good",3,"Better",4,"Best","Unknown")</f>
        <v>Better</v>
      </c>
      <c r="AP525">
        <f>IF(CleanEmployeeData[[#This Row],[Attrition]]="Yes",1,IF(CleanEmployeeData[[#This Row],[Attrition]]="No",0,""))</f>
        <v>0</v>
      </c>
      <c r="AQ525" t="str" cm="1">
        <f t="array" ref="AQ525">_xlfn.IFS(CleanEmployeeData[[#This Row],[MonthlyIncome]]&lt;=3000,"0–3,000",CleanEmployeeData[[#This Row],[MonthlyIncome]]&lt;=6000,"3,001–6,000",CleanEmployeeData[[#This Row],[MonthlyIncome]]&lt;=10000,"6,001–10,000",TRUE,"10,001+")</f>
        <v>3,001–6,000</v>
      </c>
      <c r="AR525" t="str" cm="1">
        <f t="array" ref="AR525">_xlfn.IFS(CleanEmployeeData[[#This Row],[DistanceFromHome]]&lt;=5,"0–5 miles",CleanEmployeeData[[#This Row],[DistanceFromHome]]&lt;=10,"6–10 miles",CleanEmployeeData[[#This Row],[DistanceFromHome]]&lt;=15,"11–15 miles",TRUE,"16+ miles")</f>
        <v>16+ miles</v>
      </c>
      <c r="AS525" t="str" cm="1">
        <f t="array" ref="AS525">_xlfn.IFS(CleanEmployeeData[[#This Row],[YearsAtCompany]]&lt;=1,"0–1 years",CleanEmployeeData[[#This Row],[YearsAtCompany]]&lt;=5,"2–5 years",CleanEmployeeData[[#This Row],[YearsAtCompany]]&lt;=10,"6–10 years",TRUE,"11+ years")</f>
        <v>11+ years</v>
      </c>
    </row>
    <row r="526" spans="1:4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cm="1">
        <f t="array" ref="AJ526">_xlfn.SWITCH(CleanEmployeeData[[#This Row],[Education]],1,"Below College",2,"College",3,"Bachelor",4,"Master",5,"Doctor","Unknown")</f>
        <v>Bachelor</v>
      </c>
      <c r="AK526" t="str" cm="1">
        <f t="array" ref="AK526">_xlfn.SWITCH(CleanEmployeeData[[#This Row],[EnvironmentSatisfaction]],1,"Low",2,"Medium",3,"High",4,"Very High","Unknown")</f>
        <v>Very High</v>
      </c>
      <c r="AL526" t="str" cm="1">
        <f t="array" ref="AL526">_xlfn.SWITCH(CleanEmployeeData[[#This Row],[JobInvolvement]],1,"Low",2,"Medium",3,"High",4,"Very High","Unknown")</f>
        <v>Medium</v>
      </c>
      <c r="AM526" t="str" cm="1">
        <f t="array" ref="AM526">_xlfn.SWITCH(CleanEmployeeData[[#This Row],[JobSatisfaction]],1,"Low",2,"Medium",3,"High",4,"Very High","Unknown")</f>
        <v>Medium</v>
      </c>
      <c r="AN526" t="str" cm="1">
        <f t="array" ref="AN526">_xlfn.SWITCH(CleanEmployeeData[[#This Row],[PerformanceRating]],1,"Low",2,"Good",3,"Excellent",4,"Outstanding","Unknown")</f>
        <v>Excellent</v>
      </c>
      <c r="AO526" t="str" cm="1">
        <f t="array" ref="AO526">_xlfn.SWITCH(CleanEmployeeData[[#This Row],[WorkLifeBalance]],1,"Bad",2,"Good",3,"Better",4,"Best","Unknown")</f>
        <v>Best</v>
      </c>
      <c r="AP526">
        <f>IF(CleanEmployeeData[[#This Row],[Attrition]]="Yes",1,IF(CleanEmployeeData[[#This Row],[Attrition]]="No",0,""))</f>
        <v>0</v>
      </c>
      <c r="AQ526" t="str" cm="1">
        <f t="array" ref="AQ526">_xlfn.IFS(CleanEmployeeData[[#This Row],[MonthlyIncome]]&lt;=3000,"0–3,000",CleanEmployeeData[[#This Row],[MonthlyIncome]]&lt;=6000,"3,001–6,000",CleanEmployeeData[[#This Row],[MonthlyIncome]]&lt;=10000,"6,001–10,000",TRUE,"10,001+")</f>
        <v>6,001–10,000</v>
      </c>
      <c r="AR526" t="str" cm="1">
        <f t="array" ref="AR526">_xlfn.IFS(CleanEmployeeData[[#This Row],[DistanceFromHome]]&lt;=5,"0–5 miles",CleanEmployeeData[[#This Row],[DistanceFromHome]]&lt;=10,"6–10 miles",CleanEmployeeData[[#This Row],[DistanceFromHome]]&lt;=15,"11–15 miles",TRUE,"16+ miles")</f>
        <v>6–10 miles</v>
      </c>
      <c r="AS526" t="str" cm="1">
        <f t="array" ref="AS526">_xlfn.IFS(CleanEmployeeData[[#This Row],[YearsAtCompany]]&lt;=1,"0–1 years",CleanEmployeeData[[#This Row],[YearsAtCompany]]&lt;=5,"2–5 years",CleanEmployeeData[[#This Row],[YearsAtCompany]]&lt;=10,"6–10 years",TRUE,"11+ years")</f>
        <v>6–10 years</v>
      </c>
    </row>
    <row r="527" spans="1:4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cm="1">
        <f t="array" ref="AJ527">_xlfn.SWITCH(CleanEmployeeData[[#This Row],[Education]],1,"Below College",2,"College",3,"Bachelor",4,"Master",5,"Doctor","Unknown")</f>
        <v>College</v>
      </c>
      <c r="AK527" t="str" cm="1">
        <f t="array" ref="AK527">_xlfn.SWITCH(CleanEmployeeData[[#This Row],[EnvironmentSatisfaction]],1,"Low",2,"Medium",3,"High",4,"Very High","Unknown")</f>
        <v>Low</v>
      </c>
      <c r="AL527" t="str" cm="1">
        <f t="array" ref="AL527">_xlfn.SWITCH(CleanEmployeeData[[#This Row],[JobInvolvement]],1,"Low",2,"Medium",3,"High",4,"Very High","Unknown")</f>
        <v>High</v>
      </c>
      <c r="AM527" t="str" cm="1">
        <f t="array" ref="AM527">_xlfn.SWITCH(CleanEmployeeData[[#This Row],[JobSatisfaction]],1,"Low",2,"Medium",3,"High",4,"Very High","Unknown")</f>
        <v>High</v>
      </c>
      <c r="AN527" t="str" cm="1">
        <f t="array" ref="AN527">_xlfn.SWITCH(CleanEmployeeData[[#This Row],[PerformanceRating]],1,"Low",2,"Good",3,"Excellent",4,"Outstanding","Unknown")</f>
        <v>Excellent</v>
      </c>
      <c r="AO527" t="str" cm="1">
        <f t="array" ref="AO527">_xlfn.SWITCH(CleanEmployeeData[[#This Row],[WorkLifeBalance]],1,"Bad",2,"Good",3,"Better",4,"Best","Unknown")</f>
        <v>Better</v>
      </c>
      <c r="AP527">
        <f>IF(CleanEmployeeData[[#This Row],[Attrition]]="Yes",1,IF(CleanEmployeeData[[#This Row],[Attrition]]="No",0,""))</f>
        <v>1</v>
      </c>
      <c r="AQ527" t="str" cm="1">
        <f t="array" ref="AQ527">_xlfn.IFS(CleanEmployeeData[[#This Row],[MonthlyIncome]]&lt;=3000,"0–3,000",CleanEmployeeData[[#This Row],[MonthlyIncome]]&lt;=6000,"3,001–6,000",CleanEmployeeData[[#This Row],[MonthlyIncome]]&lt;=10000,"6,001–10,000",TRUE,"10,001+")</f>
        <v>3,001–6,000</v>
      </c>
      <c r="AR527" t="str" cm="1">
        <f t="array" ref="AR527">_xlfn.IFS(CleanEmployeeData[[#This Row],[DistanceFromHome]]&lt;=5,"0–5 miles",CleanEmployeeData[[#This Row],[DistanceFromHome]]&lt;=10,"6–10 miles",CleanEmployeeData[[#This Row],[DistanceFromHome]]&lt;=15,"11–15 miles",TRUE,"16+ miles")</f>
        <v>0–5 miles</v>
      </c>
      <c r="AS527" t="str" cm="1">
        <f t="array" ref="AS527">_xlfn.IFS(CleanEmployeeData[[#This Row],[YearsAtCompany]]&lt;=1,"0–1 years",CleanEmployeeData[[#This Row],[YearsAtCompany]]&lt;=5,"2–5 years",CleanEmployeeData[[#This Row],[YearsAtCompany]]&lt;=10,"6–10 years",TRUE,"11+ years")</f>
        <v>2–5 years</v>
      </c>
    </row>
    <row r="528" spans="1:4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cm="1">
        <f t="array" ref="AJ528">_xlfn.SWITCH(CleanEmployeeData[[#This Row],[Education]],1,"Below College",2,"College",3,"Bachelor",4,"Master",5,"Doctor","Unknown")</f>
        <v>Master</v>
      </c>
      <c r="AK528" t="str" cm="1">
        <f t="array" ref="AK528">_xlfn.SWITCH(CleanEmployeeData[[#This Row],[EnvironmentSatisfaction]],1,"Low",2,"Medium",3,"High",4,"Very High","Unknown")</f>
        <v>Very High</v>
      </c>
      <c r="AL528" t="str" cm="1">
        <f t="array" ref="AL528">_xlfn.SWITCH(CleanEmployeeData[[#This Row],[JobInvolvement]],1,"Low",2,"Medium",3,"High",4,"Very High","Unknown")</f>
        <v>Medium</v>
      </c>
      <c r="AM528" t="str" cm="1">
        <f t="array" ref="AM528">_xlfn.SWITCH(CleanEmployeeData[[#This Row],[JobSatisfaction]],1,"Low",2,"Medium",3,"High",4,"Very High","Unknown")</f>
        <v>High</v>
      </c>
      <c r="AN528" t="str" cm="1">
        <f t="array" ref="AN528">_xlfn.SWITCH(CleanEmployeeData[[#This Row],[PerformanceRating]],1,"Low",2,"Good",3,"Excellent",4,"Outstanding","Unknown")</f>
        <v>Excellent</v>
      </c>
      <c r="AO528" t="str" cm="1">
        <f t="array" ref="AO528">_xlfn.SWITCH(CleanEmployeeData[[#This Row],[WorkLifeBalance]],1,"Bad",2,"Good",3,"Better",4,"Best","Unknown")</f>
        <v>Better</v>
      </c>
      <c r="AP528">
        <f>IF(CleanEmployeeData[[#This Row],[Attrition]]="Yes",1,IF(CleanEmployeeData[[#This Row],[Attrition]]="No",0,""))</f>
        <v>0</v>
      </c>
      <c r="AQ528" t="str" cm="1">
        <f t="array" ref="AQ528">_xlfn.IFS(CleanEmployeeData[[#This Row],[MonthlyIncome]]&lt;=3000,"0–3,000",CleanEmployeeData[[#This Row],[MonthlyIncome]]&lt;=6000,"3,001–6,000",CleanEmployeeData[[#This Row],[MonthlyIncome]]&lt;=10000,"6,001–10,000",TRUE,"10,001+")</f>
        <v>3,001–6,000</v>
      </c>
      <c r="AR528" t="str" cm="1">
        <f t="array" ref="AR528">_xlfn.IFS(CleanEmployeeData[[#This Row],[DistanceFromHome]]&lt;=5,"0–5 miles",CleanEmployeeData[[#This Row],[DistanceFromHome]]&lt;=10,"6–10 miles",CleanEmployeeData[[#This Row],[DistanceFromHome]]&lt;=15,"11–15 miles",TRUE,"16+ miles")</f>
        <v>0–5 miles</v>
      </c>
      <c r="AS528" t="str" cm="1">
        <f t="array" ref="AS528">_xlfn.IFS(CleanEmployeeData[[#This Row],[YearsAtCompany]]&lt;=1,"0–1 years",CleanEmployeeData[[#This Row],[YearsAtCompany]]&lt;=5,"2–5 years",CleanEmployeeData[[#This Row],[YearsAtCompany]]&lt;=10,"6–10 years",TRUE,"11+ years")</f>
        <v>11+ years</v>
      </c>
    </row>
    <row r="529" spans="1:4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cm="1">
        <f t="array" ref="AJ529">_xlfn.SWITCH(CleanEmployeeData[[#This Row],[Education]],1,"Below College",2,"College",3,"Bachelor",4,"Master",5,"Doctor","Unknown")</f>
        <v>Bachelor</v>
      </c>
      <c r="AK529" t="str" cm="1">
        <f t="array" ref="AK529">_xlfn.SWITCH(CleanEmployeeData[[#This Row],[EnvironmentSatisfaction]],1,"Low",2,"Medium",3,"High",4,"Very High","Unknown")</f>
        <v>Very High</v>
      </c>
      <c r="AL529" t="str" cm="1">
        <f t="array" ref="AL529">_xlfn.SWITCH(CleanEmployeeData[[#This Row],[JobInvolvement]],1,"Low",2,"Medium",3,"High",4,"Very High","Unknown")</f>
        <v>High</v>
      </c>
      <c r="AM529" t="str" cm="1">
        <f t="array" ref="AM529">_xlfn.SWITCH(CleanEmployeeData[[#This Row],[JobSatisfaction]],1,"Low",2,"Medium",3,"High",4,"Very High","Unknown")</f>
        <v>Very High</v>
      </c>
      <c r="AN529" t="str" cm="1">
        <f t="array" ref="AN529">_xlfn.SWITCH(CleanEmployeeData[[#This Row],[PerformanceRating]],1,"Low",2,"Good",3,"Excellent",4,"Outstanding","Unknown")</f>
        <v>Excellent</v>
      </c>
      <c r="AO529" t="str" cm="1">
        <f t="array" ref="AO529">_xlfn.SWITCH(CleanEmployeeData[[#This Row],[WorkLifeBalance]],1,"Bad",2,"Good",3,"Better",4,"Best","Unknown")</f>
        <v>Good</v>
      </c>
      <c r="AP529">
        <f>IF(CleanEmployeeData[[#This Row],[Attrition]]="Yes",1,IF(CleanEmployeeData[[#This Row],[Attrition]]="No",0,""))</f>
        <v>0</v>
      </c>
      <c r="AQ529" t="str" cm="1">
        <f t="array" ref="AQ529">_xlfn.IFS(CleanEmployeeData[[#This Row],[MonthlyIncome]]&lt;=3000,"0–3,000",CleanEmployeeData[[#This Row],[MonthlyIncome]]&lt;=6000,"3,001–6,000",CleanEmployeeData[[#This Row],[MonthlyIncome]]&lt;=10000,"6,001–10,000",TRUE,"10,001+")</f>
        <v>3,001–6,000</v>
      </c>
      <c r="AR529" t="str" cm="1">
        <f t="array" ref="AR529">_xlfn.IFS(CleanEmployeeData[[#This Row],[DistanceFromHome]]&lt;=5,"0–5 miles",CleanEmployeeData[[#This Row],[DistanceFromHome]]&lt;=10,"6–10 miles",CleanEmployeeData[[#This Row],[DistanceFromHome]]&lt;=15,"11–15 miles",TRUE,"16+ miles")</f>
        <v>6–10 miles</v>
      </c>
      <c r="AS529" t="str" cm="1">
        <f t="array" ref="AS529">_xlfn.IFS(CleanEmployeeData[[#This Row],[YearsAtCompany]]&lt;=1,"0–1 years",CleanEmployeeData[[#This Row],[YearsAtCompany]]&lt;=5,"2–5 years",CleanEmployeeData[[#This Row],[YearsAtCompany]]&lt;=10,"6–10 years",TRUE,"11+ years")</f>
        <v>6–10 years</v>
      </c>
    </row>
    <row r="530" spans="1:4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cm="1">
        <f t="array" ref="AJ530">_xlfn.SWITCH(CleanEmployeeData[[#This Row],[Education]],1,"Below College",2,"College",3,"Bachelor",4,"Master",5,"Doctor","Unknown")</f>
        <v>College</v>
      </c>
      <c r="AK530" t="str" cm="1">
        <f t="array" ref="AK530">_xlfn.SWITCH(CleanEmployeeData[[#This Row],[EnvironmentSatisfaction]],1,"Low",2,"Medium",3,"High",4,"Very High","Unknown")</f>
        <v>Medium</v>
      </c>
      <c r="AL530" t="str" cm="1">
        <f t="array" ref="AL530">_xlfn.SWITCH(CleanEmployeeData[[#This Row],[JobInvolvement]],1,"Low",2,"Medium",3,"High",4,"Very High","Unknown")</f>
        <v>High</v>
      </c>
      <c r="AM530" t="str" cm="1">
        <f t="array" ref="AM530">_xlfn.SWITCH(CleanEmployeeData[[#This Row],[JobSatisfaction]],1,"Low",2,"Medium",3,"High",4,"Very High","Unknown")</f>
        <v>High</v>
      </c>
      <c r="AN530" t="str" cm="1">
        <f t="array" ref="AN530">_xlfn.SWITCH(CleanEmployeeData[[#This Row],[PerformanceRating]],1,"Low",2,"Good",3,"Excellent",4,"Outstanding","Unknown")</f>
        <v>Excellent</v>
      </c>
      <c r="AO530" t="str" cm="1">
        <f t="array" ref="AO530">_xlfn.SWITCH(CleanEmployeeData[[#This Row],[WorkLifeBalance]],1,"Bad",2,"Good",3,"Better",4,"Best","Unknown")</f>
        <v>Better</v>
      </c>
      <c r="AP530">
        <f>IF(CleanEmployeeData[[#This Row],[Attrition]]="Yes",1,IF(CleanEmployeeData[[#This Row],[Attrition]]="No",0,""))</f>
        <v>1</v>
      </c>
      <c r="AQ530" t="str" cm="1">
        <f t="array" ref="AQ530">_xlfn.IFS(CleanEmployeeData[[#This Row],[MonthlyIncome]]&lt;=3000,"0–3,000",CleanEmployeeData[[#This Row],[MonthlyIncome]]&lt;=6000,"3,001–6,000",CleanEmployeeData[[#This Row],[MonthlyIncome]]&lt;=10000,"6,001–10,000",TRUE,"10,001+")</f>
        <v>6,001–10,000</v>
      </c>
      <c r="AR530" t="str" cm="1">
        <f t="array" ref="AR530">_xlfn.IFS(CleanEmployeeData[[#This Row],[DistanceFromHome]]&lt;=5,"0–5 miles",CleanEmployeeData[[#This Row],[DistanceFromHome]]&lt;=10,"6–10 miles",CleanEmployeeData[[#This Row],[DistanceFromHome]]&lt;=15,"11–15 miles",TRUE,"16+ miles")</f>
        <v>6–10 miles</v>
      </c>
      <c r="AS530" t="str" cm="1">
        <f t="array" ref="AS530">_xlfn.IFS(CleanEmployeeData[[#This Row],[YearsAtCompany]]&lt;=1,"0–1 years",CleanEmployeeData[[#This Row],[YearsAtCompany]]&lt;=5,"2–5 years",CleanEmployeeData[[#This Row],[YearsAtCompany]]&lt;=10,"6–10 years",TRUE,"11+ years")</f>
        <v>2–5 years</v>
      </c>
    </row>
    <row r="531" spans="1:4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cm="1">
        <f t="array" ref="AJ531">_xlfn.SWITCH(CleanEmployeeData[[#This Row],[Education]],1,"Below College",2,"College",3,"Bachelor",4,"Master",5,"Doctor","Unknown")</f>
        <v>Master</v>
      </c>
      <c r="AK531" t="str" cm="1">
        <f t="array" ref="AK531">_xlfn.SWITCH(CleanEmployeeData[[#This Row],[EnvironmentSatisfaction]],1,"Low",2,"Medium",3,"High",4,"Very High","Unknown")</f>
        <v>Medium</v>
      </c>
      <c r="AL531" t="str" cm="1">
        <f t="array" ref="AL531">_xlfn.SWITCH(CleanEmployeeData[[#This Row],[JobInvolvement]],1,"Low",2,"Medium",3,"High",4,"Very High","Unknown")</f>
        <v>Very High</v>
      </c>
      <c r="AM531" t="str" cm="1">
        <f t="array" ref="AM531">_xlfn.SWITCH(CleanEmployeeData[[#This Row],[JobSatisfaction]],1,"Low",2,"Medium",3,"High",4,"Very High","Unknown")</f>
        <v>Very High</v>
      </c>
      <c r="AN531" t="str" cm="1">
        <f t="array" ref="AN531">_xlfn.SWITCH(CleanEmployeeData[[#This Row],[PerformanceRating]],1,"Low",2,"Good",3,"Excellent",4,"Outstanding","Unknown")</f>
        <v>Excellent</v>
      </c>
      <c r="AO531" t="str" cm="1">
        <f t="array" ref="AO531">_xlfn.SWITCH(CleanEmployeeData[[#This Row],[WorkLifeBalance]],1,"Bad",2,"Good",3,"Better",4,"Best","Unknown")</f>
        <v>Good</v>
      </c>
      <c r="AP531">
        <f>IF(CleanEmployeeData[[#This Row],[Attrition]]="Yes",1,IF(CleanEmployeeData[[#This Row],[Attrition]]="No",0,""))</f>
        <v>0</v>
      </c>
      <c r="AQ531" t="str" cm="1">
        <f t="array" ref="AQ531">_xlfn.IFS(CleanEmployeeData[[#This Row],[MonthlyIncome]]&lt;=3000,"0–3,000",CleanEmployeeData[[#This Row],[MonthlyIncome]]&lt;=6000,"3,001–6,000",CleanEmployeeData[[#This Row],[MonthlyIncome]]&lt;=10000,"6,001–10,000",TRUE,"10,001+")</f>
        <v>6,001–10,000</v>
      </c>
      <c r="AR531" t="str" cm="1">
        <f t="array" ref="AR531">_xlfn.IFS(CleanEmployeeData[[#This Row],[DistanceFromHome]]&lt;=5,"0–5 miles",CleanEmployeeData[[#This Row],[DistanceFromHome]]&lt;=10,"6–10 miles",CleanEmployeeData[[#This Row],[DistanceFromHome]]&lt;=15,"11–15 miles",TRUE,"16+ miles")</f>
        <v>0–5 miles</v>
      </c>
      <c r="AS531" t="str" cm="1">
        <f t="array" ref="AS531">_xlfn.IFS(CleanEmployeeData[[#This Row],[YearsAtCompany]]&lt;=1,"0–1 years",CleanEmployeeData[[#This Row],[YearsAtCompany]]&lt;=5,"2–5 years",CleanEmployeeData[[#This Row],[YearsAtCompany]]&lt;=10,"6–10 years",TRUE,"11+ years")</f>
        <v>6–10 years</v>
      </c>
    </row>
    <row r="532" spans="1:4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cm="1">
        <f t="array" ref="AJ532">_xlfn.SWITCH(CleanEmployeeData[[#This Row],[Education]],1,"Below College",2,"College",3,"Bachelor",4,"Master",5,"Doctor","Unknown")</f>
        <v>College</v>
      </c>
      <c r="AK532" t="str" cm="1">
        <f t="array" ref="AK532">_xlfn.SWITCH(CleanEmployeeData[[#This Row],[EnvironmentSatisfaction]],1,"Low",2,"Medium",3,"High",4,"Very High","Unknown")</f>
        <v>High</v>
      </c>
      <c r="AL532" t="str" cm="1">
        <f t="array" ref="AL532">_xlfn.SWITCH(CleanEmployeeData[[#This Row],[JobInvolvement]],1,"Low",2,"Medium",3,"High",4,"Very High","Unknown")</f>
        <v>High</v>
      </c>
      <c r="AM532" t="str" cm="1">
        <f t="array" ref="AM532">_xlfn.SWITCH(CleanEmployeeData[[#This Row],[JobSatisfaction]],1,"Low",2,"Medium",3,"High",4,"Very High","Unknown")</f>
        <v>Low</v>
      </c>
      <c r="AN532" t="str" cm="1">
        <f t="array" ref="AN532">_xlfn.SWITCH(CleanEmployeeData[[#This Row],[PerformanceRating]],1,"Low",2,"Good",3,"Excellent",4,"Outstanding","Unknown")</f>
        <v>Excellent</v>
      </c>
      <c r="AO532" t="str" cm="1">
        <f t="array" ref="AO532">_xlfn.SWITCH(CleanEmployeeData[[#This Row],[WorkLifeBalance]],1,"Bad",2,"Good",3,"Better",4,"Best","Unknown")</f>
        <v>Better</v>
      </c>
      <c r="AP532">
        <f>IF(CleanEmployeeData[[#This Row],[Attrition]]="Yes",1,IF(CleanEmployeeData[[#This Row],[Attrition]]="No",0,""))</f>
        <v>0</v>
      </c>
      <c r="AQ532" t="str" cm="1">
        <f t="array" ref="AQ532">_xlfn.IFS(CleanEmployeeData[[#This Row],[MonthlyIncome]]&lt;=3000,"0–3,000",CleanEmployeeData[[#This Row],[MonthlyIncome]]&lt;=6000,"3,001–6,000",CleanEmployeeData[[#This Row],[MonthlyIncome]]&lt;=10000,"6,001–10,000",TRUE,"10,001+")</f>
        <v>6,001–10,000</v>
      </c>
      <c r="AR532" t="str" cm="1">
        <f t="array" ref="AR532">_xlfn.IFS(CleanEmployeeData[[#This Row],[DistanceFromHome]]&lt;=5,"0–5 miles",CleanEmployeeData[[#This Row],[DistanceFromHome]]&lt;=10,"6–10 miles",CleanEmployeeData[[#This Row],[DistanceFromHome]]&lt;=15,"11–15 miles",TRUE,"16+ miles")</f>
        <v>0–5 miles</v>
      </c>
      <c r="AS532" t="str" cm="1">
        <f t="array" ref="AS532">_xlfn.IFS(CleanEmployeeData[[#This Row],[YearsAtCompany]]&lt;=1,"0–1 years",CleanEmployeeData[[#This Row],[YearsAtCompany]]&lt;=5,"2–5 years",CleanEmployeeData[[#This Row],[YearsAtCompany]]&lt;=10,"6–10 years",TRUE,"11+ years")</f>
        <v>6–10 years</v>
      </c>
    </row>
    <row r="533" spans="1:4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cm="1">
        <f t="array" ref="AJ533">_xlfn.SWITCH(CleanEmployeeData[[#This Row],[Education]],1,"Below College",2,"College",3,"Bachelor",4,"Master",5,"Doctor","Unknown")</f>
        <v>College</v>
      </c>
      <c r="AK533" t="str" cm="1">
        <f t="array" ref="AK533">_xlfn.SWITCH(CleanEmployeeData[[#This Row],[EnvironmentSatisfaction]],1,"Low",2,"Medium",3,"High",4,"Very High","Unknown")</f>
        <v>High</v>
      </c>
      <c r="AL533" t="str" cm="1">
        <f t="array" ref="AL533">_xlfn.SWITCH(CleanEmployeeData[[#This Row],[JobInvolvement]],1,"Low",2,"Medium",3,"High",4,"Very High","Unknown")</f>
        <v>High</v>
      </c>
      <c r="AM533" t="str" cm="1">
        <f t="array" ref="AM533">_xlfn.SWITCH(CleanEmployeeData[[#This Row],[JobSatisfaction]],1,"Low",2,"Medium",3,"High",4,"Very High","Unknown")</f>
        <v>Very High</v>
      </c>
      <c r="AN533" t="str" cm="1">
        <f t="array" ref="AN533">_xlfn.SWITCH(CleanEmployeeData[[#This Row],[PerformanceRating]],1,"Low",2,"Good",3,"Excellent",4,"Outstanding","Unknown")</f>
        <v>Excellent</v>
      </c>
      <c r="AO533" t="str" cm="1">
        <f t="array" ref="AO533">_xlfn.SWITCH(CleanEmployeeData[[#This Row],[WorkLifeBalance]],1,"Bad",2,"Good",3,"Better",4,"Best","Unknown")</f>
        <v>Better</v>
      </c>
      <c r="AP533">
        <f>IF(CleanEmployeeData[[#This Row],[Attrition]]="Yes",1,IF(CleanEmployeeData[[#This Row],[Attrition]]="No",0,""))</f>
        <v>0</v>
      </c>
      <c r="AQ533" t="str" cm="1">
        <f t="array" ref="AQ533">_xlfn.IFS(CleanEmployeeData[[#This Row],[MonthlyIncome]]&lt;=3000,"0–3,000",CleanEmployeeData[[#This Row],[MonthlyIncome]]&lt;=6000,"3,001–6,000",CleanEmployeeData[[#This Row],[MonthlyIncome]]&lt;=10000,"6,001–10,000",TRUE,"10,001+")</f>
        <v>10,001+</v>
      </c>
      <c r="AR533" t="str" cm="1">
        <f t="array" ref="AR533">_xlfn.IFS(CleanEmployeeData[[#This Row],[DistanceFromHome]]&lt;=5,"0–5 miles",CleanEmployeeData[[#This Row],[DistanceFromHome]]&lt;=10,"6–10 miles",CleanEmployeeData[[#This Row],[DistanceFromHome]]&lt;=15,"11–15 miles",TRUE,"16+ miles")</f>
        <v>0–5 miles</v>
      </c>
      <c r="AS533" t="str" cm="1">
        <f t="array" ref="AS533">_xlfn.IFS(CleanEmployeeData[[#This Row],[YearsAtCompany]]&lt;=1,"0–1 years",CleanEmployeeData[[#This Row],[YearsAtCompany]]&lt;=5,"2–5 years",CleanEmployeeData[[#This Row],[YearsAtCompany]]&lt;=10,"6–10 years",TRUE,"11+ years")</f>
        <v>6–10 years</v>
      </c>
    </row>
    <row r="534" spans="1:4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cm="1">
        <f t="array" ref="AJ534">_xlfn.SWITCH(CleanEmployeeData[[#This Row],[Education]],1,"Below College",2,"College",3,"Bachelor",4,"Master",5,"Doctor","Unknown")</f>
        <v>Master</v>
      </c>
      <c r="AK534" t="str" cm="1">
        <f t="array" ref="AK534">_xlfn.SWITCH(CleanEmployeeData[[#This Row],[EnvironmentSatisfaction]],1,"Low",2,"Medium",3,"High",4,"Very High","Unknown")</f>
        <v>Very High</v>
      </c>
      <c r="AL534" t="str" cm="1">
        <f t="array" ref="AL534">_xlfn.SWITCH(CleanEmployeeData[[#This Row],[JobInvolvement]],1,"Low",2,"Medium",3,"High",4,"Very High","Unknown")</f>
        <v>High</v>
      </c>
      <c r="AM534" t="str" cm="1">
        <f t="array" ref="AM534">_xlfn.SWITCH(CleanEmployeeData[[#This Row],[JobSatisfaction]],1,"Low",2,"Medium",3,"High",4,"Very High","Unknown")</f>
        <v>Low</v>
      </c>
      <c r="AN534" t="str" cm="1">
        <f t="array" ref="AN534">_xlfn.SWITCH(CleanEmployeeData[[#This Row],[PerformanceRating]],1,"Low",2,"Good",3,"Excellent",4,"Outstanding","Unknown")</f>
        <v>Excellent</v>
      </c>
      <c r="AO534" t="str" cm="1">
        <f t="array" ref="AO534">_xlfn.SWITCH(CleanEmployeeData[[#This Row],[WorkLifeBalance]],1,"Bad",2,"Good",3,"Better",4,"Best","Unknown")</f>
        <v>Better</v>
      </c>
      <c r="AP534">
        <f>IF(CleanEmployeeData[[#This Row],[Attrition]]="Yes",1,IF(CleanEmployeeData[[#This Row],[Attrition]]="No",0,""))</f>
        <v>0</v>
      </c>
      <c r="AQ534" t="str" cm="1">
        <f t="array" ref="AQ534">_xlfn.IFS(CleanEmployeeData[[#This Row],[MonthlyIncome]]&lt;=3000,"0–3,000",CleanEmployeeData[[#This Row],[MonthlyIncome]]&lt;=6000,"3,001–6,000",CleanEmployeeData[[#This Row],[MonthlyIncome]]&lt;=10000,"6,001–10,000",TRUE,"10,001+")</f>
        <v>3,001–6,000</v>
      </c>
      <c r="AR534" t="str" cm="1">
        <f t="array" ref="AR534">_xlfn.IFS(CleanEmployeeData[[#This Row],[DistanceFromHome]]&lt;=5,"0–5 miles",CleanEmployeeData[[#This Row],[DistanceFromHome]]&lt;=10,"6–10 miles",CleanEmployeeData[[#This Row],[DistanceFromHome]]&lt;=15,"11–15 miles",TRUE,"16+ miles")</f>
        <v>11–15 miles</v>
      </c>
      <c r="AS534" t="str" cm="1">
        <f t="array" ref="AS534">_xlfn.IFS(CleanEmployeeData[[#This Row],[YearsAtCompany]]&lt;=1,"0–1 years",CleanEmployeeData[[#This Row],[YearsAtCompany]]&lt;=5,"2–5 years",CleanEmployeeData[[#This Row],[YearsAtCompany]]&lt;=10,"6–10 years",TRUE,"11+ years")</f>
        <v>6–10 years</v>
      </c>
    </row>
    <row r="535" spans="1:4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cm="1">
        <f t="array" ref="AJ535">_xlfn.SWITCH(CleanEmployeeData[[#This Row],[Education]],1,"Below College",2,"College",3,"Bachelor",4,"Master",5,"Doctor","Unknown")</f>
        <v>Master</v>
      </c>
      <c r="AK535" t="str" cm="1">
        <f t="array" ref="AK535">_xlfn.SWITCH(CleanEmployeeData[[#This Row],[EnvironmentSatisfaction]],1,"Low",2,"Medium",3,"High",4,"Very High","Unknown")</f>
        <v>Very High</v>
      </c>
      <c r="AL535" t="str" cm="1">
        <f t="array" ref="AL535">_xlfn.SWITCH(CleanEmployeeData[[#This Row],[JobInvolvement]],1,"Low",2,"Medium",3,"High",4,"Very High","Unknown")</f>
        <v>Medium</v>
      </c>
      <c r="AM535" t="str" cm="1">
        <f t="array" ref="AM535">_xlfn.SWITCH(CleanEmployeeData[[#This Row],[JobSatisfaction]],1,"Low",2,"Medium",3,"High",4,"Very High","Unknown")</f>
        <v>Low</v>
      </c>
      <c r="AN535" t="str" cm="1">
        <f t="array" ref="AN535">_xlfn.SWITCH(CleanEmployeeData[[#This Row],[PerformanceRating]],1,"Low",2,"Good",3,"Excellent",4,"Outstanding","Unknown")</f>
        <v>Outstanding</v>
      </c>
      <c r="AO535" t="str" cm="1">
        <f t="array" ref="AO535">_xlfn.SWITCH(CleanEmployeeData[[#This Row],[WorkLifeBalance]],1,"Bad",2,"Good",3,"Better",4,"Best","Unknown")</f>
        <v>Better</v>
      </c>
      <c r="AP535">
        <f>IF(CleanEmployeeData[[#This Row],[Attrition]]="Yes",1,IF(CleanEmployeeData[[#This Row],[Attrition]]="No",0,""))</f>
        <v>0</v>
      </c>
      <c r="AQ535" t="str" cm="1">
        <f t="array" ref="AQ535">_xlfn.IFS(CleanEmployeeData[[#This Row],[MonthlyIncome]]&lt;=3000,"0–3,000",CleanEmployeeData[[#This Row],[MonthlyIncome]]&lt;=6000,"3,001–6,000",CleanEmployeeData[[#This Row],[MonthlyIncome]]&lt;=10000,"6,001–10,000",TRUE,"10,001+")</f>
        <v>10,001+</v>
      </c>
      <c r="AR535" t="str" cm="1">
        <f t="array" ref="AR535">_xlfn.IFS(CleanEmployeeData[[#This Row],[DistanceFromHome]]&lt;=5,"0–5 miles",CleanEmployeeData[[#This Row],[DistanceFromHome]]&lt;=10,"6–10 miles",CleanEmployeeData[[#This Row],[DistanceFromHome]]&lt;=15,"11–15 miles",TRUE,"16+ miles")</f>
        <v>0–5 miles</v>
      </c>
      <c r="AS535" t="str" cm="1">
        <f t="array" ref="AS535">_xlfn.IFS(CleanEmployeeData[[#This Row],[YearsAtCompany]]&lt;=1,"0–1 years",CleanEmployeeData[[#This Row],[YearsAtCompany]]&lt;=5,"2–5 years",CleanEmployeeData[[#This Row],[YearsAtCompany]]&lt;=10,"6–10 years",TRUE,"11+ years")</f>
        <v>11+ years</v>
      </c>
    </row>
    <row r="536" spans="1:4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cm="1">
        <f t="array" ref="AJ536">_xlfn.SWITCH(CleanEmployeeData[[#This Row],[Education]],1,"Below College",2,"College",3,"Bachelor",4,"Master",5,"Doctor","Unknown")</f>
        <v>Bachelor</v>
      </c>
      <c r="AK536" t="str" cm="1">
        <f t="array" ref="AK536">_xlfn.SWITCH(CleanEmployeeData[[#This Row],[EnvironmentSatisfaction]],1,"Low",2,"Medium",3,"High",4,"Very High","Unknown")</f>
        <v>High</v>
      </c>
      <c r="AL536" t="str" cm="1">
        <f t="array" ref="AL536">_xlfn.SWITCH(CleanEmployeeData[[#This Row],[JobInvolvement]],1,"Low",2,"Medium",3,"High",4,"Very High","Unknown")</f>
        <v>Very High</v>
      </c>
      <c r="AM536" t="str" cm="1">
        <f t="array" ref="AM536">_xlfn.SWITCH(CleanEmployeeData[[#This Row],[JobSatisfaction]],1,"Low",2,"Medium",3,"High",4,"Very High","Unknown")</f>
        <v>High</v>
      </c>
      <c r="AN536" t="str" cm="1">
        <f t="array" ref="AN536">_xlfn.SWITCH(CleanEmployeeData[[#This Row],[PerformanceRating]],1,"Low",2,"Good",3,"Excellent",4,"Outstanding","Unknown")</f>
        <v>Excellent</v>
      </c>
      <c r="AO536" t="str" cm="1">
        <f t="array" ref="AO536">_xlfn.SWITCH(CleanEmployeeData[[#This Row],[WorkLifeBalance]],1,"Bad",2,"Good",3,"Better",4,"Best","Unknown")</f>
        <v>Better</v>
      </c>
      <c r="AP536">
        <f>IF(CleanEmployeeData[[#This Row],[Attrition]]="Yes",1,IF(CleanEmployeeData[[#This Row],[Attrition]]="No",0,""))</f>
        <v>0</v>
      </c>
      <c r="AQ536" t="str" cm="1">
        <f t="array" ref="AQ536">_xlfn.IFS(CleanEmployeeData[[#This Row],[MonthlyIncome]]&lt;=3000,"0–3,000",CleanEmployeeData[[#This Row],[MonthlyIncome]]&lt;=6000,"3,001–6,000",CleanEmployeeData[[#This Row],[MonthlyIncome]]&lt;=10000,"6,001–10,000",TRUE,"10,001+")</f>
        <v>10,001+</v>
      </c>
      <c r="AR536" t="str" cm="1">
        <f t="array" ref="AR536">_xlfn.IFS(CleanEmployeeData[[#This Row],[DistanceFromHome]]&lt;=5,"0–5 miles",CleanEmployeeData[[#This Row],[DistanceFromHome]]&lt;=10,"6–10 miles",CleanEmployeeData[[#This Row],[DistanceFromHome]]&lt;=15,"11–15 miles",TRUE,"16+ miles")</f>
        <v>6–10 miles</v>
      </c>
      <c r="AS536" t="str" cm="1">
        <f t="array" ref="AS536">_xlfn.IFS(CleanEmployeeData[[#This Row],[YearsAtCompany]]&lt;=1,"0–1 years",CleanEmployeeData[[#This Row],[YearsAtCompany]]&lt;=5,"2–5 years",CleanEmployeeData[[#This Row],[YearsAtCompany]]&lt;=10,"6–10 years",TRUE,"11+ years")</f>
        <v>2–5 years</v>
      </c>
    </row>
    <row r="537" spans="1:4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cm="1">
        <f t="array" ref="AJ537">_xlfn.SWITCH(CleanEmployeeData[[#This Row],[Education]],1,"Below College",2,"College",3,"Bachelor",4,"Master",5,"Doctor","Unknown")</f>
        <v>Master</v>
      </c>
      <c r="AK537" t="str" cm="1">
        <f t="array" ref="AK537">_xlfn.SWITCH(CleanEmployeeData[[#This Row],[EnvironmentSatisfaction]],1,"Low",2,"Medium",3,"High",4,"Very High","Unknown")</f>
        <v>Medium</v>
      </c>
      <c r="AL537" t="str" cm="1">
        <f t="array" ref="AL537">_xlfn.SWITCH(CleanEmployeeData[[#This Row],[JobInvolvement]],1,"Low",2,"Medium",3,"High",4,"Very High","Unknown")</f>
        <v>Medium</v>
      </c>
      <c r="AM537" t="str" cm="1">
        <f t="array" ref="AM537">_xlfn.SWITCH(CleanEmployeeData[[#This Row],[JobSatisfaction]],1,"Low",2,"Medium",3,"High",4,"Very High","Unknown")</f>
        <v>Very High</v>
      </c>
      <c r="AN537" t="str" cm="1">
        <f t="array" ref="AN537">_xlfn.SWITCH(CleanEmployeeData[[#This Row],[PerformanceRating]],1,"Low",2,"Good",3,"Excellent",4,"Outstanding","Unknown")</f>
        <v>Excellent</v>
      </c>
      <c r="AO537" t="str" cm="1">
        <f t="array" ref="AO537">_xlfn.SWITCH(CleanEmployeeData[[#This Row],[WorkLifeBalance]],1,"Bad",2,"Good",3,"Better",4,"Best","Unknown")</f>
        <v>Good</v>
      </c>
      <c r="AP537">
        <f>IF(CleanEmployeeData[[#This Row],[Attrition]]="Yes",1,IF(CleanEmployeeData[[#This Row],[Attrition]]="No",0,""))</f>
        <v>0</v>
      </c>
      <c r="AQ537" t="str" cm="1">
        <f t="array" ref="AQ537">_xlfn.IFS(CleanEmployeeData[[#This Row],[MonthlyIncome]]&lt;=3000,"0–3,000",CleanEmployeeData[[#This Row],[MonthlyIncome]]&lt;=6000,"3,001–6,000",CleanEmployeeData[[#This Row],[MonthlyIncome]]&lt;=10000,"6,001–10,000",TRUE,"10,001+")</f>
        <v>10,001+</v>
      </c>
      <c r="AR537" t="str" cm="1">
        <f t="array" ref="AR537">_xlfn.IFS(CleanEmployeeData[[#This Row],[DistanceFromHome]]&lt;=5,"0–5 miles",CleanEmployeeData[[#This Row],[DistanceFromHome]]&lt;=10,"6–10 miles",CleanEmployeeData[[#This Row],[DistanceFromHome]]&lt;=15,"11–15 miles",TRUE,"16+ miles")</f>
        <v>6–10 miles</v>
      </c>
      <c r="AS537" t="str" cm="1">
        <f t="array" ref="AS537">_xlfn.IFS(CleanEmployeeData[[#This Row],[YearsAtCompany]]&lt;=1,"0–1 years",CleanEmployeeData[[#This Row],[YearsAtCompany]]&lt;=5,"2–5 years",CleanEmployeeData[[#This Row],[YearsAtCompany]]&lt;=10,"6–10 years",TRUE,"11+ years")</f>
        <v>11+ years</v>
      </c>
    </row>
    <row r="538" spans="1:4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cm="1">
        <f t="array" ref="AJ538">_xlfn.SWITCH(CleanEmployeeData[[#This Row],[Education]],1,"Below College",2,"College",3,"Bachelor",4,"Master",5,"Doctor","Unknown")</f>
        <v>Master</v>
      </c>
      <c r="AK538" t="str" cm="1">
        <f t="array" ref="AK538">_xlfn.SWITCH(CleanEmployeeData[[#This Row],[EnvironmentSatisfaction]],1,"Low",2,"Medium",3,"High",4,"Very High","Unknown")</f>
        <v>Low</v>
      </c>
      <c r="AL538" t="str" cm="1">
        <f t="array" ref="AL538">_xlfn.SWITCH(CleanEmployeeData[[#This Row],[JobInvolvement]],1,"Low",2,"Medium",3,"High",4,"Very High","Unknown")</f>
        <v>High</v>
      </c>
      <c r="AM538" t="str" cm="1">
        <f t="array" ref="AM538">_xlfn.SWITCH(CleanEmployeeData[[#This Row],[JobSatisfaction]],1,"Low",2,"Medium",3,"High",4,"Very High","Unknown")</f>
        <v>Low</v>
      </c>
      <c r="AN538" t="str" cm="1">
        <f t="array" ref="AN538">_xlfn.SWITCH(CleanEmployeeData[[#This Row],[PerformanceRating]],1,"Low",2,"Good",3,"Excellent",4,"Outstanding","Unknown")</f>
        <v>Excellent</v>
      </c>
      <c r="AO538" t="str" cm="1">
        <f t="array" ref="AO538">_xlfn.SWITCH(CleanEmployeeData[[#This Row],[WorkLifeBalance]],1,"Bad",2,"Good",3,"Better",4,"Best","Unknown")</f>
        <v>Better</v>
      </c>
      <c r="AP538">
        <f>IF(CleanEmployeeData[[#This Row],[Attrition]]="Yes",1,IF(CleanEmployeeData[[#This Row],[Attrition]]="No",0,""))</f>
        <v>0</v>
      </c>
      <c r="AQ538" t="str" cm="1">
        <f t="array" ref="AQ538">_xlfn.IFS(CleanEmployeeData[[#This Row],[MonthlyIncome]]&lt;=3000,"0–3,000",CleanEmployeeData[[#This Row],[MonthlyIncome]]&lt;=6000,"3,001–6,000",CleanEmployeeData[[#This Row],[MonthlyIncome]]&lt;=10000,"6,001–10,000",TRUE,"10,001+")</f>
        <v>3,001–6,000</v>
      </c>
      <c r="AR538" t="str" cm="1">
        <f t="array" ref="AR538">_xlfn.IFS(CleanEmployeeData[[#This Row],[DistanceFromHome]]&lt;=5,"0–5 miles",CleanEmployeeData[[#This Row],[DistanceFromHome]]&lt;=10,"6–10 miles",CleanEmployeeData[[#This Row],[DistanceFromHome]]&lt;=15,"11–15 miles",TRUE,"16+ miles")</f>
        <v>16+ miles</v>
      </c>
      <c r="AS538" t="str" cm="1">
        <f t="array" ref="AS538">_xlfn.IFS(CleanEmployeeData[[#This Row],[YearsAtCompany]]&lt;=1,"0–1 years",CleanEmployeeData[[#This Row],[YearsAtCompany]]&lt;=5,"2–5 years",CleanEmployeeData[[#This Row],[YearsAtCompany]]&lt;=10,"6–10 years",TRUE,"11+ years")</f>
        <v>2–5 years</v>
      </c>
    </row>
    <row r="539" spans="1:4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cm="1">
        <f t="array" ref="AJ539">_xlfn.SWITCH(CleanEmployeeData[[#This Row],[Education]],1,"Below College",2,"College",3,"Bachelor",4,"Master",5,"Doctor","Unknown")</f>
        <v>College</v>
      </c>
      <c r="AK539" t="str" cm="1">
        <f t="array" ref="AK539">_xlfn.SWITCH(CleanEmployeeData[[#This Row],[EnvironmentSatisfaction]],1,"Low",2,"Medium",3,"High",4,"Very High","Unknown")</f>
        <v>Very High</v>
      </c>
      <c r="AL539" t="str" cm="1">
        <f t="array" ref="AL539">_xlfn.SWITCH(CleanEmployeeData[[#This Row],[JobInvolvement]],1,"Low",2,"Medium",3,"High",4,"Very High","Unknown")</f>
        <v>High</v>
      </c>
      <c r="AM539" t="str" cm="1">
        <f t="array" ref="AM539">_xlfn.SWITCH(CleanEmployeeData[[#This Row],[JobSatisfaction]],1,"Low",2,"Medium",3,"High",4,"Very High","Unknown")</f>
        <v>Low</v>
      </c>
      <c r="AN539" t="str" cm="1">
        <f t="array" ref="AN539">_xlfn.SWITCH(CleanEmployeeData[[#This Row],[PerformanceRating]],1,"Low",2,"Good",3,"Excellent",4,"Outstanding","Unknown")</f>
        <v>Outstanding</v>
      </c>
      <c r="AO539" t="str" cm="1">
        <f t="array" ref="AO539">_xlfn.SWITCH(CleanEmployeeData[[#This Row],[WorkLifeBalance]],1,"Bad",2,"Good",3,"Better",4,"Best","Unknown")</f>
        <v>Good</v>
      </c>
      <c r="AP539">
        <f>IF(CleanEmployeeData[[#This Row],[Attrition]]="Yes",1,IF(CleanEmployeeData[[#This Row],[Attrition]]="No",0,""))</f>
        <v>0</v>
      </c>
      <c r="AQ539" t="str" cm="1">
        <f t="array" ref="AQ539">_xlfn.IFS(CleanEmployeeData[[#This Row],[MonthlyIncome]]&lt;=3000,"0–3,000",CleanEmployeeData[[#This Row],[MonthlyIncome]]&lt;=6000,"3,001–6,000",CleanEmployeeData[[#This Row],[MonthlyIncome]]&lt;=10000,"6,001–10,000",TRUE,"10,001+")</f>
        <v>6,001–10,000</v>
      </c>
      <c r="AR539" t="str" cm="1">
        <f t="array" ref="AR539">_xlfn.IFS(CleanEmployeeData[[#This Row],[DistanceFromHome]]&lt;=5,"0–5 miles",CleanEmployeeData[[#This Row],[DistanceFromHome]]&lt;=10,"6–10 miles",CleanEmployeeData[[#This Row],[DistanceFromHome]]&lt;=15,"11–15 miles",TRUE,"16+ miles")</f>
        <v>6–10 miles</v>
      </c>
      <c r="AS539" t="str" cm="1">
        <f t="array" ref="AS539">_xlfn.IFS(CleanEmployeeData[[#This Row],[YearsAtCompany]]&lt;=1,"0–1 years",CleanEmployeeData[[#This Row],[YearsAtCompany]]&lt;=5,"2–5 years",CleanEmployeeData[[#This Row],[YearsAtCompany]]&lt;=10,"6–10 years",TRUE,"11+ years")</f>
        <v>6–10 years</v>
      </c>
    </row>
    <row r="540" spans="1:4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cm="1">
        <f t="array" ref="AJ540">_xlfn.SWITCH(CleanEmployeeData[[#This Row],[Education]],1,"Below College",2,"College",3,"Bachelor",4,"Master",5,"Doctor","Unknown")</f>
        <v>Bachelor</v>
      </c>
      <c r="AK540" t="str" cm="1">
        <f t="array" ref="AK540">_xlfn.SWITCH(CleanEmployeeData[[#This Row],[EnvironmentSatisfaction]],1,"Low",2,"Medium",3,"High",4,"Very High","Unknown")</f>
        <v>Very High</v>
      </c>
      <c r="AL540" t="str" cm="1">
        <f t="array" ref="AL540">_xlfn.SWITCH(CleanEmployeeData[[#This Row],[JobInvolvement]],1,"Low",2,"Medium",3,"High",4,"Very High","Unknown")</f>
        <v>Medium</v>
      </c>
      <c r="AM540" t="str" cm="1">
        <f t="array" ref="AM540">_xlfn.SWITCH(CleanEmployeeData[[#This Row],[JobSatisfaction]],1,"Low",2,"Medium",3,"High",4,"Very High","Unknown")</f>
        <v>High</v>
      </c>
      <c r="AN540" t="str" cm="1">
        <f t="array" ref="AN540">_xlfn.SWITCH(CleanEmployeeData[[#This Row],[PerformanceRating]],1,"Low",2,"Good",3,"Excellent",4,"Outstanding","Unknown")</f>
        <v>Excellent</v>
      </c>
      <c r="AO540" t="str" cm="1">
        <f t="array" ref="AO540">_xlfn.SWITCH(CleanEmployeeData[[#This Row],[WorkLifeBalance]],1,"Bad",2,"Good",3,"Better",4,"Best","Unknown")</f>
        <v>Better</v>
      </c>
      <c r="AP540">
        <f>IF(CleanEmployeeData[[#This Row],[Attrition]]="Yes",1,IF(CleanEmployeeData[[#This Row],[Attrition]]="No",0,""))</f>
        <v>0</v>
      </c>
      <c r="AQ540" t="str" cm="1">
        <f t="array" ref="AQ540">_xlfn.IFS(CleanEmployeeData[[#This Row],[MonthlyIncome]]&lt;=3000,"0–3,000",CleanEmployeeData[[#This Row],[MonthlyIncome]]&lt;=6000,"3,001–6,000",CleanEmployeeData[[#This Row],[MonthlyIncome]]&lt;=10000,"6,001–10,000",TRUE,"10,001+")</f>
        <v>10,001+</v>
      </c>
      <c r="AR540" t="str" cm="1">
        <f t="array" ref="AR540">_xlfn.IFS(CleanEmployeeData[[#This Row],[DistanceFromHome]]&lt;=5,"0–5 miles",CleanEmployeeData[[#This Row],[DistanceFromHome]]&lt;=10,"6–10 miles",CleanEmployeeData[[#This Row],[DistanceFromHome]]&lt;=15,"11–15 miles",TRUE,"16+ miles")</f>
        <v>0–5 miles</v>
      </c>
      <c r="AS540" t="str" cm="1">
        <f t="array" ref="AS540">_xlfn.IFS(CleanEmployeeData[[#This Row],[YearsAtCompany]]&lt;=1,"0–1 years",CleanEmployeeData[[#This Row],[YearsAtCompany]]&lt;=5,"2–5 years",CleanEmployeeData[[#This Row],[YearsAtCompany]]&lt;=10,"6–10 years",TRUE,"11+ years")</f>
        <v>11+ years</v>
      </c>
    </row>
    <row r="541" spans="1:4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cm="1">
        <f t="array" ref="AJ541">_xlfn.SWITCH(CleanEmployeeData[[#This Row],[Education]],1,"Below College",2,"College",3,"Bachelor",4,"Master",5,"Doctor","Unknown")</f>
        <v>Master</v>
      </c>
      <c r="AK541" t="str" cm="1">
        <f t="array" ref="AK541">_xlfn.SWITCH(CleanEmployeeData[[#This Row],[EnvironmentSatisfaction]],1,"Low",2,"Medium",3,"High",4,"Very High","Unknown")</f>
        <v>Very High</v>
      </c>
      <c r="AL541" t="str" cm="1">
        <f t="array" ref="AL541">_xlfn.SWITCH(CleanEmployeeData[[#This Row],[JobInvolvement]],1,"Low",2,"Medium",3,"High",4,"Very High","Unknown")</f>
        <v>High</v>
      </c>
      <c r="AM541" t="str" cm="1">
        <f t="array" ref="AM541">_xlfn.SWITCH(CleanEmployeeData[[#This Row],[JobSatisfaction]],1,"Low",2,"Medium",3,"High",4,"Very High","Unknown")</f>
        <v>Medium</v>
      </c>
      <c r="AN541" t="str" cm="1">
        <f t="array" ref="AN541">_xlfn.SWITCH(CleanEmployeeData[[#This Row],[PerformanceRating]],1,"Low",2,"Good",3,"Excellent",4,"Outstanding","Unknown")</f>
        <v>Excellent</v>
      </c>
      <c r="AO541" t="str" cm="1">
        <f t="array" ref="AO541">_xlfn.SWITCH(CleanEmployeeData[[#This Row],[WorkLifeBalance]],1,"Bad",2,"Good",3,"Better",4,"Best","Unknown")</f>
        <v>Better</v>
      </c>
      <c r="AP541">
        <f>IF(CleanEmployeeData[[#This Row],[Attrition]]="Yes",1,IF(CleanEmployeeData[[#This Row],[Attrition]]="No",0,""))</f>
        <v>0</v>
      </c>
      <c r="AQ541" t="str" cm="1">
        <f t="array" ref="AQ541">_xlfn.IFS(CleanEmployeeData[[#This Row],[MonthlyIncome]]&lt;=3000,"0–3,000",CleanEmployeeData[[#This Row],[MonthlyIncome]]&lt;=6000,"3,001–6,000",CleanEmployeeData[[#This Row],[MonthlyIncome]]&lt;=10000,"6,001–10,000",TRUE,"10,001+")</f>
        <v>3,001–6,000</v>
      </c>
      <c r="AR541" t="str" cm="1">
        <f t="array" ref="AR541">_xlfn.IFS(CleanEmployeeData[[#This Row],[DistanceFromHome]]&lt;=5,"0–5 miles",CleanEmployeeData[[#This Row],[DistanceFromHome]]&lt;=10,"6–10 miles",CleanEmployeeData[[#This Row],[DistanceFromHome]]&lt;=15,"11–15 miles",TRUE,"16+ miles")</f>
        <v>6–10 miles</v>
      </c>
      <c r="AS541" t="str" cm="1">
        <f t="array" ref="AS541">_xlfn.IFS(CleanEmployeeData[[#This Row],[YearsAtCompany]]&lt;=1,"0–1 years",CleanEmployeeData[[#This Row],[YearsAtCompany]]&lt;=5,"2–5 years",CleanEmployeeData[[#This Row],[YearsAtCompany]]&lt;=10,"6–10 years",TRUE,"11+ years")</f>
        <v>2–5 years</v>
      </c>
    </row>
    <row r="542" spans="1:4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cm="1">
        <f t="array" ref="AJ542">_xlfn.SWITCH(CleanEmployeeData[[#This Row],[Education]],1,"Below College",2,"College",3,"Bachelor",4,"Master",5,"Doctor","Unknown")</f>
        <v>College</v>
      </c>
      <c r="AK542" t="str" cm="1">
        <f t="array" ref="AK542">_xlfn.SWITCH(CleanEmployeeData[[#This Row],[EnvironmentSatisfaction]],1,"Low",2,"Medium",3,"High",4,"Very High","Unknown")</f>
        <v>Low</v>
      </c>
      <c r="AL542" t="str" cm="1">
        <f t="array" ref="AL542">_xlfn.SWITCH(CleanEmployeeData[[#This Row],[JobInvolvement]],1,"Low",2,"Medium",3,"High",4,"Very High","Unknown")</f>
        <v>Low</v>
      </c>
      <c r="AM542" t="str" cm="1">
        <f t="array" ref="AM542">_xlfn.SWITCH(CleanEmployeeData[[#This Row],[JobSatisfaction]],1,"Low",2,"Medium",3,"High",4,"Very High","Unknown")</f>
        <v>Medium</v>
      </c>
      <c r="AN542" t="str" cm="1">
        <f t="array" ref="AN542">_xlfn.SWITCH(CleanEmployeeData[[#This Row],[PerformanceRating]],1,"Low",2,"Good",3,"Excellent",4,"Outstanding","Unknown")</f>
        <v>Excellent</v>
      </c>
      <c r="AO542" t="str" cm="1">
        <f t="array" ref="AO542">_xlfn.SWITCH(CleanEmployeeData[[#This Row],[WorkLifeBalance]],1,"Bad",2,"Good",3,"Better",4,"Best","Unknown")</f>
        <v>Better</v>
      </c>
      <c r="AP542">
        <f>IF(CleanEmployeeData[[#This Row],[Attrition]]="Yes",1,IF(CleanEmployeeData[[#This Row],[Attrition]]="No",0,""))</f>
        <v>1</v>
      </c>
      <c r="AQ542" t="str" cm="1">
        <f t="array" ref="AQ542">_xlfn.IFS(CleanEmployeeData[[#This Row],[MonthlyIncome]]&lt;=3000,"0–3,000",CleanEmployeeData[[#This Row],[MonthlyIncome]]&lt;=6000,"3,001–6,000",CleanEmployeeData[[#This Row],[MonthlyIncome]]&lt;=10000,"6,001–10,000",TRUE,"10,001+")</f>
        <v>0–3,000</v>
      </c>
      <c r="AR542" t="str" cm="1">
        <f t="array" ref="AR542">_xlfn.IFS(CleanEmployeeData[[#This Row],[DistanceFromHome]]&lt;=5,"0–5 miles",CleanEmployeeData[[#This Row],[DistanceFromHome]]&lt;=10,"6–10 miles",CleanEmployeeData[[#This Row],[DistanceFromHome]]&lt;=15,"11–15 miles",TRUE,"16+ miles")</f>
        <v>0–5 miles</v>
      </c>
      <c r="AS542" t="str" cm="1">
        <f t="array" ref="AS542">_xlfn.IFS(CleanEmployeeData[[#This Row],[YearsAtCompany]]&lt;=1,"0–1 years",CleanEmployeeData[[#This Row],[YearsAtCompany]]&lt;=5,"2–5 years",CleanEmployeeData[[#This Row],[YearsAtCompany]]&lt;=10,"6–10 years",TRUE,"11+ years")</f>
        <v>6–10 years</v>
      </c>
    </row>
    <row r="543" spans="1:4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cm="1">
        <f t="array" ref="AJ543">_xlfn.SWITCH(CleanEmployeeData[[#This Row],[Education]],1,"Below College",2,"College",3,"Bachelor",4,"Master",5,"Doctor","Unknown")</f>
        <v>Bachelor</v>
      </c>
      <c r="AK543" t="str" cm="1">
        <f t="array" ref="AK543">_xlfn.SWITCH(CleanEmployeeData[[#This Row],[EnvironmentSatisfaction]],1,"Low",2,"Medium",3,"High",4,"Very High","Unknown")</f>
        <v>Low</v>
      </c>
      <c r="AL543" t="str" cm="1">
        <f t="array" ref="AL543">_xlfn.SWITCH(CleanEmployeeData[[#This Row],[JobInvolvement]],1,"Low",2,"Medium",3,"High",4,"Very High","Unknown")</f>
        <v>Very High</v>
      </c>
      <c r="AM543" t="str" cm="1">
        <f t="array" ref="AM543">_xlfn.SWITCH(CleanEmployeeData[[#This Row],[JobSatisfaction]],1,"Low",2,"Medium",3,"High",4,"Very High","Unknown")</f>
        <v>Low</v>
      </c>
      <c r="AN543" t="str" cm="1">
        <f t="array" ref="AN543">_xlfn.SWITCH(CleanEmployeeData[[#This Row],[PerformanceRating]],1,"Low",2,"Good",3,"Excellent",4,"Outstanding","Unknown")</f>
        <v>Excellent</v>
      </c>
      <c r="AO543" t="str" cm="1">
        <f t="array" ref="AO543">_xlfn.SWITCH(CleanEmployeeData[[#This Row],[WorkLifeBalance]],1,"Bad",2,"Good",3,"Better",4,"Best","Unknown")</f>
        <v>Better</v>
      </c>
      <c r="AP543">
        <f>IF(CleanEmployeeData[[#This Row],[Attrition]]="Yes",1,IF(CleanEmployeeData[[#This Row],[Attrition]]="No",0,""))</f>
        <v>0</v>
      </c>
      <c r="AQ543" t="str" cm="1">
        <f t="array" ref="AQ543">_xlfn.IFS(CleanEmployeeData[[#This Row],[MonthlyIncome]]&lt;=3000,"0–3,000",CleanEmployeeData[[#This Row],[MonthlyIncome]]&lt;=6000,"3,001–6,000",CleanEmployeeData[[#This Row],[MonthlyIncome]]&lt;=10000,"6,001–10,000",TRUE,"10,001+")</f>
        <v>10,001+</v>
      </c>
      <c r="AR543" t="str" cm="1">
        <f t="array" ref="AR543">_xlfn.IFS(CleanEmployeeData[[#This Row],[DistanceFromHome]]&lt;=5,"0–5 miles",CleanEmployeeData[[#This Row],[DistanceFromHome]]&lt;=10,"6–10 miles",CleanEmployeeData[[#This Row],[DistanceFromHome]]&lt;=15,"11–15 miles",TRUE,"16+ miles")</f>
        <v>6–10 miles</v>
      </c>
      <c r="AS543" t="str" cm="1">
        <f t="array" ref="AS543">_xlfn.IFS(CleanEmployeeData[[#This Row],[YearsAtCompany]]&lt;=1,"0–1 years",CleanEmployeeData[[#This Row],[YearsAtCompany]]&lt;=5,"2–5 years",CleanEmployeeData[[#This Row],[YearsAtCompany]]&lt;=10,"6–10 years",TRUE,"11+ years")</f>
        <v>6–10 years</v>
      </c>
    </row>
    <row r="544" spans="1:4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cm="1">
        <f t="array" ref="AJ544">_xlfn.SWITCH(CleanEmployeeData[[#This Row],[Education]],1,"Below College",2,"College",3,"Bachelor",4,"Master",5,"Doctor","Unknown")</f>
        <v>Bachelor</v>
      </c>
      <c r="AK544" t="str" cm="1">
        <f t="array" ref="AK544">_xlfn.SWITCH(CleanEmployeeData[[#This Row],[EnvironmentSatisfaction]],1,"Low",2,"Medium",3,"High",4,"Very High","Unknown")</f>
        <v>High</v>
      </c>
      <c r="AL544" t="str" cm="1">
        <f t="array" ref="AL544">_xlfn.SWITCH(CleanEmployeeData[[#This Row],[JobInvolvement]],1,"Low",2,"Medium",3,"High",4,"Very High","Unknown")</f>
        <v>High</v>
      </c>
      <c r="AM544" t="str" cm="1">
        <f t="array" ref="AM544">_xlfn.SWITCH(CleanEmployeeData[[#This Row],[JobSatisfaction]],1,"Low",2,"Medium",3,"High",4,"Very High","Unknown")</f>
        <v>High</v>
      </c>
      <c r="AN544" t="str" cm="1">
        <f t="array" ref="AN544">_xlfn.SWITCH(CleanEmployeeData[[#This Row],[PerformanceRating]],1,"Low",2,"Good",3,"Excellent",4,"Outstanding","Unknown")</f>
        <v>Excellent</v>
      </c>
      <c r="AO544" t="str" cm="1">
        <f t="array" ref="AO544">_xlfn.SWITCH(CleanEmployeeData[[#This Row],[WorkLifeBalance]],1,"Bad",2,"Good",3,"Better",4,"Best","Unknown")</f>
        <v>Best</v>
      </c>
      <c r="AP544">
        <f>IF(CleanEmployeeData[[#This Row],[Attrition]]="Yes",1,IF(CleanEmployeeData[[#This Row],[Attrition]]="No",0,""))</f>
        <v>0</v>
      </c>
      <c r="AQ544" t="str" cm="1">
        <f t="array" ref="AQ544">_xlfn.IFS(CleanEmployeeData[[#This Row],[MonthlyIncome]]&lt;=3000,"0–3,000",CleanEmployeeData[[#This Row],[MonthlyIncome]]&lt;=6000,"3,001–6,000",CleanEmployeeData[[#This Row],[MonthlyIncome]]&lt;=10000,"6,001–10,000",TRUE,"10,001+")</f>
        <v>6,001–10,000</v>
      </c>
      <c r="AR544" t="str" cm="1">
        <f t="array" ref="AR544">_xlfn.IFS(CleanEmployeeData[[#This Row],[DistanceFromHome]]&lt;=5,"0–5 miles",CleanEmployeeData[[#This Row],[DistanceFromHome]]&lt;=10,"6–10 miles",CleanEmployeeData[[#This Row],[DistanceFromHome]]&lt;=15,"11–15 miles",TRUE,"16+ miles")</f>
        <v>0–5 miles</v>
      </c>
      <c r="AS544" t="str" cm="1">
        <f t="array" ref="AS544">_xlfn.IFS(CleanEmployeeData[[#This Row],[YearsAtCompany]]&lt;=1,"0–1 years",CleanEmployeeData[[#This Row],[YearsAtCompany]]&lt;=5,"2–5 years",CleanEmployeeData[[#This Row],[YearsAtCompany]]&lt;=10,"6–10 years",TRUE,"11+ years")</f>
        <v>0–1 years</v>
      </c>
    </row>
    <row r="545" spans="1:4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cm="1">
        <f t="array" ref="AJ545">_xlfn.SWITCH(CleanEmployeeData[[#This Row],[Education]],1,"Below College",2,"College",3,"Bachelor",4,"Master",5,"Doctor","Unknown")</f>
        <v>Bachelor</v>
      </c>
      <c r="AK545" t="str" cm="1">
        <f t="array" ref="AK545">_xlfn.SWITCH(CleanEmployeeData[[#This Row],[EnvironmentSatisfaction]],1,"Low",2,"Medium",3,"High",4,"Very High","Unknown")</f>
        <v>Low</v>
      </c>
      <c r="AL545" t="str" cm="1">
        <f t="array" ref="AL545">_xlfn.SWITCH(CleanEmployeeData[[#This Row],[JobInvolvement]],1,"Low",2,"Medium",3,"High",4,"Very High","Unknown")</f>
        <v>Low</v>
      </c>
      <c r="AM545" t="str" cm="1">
        <f t="array" ref="AM545">_xlfn.SWITCH(CleanEmployeeData[[#This Row],[JobSatisfaction]],1,"Low",2,"Medium",3,"High",4,"Very High","Unknown")</f>
        <v>High</v>
      </c>
      <c r="AN545" t="str" cm="1">
        <f t="array" ref="AN545">_xlfn.SWITCH(CleanEmployeeData[[#This Row],[PerformanceRating]],1,"Low",2,"Good",3,"Excellent",4,"Outstanding","Unknown")</f>
        <v>Excellent</v>
      </c>
      <c r="AO545" t="str" cm="1">
        <f t="array" ref="AO545">_xlfn.SWITCH(CleanEmployeeData[[#This Row],[WorkLifeBalance]],1,"Bad",2,"Good",3,"Better",4,"Best","Unknown")</f>
        <v>Better</v>
      </c>
      <c r="AP545">
        <f>IF(CleanEmployeeData[[#This Row],[Attrition]]="Yes",1,IF(CleanEmployeeData[[#This Row],[Attrition]]="No",0,""))</f>
        <v>0</v>
      </c>
      <c r="AQ545" t="str" cm="1">
        <f t="array" ref="AQ545">_xlfn.IFS(CleanEmployeeData[[#This Row],[MonthlyIncome]]&lt;=3000,"0–3,000",CleanEmployeeData[[#This Row],[MonthlyIncome]]&lt;=6000,"3,001–6,000",CleanEmployeeData[[#This Row],[MonthlyIncome]]&lt;=10000,"6,001–10,000",TRUE,"10,001+")</f>
        <v>3,001–6,000</v>
      </c>
      <c r="AR545" t="str" cm="1">
        <f t="array" ref="AR545">_xlfn.IFS(CleanEmployeeData[[#This Row],[DistanceFromHome]]&lt;=5,"0–5 miles",CleanEmployeeData[[#This Row],[DistanceFromHome]]&lt;=10,"6–10 miles",CleanEmployeeData[[#This Row],[DistanceFromHome]]&lt;=15,"11–15 miles",TRUE,"16+ miles")</f>
        <v>16+ miles</v>
      </c>
      <c r="AS545" t="str" cm="1">
        <f t="array" ref="AS545">_xlfn.IFS(CleanEmployeeData[[#This Row],[YearsAtCompany]]&lt;=1,"0–1 years",CleanEmployeeData[[#This Row],[YearsAtCompany]]&lt;=5,"2–5 years",CleanEmployeeData[[#This Row],[YearsAtCompany]]&lt;=10,"6–10 years",TRUE,"11+ years")</f>
        <v>2–5 years</v>
      </c>
    </row>
    <row r="546" spans="1:4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cm="1">
        <f t="array" ref="AJ546">_xlfn.SWITCH(CleanEmployeeData[[#This Row],[Education]],1,"Below College",2,"College",3,"Bachelor",4,"Master",5,"Doctor","Unknown")</f>
        <v>Bachelor</v>
      </c>
      <c r="AK546" t="str" cm="1">
        <f t="array" ref="AK546">_xlfn.SWITCH(CleanEmployeeData[[#This Row],[EnvironmentSatisfaction]],1,"Low",2,"Medium",3,"High",4,"Very High","Unknown")</f>
        <v>Very High</v>
      </c>
      <c r="AL546" t="str" cm="1">
        <f t="array" ref="AL546">_xlfn.SWITCH(CleanEmployeeData[[#This Row],[JobInvolvement]],1,"Low",2,"Medium",3,"High",4,"Very High","Unknown")</f>
        <v>High</v>
      </c>
      <c r="AM546" t="str" cm="1">
        <f t="array" ref="AM546">_xlfn.SWITCH(CleanEmployeeData[[#This Row],[JobSatisfaction]],1,"Low",2,"Medium",3,"High",4,"Very High","Unknown")</f>
        <v>High</v>
      </c>
      <c r="AN546" t="str" cm="1">
        <f t="array" ref="AN546">_xlfn.SWITCH(CleanEmployeeData[[#This Row],[PerformanceRating]],1,"Low",2,"Good",3,"Excellent",4,"Outstanding","Unknown")</f>
        <v>Excellent</v>
      </c>
      <c r="AO546" t="str" cm="1">
        <f t="array" ref="AO546">_xlfn.SWITCH(CleanEmployeeData[[#This Row],[WorkLifeBalance]],1,"Bad",2,"Good",3,"Better",4,"Best","Unknown")</f>
        <v>Good</v>
      </c>
      <c r="AP546">
        <f>IF(CleanEmployeeData[[#This Row],[Attrition]]="Yes",1,IF(CleanEmployeeData[[#This Row],[Attrition]]="No",0,""))</f>
        <v>0</v>
      </c>
      <c r="AQ546" t="str" cm="1">
        <f t="array" ref="AQ546">_xlfn.IFS(CleanEmployeeData[[#This Row],[MonthlyIncome]]&lt;=3000,"0–3,000",CleanEmployeeData[[#This Row],[MonthlyIncome]]&lt;=6000,"3,001–6,000",CleanEmployeeData[[#This Row],[MonthlyIncome]]&lt;=10000,"6,001–10,000",TRUE,"10,001+")</f>
        <v>10,001+</v>
      </c>
      <c r="AR546" t="str" cm="1">
        <f t="array" ref="AR546">_xlfn.IFS(CleanEmployeeData[[#This Row],[DistanceFromHome]]&lt;=5,"0–5 miles",CleanEmployeeData[[#This Row],[DistanceFromHome]]&lt;=10,"6–10 miles",CleanEmployeeData[[#This Row],[DistanceFromHome]]&lt;=15,"11–15 miles",TRUE,"16+ miles")</f>
        <v>0–5 miles</v>
      </c>
      <c r="AS546" t="str" cm="1">
        <f t="array" ref="AS546">_xlfn.IFS(CleanEmployeeData[[#This Row],[YearsAtCompany]]&lt;=1,"0–1 years",CleanEmployeeData[[#This Row],[YearsAtCompany]]&lt;=5,"2–5 years",CleanEmployeeData[[#This Row],[YearsAtCompany]]&lt;=10,"6–10 years",TRUE,"11+ years")</f>
        <v>11+ years</v>
      </c>
    </row>
    <row r="547" spans="1:4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cm="1">
        <f t="array" ref="AJ547">_xlfn.SWITCH(CleanEmployeeData[[#This Row],[Education]],1,"Below College",2,"College",3,"Bachelor",4,"Master",5,"Doctor","Unknown")</f>
        <v>Doctor</v>
      </c>
      <c r="AK547" t="str" cm="1">
        <f t="array" ref="AK547">_xlfn.SWITCH(CleanEmployeeData[[#This Row],[EnvironmentSatisfaction]],1,"Low",2,"Medium",3,"High",4,"Very High","Unknown")</f>
        <v>High</v>
      </c>
      <c r="AL547" t="str" cm="1">
        <f t="array" ref="AL547">_xlfn.SWITCH(CleanEmployeeData[[#This Row],[JobInvolvement]],1,"Low",2,"Medium",3,"High",4,"Very High","Unknown")</f>
        <v>High</v>
      </c>
      <c r="AM547" t="str" cm="1">
        <f t="array" ref="AM547">_xlfn.SWITCH(CleanEmployeeData[[#This Row],[JobSatisfaction]],1,"Low",2,"Medium",3,"High",4,"Very High","Unknown")</f>
        <v>Very High</v>
      </c>
      <c r="AN547" t="str" cm="1">
        <f t="array" ref="AN547">_xlfn.SWITCH(CleanEmployeeData[[#This Row],[PerformanceRating]],1,"Low",2,"Good",3,"Excellent",4,"Outstanding","Unknown")</f>
        <v>Outstanding</v>
      </c>
      <c r="AO547" t="str" cm="1">
        <f t="array" ref="AO547">_xlfn.SWITCH(CleanEmployeeData[[#This Row],[WorkLifeBalance]],1,"Bad",2,"Good",3,"Better",4,"Best","Unknown")</f>
        <v>Good</v>
      </c>
      <c r="AP547">
        <f>IF(CleanEmployeeData[[#This Row],[Attrition]]="Yes",1,IF(CleanEmployeeData[[#This Row],[Attrition]]="No",0,""))</f>
        <v>0</v>
      </c>
      <c r="AQ547" t="str" cm="1">
        <f t="array" ref="AQ547">_xlfn.IFS(CleanEmployeeData[[#This Row],[MonthlyIncome]]&lt;=3000,"0–3,000",CleanEmployeeData[[#This Row],[MonthlyIncome]]&lt;=6000,"3,001–6,000",CleanEmployeeData[[#This Row],[MonthlyIncome]]&lt;=10000,"6,001–10,000",TRUE,"10,001+")</f>
        <v>3,001–6,000</v>
      </c>
      <c r="AR547" t="str" cm="1">
        <f t="array" ref="AR547">_xlfn.IFS(CleanEmployeeData[[#This Row],[DistanceFromHome]]&lt;=5,"0–5 miles",CleanEmployeeData[[#This Row],[DistanceFromHome]]&lt;=10,"6–10 miles",CleanEmployeeData[[#This Row],[DistanceFromHome]]&lt;=15,"11–15 miles",TRUE,"16+ miles")</f>
        <v>16+ miles</v>
      </c>
      <c r="AS547" t="str" cm="1">
        <f t="array" ref="AS547">_xlfn.IFS(CleanEmployeeData[[#This Row],[YearsAtCompany]]&lt;=1,"0–1 years",CleanEmployeeData[[#This Row],[YearsAtCompany]]&lt;=5,"2–5 years",CleanEmployeeData[[#This Row],[YearsAtCompany]]&lt;=10,"6–10 years",TRUE,"11+ years")</f>
        <v>6–10 years</v>
      </c>
    </row>
    <row r="548" spans="1:4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cm="1">
        <f t="array" ref="AJ548">_xlfn.SWITCH(CleanEmployeeData[[#This Row],[Education]],1,"Below College",2,"College",3,"Bachelor",4,"Master",5,"Doctor","Unknown")</f>
        <v>Bachelor</v>
      </c>
      <c r="AK548" t="str" cm="1">
        <f t="array" ref="AK548">_xlfn.SWITCH(CleanEmployeeData[[#This Row],[EnvironmentSatisfaction]],1,"Low",2,"Medium",3,"High",4,"Very High","Unknown")</f>
        <v>High</v>
      </c>
      <c r="AL548" t="str" cm="1">
        <f t="array" ref="AL548">_xlfn.SWITCH(CleanEmployeeData[[#This Row],[JobInvolvement]],1,"Low",2,"Medium",3,"High",4,"Very High","Unknown")</f>
        <v>High</v>
      </c>
      <c r="AM548" t="str" cm="1">
        <f t="array" ref="AM548">_xlfn.SWITCH(CleanEmployeeData[[#This Row],[JobSatisfaction]],1,"Low",2,"Medium",3,"High",4,"Very High","Unknown")</f>
        <v>High</v>
      </c>
      <c r="AN548" t="str" cm="1">
        <f t="array" ref="AN548">_xlfn.SWITCH(CleanEmployeeData[[#This Row],[PerformanceRating]],1,"Low",2,"Good",3,"Excellent",4,"Outstanding","Unknown")</f>
        <v>Excellent</v>
      </c>
      <c r="AO548" t="str" cm="1">
        <f t="array" ref="AO548">_xlfn.SWITCH(CleanEmployeeData[[#This Row],[WorkLifeBalance]],1,"Bad",2,"Good",3,"Better",4,"Best","Unknown")</f>
        <v>Better</v>
      </c>
      <c r="AP548">
        <f>IF(CleanEmployeeData[[#This Row],[Attrition]]="Yes",1,IF(CleanEmployeeData[[#This Row],[Attrition]]="No",0,""))</f>
        <v>0</v>
      </c>
      <c r="AQ548" t="str" cm="1">
        <f t="array" ref="AQ548">_xlfn.IFS(CleanEmployeeData[[#This Row],[MonthlyIncome]]&lt;=3000,"0–3,000",CleanEmployeeData[[#This Row],[MonthlyIncome]]&lt;=6000,"3,001–6,000",CleanEmployeeData[[#This Row],[MonthlyIncome]]&lt;=10000,"6,001–10,000",TRUE,"10,001+")</f>
        <v>0–3,000</v>
      </c>
      <c r="AR548" t="str" cm="1">
        <f t="array" ref="AR548">_xlfn.IFS(CleanEmployeeData[[#This Row],[DistanceFromHome]]&lt;=5,"0–5 miles",CleanEmployeeData[[#This Row],[DistanceFromHome]]&lt;=10,"6–10 miles",CleanEmployeeData[[#This Row],[DistanceFromHome]]&lt;=15,"11–15 miles",TRUE,"16+ miles")</f>
        <v>6–10 miles</v>
      </c>
      <c r="AS548" t="str" cm="1">
        <f t="array" ref="AS548">_xlfn.IFS(CleanEmployeeData[[#This Row],[YearsAtCompany]]&lt;=1,"0–1 years",CleanEmployeeData[[#This Row],[YearsAtCompany]]&lt;=5,"2–5 years",CleanEmployeeData[[#This Row],[YearsAtCompany]]&lt;=10,"6–10 years",TRUE,"11+ years")</f>
        <v>0–1 years</v>
      </c>
    </row>
    <row r="549" spans="1:4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cm="1">
        <f t="array" ref="AJ549">_xlfn.SWITCH(CleanEmployeeData[[#This Row],[Education]],1,"Below College",2,"College",3,"Bachelor",4,"Master",5,"Doctor","Unknown")</f>
        <v>Bachelor</v>
      </c>
      <c r="AK549" t="str" cm="1">
        <f t="array" ref="AK549">_xlfn.SWITCH(CleanEmployeeData[[#This Row],[EnvironmentSatisfaction]],1,"Low",2,"Medium",3,"High",4,"Very High","Unknown")</f>
        <v>High</v>
      </c>
      <c r="AL549" t="str" cm="1">
        <f t="array" ref="AL549">_xlfn.SWITCH(CleanEmployeeData[[#This Row],[JobInvolvement]],1,"Low",2,"Medium",3,"High",4,"Very High","Unknown")</f>
        <v>Very High</v>
      </c>
      <c r="AM549" t="str" cm="1">
        <f t="array" ref="AM549">_xlfn.SWITCH(CleanEmployeeData[[#This Row],[JobSatisfaction]],1,"Low",2,"Medium",3,"High",4,"Very High","Unknown")</f>
        <v>High</v>
      </c>
      <c r="AN549" t="str" cm="1">
        <f t="array" ref="AN549">_xlfn.SWITCH(CleanEmployeeData[[#This Row],[PerformanceRating]],1,"Low",2,"Good",3,"Excellent",4,"Outstanding","Unknown")</f>
        <v>Excellent</v>
      </c>
      <c r="AO549" t="str" cm="1">
        <f t="array" ref="AO549">_xlfn.SWITCH(CleanEmployeeData[[#This Row],[WorkLifeBalance]],1,"Bad",2,"Good",3,"Better",4,"Best","Unknown")</f>
        <v>Better</v>
      </c>
      <c r="AP549">
        <f>IF(CleanEmployeeData[[#This Row],[Attrition]]="Yes",1,IF(CleanEmployeeData[[#This Row],[Attrition]]="No",0,""))</f>
        <v>1</v>
      </c>
      <c r="AQ549" t="str" cm="1">
        <f t="array" ref="AQ549">_xlfn.IFS(CleanEmployeeData[[#This Row],[MonthlyIncome]]&lt;=3000,"0–3,000",CleanEmployeeData[[#This Row],[MonthlyIncome]]&lt;=6000,"3,001–6,000",CleanEmployeeData[[#This Row],[MonthlyIncome]]&lt;=10000,"6,001–10,000",TRUE,"10,001+")</f>
        <v>0–3,000</v>
      </c>
      <c r="AR549" t="str" cm="1">
        <f t="array" ref="AR549">_xlfn.IFS(CleanEmployeeData[[#This Row],[DistanceFromHome]]&lt;=5,"0–5 miles",CleanEmployeeData[[#This Row],[DistanceFromHome]]&lt;=10,"6–10 miles",CleanEmployeeData[[#This Row],[DistanceFromHome]]&lt;=15,"11–15 miles",TRUE,"16+ miles")</f>
        <v>16+ miles</v>
      </c>
      <c r="AS549" t="str" cm="1">
        <f t="array" ref="AS549">_xlfn.IFS(CleanEmployeeData[[#This Row],[YearsAtCompany]]&lt;=1,"0–1 years",CleanEmployeeData[[#This Row],[YearsAtCompany]]&lt;=5,"2–5 years",CleanEmployeeData[[#This Row],[YearsAtCompany]]&lt;=10,"6–10 years",TRUE,"11+ years")</f>
        <v>2–5 years</v>
      </c>
    </row>
    <row r="550" spans="1:4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cm="1">
        <f t="array" ref="AJ550">_xlfn.SWITCH(CleanEmployeeData[[#This Row],[Education]],1,"Below College",2,"College",3,"Bachelor",4,"Master",5,"Doctor","Unknown")</f>
        <v>Bachelor</v>
      </c>
      <c r="AK550" t="str" cm="1">
        <f t="array" ref="AK550">_xlfn.SWITCH(CleanEmployeeData[[#This Row],[EnvironmentSatisfaction]],1,"Low",2,"Medium",3,"High",4,"Very High","Unknown")</f>
        <v>Very High</v>
      </c>
      <c r="AL550" t="str" cm="1">
        <f t="array" ref="AL550">_xlfn.SWITCH(CleanEmployeeData[[#This Row],[JobInvolvement]],1,"Low",2,"Medium",3,"High",4,"Very High","Unknown")</f>
        <v>Medium</v>
      </c>
      <c r="AM550" t="str" cm="1">
        <f t="array" ref="AM550">_xlfn.SWITCH(CleanEmployeeData[[#This Row],[JobSatisfaction]],1,"Low",2,"Medium",3,"High",4,"Very High","Unknown")</f>
        <v>Very High</v>
      </c>
      <c r="AN550" t="str" cm="1">
        <f t="array" ref="AN550">_xlfn.SWITCH(CleanEmployeeData[[#This Row],[PerformanceRating]],1,"Low",2,"Good",3,"Excellent",4,"Outstanding","Unknown")</f>
        <v>Excellent</v>
      </c>
      <c r="AO550" t="str" cm="1">
        <f t="array" ref="AO550">_xlfn.SWITCH(CleanEmployeeData[[#This Row],[WorkLifeBalance]],1,"Bad",2,"Good",3,"Better",4,"Best","Unknown")</f>
        <v>Better</v>
      </c>
      <c r="AP550">
        <f>IF(CleanEmployeeData[[#This Row],[Attrition]]="Yes",1,IF(CleanEmployeeData[[#This Row],[Attrition]]="No",0,""))</f>
        <v>0</v>
      </c>
      <c r="AQ550" t="str" cm="1">
        <f t="array" ref="AQ550">_xlfn.IFS(CleanEmployeeData[[#This Row],[MonthlyIncome]]&lt;=3000,"0–3,000",CleanEmployeeData[[#This Row],[MonthlyIncome]]&lt;=6000,"3,001–6,000",CleanEmployeeData[[#This Row],[MonthlyIncome]]&lt;=10000,"6,001–10,000",TRUE,"10,001+")</f>
        <v>6,001–10,000</v>
      </c>
      <c r="AR550" t="str" cm="1">
        <f t="array" ref="AR550">_xlfn.IFS(CleanEmployeeData[[#This Row],[DistanceFromHome]]&lt;=5,"0–5 miles",CleanEmployeeData[[#This Row],[DistanceFromHome]]&lt;=10,"6–10 miles",CleanEmployeeData[[#This Row],[DistanceFromHome]]&lt;=15,"11–15 miles",TRUE,"16+ miles")</f>
        <v>11–15 miles</v>
      </c>
      <c r="AS550" t="str" cm="1">
        <f t="array" ref="AS550">_xlfn.IFS(CleanEmployeeData[[#This Row],[YearsAtCompany]]&lt;=1,"0–1 years",CleanEmployeeData[[#This Row],[YearsAtCompany]]&lt;=5,"2–5 years",CleanEmployeeData[[#This Row],[YearsAtCompany]]&lt;=10,"6–10 years",TRUE,"11+ years")</f>
        <v>2–5 years</v>
      </c>
    </row>
    <row r="551" spans="1:4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cm="1">
        <f t="array" ref="AJ551">_xlfn.SWITCH(CleanEmployeeData[[#This Row],[Education]],1,"Below College",2,"College",3,"Bachelor",4,"Master",5,"Doctor","Unknown")</f>
        <v>College</v>
      </c>
      <c r="AK551" t="str" cm="1">
        <f t="array" ref="AK551">_xlfn.SWITCH(CleanEmployeeData[[#This Row],[EnvironmentSatisfaction]],1,"Low",2,"Medium",3,"High",4,"Very High","Unknown")</f>
        <v>Medium</v>
      </c>
      <c r="AL551" t="str" cm="1">
        <f t="array" ref="AL551">_xlfn.SWITCH(CleanEmployeeData[[#This Row],[JobInvolvement]],1,"Low",2,"Medium",3,"High",4,"Very High","Unknown")</f>
        <v>High</v>
      </c>
      <c r="AM551" t="str" cm="1">
        <f t="array" ref="AM551">_xlfn.SWITCH(CleanEmployeeData[[#This Row],[JobSatisfaction]],1,"Low",2,"Medium",3,"High",4,"Very High","Unknown")</f>
        <v>High</v>
      </c>
      <c r="AN551" t="str" cm="1">
        <f t="array" ref="AN551">_xlfn.SWITCH(CleanEmployeeData[[#This Row],[PerformanceRating]],1,"Low",2,"Good",3,"Excellent",4,"Outstanding","Unknown")</f>
        <v>Excellent</v>
      </c>
      <c r="AO551" t="str" cm="1">
        <f t="array" ref="AO551">_xlfn.SWITCH(CleanEmployeeData[[#This Row],[WorkLifeBalance]],1,"Bad",2,"Good",3,"Better",4,"Best","Unknown")</f>
        <v>Better</v>
      </c>
      <c r="AP551">
        <f>IF(CleanEmployeeData[[#This Row],[Attrition]]="Yes",1,IF(CleanEmployeeData[[#This Row],[Attrition]]="No",0,""))</f>
        <v>0</v>
      </c>
      <c r="AQ551" t="str" cm="1">
        <f t="array" ref="AQ551">_xlfn.IFS(CleanEmployeeData[[#This Row],[MonthlyIncome]]&lt;=3000,"0–3,000",CleanEmployeeData[[#This Row],[MonthlyIncome]]&lt;=6000,"3,001–6,000",CleanEmployeeData[[#This Row],[MonthlyIncome]]&lt;=10000,"6,001–10,000",TRUE,"10,001+")</f>
        <v>6,001–10,000</v>
      </c>
      <c r="AR551" t="str" cm="1">
        <f t="array" ref="AR551">_xlfn.IFS(CleanEmployeeData[[#This Row],[DistanceFromHome]]&lt;=5,"0–5 miles",CleanEmployeeData[[#This Row],[DistanceFromHome]]&lt;=10,"6–10 miles",CleanEmployeeData[[#This Row],[DistanceFromHome]]&lt;=15,"11–15 miles",TRUE,"16+ miles")</f>
        <v>6–10 miles</v>
      </c>
      <c r="AS551" t="str" cm="1">
        <f t="array" ref="AS551">_xlfn.IFS(CleanEmployeeData[[#This Row],[YearsAtCompany]]&lt;=1,"0–1 years",CleanEmployeeData[[#This Row],[YearsAtCompany]]&lt;=5,"2–5 years",CleanEmployeeData[[#This Row],[YearsAtCompany]]&lt;=10,"6–10 years",TRUE,"11+ years")</f>
        <v>2–5 years</v>
      </c>
    </row>
    <row r="552" spans="1:4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cm="1">
        <f t="array" ref="AJ552">_xlfn.SWITCH(CleanEmployeeData[[#This Row],[Education]],1,"Below College",2,"College",3,"Bachelor",4,"Master",5,"Doctor","Unknown")</f>
        <v>Below College</v>
      </c>
      <c r="AK552" t="str" cm="1">
        <f t="array" ref="AK552">_xlfn.SWITCH(CleanEmployeeData[[#This Row],[EnvironmentSatisfaction]],1,"Low",2,"Medium",3,"High",4,"Very High","Unknown")</f>
        <v>Medium</v>
      </c>
      <c r="AL552" t="str" cm="1">
        <f t="array" ref="AL552">_xlfn.SWITCH(CleanEmployeeData[[#This Row],[JobInvolvement]],1,"Low",2,"Medium",3,"High",4,"Very High","Unknown")</f>
        <v>High</v>
      </c>
      <c r="AM552" t="str" cm="1">
        <f t="array" ref="AM552">_xlfn.SWITCH(CleanEmployeeData[[#This Row],[JobSatisfaction]],1,"Low",2,"Medium",3,"High",4,"Very High","Unknown")</f>
        <v>Low</v>
      </c>
      <c r="AN552" t="str" cm="1">
        <f t="array" ref="AN552">_xlfn.SWITCH(CleanEmployeeData[[#This Row],[PerformanceRating]],1,"Low",2,"Good",3,"Excellent",4,"Outstanding","Unknown")</f>
        <v>Excellent</v>
      </c>
      <c r="AO552" t="str" cm="1">
        <f t="array" ref="AO552">_xlfn.SWITCH(CleanEmployeeData[[#This Row],[WorkLifeBalance]],1,"Bad",2,"Good",3,"Better",4,"Best","Unknown")</f>
        <v>Best</v>
      </c>
      <c r="AP552">
        <f>IF(CleanEmployeeData[[#This Row],[Attrition]]="Yes",1,IF(CleanEmployeeData[[#This Row],[Attrition]]="No",0,""))</f>
        <v>0</v>
      </c>
      <c r="AQ552" t="str" cm="1">
        <f t="array" ref="AQ552">_xlfn.IFS(CleanEmployeeData[[#This Row],[MonthlyIncome]]&lt;=3000,"0–3,000",CleanEmployeeData[[#This Row],[MonthlyIncome]]&lt;=6000,"3,001–6,000",CleanEmployeeData[[#This Row],[MonthlyIncome]]&lt;=10000,"6,001–10,000",TRUE,"10,001+")</f>
        <v>0–3,000</v>
      </c>
      <c r="AR552" t="str" cm="1">
        <f t="array" ref="AR552">_xlfn.IFS(CleanEmployeeData[[#This Row],[DistanceFromHome]]&lt;=5,"0–5 miles",CleanEmployeeData[[#This Row],[DistanceFromHome]]&lt;=10,"6–10 miles",CleanEmployeeData[[#This Row],[DistanceFromHome]]&lt;=15,"11–15 miles",TRUE,"16+ miles")</f>
        <v>6–10 miles</v>
      </c>
      <c r="AS552" t="str" cm="1">
        <f t="array" ref="AS552">_xlfn.IFS(CleanEmployeeData[[#This Row],[YearsAtCompany]]&lt;=1,"0–1 years",CleanEmployeeData[[#This Row],[YearsAtCompany]]&lt;=5,"2–5 years",CleanEmployeeData[[#This Row],[YearsAtCompany]]&lt;=10,"6–10 years",TRUE,"11+ years")</f>
        <v>2–5 years</v>
      </c>
    </row>
    <row r="553" spans="1:4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cm="1">
        <f t="array" ref="AJ553">_xlfn.SWITCH(CleanEmployeeData[[#This Row],[Education]],1,"Below College",2,"College",3,"Bachelor",4,"Master",5,"Doctor","Unknown")</f>
        <v>Bachelor</v>
      </c>
      <c r="AK553" t="str" cm="1">
        <f t="array" ref="AK553">_xlfn.SWITCH(CleanEmployeeData[[#This Row],[EnvironmentSatisfaction]],1,"Low",2,"Medium",3,"High",4,"Very High","Unknown")</f>
        <v>High</v>
      </c>
      <c r="AL553" t="str" cm="1">
        <f t="array" ref="AL553">_xlfn.SWITCH(CleanEmployeeData[[#This Row],[JobInvolvement]],1,"Low",2,"Medium",3,"High",4,"Very High","Unknown")</f>
        <v>Very High</v>
      </c>
      <c r="AM553" t="str" cm="1">
        <f t="array" ref="AM553">_xlfn.SWITCH(CleanEmployeeData[[#This Row],[JobSatisfaction]],1,"Low",2,"Medium",3,"High",4,"Very High","Unknown")</f>
        <v>Medium</v>
      </c>
      <c r="AN553" t="str" cm="1">
        <f t="array" ref="AN553">_xlfn.SWITCH(CleanEmployeeData[[#This Row],[PerformanceRating]],1,"Low",2,"Good",3,"Excellent",4,"Outstanding","Unknown")</f>
        <v>Excellent</v>
      </c>
      <c r="AO553" t="str" cm="1">
        <f t="array" ref="AO553">_xlfn.SWITCH(CleanEmployeeData[[#This Row],[WorkLifeBalance]],1,"Bad",2,"Good",3,"Better",4,"Best","Unknown")</f>
        <v>Bad</v>
      </c>
      <c r="AP553">
        <f>IF(CleanEmployeeData[[#This Row],[Attrition]]="Yes",1,IF(CleanEmployeeData[[#This Row],[Attrition]]="No",0,""))</f>
        <v>0</v>
      </c>
      <c r="AQ553" t="str" cm="1">
        <f t="array" ref="AQ553">_xlfn.IFS(CleanEmployeeData[[#This Row],[MonthlyIncome]]&lt;=3000,"0–3,000",CleanEmployeeData[[#This Row],[MonthlyIncome]]&lt;=6000,"3,001–6,000",CleanEmployeeData[[#This Row],[MonthlyIncome]]&lt;=10000,"6,001–10,000",TRUE,"10,001+")</f>
        <v>6,001–10,000</v>
      </c>
      <c r="AR553" t="str" cm="1">
        <f t="array" ref="AR553">_xlfn.IFS(CleanEmployeeData[[#This Row],[DistanceFromHome]]&lt;=5,"0–5 miles",CleanEmployeeData[[#This Row],[DistanceFromHome]]&lt;=10,"6–10 miles",CleanEmployeeData[[#This Row],[DistanceFromHome]]&lt;=15,"11–15 miles",TRUE,"16+ miles")</f>
        <v>0–5 miles</v>
      </c>
      <c r="AS553" t="str" cm="1">
        <f t="array" ref="AS553">_xlfn.IFS(CleanEmployeeData[[#This Row],[YearsAtCompany]]&lt;=1,"0–1 years",CleanEmployeeData[[#This Row],[YearsAtCompany]]&lt;=5,"2–5 years",CleanEmployeeData[[#This Row],[YearsAtCompany]]&lt;=10,"6–10 years",TRUE,"11+ years")</f>
        <v>6–10 years</v>
      </c>
    </row>
    <row r="554" spans="1:4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cm="1">
        <f t="array" ref="AJ554">_xlfn.SWITCH(CleanEmployeeData[[#This Row],[Education]],1,"Below College",2,"College",3,"Bachelor",4,"Master",5,"Doctor","Unknown")</f>
        <v>Bachelor</v>
      </c>
      <c r="AK554" t="str" cm="1">
        <f t="array" ref="AK554">_xlfn.SWITCH(CleanEmployeeData[[#This Row],[EnvironmentSatisfaction]],1,"Low",2,"Medium",3,"High",4,"Very High","Unknown")</f>
        <v>High</v>
      </c>
      <c r="AL554" t="str" cm="1">
        <f t="array" ref="AL554">_xlfn.SWITCH(CleanEmployeeData[[#This Row],[JobInvolvement]],1,"Low",2,"Medium",3,"High",4,"Very High","Unknown")</f>
        <v>High</v>
      </c>
      <c r="AM554" t="str" cm="1">
        <f t="array" ref="AM554">_xlfn.SWITCH(CleanEmployeeData[[#This Row],[JobSatisfaction]],1,"Low",2,"Medium",3,"High",4,"Very High","Unknown")</f>
        <v>Very High</v>
      </c>
      <c r="AN554" t="str" cm="1">
        <f t="array" ref="AN554">_xlfn.SWITCH(CleanEmployeeData[[#This Row],[PerformanceRating]],1,"Low",2,"Good",3,"Excellent",4,"Outstanding","Unknown")</f>
        <v>Excellent</v>
      </c>
      <c r="AO554" t="str" cm="1">
        <f t="array" ref="AO554">_xlfn.SWITCH(CleanEmployeeData[[#This Row],[WorkLifeBalance]],1,"Bad",2,"Good",3,"Better",4,"Best","Unknown")</f>
        <v>Good</v>
      </c>
      <c r="AP554">
        <f>IF(CleanEmployeeData[[#This Row],[Attrition]]="Yes",1,IF(CleanEmployeeData[[#This Row],[Attrition]]="No",0,""))</f>
        <v>0</v>
      </c>
      <c r="AQ554" t="str" cm="1">
        <f t="array" ref="AQ554">_xlfn.IFS(CleanEmployeeData[[#This Row],[MonthlyIncome]]&lt;=3000,"0–3,000",CleanEmployeeData[[#This Row],[MonthlyIncome]]&lt;=6000,"3,001–6,000",CleanEmployeeData[[#This Row],[MonthlyIncome]]&lt;=10000,"6,001–10,000",TRUE,"10,001+")</f>
        <v>10,001+</v>
      </c>
      <c r="AR554" t="str" cm="1">
        <f t="array" ref="AR554">_xlfn.IFS(CleanEmployeeData[[#This Row],[DistanceFromHome]]&lt;=5,"0–5 miles",CleanEmployeeData[[#This Row],[DistanceFromHome]]&lt;=10,"6–10 miles",CleanEmployeeData[[#This Row],[DistanceFromHome]]&lt;=15,"11–15 miles",TRUE,"16+ miles")</f>
        <v>6–10 miles</v>
      </c>
      <c r="AS554" t="str" cm="1">
        <f t="array" ref="AS554">_xlfn.IFS(CleanEmployeeData[[#This Row],[YearsAtCompany]]&lt;=1,"0–1 years",CleanEmployeeData[[#This Row],[YearsAtCompany]]&lt;=5,"2–5 years",CleanEmployeeData[[#This Row],[YearsAtCompany]]&lt;=10,"6–10 years",TRUE,"11+ years")</f>
        <v>6–10 years</v>
      </c>
    </row>
    <row r="555" spans="1:4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cm="1">
        <f t="array" ref="AJ555">_xlfn.SWITCH(CleanEmployeeData[[#This Row],[Education]],1,"Below College",2,"College",3,"Bachelor",4,"Master",5,"Doctor","Unknown")</f>
        <v>Below College</v>
      </c>
      <c r="AK555" t="str" cm="1">
        <f t="array" ref="AK555">_xlfn.SWITCH(CleanEmployeeData[[#This Row],[EnvironmentSatisfaction]],1,"Low",2,"Medium",3,"High",4,"Very High","Unknown")</f>
        <v>Very High</v>
      </c>
      <c r="AL555" t="str" cm="1">
        <f t="array" ref="AL555">_xlfn.SWITCH(CleanEmployeeData[[#This Row],[JobInvolvement]],1,"Low",2,"Medium",3,"High",4,"Very High","Unknown")</f>
        <v>Medium</v>
      </c>
      <c r="AM555" t="str" cm="1">
        <f t="array" ref="AM555">_xlfn.SWITCH(CleanEmployeeData[[#This Row],[JobSatisfaction]],1,"Low",2,"Medium",3,"High",4,"Very High","Unknown")</f>
        <v>Very High</v>
      </c>
      <c r="AN555" t="str" cm="1">
        <f t="array" ref="AN555">_xlfn.SWITCH(CleanEmployeeData[[#This Row],[PerformanceRating]],1,"Low",2,"Good",3,"Excellent",4,"Outstanding","Unknown")</f>
        <v>Outstanding</v>
      </c>
      <c r="AO555" t="str" cm="1">
        <f t="array" ref="AO555">_xlfn.SWITCH(CleanEmployeeData[[#This Row],[WorkLifeBalance]],1,"Bad",2,"Good",3,"Better",4,"Best","Unknown")</f>
        <v>Good</v>
      </c>
      <c r="AP555">
        <f>IF(CleanEmployeeData[[#This Row],[Attrition]]="Yes",1,IF(CleanEmployeeData[[#This Row],[Attrition]]="No",0,""))</f>
        <v>0</v>
      </c>
      <c r="AQ555" t="str" cm="1">
        <f t="array" ref="AQ555">_xlfn.IFS(CleanEmployeeData[[#This Row],[MonthlyIncome]]&lt;=3000,"0–3,000",CleanEmployeeData[[#This Row],[MonthlyIncome]]&lt;=6000,"3,001–6,000",CleanEmployeeData[[#This Row],[MonthlyIncome]]&lt;=10000,"6,001–10,000",TRUE,"10,001+")</f>
        <v>0–3,000</v>
      </c>
      <c r="AR555" t="str" cm="1">
        <f t="array" ref="AR555">_xlfn.IFS(CleanEmployeeData[[#This Row],[DistanceFromHome]]&lt;=5,"0–5 miles",CleanEmployeeData[[#This Row],[DistanceFromHome]]&lt;=10,"6–10 miles",CleanEmployeeData[[#This Row],[DistanceFromHome]]&lt;=15,"11–15 miles",TRUE,"16+ miles")</f>
        <v>0–5 miles</v>
      </c>
      <c r="AS555" t="str" cm="1">
        <f t="array" ref="AS555">_xlfn.IFS(CleanEmployeeData[[#This Row],[YearsAtCompany]]&lt;=1,"0–1 years",CleanEmployeeData[[#This Row],[YearsAtCompany]]&lt;=5,"2–5 years",CleanEmployeeData[[#This Row],[YearsAtCompany]]&lt;=10,"6–10 years",TRUE,"11+ years")</f>
        <v>2–5 years</v>
      </c>
    </row>
    <row r="556" spans="1:4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cm="1">
        <f t="array" ref="AJ556">_xlfn.SWITCH(CleanEmployeeData[[#This Row],[Education]],1,"Below College",2,"College",3,"Bachelor",4,"Master",5,"Doctor","Unknown")</f>
        <v>Bachelor</v>
      </c>
      <c r="AK556" t="str" cm="1">
        <f t="array" ref="AK556">_xlfn.SWITCH(CleanEmployeeData[[#This Row],[EnvironmentSatisfaction]],1,"Low",2,"Medium",3,"High",4,"Very High","Unknown")</f>
        <v>Very High</v>
      </c>
      <c r="AL556" t="str" cm="1">
        <f t="array" ref="AL556">_xlfn.SWITCH(CleanEmployeeData[[#This Row],[JobInvolvement]],1,"Low",2,"Medium",3,"High",4,"Very High","Unknown")</f>
        <v>Medium</v>
      </c>
      <c r="AM556" t="str" cm="1">
        <f t="array" ref="AM556">_xlfn.SWITCH(CleanEmployeeData[[#This Row],[JobSatisfaction]],1,"Low",2,"Medium",3,"High",4,"Very High","Unknown")</f>
        <v>Low</v>
      </c>
      <c r="AN556" t="str" cm="1">
        <f t="array" ref="AN556">_xlfn.SWITCH(CleanEmployeeData[[#This Row],[PerformanceRating]],1,"Low",2,"Good",3,"Excellent",4,"Outstanding","Unknown")</f>
        <v>Excellent</v>
      </c>
      <c r="AO556" t="str" cm="1">
        <f t="array" ref="AO556">_xlfn.SWITCH(CleanEmployeeData[[#This Row],[WorkLifeBalance]],1,"Bad",2,"Good",3,"Better",4,"Best","Unknown")</f>
        <v>Bad</v>
      </c>
      <c r="AP556">
        <f>IF(CleanEmployeeData[[#This Row],[Attrition]]="Yes",1,IF(CleanEmployeeData[[#This Row],[Attrition]]="No",0,""))</f>
        <v>0</v>
      </c>
      <c r="AQ556" t="str" cm="1">
        <f t="array" ref="AQ556">_xlfn.IFS(CleanEmployeeData[[#This Row],[MonthlyIncome]]&lt;=3000,"0–3,000",CleanEmployeeData[[#This Row],[MonthlyIncome]]&lt;=6000,"3,001–6,000",CleanEmployeeData[[#This Row],[MonthlyIncome]]&lt;=10000,"6,001–10,000",TRUE,"10,001+")</f>
        <v>6,001–10,000</v>
      </c>
      <c r="AR556" t="str" cm="1">
        <f t="array" ref="AR556">_xlfn.IFS(CleanEmployeeData[[#This Row],[DistanceFromHome]]&lt;=5,"0–5 miles",CleanEmployeeData[[#This Row],[DistanceFromHome]]&lt;=10,"6–10 miles",CleanEmployeeData[[#This Row],[DistanceFromHome]]&lt;=15,"11–15 miles",TRUE,"16+ miles")</f>
        <v>6–10 miles</v>
      </c>
      <c r="AS556" t="str" cm="1">
        <f t="array" ref="AS556">_xlfn.IFS(CleanEmployeeData[[#This Row],[YearsAtCompany]]&lt;=1,"0–1 years",CleanEmployeeData[[#This Row],[YearsAtCompany]]&lt;=5,"2–5 years",CleanEmployeeData[[#This Row],[YearsAtCompany]]&lt;=10,"6–10 years",TRUE,"11+ years")</f>
        <v>6–10 years</v>
      </c>
    </row>
    <row r="557" spans="1:4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cm="1">
        <f t="array" ref="AJ557">_xlfn.SWITCH(CleanEmployeeData[[#This Row],[Education]],1,"Below College",2,"College",3,"Bachelor",4,"Master",5,"Doctor","Unknown")</f>
        <v>Bachelor</v>
      </c>
      <c r="AK557" t="str" cm="1">
        <f t="array" ref="AK557">_xlfn.SWITCH(CleanEmployeeData[[#This Row],[EnvironmentSatisfaction]],1,"Low",2,"Medium",3,"High",4,"Very High","Unknown")</f>
        <v>Very High</v>
      </c>
      <c r="AL557" t="str" cm="1">
        <f t="array" ref="AL557">_xlfn.SWITCH(CleanEmployeeData[[#This Row],[JobInvolvement]],1,"Low",2,"Medium",3,"High",4,"Very High","Unknown")</f>
        <v>High</v>
      </c>
      <c r="AM557" t="str" cm="1">
        <f t="array" ref="AM557">_xlfn.SWITCH(CleanEmployeeData[[#This Row],[JobSatisfaction]],1,"Low",2,"Medium",3,"High",4,"Very High","Unknown")</f>
        <v>Medium</v>
      </c>
      <c r="AN557" t="str" cm="1">
        <f t="array" ref="AN557">_xlfn.SWITCH(CleanEmployeeData[[#This Row],[PerformanceRating]],1,"Low",2,"Good",3,"Excellent",4,"Outstanding","Unknown")</f>
        <v>Excellent</v>
      </c>
      <c r="AO557" t="str" cm="1">
        <f t="array" ref="AO557">_xlfn.SWITCH(CleanEmployeeData[[#This Row],[WorkLifeBalance]],1,"Bad",2,"Good",3,"Better",4,"Best","Unknown")</f>
        <v>Better</v>
      </c>
      <c r="AP557">
        <f>IF(CleanEmployeeData[[#This Row],[Attrition]]="Yes",1,IF(CleanEmployeeData[[#This Row],[Attrition]]="No",0,""))</f>
        <v>0</v>
      </c>
      <c r="AQ557" t="str" cm="1">
        <f t="array" ref="AQ557">_xlfn.IFS(CleanEmployeeData[[#This Row],[MonthlyIncome]]&lt;=3000,"0–3,000",CleanEmployeeData[[#This Row],[MonthlyIncome]]&lt;=6000,"3,001–6,000",CleanEmployeeData[[#This Row],[MonthlyIncome]]&lt;=10000,"6,001–10,000",TRUE,"10,001+")</f>
        <v>0–3,000</v>
      </c>
      <c r="AR557" t="str" cm="1">
        <f t="array" ref="AR557">_xlfn.IFS(CleanEmployeeData[[#This Row],[DistanceFromHome]]&lt;=5,"0–5 miles",CleanEmployeeData[[#This Row],[DistanceFromHome]]&lt;=10,"6–10 miles",CleanEmployeeData[[#This Row],[DistanceFromHome]]&lt;=15,"11–15 miles",TRUE,"16+ miles")</f>
        <v>6–10 miles</v>
      </c>
      <c r="AS557" t="str" cm="1">
        <f t="array" ref="AS557">_xlfn.IFS(CleanEmployeeData[[#This Row],[YearsAtCompany]]&lt;=1,"0–1 years",CleanEmployeeData[[#This Row],[YearsAtCompany]]&lt;=5,"2–5 years",CleanEmployeeData[[#This Row],[YearsAtCompany]]&lt;=10,"6–10 years",TRUE,"11+ years")</f>
        <v>2–5 years</v>
      </c>
    </row>
    <row r="558" spans="1:4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cm="1">
        <f t="array" ref="AJ558">_xlfn.SWITCH(CleanEmployeeData[[#This Row],[Education]],1,"Below College",2,"College",3,"Bachelor",4,"Master",5,"Doctor","Unknown")</f>
        <v>Bachelor</v>
      </c>
      <c r="AK558" t="str" cm="1">
        <f t="array" ref="AK558">_xlfn.SWITCH(CleanEmployeeData[[#This Row],[EnvironmentSatisfaction]],1,"Low",2,"Medium",3,"High",4,"Very High","Unknown")</f>
        <v>Very High</v>
      </c>
      <c r="AL558" t="str" cm="1">
        <f t="array" ref="AL558">_xlfn.SWITCH(CleanEmployeeData[[#This Row],[JobInvolvement]],1,"Low",2,"Medium",3,"High",4,"Very High","Unknown")</f>
        <v>High</v>
      </c>
      <c r="AM558" t="str" cm="1">
        <f t="array" ref="AM558">_xlfn.SWITCH(CleanEmployeeData[[#This Row],[JobSatisfaction]],1,"Low",2,"Medium",3,"High",4,"Very High","Unknown")</f>
        <v>Very High</v>
      </c>
      <c r="AN558" t="str" cm="1">
        <f t="array" ref="AN558">_xlfn.SWITCH(CleanEmployeeData[[#This Row],[PerformanceRating]],1,"Low",2,"Good",3,"Excellent",4,"Outstanding","Unknown")</f>
        <v>Excellent</v>
      </c>
      <c r="AO558" t="str" cm="1">
        <f t="array" ref="AO558">_xlfn.SWITCH(CleanEmployeeData[[#This Row],[WorkLifeBalance]],1,"Bad",2,"Good",3,"Better",4,"Best","Unknown")</f>
        <v>Better</v>
      </c>
      <c r="AP558">
        <f>IF(CleanEmployeeData[[#This Row],[Attrition]]="Yes",1,IF(CleanEmployeeData[[#This Row],[Attrition]]="No",0,""))</f>
        <v>0</v>
      </c>
      <c r="AQ558" t="str" cm="1">
        <f t="array" ref="AQ558">_xlfn.IFS(CleanEmployeeData[[#This Row],[MonthlyIncome]]&lt;=3000,"0–3,000",CleanEmployeeData[[#This Row],[MonthlyIncome]]&lt;=6000,"3,001–6,000",CleanEmployeeData[[#This Row],[MonthlyIncome]]&lt;=10000,"6,001–10,000",TRUE,"10,001+")</f>
        <v>0–3,000</v>
      </c>
      <c r="AR558" t="str" cm="1">
        <f t="array" ref="AR558">_xlfn.IFS(CleanEmployeeData[[#This Row],[DistanceFromHome]]&lt;=5,"0–5 miles",CleanEmployeeData[[#This Row],[DistanceFromHome]]&lt;=10,"6–10 miles",CleanEmployeeData[[#This Row],[DistanceFromHome]]&lt;=15,"11–15 miles",TRUE,"16+ miles")</f>
        <v>6–10 miles</v>
      </c>
      <c r="AS558" t="str" cm="1">
        <f t="array" ref="AS558">_xlfn.IFS(CleanEmployeeData[[#This Row],[YearsAtCompany]]&lt;=1,"0–1 years",CleanEmployeeData[[#This Row],[YearsAtCompany]]&lt;=5,"2–5 years",CleanEmployeeData[[#This Row],[YearsAtCompany]]&lt;=10,"6–10 years",TRUE,"11+ years")</f>
        <v>2–5 years</v>
      </c>
    </row>
    <row r="559" spans="1:4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cm="1">
        <f t="array" ref="AJ559">_xlfn.SWITCH(CleanEmployeeData[[#This Row],[Education]],1,"Below College",2,"College",3,"Bachelor",4,"Master",5,"Doctor","Unknown")</f>
        <v>Master</v>
      </c>
      <c r="AK559" t="str" cm="1">
        <f t="array" ref="AK559">_xlfn.SWITCH(CleanEmployeeData[[#This Row],[EnvironmentSatisfaction]],1,"Low",2,"Medium",3,"High",4,"Very High","Unknown")</f>
        <v>Very High</v>
      </c>
      <c r="AL559" t="str" cm="1">
        <f t="array" ref="AL559">_xlfn.SWITCH(CleanEmployeeData[[#This Row],[JobInvolvement]],1,"Low",2,"Medium",3,"High",4,"Very High","Unknown")</f>
        <v>High</v>
      </c>
      <c r="AM559" t="str" cm="1">
        <f t="array" ref="AM559">_xlfn.SWITCH(CleanEmployeeData[[#This Row],[JobSatisfaction]],1,"Low",2,"Medium",3,"High",4,"Very High","Unknown")</f>
        <v>Low</v>
      </c>
      <c r="AN559" t="str" cm="1">
        <f t="array" ref="AN559">_xlfn.SWITCH(CleanEmployeeData[[#This Row],[PerformanceRating]],1,"Low",2,"Good",3,"Excellent",4,"Outstanding","Unknown")</f>
        <v>Excellent</v>
      </c>
      <c r="AO559" t="str" cm="1">
        <f t="array" ref="AO559">_xlfn.SWITCH(CleanEmployeeData[[#This Row],[WorkLifeBalance]],1,"Bad",2,"Good",3,"Better",4,"Best","Unknown")</f>
        <v>Best</v>
      </c>
      <c r="AP559">
        <f>IF(CleanEmployeeData[[#This Row],[Attrition]]="Yes",1,IF(CleanEmployeeData[[#This Row],[Attrition]]="No",0,""))</f>
        <v>0</v>
      </c>
      <c r="AQ559" t="str" cm="1">
        <f t="array" ref="AQ559">_xlfn.IFS(CleanEmployeeData[[#This Row],[MonthlyIncome]]&lt;=3000,"0–3,000",CleanEmployeeData[[#This Row],[MonthlyIncome]]&lt;=6000,"3,001–6,000",CleanEmployeeData[[#This Row],[MonthlyIncome]]&lt;=10000,"6,001–10,000",TRUE,"10,001+")</f>
        <v>3,001–6,000</v>
      </c>
      <c r="AR559" t="str" cm="1">
        <f t="array" ref="AR559">_xlfn.IFS(CleanEmployeeData[[#This Row],[DistanceFromHome]]&lt;=5,"0–5 miles",CleanEmployeeData[[#This Row],[DistanceFromHome]]&lt;=10,"6–10 miles",CleanEmployeeData[[#This Row],[DistanceFromHome]]&lt;=15,"11–15 miles",TRUE,"16+ miles")</f>
        <v>0–5 miles</v>
      </c>
      <c r="AS559" t="str" cm="1">
        <f t="array" ref="AS559">_xlfn.IFS(CleanEmployeeData[[#This Row],[YearsAtCompany]]&lt;=1,"0–1 years",CleanEmployeeData[[#This Row],[YearsAtCompany]]&lt;=5,"2–5 years",CleanEmployeeData[[#This Row],[YearsAtCompany]]&lt;=10,"6–10 years",TRUE,"11+ years")</f>
        <v>0–1 years</v>
      </c>
    </row>
    <row r="560" spans="1:4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cm="1">
        <f t="array" ref="AJ560">_xlfn.SWITCH(CleanEmployeeData[[#This Row],[Education]],1,"Below College",2,"College",3,"Bachelor",4,"Master",5,"Doctor","Unknown")</f>
        <v>Master</v>
      </c>
      <c r="AK560" t="str" cm="1">
        <f t="array" ref="AK560">_xlfn.SWITCH(CleanEmployeeData[[#This Row],[EnvironmentSatisfaction]],1,"Low",2,"Medium",3,"High",4,"Very High","Unknown")</f>
        <v>Low</v>
      </c>
      <c r="AL560" t="str" cm="1">
        <f t="array" ref="AL560">_xlfn.SWITCH(CleanEmployeeData[[#This Row],[JobInvolvement]],1,"Low",2,"Medium",3,"High",4,"Very High","Unknown")</f>
        <v>High</v>
      </c>
      <c r="AM560" t="str" cm="1">
        <f t="array" ref="AM560">_xlfn.SWITCH(CleanEmployeeData[[#This Row],[JobSatisfaction]],1,"Low",2,"Medium",3,"High",4,"Very High","Unknown")</f>
        <v>Very High</v>
      </c>
      <c r="AN560" t="str" cm="1">
        <f t="array" ref="AN560">_xlfn.SWITCH(CleanEmployeeData[[#This Row],[PerformanceRating]],1,"Low",2,"Good",3,"Excellent",4,"Outstanding","Unknown")</f>
        <v>Excellent</v>
      </c>
      <c r="AO560" t="str" cm="1">
        <f t="array" ref="AO560">_xlfn.SWITCH(CleanEmployeeData[[#This Row],[WorkLifeBalance]],1,"Bad",2,"Good",3,"Better",4,"Best","Unknown")</f>
        <v>Better</v>
      </c>
      <c r="AP560">
        <f>IF(CleanEmployeeData[[#This Row],[Attrition]]="Yes",1,IF(CleanEmployeeData[[#This Row],[Attrition]]="No",0,""))</f>
        <v>0</v>
      </c>
      <c r="AQ560" t="str" cm="1">
        <f t="array" ref="AQ560">_xlfn.IFS(CleanEmployeeData[[#This Row],[MonthlyIncome]]&lt;=3000,"0–3,000",CleanEmployeeData[[#This Row],[MonthlyIncome]]&lt;=6000,"3,001–6,000",CleanEmployeeData[[#This Row],[MonthlyIncome]]&lt;=10000,"6,001–10,000",TRUE,"10,001+")</f>
        <v>3,001–6,000</v>
      </c>
      <c r="AR560" t="str" cm="1">
        <f t="array" ref="AR560">_xlfn.IFS(CleanEmployeeData[[#This Row],[DistanceFromHome]]&lt;=5,"0–5 miles",CleanEmployeeData[[#This Row],[DistanceFromHome]]&lt;=10,"6–10 miles",CleanEmployeeData[[#This Row],[DistanceFromHome]]&lt;=15,"11–15 miles",TRUE,"16+ miles")</f>
        <v>16+ miles</v>
      </c>
      <c r="AS560" t="str" cm="1">
        <f t="array" ref="AS560">_xlfn.IFS(CleanEmployeeData[[#This Row],[YearsAtCompany]]&lt;=1,"0–1 years",CleanEmployeeData[[#This Row],[YearsAtCompany]]&lt;=5,"2–5 years",CleanEmployeeData[[#This Row],[YearsAtCompany]]&lt;=10,"6–10 years",TRUE,"11+ years")</f>
        <v>6–10 years</v>
      </c>
    </row>
    <row r="561" spans="1:4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cm="1">
        <f t="array" ref="AJ561">_xlfn.SWITCH(CleanEmployeeData[[#This Row],[Education]],1,"Below College",2,"College",3,"Bachelor",4,"Master",5,"Doctor","Unknown")</f>
        <v>Doctor</v>
      </c>
      <c r="AK561" t="str" cm="1">
        <f t="array" ref="AK561">_xlfn.SWITCH(CleanEmployeeData[[#This Row],[EnvironmentSatisfaction]],1,"Low",2,"Medium",3,"High",4,"Very High","Unknown")</f>
        <v>Very High</v>
      </c>
      <c r="AL561" t="str" cm="1">
        <f t="array" ref="AL561">_xlfn.SWITCH(CleanEmployeeData[[#This Row],[JobInvolvement]],1,"Low",2,"Medium",3,"High",4,"Very High","Unknown")</f>
        <v>High</v>
      </c>
      <c r="AM561" t="str" cm="1">
        <f t="array" ref="AM561">_xlfn.SWITCH(CleanEmployeeData[[#This Row],[JobSatisfaction]],1,"Low",2,"Medium",3,"High",4,"Very High","Unknown")</f>
        <v>High</v>
      </c>
      <c r="AN561" t="str" cm="1">
        <f t="array" ref="AN561">_xlfn.SWITCH(CleanEmployeeData[[#This Row],[PerformanceRating]],1,"Low",2,"Good",3,"Excellent",4,"Outstanding","Unknown")</f>
        <v>Excellent</v>
      </c>
      <c r="AO561" t="str" cm="1">
        <f t="array" ref="AO561">_xlfn.SWITCH(CleanEmployeeData[[#This Row],[WorkLifeBalance]],1,"Bad",2,"Good",3,"Better",4,"Best","Unknown")</f>
        <v>Bad</v>
      </c>
      <c r="AP561">
        <f>IF(CleanEmployeeData[[#This Row],[Attrition]]="Yes",1,IF(CleanEmployeeData[[#This Row],[Attrition]]="No",0,""))</f>
        <v>0</v>
      </c>
      <c r="AQ561" t="str" cm="1">
        <f t="array" ref="AQ561">_xlfn.IFS(CleanEmployeeData[[#This Row],[MonthlyIncome]]&lt;=3000,"0–3,000",CleanEmployeeData[[#This Row],[MonthlyIncome]]&lt;=6000,"3,001–6,000",CleanEmployeeData[[#This Row],[MonthlyIncome]]&lt;=10000,"6,001–10,000",TRUE,"10,001+")</f>
        <v>3,001–6,000</v>
      </c>
      <c r="AR561" t="str" cm="1">
        <f t="array" ref="AR561">_xlfn.IFS(CleanEmployeeData[[#This Row],[DistanceFromHome]]&lt;=5,"0–5 miles",CleanEmployeeData[[#This Row],[DistanceFromHome]]&lt;=10,"6–10 miles",CleanEmployeeData[[#This Row],[DistanceFromHome]]&lt;=15,"11–15 miles",TRUE,"16+ miles")</f>
        <v>0–5 miles</v>
      </c>
      <c r="AS561" t="str" cm="1">
        <f t="array" ref="AS561">_xlfn.IFS(CleanEmployeeData[[#This Row],[YearsAtCompany]]&lt;=1,"0–1 years",CleanEmployeeData[[#This Row],[YearsAtCompany]]&lt;=5,"2–5 years",CleanEmployeeData[[#This Row],[YearsAtCompany]]&lt;=10,"6–10 years",TRUE,"11+ years")</f>
        <v>0–1 years</v>
      </c>
    </row>
    <row r="562" spans="1:4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cm="1">
        <f t="array" ref="AJ562">_xlfn.SWITCH(CleanEmployeeData[[#This Row],[Education]],1,"Below College",2,"College",3,"Bachelor",4,"Master",5,"Doctor","Unknown")</f>
        <v>Doctor</v>
      </c>
      <c r="AK562" t="str" cm="1">
        <f t="array" ref="AK562">_xlfn.SWITCH(CleanEmployeeData[[#This Row],[EnvironmentSatisfaction]],1,"Low",2,"Medium",3,"High",4,"Very High","Unknown")</f>
        <v>Medium</v>
      </c>
      <c r="AL562" t="str" cm="1">
        <f t="array" ref="AL562">_xlfn.SWITCH(CleanEmployeeData[[#This Row],[JobInvolvement]],1,"Low",2,"Medium",3,"High",4,"Very High","Unknown")</f>
        <v>High</v>
      </c>
      <c r="AM562" t="str" cm="1">
        <f t="array" ref="AM562">_xlfn.SWITCH(CleanEmployeeData[[#This Row],[JobSatisfaction]],1,"Low",2,"Medium",3,"High",4,"Very High","Unknown")</f>
        <v>Low</v>
      </c>
      <c r="AN562" t="str" cm="1">
        <f t="array" ref="AN562">_xlfn.SWITCH(CleanEmployeeData[[#This Row],[PerformanceRating]],1,"Low",2,"Good",3,"Excellent",4,"Outstanding","Unknown")</f>
        <v>Excellent</v>
      </c>
      <c r="AO562" t="str" cm="1">
        <f t="array" ref="AO562">_xlfn.SWITCH(CleanEmployeeData[[#This Row],[WorkLifeBalance]],1,"Bad",2,"Good",3,"Better",4,"Best","Unknown")</f>
        <v>Better</v>
      </c>
      <c r="AP562">
        <f>IF(CleanEmployeeData[[#This Row],[Attrition]]="Yes",1,IF(CleanEmployeeData[[#This Row],[Attrition]]="No",0,""))</f>
        <v>0</v>
      </c>
      <c r="AQ562" t="str" cm="1">
        <f t="array" ref="AQ562">_xlfn.IFS(CleanEmployeeData[[#This Row],[MonthlyIncome]]&lt;=3000,"0–3,000",CleanEmployeeData[[#This Row],[MonthlyIncome]]&lt;=6000,"3,001–6,000",CleanEmployeeData[[#This Row],[MonthlyIncome]]&lt;=10000,"6,001–10,000",TRUE,"10,001+")</f>
        <v>3,001–6,000</v>
      </c>
      <c r="AR562" t="str" cm="1">
        <f t="array" ref="AR562">_xlfn.IFS(CleanEmployeeData[[#This Row],[DistanceFromHome]]&lt;=5,"0–5 miles",CleanEmployeeData[[#This Row],[DistanceFromHome]]&lt;=10,"6–10 miles",CleanEmployeeData[[#This Row],[DistanceFromHome]]&lt;=15,"11–15 miles",TRUE,"16+ miles")</f>
        <v>6–10 miles</v>
      </c>
      <c r="AS562" t="str" cm="1">
        <f t="array" ref="AS562">_xlfn.IFS(CleanEmployeeData[[#This Row],[YearsAtCompany]]&lt;=1,"0–1 years",CleanEmployeeData[[#This Row],[YearsAtCompany]]&lt;=5,"2–5 years",CleanEmployeeData[[#This Row],[YearsAtCompany]]&lt;=10,"6–10 years",TRUE,"11+ years")</f>
        <v>0–1 years</v>
      </c>
    </row>
    <row r="563" spans="1:4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cm="1">
        <f t="array" ref="AJ563">_xlfn.SWITCH(CleanEmployeeData[[#This Row],[Education]],1,"Below College",2,"College",3,"Bachelor",4,"Master",5,"Doctor","Unknown")</f>
        <v>Master</v>
      </c>
      <c r="AK563" t="str" cm="1">
        <f t="array" ref="AK563">_xlfn.SWITCH(CleanEmployeeData[[#This Row],[EnvironmentSatisfaction]],1,"Low",2,"Medium",3,"High",4,"Very High","Unknown")</f>
        <v>High</v>
      </c>
      <c r="AL563" t="str" cm="1">
        <f t="array" ref="AL563">_xlfn.SWITCH(CleanEmployeeData[[#This Row],[JobInvolvement]],1,"Low",2,"Medium",3,"High",4,"Very High","Unknown")</f>
        <v>Medium</v>
      </c>
      <c r="AM563" t="str" cm="1">
        <f t="array" ref="AM563">_xlfn.SWITCH(CleanEmployeeData[[#This Row],[JobSatisfaction]],1,"Low",2,"Medium",3,"High",4,"Very High","Unknown")</f>
        <v>Low</v>
      </c>
      <c r="AN563" t="str" cm="1">
        <f t="array" ref="AN563">_xlfn.SWITCH(CleanEmployeeData[[#This Row],[PerformanceRating]],1,"Low",2,"Good",3,"Excellent",4,"Outstanding","Unknown")</f>
        <v>Excellent</v>
      </c>
      <c r="AO563" t="str" cm="1">
        <f t="array" ref="AO563">_xlfn.SWITCH(CleanEmployeeData[[#This Row],[WorkLifeBalance]],1,"Bad",2,"Good",3,"Better",4,"Best","Unknown")</f>
        <v>Best</v>
      </c>
      <c r="AP563">
        <f>IF(CleanEmployeeData[[#This Row],[Attrition]]="Yes",1,IF(CleanEmployeeData[[#This Row],[Attrition]]="No",0,""))</f>
        <v>0</v>
      </c>
      <c r="AQ563" t="str" cm="1">
        <f t="array" ref="AQ563">_xlfn.IFS(CleanEmployeeData[[#This Row],[MonthlyIncome]]&lt;=3000,"0–3,000",CleanEmployeeData[[#This Row],[MonthlyIncome]]&lt;=6000,"3,001–6,000",CleanEmployeeData[[#This Row],[MonthlyIncome]]&lt;=10000,"6,001–10,000",TRUE,"10,001+")</f>
        <v>10,001+</v>
      </c>
      <c r="AR563" t="str" cm="1">
        <f t="array" ref="AR563">_xlfn.IFS(CleanEmployeeData[[#This Row],[DistanceFromHome]]&lt;=5,"0–5 miles",CleanEmployeeData[[#This Row],[DistanceFromHome]]&lt;=10,"6–10 miles",CleanEmployeeData[[#This Row],[DistanceFromHome]]&lt;=15,"11–15 miles",TRUE,"16+ miles")</f>
        <v>0–5 miles</v>
      </c>
      <c r="AS563" t="str" cm="1">
        <f t="array" ref="AS563">_xlfn.IFS(CleanEmployeeData[[#This Row],[YearsAtCompany]]&lt;=1,"0–1 years",CleanEmployeeData[[#This Row],[YearsAtCompany]]&lt;=5,"2–5 years",CleanEmployeeData[[#This Row],[YearsAtCompany]]&lt;=10,"6–10 years",TRUE,"11+ years")</f>
        <v>11+ years</v>
      </c>
    </row>
    <row r="564" spans="1:4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cm="1">
        <f t="array" ref="AJ564">_xlfn.SWITCH(CleanEmployeeData[[#This Row],[Education]],1,"Below College",2,"College",3,"Bachelor",4,"Master",5,"Doctor","Unknown")</f>
        <v>Master</v>
      </c>
      <c r="AK564" t="str" cm="1">
        <f t="array" ref="AK564">_xlfn.SWITCH(CleanEmployeeData[[#This Row],[EnvironmentSatisfaction]],1,"Low",2,"Medium",3,"High",4,"Very High","Unknown")</f>
        <v>Very High</v>
      </c>
      <c r="AL564" t="str" cm="1">
        <f t="array" ref="AL564">_xlfn.SWITCH(CleanEmployeeData[[#This Row],[JobInvolvement]],1,"Low",2,"Medium",3,"High",4,"Very High","Unknown")</f>
        <v>High</v>
      </c>
      <c r="AM564" t="str" cm="1">
        <f t="array" ref="AM564">_xlfn.SWITCH(CleanEmployeeData[[#This Row],[JobSatisfaction]],1,"Low",2,"Medium",3,"High",4,"Very High","Unknown")</f>
        <v>Very High</v>
      </c>
      <c r="AN564" t="str" cm="1">
        <f t="array" ref="AN564">_xlfn.SWITCH(CleanEmployeeData[[#This Row],[PerformanceRating]],1,"Low",2,"Good",3,"Excellent",4,"Outstanding","Unknown")</f>
        <v>Excellent</v>
      </c>
      <c r="AO564" t="str" cm="1">
        <f t="array" ref="AO564">_xlfn.SWITCH(CleanEmployeeData[[#This Row],[WorkLifeBalance]],1,"Bad",2,"Good",3,"Better",4,"Best","Unknown")</f>
        <v>Good</v>
      </c>
      <c r="AP564">
        <f>IF(CleanEmployeeData[[#This Row],[Attrition]]="Yes",1,IF(CleanEmployeeData[[#This Row],[Attrition]]="No",0,""))</f>
        <v>1</v>
      </c>
      <c r="AQ564" t="str" cm="1">
        <f t="array" ref="AQ564">_xlfn.IFS(CleanEmployeeData[[#This Row],[MonthlyIncome]]&lt;=3000,"0–3,000",CleanEmployeeData[[#This Row],[MonthlyIncome]]&lt;=6000,"3,001–6,000",CleanEmployeeData[[#This Row],[MonthlyIncome]]&lt;=10000,"6,001–10,000",TRUE,"10,001+")</f>
        <v>0–3,000</v>
      </c>
      <c r="AR564" t="str" cm="1">
        <f t="array" ref="AR564">_xlfn.IFS(CleanEmployeeData[[#This Row],[DistanceFromHome]]&lt;=5,"0–5 miles",CleanEmployeeData[[#This Row],[DistanceFromHome]]&lt;=10,"6–10 miles",CleanEmployeeData[[#This Row],[DistanceFromHome]]&lt;=15,"11–15 miles",TRUE,"16+ miles")</f>
        <v>0–5 miles</v>
      </c>
      <c r="AS564" t="str" cm="1">
        <f t="array" ref="AS564">_xlfn.IFS(CleanEmployeeData[[#This Row],[YearsAtCompany]]&lt;=1,"0–1 years",CleanEmployeeData[[#This Row],[YearsAtCompany]]&lt;=5,"2–5 years",CleanEmployeeData[[#This Row],[YearsAtCompany]]&lt;=10,"6–10 years",TRUE,"11+ years")</f>
        <v>6–10 years</v>
      </c>
    </row>
    <row r="565" spans="1:4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cm="1">
        <f t="array" ref="AJ565">_xlfn.SWITCH(CleanEmployeeData[[#This Row],[Education]],1,"Below College",2,"College",3,"Bachelor",4,"Master",5,"Doctor","Unknown")</f>
        <v>Below College</v>
      </c>
      <c r="AK565" t="str" cm="1">
        <f t="array" ref="AK565">_xlfn.SWITCH(CleanEmployeeData[[#This Row],[EnvironmentSatisfaction]],1,"Low",2,"Medium",3,"High",4,"Very High","Unknown")</f>
        <v>High</v>
      </c>
      <c r="AL565" t="str" cm="1">
        <f t="array" ref="AL565">_xlfn.SWITCH(CleanEmployeeData[[#This Row],[JobInvolvement]],1,"Low",2,"Medium",3,"High",4,"Very High","Unknown")</f>
        <v>High</v>
      </c>
      <c r="AM565" t="str" cm="1">
        <f t="array" ref="AM565">_xlfn.SWITCH(CleanEmployeeData[[#This Row],[JobSatisfaction]],1,"Low",2,"Medium",3,"High",4,"Very High","Unknown")</f>
        <v>Very High</v>
      </c>
      <c r="AN565" t="str" cm="1">
        <f t="array" ref="AN565">_xlfn.SWITCH(CleanEmployeeData[[#This Row],[PerformanceRating]],1,"Low",2,"Good",3,"Excellent",4,"Outstanding","Unknown")</f>
        <v>Outstanding</v>
      </c>
      <c r="AO565" t="str" cm="1">
        <f t="array" ref="AO565">_xlfn.SWITCH(CleanEmployeeData[[#This Row],[WorkLifeBalance]],1,"Bad",2,"Good",3,"Better",4,"Best","Unknown")</f>
        <v>Good</v>
      </c>
      <c r="AP565">
        <f>IF(CleanEmployeeData[[#This Row],[Attrition]]="Yes",1,IF(CleanEmployeeData[[#This Row],[Attrition]]="No",0,""))</f>
        <v>0</v>
      </c>
      <c r="AQ565" t="str" cm="1">
        <f t="array" ref="AQ565">_xlfn.IFS(CleanEmployeeData[[#This Row],[MonthlyIncome]]&lt;=3000,"0–3,000",CleanEmployeeData[[#This Row],[MonthlyIncome]]&lt;=6000,"3,001–6,000",CleanEmployeeData[[#This Row],[MonthlyIncome]]&lt;=10000,"6,001–10,000",TRUE,"10,001+")</f>
        <v>6,001–10,000</v>
      </c>
      <c r="AR565" t="str" cm="1">
        <f t="array" ref="AR565">_xlfn.IFS(CleanEmployeeData[[#This Row],[DistanceFromHome]]&lt;=5,"0–5 miles",CleanEmployeeData[[#This Row],[DistanceFromHome]]&lt;=10,"6–10 miles",CleanEmployeeData[[#This Row],[DistanceFromHome]]&lt;=15,"11–15 miles",TRUE,"16+ miles")</f>
        <v>16+ miles</v>
      </c>
      <c r="AS565" t="str" cm="1">
        <f t="array" ref="AS565">_xlfn.IFS(CleanEmployeeData[[#This Row],[YearsAtCompany]]&lt;=1,"0–1 years",CleanEmployeeData[[#This Row],[YearsAtCompany]]&lt;=5,"2–5 years",CleanEmployeeData[[#This Row],[YearsAtCompany]]&lt;=10,"6–10 years",TRUE,"11+ years")</f>
        <v>6–10 years</v>
      </c>
    </row>
    <row r="566" spans="1:4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cm="1">
        <f t="array" ref="AJ566">_xlfn.SWITCH(CleanEmployeeData[[#This Row],[Education]],1,"Below College",2,"College",3,"Bachelor",4,"Master",5,"Doctor","Unknown")</f>
        <v>College</v>
      </c>
      <c r="AK566" t="str" cm="1">
        <f t="array" ref="AK566">_xlfn.SWITCH(CleanEmployeeData[[#This Row],[EnvironmentSatisfaction]],1,"Low",2,"Medium",3,"High",4,"Very High","Unknown")</f>
        <v>Medium</v>
      </c>
      <c r="AL566" t="str" cm="1">
        <f t="array" ref="AL566">_xlfn.SWITCH(CleanEmployeeData[[#This Row],[JobInvolvement]],1,"Low",2,"Medium",3,"High",4,"Very High","Unknown")</f>
        <v>Low</v>
      </c>
      <c r="AM566" t="str" cm="1">
        <f t="array" ref="AM566">_xlfn.SWITCH(CleanEmployeeData[[#This Row],[JobSatisfaction]],1,"Low",2,"Medium",3,"High",4,"Very High","Unknown")</f>
        <v>High</v>
      </c>
      <c r="AN566" t="str" cm="1">
        <f t="array" ref="AN566">_xlfn.SWITCH(CleanEmployeeData[[#This Row],[PerformanceRating]],1,"Low",2,"Good",3,"Excellent",4,"Outstanding","Unknown")</f>
        <v>Excellent</v>
      </c>
      <c r="AO566" t="str" cm="1">
        <f t="array" ref="AO566">_xlfn.SWITCH(CleanEmployeeData[[#This Row],[WorkLifeBalance]],1,"Bad",2,"Good",3,"Better",4,"Best","Unknown")</f>
        <v>Better</v>
      </c>
      <c r="AP566">
        <f>IF(CleanEmployeeData[[#This Row],[Attrition]]="Yes",1,IF(CleanEmployeeData[[#This Row],[Attrition]]="No",0,""))</f>
        <v>0</v>
      </c>
      <c r="AQ566" t="str" cm="1">
        <f t="array" ref="AQ566">_xlfn.IFS(CleanEmployeeData[[#This Row],[MonthlyIncome]]&lt;=3000,"0–3,000",CleanEmployeeData[[#This Row],[MonthlyIncome]]&lt;=6000,"3,001–6,000",CleanEmployeeData[[#This Row],[MonthlyIncome]]&lt;=10000,"6,001–10,000",TRUE,"10,001+")</f>
        <v>6,001–10,000</v>
      </c>
      <c r="AR566" t="str" cm="1">
        <f t="array" ref="AR566">_xlfn.IFS(CleanEmployeeData[[#This Row],[DistanceFromHome]]&lt;=5,"0–5 miles",CleanEmployeeData[[#This Row],[DistanceFromHome]]&lt;=10,"6–10 miles",CleanEmployeeData[[#This Row],[DistanceFromHome]]&lt;=15,"11–15 miles",TRUE,"16+ miles")</f>
        <v>0–5 miles</v>
      </c>
      <c r="AS566" t="str" cm="1">
        <f t="array" ref="AS566">_xlfn.IFS(CleanEmployeeData[[#This Row],[YearsAtCompany]]&lt;=1,"0–1 years",CleanEmployeeData[[#This Row],[YearsAtCompany]]&lt;=5,"2–5 years",CleanEmployeeData[[#This Row],[YearsAtCompany]]&lt;=10,"6–10 years",TRUE,"11+ years")</f>
        <v>6–10 years</v>
      </c>
    </row>
    <row r="567" spans="1:4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cm="1">
        <f t="array" ref="AJ567">_xlfn.SWITCH(CleanEmployeeData[[#This Row],[Education]],1,"Below College",2,"College",3,"Bachelor",4,"Master",5,"Doctor","Unknown")</f>
        <v>Below College</v>
      </c>
      <c r="AK567" t="str" cm="1">
        <f t="array" ref="AK567">_xlfn.SWITCH(CleanEmployeeData[[#This Row],[EnvironmentSatisfaction]],1,"Low",2,"Medium",3,"High",4,"Very High","Unknown")</f>
        <v>Low</v>
      </c>
      <c r="AL567" t="str" cm="1">
        <f t="array" ref="AL567">_xlfn.SWITCH(CleanEmployeeData[[#This Row],[JobInvolvement]],1,"Low",2,"Medium",3,"High",4,"Very High","Unknown")</f>
        <v>Very High</v>
      </c>
      <c r="AM567" t="str" cm="1">
        <f t="array" ref="AM567">_xlfn.SWITCH(CleanEmployeeData[[#This Row],[JobSatisfaction]],1,"Low",2,"Medium",3,"High",4,"Very High","Unknown")</f>
        <v>High</v>
      </c>
      <c r="AN567" t="str" cm="1">
        <f t="array" ref="AN567">_xlfn.SWITCH(CleanEmployeeData[[#This Row],[PerformanceRating]],1,"Low",2,"Good",3,"Excellent",4,"Outstanding","Unknown")</f>
        <v>Excellent</v>
      </c>
      <c r="AO567" t="str" cm="1">
        <f t="array" ref="AO567">_xlfn.SWITCH(CleanEmployeeData[[#This Row],[WorkLifeBalance]],1,"Bad",2,"Good",3,"Better",4,"Best","Unknown")</f>
        <v>Better</v>
      </c>
      <c r="AP567">
        <f>IF(CleanEmployeeData[[#This Row],[Attrition]]="Yes",1,IF(CleanEmployeeData[[#This Row],[Attrition]]="No",0,""))</f>
        <v>0</v>
      </c>
      <c r="AQ567" t="str" cm="1">
        <f t="array" ref="AQ567">_xlfn.IFS(CleanEmployeeData[[#This Row],[MonthlyIncome]]&lt;=3000,"0–3,000",CleanEmployeeData[[#This Row],[MonthlyIncome]]&lt;=6000,"3,001–6,000",CleanEmployeeData[[#This Row],[MonthlyIncome]]&lt;=10000,"6,001–10,000",TRUE,"10,001+")</f>
        <v>3,001–6,000</v>
      </c>
      <c r="AR567" t="str" cm="1">
        <f t="array" ref="AR567">_xlfn.IFS(CleanEmployeeData[[#This Row],[DistanceFromHome]]&lt;=5,"0–5 miles",CleanEmployeeData[[#This Row],[DistanceFromHome]]&lt;=10,"6–10 miles",CleanEmployeeData[[#This Row],[DistanceFromHome]]&lt;=15,"11–15 miles",TRUE,"16+ miles")</f>
        <v>6–10 miles</v>
      </c>
      <c r="AS567" t="str" cm="1">
        <f t="array" ref="AS567">_xlfn.IFS(CleanEmployeeData[[#This Row],[YearsAtCompany]]&lt;=1,"0–1 years",CleanEmployeeData[[#This Row],[YearsAtCompany]]&lt;=5,"2–5 years",CleanEmployeeData[[#This Row],[YearsAtCompany]]&lt;=10,"6–10 years",TRUE,"11+ years")</f>
        <v>2–5 years</v>
      </c>
    </row>
    <row r="568" spans="1:4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cm="1">
        <f t="array" ref="AJ568">_xlfn.SWITCH(CleanEmployeeData[[#This Row],[Education]],1,"Below College",2,"College",3,"Bachelor",4,"Master",5,"Doctor","Unknown")</f>
        <v>College</v>
      </c>
      <c r="AK568" t="str" cm="1">
        <f t="array" ref="AK568">_xlfn.SWITCH(CleanEmployeeData[[#This Row],[EnvironmentSatisfaction]],1,"Low",2,"Medium",3,"High",4,"Very High","Unknown")</f>
        <v>Medium</v>
      </c>
      <c r="AL568" t="str" cm="1">
        <f t="array" ref="AL568">_xlfn.SWITCH(CleanEmployeeData[[#This Row],[JobInvolvement]],1,"Low",2,"Medium",3,"High",4,"Very High","Unknown")</f>
        <v>Very High</v>
      </c>
      <c r="AM568" t="str" cm="1">
        <f t="array" ref="AM568">_xlfn.SWITCH(CleanEmployeeData[[#This Row],[JobSatisfaction]],1,"Low",2,"Medium",3,"High",4,"Very High","Unknown")</f>
        <v>High</v>
      </c>
      <c r="AN568" t="str" cm="1">
        <f t="array" ref="AN568">_xlfn.SWITCH(CleanEmployeeData[[#This Row],[PerformanceRating]],1,"Low",2,"Good",3,"Excellent",4,"Outstanding","Unknown")</f>
        <v>Excellent</v>
      </c>
      <c r="AO568" t="str" cm="1">
        <f t="array" ref="AO568">_xlfn.SWITCH(CleanEmployeeData[[#This Row],[WorkLifeBalance]],1,"Bad",2,"Good",3,"Better",4,"Best","Unknown")</f>
        <v>Better</v>
      </c>
      <c r="AP568">
        <f>IF(CleanEmployeeData[[#This Row],[Attrition]]="Yes",1,IF(CleanEmployeeData[[#This Row],[Attrition]]="No",0,""))</f>
        <v>1</v>
      </c>
      <c r="AQ568" t="str" cm="1">
        <f t="array" ref="AQ568">_xlfn.IFS(CleanEmployeeData[[#This Row],[MonthlyIncome]]&lt;=3000,"0–3,000",CleanEmployeeData[[#This Row],[MonthlyIncome]]&lt;=6000,"3,001–6,000",CleanEmployeeData[[#This Row],[MonthlyIncome]]&lt;=10000,"6,001–10,000",TRUE,"10,001+")</f>
        <v>6,001–10,000</v>
      </c>
      <c r="AR568" t="str" cm="1">
        <f t="array" ref="AR568">_xlfn.IFS(CleanEmployeeData[[#This Row],[DistanceFromHome]]&lt;=5,"0–5 miles",CleanEmployeeData[[#This Row],[DistanceFromHome]]&lt;=10,"6–10 miles",CleanEmployeeData[[#This Row],[DistanceFromHome]]&lt;=15,"11–15 miles",TRUE,"16+ miles")</f>
        <v>16+ miles</v>
      </c>
      <c r="AS568" t="str" cm="1">
        <f t="array" ref="AS568">_xlfn.IFS(CleanEmployeeData[[#This Row],[YearsAtCompany]]&lt;=1,"0–1 years",CleanEmployeeData[[#This Row],[YearsAtCompany]]&lt;=5,"2–5 years",CleanEmployeeData[[#This Row],[YearsAtCompany]]&lt;=10,"6–10 years",TRUE,"11+ years")</f>
        <v>2–5 years</v>
      </c>
    </row>
    <row r="569" spans="1:4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cm="1">
        <f t="array" ref="AJ569">_xlfn.SWITCH(CleanEmployeeData[[#This Row],[Education]],1,"Below College",2,"College",3,"Bachelor",4,"Master",5,"Doctor","Unknown")</f>
        <v>Bachelor</v>
      </c>
      <c r="AK569" t="str" cm="1">
        <f t="array" ref="AK569">_xlfn.SWITCH(CleanEmployeeData[[#This Row],[EnvironmentSatisfaction]],1,"Low",2,"Medium",3,"High",4,"Very High","Unknown")</f>
        <v>Very High</v>
      </c>
      <c r="AL569" t="str" cm="1">
        <f t="array" ref="AL569">_xlfn.SWITCH(CleanEmployeeData[[#This Row],[JobInvolvement]],1,"Low",2,"Medium",3,"High",4,"Very High","Unknown")</f>
        <v>High</v>
      </c>
      <c r="AM569" t="str" cm="1">
        <f t="array" ref="AM569">_xlfn.SWITCH(CleanEmployeeData[[#This Row],[JobSatisfaction]],1,"Low",2,"Medium",3,"High",4,"Very High","Unknown")</f>
        <v>Very High</v>
      </c>
      <c r="AN569" t="str" cm="1">
        <f t="array" ref="AN569">_xlfn.SWITCH(CleanEmployeeData[[#This Row],[PerformanceRating]],1,"Low",2,"Good",3,"Excellent",4,"Outstanding","Unknown")</f>
        <v>Outstanding</v>
      </c>
      <c r="AO569" t="str" cm="1">
        <f t="array" ref="AO569">_xlfn.SWITCH(CleanEmployeeData[[#This Row],[WorkLifeBalance]],1,"Bad",2,"Good",3,"Better",4,"Best","Unknown")</f>
        <v>Better</v>
      </c>
      <c r="AP569">
        <f>IF(CleanEmployeeData[[#This Row],[Attrition]]="Yes",1,IF(CleanEmployeeData[[#This Row],[Attrition]]="No",0,""))</f>
        <v>0</v>
      </c>
      <c r="AQ569" t="str" cm="1">
        <f t="array" ref="AQ569">_xlfn.IFS(CleanEmployeeData[[#This Row],[MonthlyIncome]]&lt;=3000,"0–3,000",CleanEmployeeData[[#This Row],[MonthlyIncome]]&lt;=6000,"3,001–6,000",CleanEmployeeData[[#This Row],[MonthlyIncome]]&lt;=10000,"6,001–10,000",TRUE,"10,001+")</f>
        <v>6,001–10,000</v>
      </c>
      <c r="AR569" t="str" cm="1">
        <f t="array" ref="AR569">_xlfn.IFS(CleanEmployeeData[[#This Row],[DistanceFromHome]]&lt;=5,"0–5 miles",CleanEmployeeData[[#This Row],[DistanceFromHome]]&lt;=10,"6–10 miles",CleanEmployeeData[[#This Row],[DistanceFromHome]]&lt;=15,"11–15 miles",TRUE,"16+ miles")</f>
        <v>0–5 miles</v>
      </c>
      <c r="AS569" t="str" cm="1">
        <f t="array" ref="AS569">_xlfn.IFS(CleanEmployeeData[[#This Row],[YearsAtCompany]]&lt;=1,"0–1 years",CleanEmployeeData[[#This Row],[YearsAtCompany]]&lt;=5,"2–5 years",CleanEmployeeData[[#This Row],[YearsAtCompany]]&lt;=10,"6–10 years",TRUE,"11+ years")</f>
        <v>6–10 years</v>
      </c>
    </row>
    <row r="570" spans="1:4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cm="1">
        <f t="array" ref="AJ570">_xlfn.SWITCH(CleanEmployeeData[[#This Row],[Education]],1,"Below College",2,"College",3,"Bachelor",4,"Master",5,"Doctor","Unknown")</f>
        <v>Bachelor</v>
      </c>
      <c r="AK570" t="str" cm="1">
        <f t="array" ref="AK570">_xlfn.SWITCH(CleanEmployeeData[[#This Row],[EnvironmentSatisfaction]],1,"Low",2,"Medium",3,"High",4,"Very High","Unknown")</f>
        <v>Very High</v>
      </c>
      <c r="AL570" t="str" cm="1">
        <f t="array" ref="AL570">_xlfn.SWITCH(CleanEmployeeData[[#This Row],[JobInvolvement]],1,"Low",2,"Medium",3,"High",4,"Very High","Unknown")</f>
        <v>High</v>
      </c>
      <c r="AM570" t="str" cm="1">
        <f t="array" ref="AM570">_xlfn.SWITCH(CleanEmployeeData[[#This Row],[JobSatisfaction]],1,"Low",2,"Medium",3,"High",4,"Very High","Unknown")</f>
        <v>Low</v>
      </c>
      <c r="AN570" t="str" cm="1">
        <f t="array" ref="AN570">_xlfn.SWITCH(CleanEmployeeData[[#This Row],[PerformanceRating]],1,"Low",2,"Good",3,"Excellent",4,"Outstanding","Unknown")</f>
        <v>Excellent</v>
      </c>
      <c r="AO570" t="str" cm="1">
        <f t="array" ref="AO570">_xlfn.SWITCH(CleanEmployeeData[[#This Row],[WorkLifeBalance]],1,"Bad",2,"Good",3,"Better",4,"Best","Unknown")</f>
        <v>Better</v>
      </c>
      <c r="AP570">
        <f>IF(CleanEmployeeData[[#This Row],[Attrition]]="Yes",1,IF(CleanEmployeeData[[#This Row],[Attrition]]="No",0,""))</f>
        <v>1</v>
      </c>
      <c r="AQ570" t="str" cm="1">
        <f t="array" ref="AQ570">_xlfn.IFS(CleanEmployeeData[[#This Row],[MonthlyIncome]]&lt;=3000,"0–3,000",CleanEmployeeData[[#This Row],[MonthlyIncome]]&lt;=6000,"3,001–6,000",CleanEmployeeData[[#This Row],[MonthlyIncome]]&lt;=10000,"6,001–10,000",TRUE,"10,001+")</f>
        <v>10,001+</v>
      </c>
      <c r="AR570" t="str" cm="1">
        <f t="array" ref="AR570">_xlfn.IFS(CleanEmployeeData[[#This Row],[DistanceFromHome]]&lt;=5,"0–5 miles",CleanEmployeeData[[#This Row],[DistanceFromHome]]&lt;=10,"6–10 miles",CleanEmployeeData[[#This Row],[DistanceFromHome]]&lt;=15,"11–15 miles",TRUE,"16+ miles")</f>
        <v>0–5 miles</v>
      </c>
      <c r="AS570" t="str" cm="1">
        <f t="array" ref="AS570">_xlfn.IFS(CleanEmployeeData[[#This Row],[YearsAtCompany]]&lt;=1,"0–1 years",CleanEmployeeData[[#This Row],[YearsAtCompany]]&lt;=5,"2–5 years",CleanEmployeeData[[#This Row],[YearsAtCompany]]&lt;=10,"6–10 years",TRUE,"11+ years")</f>
        <v>2–5 years</v>
      </c>
    </row>
    <row r="571" spans="1:4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cm="1">
        <f t="array" ref="AJ571">_xlfn.SWITCH(CleanEmployeeData[[#This Row],[Education]],1,"Below College",2,"College",3,"Bachelor",4,"Master",5,"Doctor","Unknown")</f>
        <v>Master</v>
      </c>
      <c r="AK571" t="str" cm="1">
        <f t="array" ref="AK571">_xlfn.SWITCH(CleanEmployeeData[[#This Row],[EnvironmentSatisfaction]],1,"Low",2,"Medium",3,"High",4,"Very High","Unknown")</f>
        <v>Low</v>
      </c>
      <c r="AL571" t="str" cm="1">
        <f t="array" ref="AL571">_xlfn.SWITCH(CleanEmployeeData[[#This Row],[JobInvolvement]],1,"Low",2,"Medium",3,"High",4,"Very High","Unknown")</f>
        <v>Medium</v>
      </c>
      <c r="AM571" t="str" cm="1">
        <f t="array" ref="AM571">_xlfn.SWITCH(CleanEmployeeData[[#This Row],[JobSatisfaction]],1,"Low",2,"Medium",3,"High",4,"Very High","Unknown")</f>
        <v>Low</v>
      </c>
      <c r="AN571" t="str" cm="1">
        <f t="array" ref="AN571">_xlfn.SWITCH(CleanEmployeeData[[#This Row],[PerformanceRating]],1,"Low",2,"Good",3,"Excellent",4,"Outstanding","Unknown")</f>
        <v>Excellent</v>
      </c>
      <c r="AO571" t="str" cm="1">
        <f t="array" ref="AO571">_xlfn.SWITCH(CleanEmployeeData[[#This Row],[WorkLifeBalance]],1,"Bad",2,"Good",3,"Better",4,"Best","Unknown")</f>
        <v>Better</v>
      </c>
      <c r="AP571">
        <f>IF(CleanEmployeeData[[#This Row],[Attrition]]="Yes",1,IF(CleanEmployeeData[[#This Row],[Attrition]]="No",0,""))</f>
        <v>0</v>
      </c>
      <c r="AQ571" t="str" cm="1">
        <f t="array" ref="AQ571">_xlfn.IFS(CleanEmployeeData[[#This Row],[MonthlyIncome]]&lt;=3000,"0–3,000",CleanEmployeeData[[#This Row],[MonthlyIncome]]&lt;=6000,"3,001–6,000",CleanEmployeeData[[#This Row],[MonthlyIncome]]&lt;=10000,"6,001–10,000",TRUE,"10,001+")</f>
        <v>6,001–10,000</v>
      </c>
      <c r="AR571" t="str" cm="1">
        <f t="array" ref="AR571">_xlfn.IFS(CleanEmployeeData[[#This Row],[DistanceFromHome]]&lt;=5,"0–5 miles",CleanEmployeeData[[#This Row],[DistanceFromHome]]&lt;=10,"6–10 miles",CleanEmployeeData[[#This Row],[DistanceFromHome]]&lt;=15,"11–15 miles",TRUE,"16+ miles")</f>
        <v>6–10 miles</v>
      </c>
      <c r="AS571" t="str" cm="1">
        <f t="array" ref="AS571">_xlfn.IFS(CleanEmployeeData[[#This Row],[YearsAtCompany]]&lt;=1,"0–1 years",CleanEmployeeData[[#This Row],[YearsAtCompany]]&lt;=5,"2–5 years",CleanEmployeeData[[#This Row],[YearsAtCompany]]&lt;=10,"6–10 years",TRUE,"11+ years")</f>
        <v>6–10 years</v>
      </c>
    </row>
    <row r="572" spans="1:4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cm="1">
        <f t="array" ref="AJ572">_xlfn.SWITCH(CleanEmployeeData[[#This Row],[Education]],1,"Below College",2,"College",3,"Bachelor",4,"Master",5,"Doctor","Unknown")</f>
        <v>Master</v>
      </c>
      <c r="AK572" t="str" cm="1">
        <f t="array" ref="AK572">_xlfn.SWITCH(CleanEmployeeData[[#This Row],[EnvironmentSatisfaction]],1,"Low",2,"Medium",3,"High",4,"Very High","Unknown")</f>
        <v>Very High</v>
      </c>
      <c r="AL572" t="str" cm="1">
        <f t="array" ref="AL572">_xlfn.SWITCH(CleanEmployeeData[[#This Row],[JobInvolvement]],1,"Low",2,"Medium",3,"High",4,"Very High","Unknown")</f>
        <v>High</v>
      </c>
      <c r="AM572" t="str" cm="1">
        <f t="array" ref="AM572">_xlfn.SWITCH(CleanEmployeeData[[#This Row],[JobSatisfaction]],1,"Low",2,"Medium",3,"High",4,"Very High","Unknown")</f>
        <v>Very High</v>
      </c>
      <c r="AN572" t="str" cm="1">
        <f t="array" ref="AN572">_xlfn.SWITCH(CleanEmployeeData[[#This Row],[PerformanceRating]],1,"Low",2,"Good",3,"Excellent",4,"Outstanding","Unknown")</f>
        <v>Excellent</v>
      </c>
      <c r="AO572" t="str" cm="1">
        <f t="array" ref="AO572">_xlfn.SWITCH(CleanEmployeeData[[#This Row],[WorkLifeBalance]],1,"Bad",2,"Good",3,"Better",4,"Best","Unknown")</f>
        <v>Better</v>
      </c>
      <c r="AP572">
        <f>IF(CleanEmployeeData[[#This Row],[Attrition]]="Yes",1,IF(CleanEmployeeData[[#This Row],[Attrition]]="No",0,""))</f>
        <v>0</v>
      </c>
      <c r="AQ572" t="str" cm="1">
        <f t="array" ref="AQ572">_xlfn.IFS(CleanEmployeeData[[#This Row],[MonthlyIncome]]&lt;=3000,"0–3,000",CleanEmployeeData[[#This Row],[MonthlyIncome]]&lt;=6000,"3,001–6,000",CleanEmployeeData[[#This Row],[MonthlyIncome]]&lt;=10000,"6,001–10,000",TRUE,"10,001+")</f>
        <v>3,001–6,000</v>
      </c>
      <c r="AR572" t="str" cm="1">
        <f t="array" ref="AR572">_xlfn.IFS(CleanEmployeeData[[#This Row],[DistanceFromHome]]&lt;=5,"0–5 miles",CleanEmployeeData[[#This Row],[DistanceFromHome]]&lt;=10,"6–10 miles",CleanEmployeeData[[#This Row],[DistanceFromHome]]&lt;=15,"11–15 miles",TRUE,"16+ miles")</f>
        <v>16+ miles</v>
      </c>
      <c r="AS572" t="str" cm="1">
        <f t="array" ref="AS572">_xlfn.IFS(CleanEmployeeData[[#This Row],[YearsAtCompany]]&lt;=1,"0–1 years",CleanEmployeeData[[#This Row],[YearsAtCompany]]&lt;=5,"2–5 years",CleanEmployeeData[[#This Row],[YearsAtCompany]]&lt;=10,"6–10 years",TRUE,"11+ years")</f>
        <v>2–5 years</v>
      </c>
    </row>
    <row r="573" spans="1:4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cm="1">
        <f t="array" ref="AJ573">_xlfn.SWITCH(CleanEmployeeData[[#This Row],[Education]],1,"Below College",2,"College",3,"Bachelor",4,"Master",5,"Doctor","Unknown")</f>
        <v>College</v>
      </c>
      <c r="AK573" t="str" cm="1">
        <f t="array" ref="AK573">_xlfn.SWITCH(CleanEmployeeData[[#This Row],[EnvironmentSatisfaction]],1,"Low",2,"Medium",3,"High",4,"Very High","Unknown")</f>
        <v>Low</v>
      </c>
      <c r="AL573" t="str" cm="1">
        <f t="array" ref="AL573">_xlfn.SWITCH(CleanEmployeeData[[#This Row],[JobInvolvement]],1,"Low",2,"Medium",3,"High",4,"Very High","Unknown")</f>
        <v>Low</v>
      </c>
      <c r="AM573" t="str" cm="1">
        <f t="array" ref="AM573">_xlfn.SWITCH(CleanEmployeeData[[#This Row],[JobSatisfaction]],1,"Low",2,"Medium",3,"High",4,"Very High","Unknown")</f>
        <v>Very High</v>
      </c>
      <c r="AN573" t="str" cm="1">
        <f t="array" ref="AN573">_xlfn.SWITCH(CleanEmployeeData[[#This Row],[PerformanceRating]],1,"Low",2,"Good",3,"Excellent",4,"Outstanding","Unknown")</f>
        <v>Excellent</v>
      </c>
      <c r="AO573" t="str" cm="1">
        <f t="array" ref="AO573">_xlfn.SWITCH(CleanEmployeeData[[#This Row],[WorkLifeBalance]],1,"Bad",2,"Good",3,"Better",4,"Best","Unknown")</f>
        <v>Better</v>
      </c>
      <c r="AP573">
        <f>IF(CleanEmployeeData[[#This Row],[Attrition]]="Yes",1,IF(CleanEmployeeData[[#This Row],[Attrition]]="No",0,""))</f>
        <v>0</v>
      </c>
      <c r="AQ573" t="str" cm="1">
        <f t="array" ref="AQ573">_xlfn.IFS(CleanEmployeeData[[#This Row],[MonthlyIncome]]&lt;=3000,"0–3,000",CleanEmployeeData[[#This Row],[MonthlyIncome]]&lt;=6000,"3,001–6,000",CleanEmployeeData[[#This Row],[MonthlyIncome]]&lt;=10000,"6,001–10,000",TRUE,"10,001+")</f>
        <v>3,001–6,000</v>
      </c>
      <c r="AR573" t="str" cm="1">
        <f t="array" ref="AR573">_xlfn.IFS(CleanEmployeeData[[#This Row],[DistanceFromHome]]&lt;=5,"0–5 miles",CleanEmployeeData[[#This Row],[DistanceFromHome]]&lt;=10,"6–10 miles",CleanEmployeeData[[#This Row],[DistanceFromHome]]&lt;=15,"11–15 miles",TRUE,"16+ miles")</f>
        <v>0–5 miles</v>
      </c>
      <c r="AS573" t="str" cm="1">
        <f t="array" ref="AS573">_xlfn.IFS(CleanEmployeeData[[#This Row],[YearsAtCompany]]&lt;=1,"0–1 years",CleanEmployeeData[[#This Row],[YearsAtCompany]]&lt;=5,"2–5 years",CleanEmployeeData[[#This Row],[YearsAtCompany]]&lt;=10,"6–10 years",TRUE,"11+ years")</f>
        <v>2–5 years</v>
      </c>
    </row>
    <row r="574" spans="1:4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cm="1">
        <f t="array" ref="AJ574">_xlfn.SWITCH(CleanEmployeeData[[#This Row],[Education]],1,"Below College",2,"College",3,"Bachelor",4,"Master",5,"Doctor","Unknown")</f>
        <v>Bachelor</v>
      </c>
      <c r="AK574" t="str" cm="1">
        <f t="array" ref="AK574">_xlfn.SWITCH(CleanEmployeeData[[#This Row],[EnvironmentSatisfaction]],1,"Low",2,"Medium",3,"High",4,"Very High","Unknown")</f>
        <v>Medium</v>
      </c>
      <c r="AL574" t="str" cm="1">
        <f t="array" ref="AL574">_xlfn.SWITCH(CleanEmployeeData[[#This Row],[JobInvolvement]],1,"Low",2,"Medium",3,"High",4,"Very High","Unknown")</f>
        <v>High</v>
      </c>
      <c r="AM574" t="str" cm="1">
        <f t="array" ref="AM574">_xlfn.SWITCH(CleanEmployeeData[[#This Row],[JobSatisfaction]],1,"Low",2,"Medium",3,"High",4,"Very High","Unknown")</f>
        <v>High</v>
      </c>
      <c r="AN574" t="str" cm="1">
        <f t="array" ref="AN574">_xlfn.SWITCH(CleanEmployeeData[[#This Row],[PerformanceRating]],1,"Low",2,"Good",3,"Excellent",4,"Outstanding","Unknown")</f>
        <v>Excellent</v>
      </c>
      <c r="AO574" t="str" cm="1">
        <f t="array" ref="AO574">_xlfn.SWITCH(CleanEmployeeData[[#This Row],[WorkLifeBalance]],1,"Bad",2,"Good",3,"Better",4,"Best","Unknown")</f>
        <v>Good</v>
      </c>
      <c r="AP574">
        <f>IF(CleanEmployeeData[[#This Row],[Attrition]]="Yes",1,IF(CleanEmployeeData[[#This Row],[Attrition]]="No",0,""))</f>
        <v>0</v>
      </c>
      <c r="AQ574" t="str" cm="1">
        <f t="array" ref="AQ574">_xlfn.IFS(CleanEmployeeData[[#This Row],[MonthlyIncome]]&lt;=3000,"0–3,000",CleanEmployeeData[[#This Row],[MonthlyIncome]]&lt;=6000,"3,001–6,000",CleanEmployeeData[[#This Row],[MonthlyIncome]]&lt;=10000,"6,001–10,000",TRUE,"10,001+")</f>
        <v>3,001–6,000</v>
      </c>
      <c r="AR574" t="str" cm="1">
        <f t="array" ref="AR574">_xlfn.IFS(CleanEmployeeData[[#This Row],[DistanceFromHome]]&lt;=5,"0–5 miles",CleanEmployeeData[[#This Row],[DistanceFromHome]]&lt;=10,"6–10 miles",CleanEmployeeData[[#This Row],[DistanceFromHome]]&lt;=15,"11–15 miles",TRUE,"16+ miles")</f>
        <v>16+ miles</v>
      </c>
      <c r="AS574" t="str" cm="1">
        <f t="array" ref="AS574">_xlfn.IFS(CleanEmployeeData[[#This Row],[YearsAtCompany]]&lt;=1,"0–1 years",CleanEmployeeData[[#This Row],[YearsAtCompany]]&lt;=5,"2–5 years",CleanEmployeeData[[#This Row],[YearsAtCompany]]&lt;=10,"6–10 years",TRUE,"11+ years")</f>
        <v>6–10 years</v>
      </c>
    </row>
    <row r="575" spans="1:4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cm="1">
        <f t="array" ref="AJ575">_xlfn.SWITCH(CleanEmployeeData[[#This Row],[Education]],1,"Below College",2,"College",3,"Bachelor",4,"Master",5,"Doctor","Unknown")</f>
        <v>Bachelor</v>
      </c>
      <c r="AK575" t="str" cm="1">
        <f t="array" ref="AK575">_xlfn.SWITCH(CleanEmployeeData[[#This Row],[EnvironmentSatisfaction]],1,"Low",2,"Medium",3,"High",4,"Very High","Unknown")</f>
        <v>Very High</v>
      </c>
      <c r="AL575" t="str" cm="1">
        <f t="array" ref="AL575">_xlfn.SWITCH(CleanEmployeeData[[#This Row],[JobInvolvement]],1,"Low",2,"Medium",3,"High",4,"Very High","Unknown")</f>
        <v>Medium</v>
      </c>
      <c r="AM575" t="str" cm="1">
        <f t="array" ref="AM575">_xlfn.SWITCH(CleanEmployeeData[[#This Row],[JobSatisfaction]],1,"Low",2,"Medium",3,"High",4,"Very High","Unknown")</f>
        <v>Low</v>
      </c>
      <c r="AN575" t="str" cm="1">
        <f t="array" ref="AN575">_xlfn.SWITCH(CleanEmployeeData[[#This Row],[PerformanceRating]],1,"Low",2,"Good",3,"Excellent",4,"Outstanding","Unknown")</f>
        <v>Excellent</v>
      </c>
      <c r="AO575" t="str" cm="1">
        <f t="array" ref="AO575">_xlfn.SWITCH(CleanEmployeeData[[#This Row],[WorkLifeBalance]],1,"Bad",2,"Good",3,"Better",4,"Best","Unknown")</f>
        <v>Good</v>
      </c>
      <c r="AP575">
        <f>IF(CleanEmployeeData[[#This Row],[Attrition]]="Yes",1,IF(CleanEmployeeData[[#This Row],[Attrition]]="No",0,""))</f>
        <v>1</v>
      </c>
      <c r="AQ575" t="str" cm="1">
        <f t="array" ref="AQ575">_xlfn.IFS(CleanEmployeeData[[#This Row],[MonthlyIncome]]&lt;=3000,"0–3,000",CleanEmployeeData[[#This Row],[MonthlyIncome]]&lt;=6000,"3,001–6,000",CleanEmployeeData[[#This Row],[MonthlyIncome]]&lt;=10000,"6,001–10,000",TRUE,"10,001+")</f>
        <v>3,001–6,000</v>
      </c>
      <c r="AR575" t="str" cm="1">
        <f t="array" ref="AR575">_xlfn.IFS(CleanEmployeeData[[#This Row],[DistanceFromHome]]&lt;=5,"0–5 miles",CleanEmployeeData[[#This Row],[DistanceFromHome]]&lt;=10,"6–10 miles",CleanEmployeeData[[#This Row],[DistanceFromHome]]&lt;=15,"11–15 miles",TRUE,"16+ miles")</f>
        <v>6–10 miles</v>
      </c>
      <c r="AS575" t="str" cm="1">
        <f t="array" ref="AS575">_xlfn.IFS(CleanEmployeeData[[#This Row],[YearsAtCompany]]&lt;=1,"0–1 years",CleanEmployeeData[[#This Row],[YearsAtCompany]]&lt;=5,"2–5 years",CleanEmployeeData[[#This Row],[YearsAtCompany]]&lt;=10,"6–10 years",TRUE,"11+ years")</f>
        <v>2–5 years</v>
      </c>
    </row>
    <row r="576" spans="1:4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cm="1">
        <f t="array" ref="AJ576">_xlfn.SWITCH(CleanEmployeeData[[#This Row],[Education]],1,"Below College",2,"College",3,"Bachelor",4,"Master",5,"Doctor","Unknown")</f>
        <v>Master</v>
      </c>
      <c r="AK576" t="str" cm="1">
        <f t="array" ref="AK576">_xlfn.SWITCH(CleanEmployeeData[[#This Row],[EnvironmentSatisfaction]],1,"Low",2,"Medium",3,"High",4,"Very High","Unknown")</f>
        <v>Medium</v>
      </c>
      <c r="AL576" t="str" cm="1">
        <f t="array" ref="AL576">_xlfn.SWITCH(CleanEmployeeData[[#This Row],[JobInvolvement]],1,"Low",2,"Medium",3,"High",4,"Very High","Unknown")</f>
        <v>Very High</v>
      </c>
      <c r="AM576" t="str" cm="1">
        <f t="array" ref="AM576">_xlfn.SWITCH(CleanEmployeeData[[#This Row],[JobSatisfaction]],1,"Low",2,"Medium",3,"High",4,"Very High","Unknown")</f>
        <v>Very High</v>
      </c>
      <c r="AN576" t="str" cm="1">
        <f t="array" ref="AN576">_xlfn.SWITCH(CleanEmployeeData[[#This Row],[PerformanceRating]],1,"Low",2,"Good",3,"Excellent",4,"Outstanding","Unknown")</f>
        <v>Excellent</v>
      </c>
      <c r="AO576" t="str" cm="1">
        <f t="array" ref="AO576">_xlfn.SWITCH(CleanEmployeeData[[#This Row],[WorkLifeBalance]],1,"Bad",2,"Good",3,"Better",4,"Best","Unknown")</f>
        <v>Better</v>
      </c>
      <c r="AP576">
        <f>IF(CleanEmployeeData[[#This Row],[Attrition]]="Yes",1,IF(CleanEmployeeData[[#This Row],[Attrition]]="No",0,""))</f>
        <v>0</v>
      </c>
      <c r="AQ576" t="str" cm="1">
        <f t="array" ref="AQ576">_xlfn.IFS(CleanEmployeeData[[#This Row],[MonthlyIncome]]&lt;=3000,"0–3,000",CleanEmployeeData[[#This Row],[MonthlyIncome]]&lt;=6000,"3,001–6,000",CleanEmployeeData[[#This Row],[MonthlyIncome]]&lt;=10000,"6,001–10,000",TRUE,"10,001+")</f>
        <v>3,001–6,000</v>
      </c>
      <c r="AR576" t="str" cm="1">
        <f t="array" ref="AR576">_xlfn.IFS(CleanEmployeeData[[#This Row],[DistanceFromHome]]&lt;=5,"0–5 miles",CleanEmployeeData[[#This Row],[DistanceFromHome]]&lt;=10,"6–10 miles",CleanEmployeeData[[#This Row],[DistanceFromHome]]&lt;=15,"11–15 miles",TRUE,"16+ miles")</f>
        <v>0–5 miles</v>
      </c>
      <c r="AS576" t="str" cm="1">
        <f t="array" ref="AS576">_xlfn.IFS(CleanEmployeeData[[#This Row],[YearsAtCompany]]&lt;=1,"0–1 years",CleanEmployeeData[[#This Row],[YearsAtCompany]]&lt;=5,"2–5 years",CleanEmployeeData[[#This Row],[YearsAtCompany]]&lt;=10,"6–10 years",TRUE,"11+ years")</f>
        <v>2–5 years</v>
      </c>
    </row>
    <row r="577" spans="1:4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cm="1">
        <f t="array" ref="AJ577">_xlfn.SWITCH(CleanEmployeeData[[#This Row],[Education]],1,"Below College",2,"College",3,"Bachelor",4,"Master",5,"Doctor","Unknown")</f>
        <v>Master</v>
      </c>
      <c r="AK577" t="str" cm="1">
        <f t="array" ref="AK577">_xlfn.SWITCH(CleanEmployeeData[[#This Row],[EnvironmentSatisfaction]],1,"Low",2,"Medium",3,"High",4,"Very High","Unknown")</f>
        <v>Very High</v>
      </c>
      <c r="AL577" t="str" cm="1">
        <f t="array" ref="AL577">_xlfn.SWITCH(CleanEmployeeData[[#This Row],[JobInvolvement]],1,"Low",2,"Medium",3,"High",4,"Very High","Unknown")</f>
        <v>High</v>
      </c>
      <c r="AM577" t="str" cm="1">
        <f t="array" ref="AM577">_xlfn.SWITCH(CleanEmployeeData[[#This Row],[JobSatisfaction]],1,"Low",2,"Medium",3,"High",4,"Very High","Unknown")</f>
        <v>Low</v>
      </c>
      <c r="AN577" t="str" cm="1">
        <f t="array" ref="AN577">_xlfn.SWITCH(CleanEmployeeData[[#This Row],[PerformanceRating]],1,"Low",2,"Good",3,"Excellent",4,"Outstanding","Unknown")</f>
        <v>Excellent</v>
      </c>
      <c r="AO577" t="str" cm="1">
        <f t="array" ref="AO577">_xlfn.SWITCH(CleanEmployeeData[[#This Row],[WorkLifeBalance]],1,"Bad",2,"Good",3,"Better",4,"Best","Unknown")</f>
        <v>Better</v>
      </c>
      <c r="AP577">
        <f>IF(CleanEmployeeData[[#This Row],[Attrition]]="Yes",1,IF(CleanEmployeeData[[#This Row],[Attrition]]="No",0,""))</f>
        <v>0</v>
      </c>
      <c r="AQ577" t="str" cm="1">
        <f t="array" ref="AQ577">_xlfn.IFS(CleanEmployeeData[[#This Row],[MonthlyIncome]]&lt;=3000,"0–3,000",CleanEmployeeData[[#This Row],[MonthlyIncome]]&lt;=6000,"3,001–6,000",CleanEmployeeData[[#This Row],[MonthlyIncome]]&lt;=10000,"6,001–10,000",TRUE,"10,001+")</f>
        <v>3,001–6,000</v>
      </c>
      <c r="AR577" t="str" cm="1">
        <f t="array" ref="AR577">_xlfn.IFS(CleanEmployeeData[[#This Row],[DistanceFromHome]]&lt;=5,"0–5 miles",CleanEmployeeData[[#This Row],[DistanceFromHome]]&lt;=10,"6–10 miles",CleanEmployeeData[[#This Row],[DistanceFromHome]]&lt;=15,"11–15 miles",TRUE,"16+ miles")</f>
        <v>16+ miles</v>
      </c>
      <c r="AS577" t="str" cm="1">
        <f t="array" ref="AS577">_xlfn.IFS(CleanEmployeeData[[#This Row],[YearsAtCompany]]&lt;=1,"0–1 years",CleanEmployeeData[[#This Row],[YearsAtCompany]]&lt;=5,"2–5 years",CleanEmployeeData[[#This Row],[YearsAtCompany]]&lt;=10,"6–10 years",TRUE,"11+ years")</f>
        <v>2–5 years</v>
      </c>
    </row>
    <row r="578" spans="1:4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cm="1">
        <f t="array" ref="AJ578">_xlfn.SWITCH(CleanEmployeeData[[#This Row],[Education]],1,"Below College",2,"College",3,"Bachelor",4,"Master",5,"Doctor","Unknown")</f>
        <v>Below College</v>
      </c>
      <c r="AK578" t="str" cm="1">
        <f t="array" ref="AK578">_xlfn.SWITCH(CleanEmployeeData[[#This Row],[EnvironmentSatisfaction]],1,"Low",2,"Medium",3,"High",4,"Very High","Unknown")</f>
        <v>High</v>
      </c>
      <c r="AL578" t="str" cm="1">
        <f t="array" ref="AL578">_xlfn.SWITCH(CleanEmployeeData[[#This Row],[JobInvolvement]],1,"Low",2,"Medium",3,"High",4,"Very High","Unknown")</f>
        <v>High</v>
      </c>
      <c r="AM578" t="str" cm="1">
        <f t="array" ref="AM578">_xlfn.SWITCH(CleanEmployeeData[[#This Row],[JobSatisfaction]],1,"Low",2,"Medium",3,"High",4,"Very High","Unknown")</f>
        <v>Very High</v>
      </c>
      <c r="AN578" t="str" cm="1">
        <f t="array" ref="AN578">_xlfn.SWITCH(CleanEmployeeData[[#This Row],[PerformanceRating]],1,"Low",2,"Good",3,"Excellent",4,"Outstanding","Unknown")</f>
        <v>Excellent</v>
      </c>
      <c r="AO578" t="str" cm="1">
        <f t="array" ref="AO578">_xlfn.SWITCH(CleanEmployeeData[[#This Row],[WorkLifeBalance]],1,"Bad",2,"Good",3,"Better",4,"Best","Unknown")</f>
        <v>Better</v>
      </c>
      <c r="AP578">
        <f>IF(CleanEmployeeData[[#This Row],[Attrition]]="Yes",1,IF(CleanEmployeeData[[#This Row],[Attrition]]="No",0,""))</f>
        <v>0</v>
      </c>
      <c r="AQ578" t="str" cm="1">
        <f t="array" ref="AQ578">_xlfn.IFS(CleanEmployeeData[[#This Row],[MonthlyIncome]]&lt;=3000,"0–3,000",CleanEmployeeData[[#This Row],[MonthlyIncome]]&lt;=6000,"3,001–6,000",CleanEmployeeData[[#This Row],[MonthlyIncome]]&lt;=10000,"6,001–10,000",TRUE,"10,001+")</f>
        <v>3,001–6,000</v>
      </c>
      <c r="AR578" t="str" cm="1">
        <f t="array" ref="AR578">_xlfn.IFS(CleanEmployeeData[[#This Row],[DistanceFromHome]]&lt;=5,"0–5 miles",CleanEmployeeData[[#This Row],[DistanceFromHome]]&lt;=10,"6–10 miles",CleanEmployeeData[[#This Row],[DistanceFromHome]]&lt;=15,"11–15 miles",TRUE,"16+ miles")</f>
        <v>6–10 miles</v>
      </c>
      <c r="AS578" t="str" cm="1">
        <f t="array" ref="AS578">_xlfn.IFS(CleanEmployeeData[[#This Row],[YearsAtCompany]]&lt;=1,"0–1 years",CleanEmployeeData[[#This Row],[YearsAtCompany]]&lt;=5,"2–5 years",CleanEmployeeData[[#This Row],[YearsAtCompany]]&lt;=10,"6–10 years",TRUE,"11+ years")</f>
        <v>2–5 years</v>
      </c>
    </row>
    <row r="579" spans="1:4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cm="1">
        <f t="array" ref="AJ579">_xlfn.SWITCH(CleanEmployeeData[[#This Row],[Education]],1,"Below College",2,"College",3,"Bachelor",4,"Master",5,"Doctor","Unknown")</f>
        <v>Below College</v>
      </c>
      <c r="AK579" t="str" cm="1">
        <f t="array" ref="AK579">_xlfn.SWITCH(CleanEmployeeData[[#This Row],[EnvironmentSatisfaction]],1,"Low",2,"Medium",3,"High",4,"Very High","Unknown")</f>
        <v>Very High</v>
      </c>
      <c r="AL579" t="str" cm="1">
        <f t="array" ref="AL579">_xlfn.SWITCH(CleanEmployeeData[[#This Row],[JobInvolvement]],1,"Low",2,"Medium",3,"High",4,"Very High","Unknown")</f>
        <v>High</v>
      </c>
      <c r="AM579" t="str" cm="1">
        <f t="array" ref="AM579">_xlfn.SWITCH(CleanEmployeeData[[#This Row],[JobSatisfaction]],1,"Low",2,"Medium",3,"High",4,"Very High","Unknown")</f>
        <v>Low</v>
      </c>
      <c r="AN579" t="str" cm="1">
        <f t="array" ref="AN579">_xlfn.SWITCH(CleanEmployeeData[[#This Row],[PerformanceRating]],1,"Low",2,"Good",3,"Excellent",4,"Outstanding","Unknown")</f>
        <v>Excellent</v>
      </c>
      <c r="AO579" t="str" cm="1">
        <f t="array" ref="AO579">_xlfn.SWITCH(CleanEmployeeData[[#This Row],[WorkLifeBalance]],1,"Bad",2,"Good",3,"Better",4,"Best","Unknown")</f>
        <v>Good</v>
      </c>
      <c r="AP579">
        <f>IF(CleanEmployeeData[[#This Row],[Attrition]]="Yes",1,IF(CleanEmployeeData[[#This Row],[Attrition]]="No",0,""))</f>
        <v>0</v>
      </c>
      <c r="AQ579" t="str" cm="1">
        <f t="array" ref="AQ579">_xlfn.IFS(CleanEmployeeData[[#This Row],[MonthlyIncome]]&lt;=3000,"0–3,000",CleanEmployeeData[[#This Row],[MonthlyIncome]]&lt;=6000,"3,001–6,000",CleanEmployeeData[[#This Row],[MonthlyIncome]]&lt;=10000,"6,001–10,000",TRUE,"10,001+")</f>
        <v>0–3,000</v>
      </c>
      <c r="AR579" t="str" cm="1">
        <f t="array" ref="AR579">_xlfn.IFS(CleanEmployeeData[[#This Row],[DistanceFromHome]]&lt;=5,"0–5 miles",CleanEmployeeData[[#This Row],[DistanceFromHome]]&lt;=10,"6–10 miles",CleanEmployeeData[[#This Row],[DistanceFromHome]]&lt;=15,"11–15 miles",TRUE,"16+ miles")</f>
        <v>6–10 miles</v>
      </c>
      <c r="AS579" t="str" cm="1">
        <f t="array" ref="AS579">_xlfn.IFS(CleanEmployeeData[[#This Row],[YearsAtCompany]]&lt;=1,"0–1 years",CleanEmployeeData[[#This Row],[YearsAtCompany]]&lt;=5,"2–5 years",CleanEmployeeData[[#This Row],[YearsAtCompany]]&lt;=10,"6–10 years",TRUE,"11+ years")</f>
        <v>2–5 years</v>
      </c>
    </row>
    <row r="580" spans="1:4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cm="1">
        <f t="array" ref="AJ580">_xlfn.SWITCH(CleanEmployeeData[[#This Row],[Education]],1,"Below College",2,"College",3,"Bachelor",4,"Master",5,"Doctor","Unknown")</f>
        <v>Master</v>
      </c>
      <c r="AK580" t="str" cm="1">
        <f t="array" ref="AK580">_xlfn.SWITCH(CleanEmployeeData[[#This Row],[EnvironmentSatisfaction]],1,"Low",2,"Medium",3,"High",4,"Very High","Unknown")</f>
        <v>Low</v>
      </c>
      <c r="AL580" t="str" cm="1">
        <f t="array" ref="AL580">_xlfn.SWITCH(CleanEmployeeData[[#This Row],[JobInvolvement]],1,"Low",2,"Medium",3,"High",4,"Very High","Unknown")</f>
        <v>Very High</v>
      </c>
      <c r="AM580" t="str" cm="1">
        <f t="array" ref="AM580">_xlfn.SWITCH(CleanEmployeeData[[#This Row],[JobSatisfaction]],1,"Low",2,"Medium",3,"High",4,"Very High","Unknown")</f>
        <v>Low</v>
      </c>
      <c r="AN580" t="str" cm="1">
        <f t="array" ref="AN580">_xlfn.SWITCH(CleanEmployeeData[[#This Row],[PerformanceRating]],1,"Low",2,"Good",3,"Excellent",4,"Outstanding","Unknown")</f>
        <v>Excellent</v>
      </c>
      <c r="AO580" t="str" cm="1">
        <f t="array" ref="AO580">_xlfn.SWITCH(CleanEmployeeData[[#This Row],[WorkLifeBalance]],1,"Bad",2,"Good",3,"Better",4,"Best","Unknown")</f>
        <v>Better</v>
      </c>
      <c r="AP580">
        <f>IF(CleanEmployeeData[[#This Row],[Attrition]]="Yes",1,IF(CleanEmployeeData[[#This Row],[Attrition]]="No",0,""))</f>
        <v>0</v>
      </c>
      <c r="AQ580" t="str" cm="1">
        <f t="array" ref="AQ580">_xlfn.IFS(CleanEmployeeData[[#This Row],[MonthlyIncome]]&lt;=3000,"0–3,000",CleanEmployeeData[[#This Row],[MonthlyIncome]]&lt;=6000,"3,001–6,000",CleanEmployeeData[[#This Row],[MonthlyIncome]]&lt;=10000,"6,001–10,000",TRUE,"10,001+")</f>
        <v>3,001–6,000</v>
      </c>
      <c r="AR580" t="str" cm="1">
        <f t="array" ref="AR580">_xlfn.IFS(CleanEmployeeData[[#This Row],[DistanceFromHome]]&lt;=5,"0–5 miles",CleanEmployeeData[[#This Row],[DistanceFromHome]]&lt;=10,"6–10 miles",CleanEmployeeData[[#This Row],[DistanceFromHome]]&lt;=15,"11–15 miles",TRUE,"16+ miles")</f>
        <v>0–5 miles</v>
      </c>
      <c r="AS580" t="str" cm="1">
        <f t="array" ref="AS580">_xlfn.IFS(CleanEmployeeData[[#This Row],[YearsAtCompany]]&lt;=1,"0–1 years",CleanEmployeeData[[#This Row],[YearsAtCompany]]&lt;=5,"2–5 years",CleanEmployeeData[[#This Row],[YearsAtCompany]]&lt;=10,"6–10 years",TRUE,"11+ years")</f>
        <v>11+ years</v>
      </c>
    </row>
    <row r="581" spans="1:4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cm="1">
        <f t="array" ref="AJ581">_xlfn.SWITCH(CleanEmployeeData[[#This Row],[Education]],1,"Below College",2,"College",3,"Bachelor",4,"Master",5,"Doctor","Unknown")</f>
        <v>Master</v>
      </c>
      <c r="AK581" t="str" cm="1">
        <f t="array" ref="AK581">_xlfn.SWITCH(CleanEmployeeData[[#This Row],[EnvironmentSatisfaction]],1,"Low",2,"Medium",3,"High",4,"Very High","Unknown")</f>
        <v>High</v>
      </c>
      <c r="AL581" t="str" cm="1">
        <f t="array" ref="AL581">_xlfn.SWITCH(CleanEmployeeData[[#This Row],[JobInvolvement]],1,"Low",2,"Medium",3,"High",4,"Very High","Unknown")</f>
        <v>Medium</v>
      </c>
      <c r="AM581" t="str" cm="1">
        <f t="array" ref="AM581">_xlfn.SWITCH(CleanEmployeeData[[#This Row],[JobSatisfaction]],1,"Low",2,"Medium",3,"High",4,"Very High","Unknown")</f>
        <v>Low</v>
      </c>
      <c r="AN581" t="str" cm="1">
        <f t="array" ref="AN581">_xlfn.SWITCH(CleanEmployeeData[[#This Row],[PerformanceRating]],1,"Low",2,"Good",3,"Excellent",4,"Outstanding","Unknown")</f>
        <v>Excellent</v>
      </c>
      <c r="AO581" t="str" cm="1">
        <f t="array" ref="AO581">_xlfn.SWITCH(CleanEmployeeData[[#This Row],[WorkLifeBalance]],1,"Bad",2,"Good",3,"Better",4,"Best","Unknown")</f>
        <v>Better</v>
      </c>
      <c r="AP581">
        <f>IF(CleanEmployeeData[[#This Row],[Attrition]]="Yes",1,IF(CleanEmployeeData[[#This Row],[Attrition]]="No",0,""))</f>
        <v>0</v>
      </c>
      <c r="AQ581" t="str" cm="1">
        <f t="array" ref="AQ581">_xlfn.IFS(CleanEmployeeData[[#This Row],[MonthlyIncome]]&lt;=3000,"0–3,000",CleanEmployeeData[[#This Row],[MonthlyIncome]]&lt;=6000,"3,001–6,000",CleanEmployeeData[[#This Row],[MonthlyIncome]]&lt;=10000,"6,001–10,000",TRUE,"10,001+")</f>
        <v>3,001–6,000</v>
      </c>
      <c r="AR581" t="str" cm="1">
        <f t="array" ref="AR581">_xlfn.IFS(CleanEmployeeData[[#This Row],[DistanceFromHome]]&lt;=5,"0–5 miles",CleanEmployeeData[[#This Row],[DistanceFromHome]]&lt;=10,"6–10 miles",CleanEmployeeData[[#This Row],[DistanceFromHome]]&lt;=15,"11–15 miles",TRUE,"16+ miles")</f>
        <v>0–5 miles</v>
      </c>
      <c r="AS581" t="str" cm="1">
        <f t="array" ref="AS581">_xlfn.IFS(CleanEmployeeData[[#This Row],[YearsAtCompany]]&lt;=1,"0–1 years",CleanEmployeeData[[#This Row],[YearsAtCompany]]&lt;=5,"2–5 years",CleanEmployeeData[[#This Row],[YearsAtCompany]]&lt;=10,"6–10 years",TRUE,"11+ years")</f>
        <v>6–10 years</v>
      </c>
    </row>
    <row r="582" spans="1:4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cm="1">
        <f t="array" ref="AJ582">_xlfn.SWITCH(CleanEmployeeData[[#This Row],[Education]],1,"Below College",2,"College",3,"Bachelor",4,"Master",5,"Doctor","Unknown")</f>
        <v>Master</v>
      </c>
      <c r="AK582" t="str" cm="1">
        <f t="array" ref="AK582">_xlfn.SWITCH(CleanEmployeeData[[#This Row],[EnvironmentSatisfaction]],1,"Low",2,"Medium",3,"High",4,"Very High","Unknown")</f>
        <v>Low</v>
      </c>
      <c r="AL582" t="str" cm="1">
        <f t="array" ref="AL582">_xlfn.SWITCH(CleanEmployeeData[[#This Row],[JobInvolvement]],1,"Low",2,"Medium",3,"High",4,"Very High","Unknown")</f>
        <v>High</v>
      </c>
      <c r="AM582" t="str" cm="1">
        <f t="array" ref="AM582">_xlfn.SWITCH(CleanEmployeeData[[#This Row],[JobSatisfaction]],1,"Low",2,"Medium",3,"High",4,"Very High","Unknown")</f>
        <v>Very High</v>
      </c>
      <c r="AN582" t="str" cm="1">
        <f t="array" ref="AN582">_xlfn.SWITCH(CleanEmployeeData[[#This Row],[PerformanceRating]],1,"Low",2,"Good",3,"Excellent",4,"Outstanding","Unknown")</f>
        <v>Excellent</v>
      </c>
      <c r="AO582" t="str" cm="1">
        <f t="array" ref="AO582">_xlfn.SWITCH(CleanEmployeeData[[#This Row],[WorkLifeBalance]],1,"Bad",2,"Good",3,"Better",4,"Best","Unknown")</f>
        <v>Good</v>
      </c>
      <c r="AP582">
        <f>IF(CleanEmployeeData[[#This Row],[Attrition]]="Yes",1,IF(CleanEmployeeData[[#This Row],[Attrition]]="No",0,""))</f>
        <v>0</v>
      </c>
      <c r="AQ582" t="str" cm="1">
        <f t="array" ref="AQ582">_xlfn.IFS(CleanEmployeeData[[#This Row],[MonthlyIncome]]&lt;=3000,"0–3,000",CleanEmployeeData[[#This Row],[MonthlyIncome]]&lt;=6000,"3,001–6,000",CleanEmployeeData[[#This Row],[MonthlyIncome]]&lt;=10000,"6,001–10,000",TRUE,"10,001+")</f>
        <v>0–3,000</v>
      </c>
      <c r="AR582" t="str" cm="1">
        <f t="array" ref="AR582">_xlfn.IFS(CleanEmployeeData[[#This Row],[DistanceFromHome]]&lt;=5,"0–5 miles",CleanEmployeeData[[#This Row],[DistanceFromHome]]&lt;=10,"6–10 miles",CleanEmployeeData[[#This Row],[DistanceFromHome]]&lt;=15,"11–15 miles",TRUE,"16+ miles")</f>
        <v>6–10 miles</v>
      </c>
      <c r="AS582" t="str" cm="1">
        <f t="array" ref="AS582">_xlfn.IFS(CleanEmployeeData[[#This Row],[YearsAtCompany]]&lt;=1,"0–1 years",CleanEmployeeData[[#This Row],[YearsAtCompany]]&lt;=5,"2–5 years",CleanEmployeeData[[#This Row],[YearsAtCompany]]&lt;=10,"6–10 years",TRUE,"11+ years")</f>
        <v>2–5 years</v>
      </c>
    </row>
    <row r="583" spans="1:4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cm="1">
        <f t="array" ref="AJ583">_xlfn.SWITCH(CleanEmployeeData[[#This Row],[Education]],1,"Below College",2,"College",3,"Bachelor",4,"Master",5,"Doctor","Unknown")</f>
        <v>Bachelor</v>
      </c>
      <c r="AK583" t="str" cm="1">
        <f t="array" ref="AK583">_xlfn.SWITCH(CleanEmployeeData[[#This Row],[EnvironmentSatisfaction]],1,"Low",2,"Medium",3,"High",4,"Very High","Unknown")</f>
        <v>Very High</v>
      </c>
      <c r="AL583" t="str" cm="1">
        <f t="array" ref="AL583">_xlfn.SWITCH(CleanEmployeeData[[#This Row],[JobInvolvement]],1,"Low",2,"Medium",3,"High",4,"Very High","Unknown")</f>
        <v>Low</v>
      </c>
      <c r="AM583" t="str" cm="1">
        <f t="array" ref="AM583">_xlfn.SWITCH(CleanEmployeeData[[#This Row],[JobSatisfaction]],1,"Low",2,"Medium",3,"High",4,"Very High","Unknown")</f>
        <v>High</v>
      </c>
      <c r="AN583" t="str" cm="1">
        <f t="array" ref="AN583">_xlfn.SWITCH(CleanEmployeeData[[#This Row],[PerformanceRating]],1,"Low",2,"Good",3,"Excellent",4,"Outstanding","Unknown")</f>
        <v>Outstanding</v>
      </c>
      <c r="AO583" t="str" cm="1">
        <f t="array" ref="AO583">_xlfn.SWITCH(CleanEmployeeData[[#This Row],[WorkLifeBalance]],1,"Bad",2,"Good",3,"Better",4,"Best","Unknown")</f>
        <v>Better</v>
      </c>
      <c r="AP583">
        <f>IF(CleanEmployeeData[[#This Row],[Attrition]]="Yes",1,IF(CleanEmployeeData[[#This Row],[Attrition]]="No",0,""))</f>
        <v>0</v>
      </c>
      <c r="AQ583" t="str" cm="1">
        <f t="array" ref="AQ583">_xlfn.IFS(CleanEmployeeData[[#This Row],[MonthlyIncome]]&lt;=3000,"0–3,000",CleanEmployeeData[[#This Row],[MonthlyIncome]]&lt;=6000,"3,001–6,000",CleanEmployeeData[[#This Row],[MonthlyIncome]]&lt;=10000,"6,001–10,000",TRUE,"10,001+")</f>
        <v>3,001–6,000</v>
      </c>
      <c r="AR583" t="str" cm="1">
        <f t="array" ref="AR583">_xlfn.IFS(CleanEmployeeData[[#This Row],[DistanceFromHome]]&lt;=5,"0–5 miles",CleanEmployeeData[[#This Row],[DistanceFromHome]]&lt;=10,"6–10 miles",CleanEmployeeData[[#This Row],[DistanceFromHome]]&lt;=15,"11–15 miles",TRUE,"16+ miles")</f>
        <v>0–5 miles</v>
      </c>
      <c r="AS583" t="str" cm="1">
        <f t="array" ref="AS583">_xlfn.IFS(CleanEmployeeData[[#This Row],[YearsAtCompany]]&lt;=1,"0–1 years",CleanEmployeeData[[#This Row],[YearsAtCompany]]&lt;=5,"2–5 years",CleanEmployeeData[[#This Row],[YearsAtCompany]]&lt;=10,"6–10 years",TRUE,"11+ years")</f>
        <v>2–5 years</v>
      </c>
    </row>
    <row r="584" spans="1:4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cm="1">
        <f t="array" ref="AJ584">_xlfn.SWITCH(CleanEmployeeData[[#This Row],[Education]],1,"Below College",2,"College",3,"Bachelor",4,"Master",5,"Doctor","Unknown")</f>
        <v>College</v>
      </c>
      <c r="AK584" t="str" cm="1">
        <f t="array" ref="AK584">_xlfn.SWITCH(CleanEmployeeData[[#This Row],[EnvironmentSatisfaction]],1,"Low",2,"Medium",3,"High",4,"Very High","Unknown")</f>
        <v>High</v>
      </c>
      <c r="AL584" t="str" cm="1">
        <f t="array" ref="AL584">_xlfn.SWITCH(CleanEmployeeData[[#This Row],[JobInvolvement]],1,"Low",2,"Medium",3,"High",4,"Very High","Unknown")</f>
        <v>Very High</v>
      </c>
      <c r="AM584" t="str" cm="1">
        <f t="array" ref="AM584">_xlfn.SWITCH(CleanEmployeeData[[#This Row],[JobSatisfaction]],1,"Low",2,"Medium",3,"High",4,"Very High","Unknown")</f>
        <v>Medium</v>
      </c>
      <c r="AN584" t="str" cm="1">
        <f t="array" ref="AN584">_xlfn.SWITCH(CleanEmployeeData[[#This Row],[PerformanceRating]],1,"Low",2,"Good",3,"Excellent",4,"Outstanding","Unknown")</f>
        <v>Outstanding</v>
      </c>
      <c r="AO584" t="str" cm="1">
        <f t="array" ref="AO584">_xlfn.SWITCH(CleanEmployeeData[[#This Row],[WorkLifeBalance]],1,"Bad",2,"Good",3,"Better",4,"Best","Unknown")</f>
        <v>Better</v>
      </c>
      <c r="AP584">
        <f>IF(CleanEmployeeData[[#This Row],[Attrition]]="Yes",1,IF(CleanEmployeeData[[#This Row],[Attrition]]="No",0,""))</f>
        <v>0</v>
      </c>
      <c r="AQ584" t="str" cm="1">
        <f t="array" ref="AQ584">_xlfn.IFS(CleanEmployeeData[[#This Row],[MonthlyIncome]]&lt;=3000,"0–3,000",CleanEmployeeData[[#This Row],[MonthlyIncome]]&lt;=6000,"3,001–6,000",CleanEmployeeData[[#This Row],[MonthlyIncome]]&lt;=10000,"6,001–10,000",TRUE,"10,001+")</f>
        <v>3,001–6,000</v>
      </c>
      <c r="AR584" t="str" cm="1">
        <f t="array" ref="AR584">_xlfn.IFS(CleanEmployeeData[[#This Row],[DistanceFromHome]]&lt;=5,"0–5 miles",CleanEmployeeData[[#This Row],[DistanceFromHome]]&lt;=10,"6–10 miles",CleanEmployeeData[[#This Row],[DistanceFromHome]]&lt;=15,"11–15 miles",TRUE,"16+ miles")</f>
        <v>0–5 miles</v>
      </c>
      <c r="AS584" t="str" cm="1">
        <f t="array" ref="AS584">_xlfn.IFS(CleanEmployeeData[[#This Row],[YearsAtCompany]]&lt;=1,"0–1 years",CleanEmployeeData[[#This Row],[YearsAtCompany]]&lt;=5,"2–5 years",CleanEmployeeData[[#This Row],[YearsAtCompany]]&lt;=10,"6–10 years",TRUE,"11+ years")</f>
        <v>6–10 years</v>
      </c>
    </row>
    <row r="585" spans="1:4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cm="1">
        <f t="array" ref="AJ585">_xlfn.SWITCH(CleanEmployeeData[[#This Row],[Education]],1,"Below College",2,"College",3,"Bachelor",4,"Master",5,"Doctor","Unknown")</f>
        <v>College</v>
      </c>
      <c r="AK585" t="str" cm="1">
        <f t="array" ref="AK585">_xlfn.SWITCH(CleanEmployeeData[[#This Row],[EnvironmentSatisfaction]],1,"Low",2,"Medium",3,"High",4,"Very High","Unknown")</f>
        <v>High</v>
      </c>
      <c r="AL585" t="str" cm="1">
        <f t="array" ref="AL585">_xlfn.SWITCH(CleanEmployeeData[[#This Row],[JobInvolvement]],1,"Low",2,"Medium",3,"High",4,"Very High","Unknown")</f>
        <v>High</v>
      </c>
      <c r="AM585" t="str" cm="1">
        <f t="array" ref="AM585">_xlfn.SWITCH(CleanEmployeeData[[#This Row],[JobSatisfaction]],1,"Low",2,"Medium",3,"High",4,"Very High","Unknown")</f>
        <v>Low</v>
      </c>
      <c r="AN585" t="str" cm="1">
        <f t="array" ref="AN585">_xlfn.SWITCH(CleanEmployeeData[[#This Row],[PerformanceRating]],1,"Low",2,"Good",3,"Excellent",4,"Outstanding","Unknown")</f>
        <v>Excellent</v>
      </c>
      <c r="AO585" t="str" cm="1">
        <f t="array" ref="AO585">_xlfn.SWITCH(CleanEmployeeData[[#This Row],[WorkLifeBalance]],1,"Bad",2,"Good",3,"Better",4,"Best","Unknown")</f>
        <v>Better</v>
      </c>
      <c r="AP585">
        <f>IF(CleanEmployeeData[[#This Row],[Attrition]]="Yes",1,IF(CleanEmployeeData[[#This Row],[Attrition]]="No",0,""))</f>
        <v>0</v>
      </c>
      <c r="AQ585" t="str" cm="1">
        <f t="array" ref="AQ585">_xlfn.IFS(CleanEmployeeData[[#This Row],[MonthlyIncome]]&lt;=3000,"0–3,000",CleanEmployeeData[[#This Row],[MonthlyIncome]]&lt;=6000,"3,001–6,000",CleanEmployeeData[[#This Row],[MonthlyIncome]]&lt;=10000,"6,001–10,000",TRUE,"10,001+")</f>
        <v>6,001–10,000</v>
      </c>
      <c r="AR585" t="str" cm="1">
        <f t="array" ref="AR585">_xlfn.IFS(CleanEmployeeData[[#This Row],[DistanceFromHome]]&lt;=5,"0–5 miles",CleanEmployeeData[[#This Row],[DistanceFromHome]]&lt;=10,"6–10 miles",CleanEmployeeData[[#This Row],[DistanceFromHome]]&lt;=15,"11–15 miles",TRUE,"16+ miles")</f>
        <v>6–10 miles</v>
      </c>
      <c r="AS585" t="str" cm="1">
        <f t="array" ref="AS585">_xlfn.IFS(CleanEmployeeData[[#This Row],[YearsAtCompany]]&lt;=1,"0–1 years",CleanEmployeeData[[#This Row],[YearsAtCompany]]&lt;=5,"2–5 years",CleanEmployeeData[[#This Row],[YearsAtCompany]]&lt;=10,"6–10 years",TRUE,"11+ years")</f>
        <v>2–5 years</v>
      </c>
    </row>
    <row r="586" spans="1:4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cm="1">
        <f t="array" ref="AJ586">_xlfn.SWITCH(CleanEmployeeData[[#This Row],[Education]],1,"Below College",2,"College",3,"Bachelor",4,"Master",5,"Doctor","Unknown")</f>
        <v>Bachelor</v>
      </c>
      <c r="AK586" t="str" cm="1">
        <f t="array" ref="AK586">_xlfn.SWITCH(CleanEmployeeData[[#This Row],[EnvironmentSatisfaction]],1,"Low",2,"Medium",3,"High",4,"Very High","Unknown")</f>
        <v>Medium</v>
      </c>
      <c r="AL586" t="str" cm="1">
        <f t="array" ref="AL586">_xlfn.SWITCH(CleanEmployeeData[[#This Row],[JobInvolvement]],1,"Low",2,"Medium",3,"High",4,"Very High","Unknown")</f>
        <v>High</v>
      </c>
      <c r="AM586" t="str" cm="1">
        <f t="array" ref="AM586">_xlfn.SWITCH(CleanEmployeeData[[#This Row],[JobSatisfaction]],1,"Low",2,"Medium",3,"High",4,"Very High","Unknown")</f>
        <v>Very High</v>
      </c>
      <c r="AN586" t="str" cm="1">
        <f t="array" ref="AN586">_xlfn.SWITCH(CleanEmployeeData[[#This Row],[PerformanceRating]],1,"Low",2,"Good",3,"Excellent",4,"Outstanding","Unknown")</f>
        <v>Excellent</v>
      </c>
      <c r="AO586" t="str" cm="1">
        <f t="array" ref="AO586">_xlfn.SWITCH(CleanEmployeeData[[#This Row],[WorkLifeBalance]],1,"Bad",2,"Good",3,"Better",4,"Best","Unknown")</f>
        <v>Good</v>
      </c>
      <c r="AP586">
        <f>IF(CleanEmployeeData[[#This Row],[Attrition]]="Yes",1,IF(CleanEmployeeData[[#This Row],[Attrition]]="No",0,""))</f>
        <v>0</v>
      </c>
      <c r="AQ586" t="str" cm="1">
        <f t="array" ref="AQ586">_xlfn.IFS(CleanEmployeeData[[#This Row],[MonthlyIncome]]&lt;=3000,"0–3,000",CleanEmployeeData[[#This Row],[MonthlyIncome]]&lt;=6000,"3,001–6,000",CleanEmployeeData[[#This Row],[MonthlyIncome]]&lt;=10000,"6,001–10,000",TRUE,"10,001+")</f>
        <v>10,001+</v>
      </c>
      <c r="AR586" t="str" cm="1">
        <f t="array" ref="AR586">_xlfn.IFS(CleanEmployeeData[[#This Row],[DistanceFromHome]]&lt;=5,"0–5 miles",CleanEmployeeData[[#This Row],[DistanceFromHome]]&lt;=10,"6–10 miles",CleanEmployeeData[[#This Row],[DistanceFromHome]]&lt;=15,"11–15 miles",TRUE,"16+ miles")</f>
        <v>6–10 miles</v>
      </c>
      <c r="AS586" t="str" cm="1">
        <f t="array" ref="AS586">_xlfn.IFS(CleanEmployeeData[[#This Row],[YearsAtCompany]]&lt;=1,"0–1 years",CleanEmployeeData[[#This Row],[YearsAtCompany]]&lt;=5,"2–5 years",CleanEmployeeData[[#This Row],[YearsAtCompany]]&lt;=10,"6–10 years",TRUE,"11+ years")</f>
        <v>11+ years</v>
      </c>
    </row>
    <row r="587" spans="1:4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cm="1">
        <f t="array" ref="AJ587">_xlfn.SWITCH(CleanEmployeeData[[#This Row],[Education]],1,"Below College",2,"College",3,"Bachelor",4,"Master",5,"Doctor","Unknown")</f>
        <v>Bachelor</v>
      </c>
      <c r="AK587" t="str" cm="1">
        <f t="array" ref="AK587">_xlfn.SWITCH(CleanEmployeeData[[#This Row],[EnvironmentSatisfaction]],1,"Low",2,"Medium",3,"High",4,"Very High","Unknown")</f>
        <v>High</v>
      </c>
      <c r="AL587" t="str" cm="1">
        <f t="array" ref="AL587">_xlfn.SWITCH(CleanEmployeeData[[#This Row],[JobInvolvement]],1,"Low",2,"Medium",3,"High",4,"Very High","Unknown")</f>
        <v>Very High</v>
      </c>
      <c r="AM587" t="str" cm="1">
        <f t="array" ref="AM587">_xlfn.SWITCH(CleanEmployeeData[[#This Row],[JobSatisfaction]],1,"Low",2,"Medium",3,"High",4,"Very High","Unknown")</f>
        <v>Low</v>
      </c>
      <c r="AN587" t="str" cm="1">
        <f t="array" ref="AN587">_xlfn.SWITCH(CleanEmployeeData[[#This Row],[PerformanceRating]],1,"Low",2,"Good",3,"Excellent",4,"Outstanding","Unknown")</f>
        <v>Outstanding</v>
      </c>
      <c r="AO587" t="str" cm="1">
        <f t="array" ref="AO587">_xlfn.SWITCH(CleanEmployeeData[[#This Row],[WorkLifeBalance]],1,"Bad",2,"Good",3,"Better",4,"Best","Unknown")</f>
        <v>Better</v>
      </c>
      <c r="AP587">
        <f>IF(CleanEmployeeData[[#This Row],[Attrition]]="Yes",1,IF(CleanEmployeeData[[#This Row],[Attrition]]="No",0,""))</f>
        <v>1</v>
      </c>
      <c r="AQ587" t="str" cm="1">
        <f t="array" ref="AQ587">_xlfn.IFS(CleanEmployeeData[[#This Row],[MonthlyIncome]]&lt;=3000,"0–3,000",CleanEmployeeData[[#This Row],[MonthlyIncome]]&lt;=6000,"3,001–6,000",CleanEmployeeData[[#This Row],[MonthlyIncome]]&lt;=10000,"6,001–10,000",TRUE,"10,001+")</f>
        <v>0–3,000</v>
      </c>
      <c r="AR587" t="str" cm="1">
        <f t="array" ref="AR587">_xlfn.IFS(CleanEmployeeData[[#This Row],[DistanceFromHome]]&lt;=5,"0–5 miles",CleanEmployeeData[[#This Row],[DistanceFromHome]]&lt;=10,"6–10 miles",CleanEmployeeData[[#This Row],[DistanceFromHome]]&lt;=15,"11–15 miles",TRUE,"16+ miles")</f>
        <v>6–10 miles</v>
      </c>
      <c r="AS587" t="str" cm="1">
        <f t="array" ref="AS587">_xlfn.IFS(CleanEmployeeData[[#This Row],[YearsAtCompany]]&lt;=1,"0–1 years",CleanEmployeeData[[#This Row],[YearsAtCompany]]&lt;=5,"2–5 years",CleanEmployeeData[[#This Row],[YearsAtCompany]]&lt;=10,"6–10 years",TRUE,"11+ years")</f>
        <v>0–1 years</v>
      </c>
    </row>
    <row r="588" spans="1:4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cm="1">
        <f t="array" ref="AJ588">_xlfn.SWITCH(CleanEmployeeData[[#This Row],[Education]],1,"Below College",2,"College",3,"Bachelor",4,"Master",5,"Doctor","Unknown")</f>
        <v>Bachelor</v>
      </c>
      <c r="AK588" t="str" cm="1">
        <f t="array" ref="AK588">_xlfn.SWITCH(CleanEmployeeData[[#This Row],[EnvironmentSatisfaction]],1,"Low",2,"Medium",3,"High",4,"Very High","Unknown")</f>
        <v>High</v>
      </c>
      <c r="AL588" t="str" cm="1">
        <f t="array" ref="AL588">_xlfn.SWITCH(CleanEmployeeData[[#This Row],[JobInvolvement]],1,"Low",2,"Medium",3,"High",4,"Very High","Unknown")</f>
        <v>Medium</v>
      </c>
      <c r="AM588" t="str" cm="1">
        <f t="array" ref="AM588">_xlfn.SWITCH(CleanEmployeeData[[#This Row],[JobSatisfaction]],1,"Low",2,"Medium",3,"High",4,"Very High","Unknown")</f>
        <v>Medium</v>
      </c>
      <c r="AN588" t="str" cm="1">
        <f t="array" ref="AN588">_xlfn.SWITCH(CleanEmployeeData[[#This Row],[PerformanceRating]],1,"Low",2,"Good",3,"Excellent",4,"Outstanding","Unknown")</f>
        <v>Excellent</v>
      </c>
      <c r="AO588" t="str" cm="1">
        <f t="array" ref="AO588">_xlfn.SWITCH(CleanEmployeeData[[#This Row],[WorkLifeBalance]],1,"Bad",2,"Good",3,"Better",4,"Best","Unknown")</f>
        <v>Better</v>
      </c>
      <c r="AP588">
        <f>IF(CleanEmployeeData[[#This Row],[Attrition]]="Yes",1,IF(CleanEmployeeData[[#This Row],[Attrition]]="No",0,""))</f>
        <v>0</v>
      </c>
      <c r="AQ588" t="str" cm="1">
        <f t="array" ref="AQ588">_xlfn.IFS(CleanEmployeeData[[#This Row],[MonthlyIncome]]&lt;=3000,"0–3,000",CleanEmployeeData[[#This Row],[MonthlyIncome]]&lt;=6000,"3,001–6,000",CleanEmployeeData[[#This Row],[MonthlyIncome]]&lt;=10000,"6,001–10,000",TRUE,"10,001+")</f>
        <v>0–3,000</v>
      </c>
      <c r="AR588" t="str" cm="1">
        <f t="array" ref="AR588">_xlfn.IFS(CleanEmployeeData[[#This Row],[DistanceFromHome]]&lt;=5,"0–5 miles",CleanEmployeeData[[#This Row],[DistanceFromHome]]&lt;=10,"6–10 miles",CleanEmployeeData[[#This Row],[DistanceFromHome]]&lt;=15,"11–15 miles",TRUE,"16+ miles")</f>
        <v>6–10 miles</v>
      </c>
      <c r="AS588" t="str" cm="1">
        <f t="array" ref="AS588">_xlfn.IFS(CleanEmployeeData[[#This Row],[YearsAtCompany]]&lt;=1,"0–1 years",CleanEmployeeData[[#This Row],[YearsAtCompany]]&lt;=5,"2–5 years",CleanEmployeeData[[#This Row],[YearsAtCompany]]&lt;=10,"6–10 years",TRUE,"11+ years")</f>
        <v>0–1 years</v>
      </c>
    </row>
    <row r="589" spans="1:4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cm="1">
        <f t="array" ref="AJ589">_xlfn.SWITCH(CleanEmployeeData[[#This Row],[Education]],1,"Below College",2,"College",3,"Bachelor",4,"Master",5,"Doctor","Unknown")</f>
        <v>Master</v>
      </c>
      <c r="AK589" t="str" cm="1">
        <f t="array" ref="AK589">_xlfn.SWITCH(CleanEmployeeData[[#This Row],[EnvironmentSatisfaction]],1,"Low",2,"Medium",3,"High",4,"Very High","Unknown")</f>
        <v>Very High</v>
      </c>
      <c r="AL589" t="str" cm="1">
        <f t="array" ref="AL589">_xlfn.SWITCH(CleanEmployeeData[[#This Row],[JobInvolvement]],1,"Low",2,"Medium",3,"High",4,"Very High","Unknown")</f>
        <v>High</v>
      </c>
      <c r="AM589" t="str" cm="1">
        <f t="array" ref="AM589">_xlfn.SWITCH(CleanEmployeeData[[#This Row],[JobSatisfaction]],1,"Low",2,"Medium",3,"High",4,"Very High","Unknown")</f>
        <v>High</v>
      </c>
      <c r="AN589" t="str" cm="1">
        <f t="array" ref="AN589">_xlfn.SWITCH(CleanEmployeeData[[#This Row],[PerformanceRating]],1,"Low",2,"Good",3,"Excellent",4,"Outstanding","Unknown")</f>
        <v>Outstanding</v>
      </c>
      <c r="AO589" t="str" cm="1">
        <f t="array" ref="AO589">_xlfn.SWITCH(CleanEmployeeData[[#This Row],[WorkLifeBalance]],1,"Bad",2,"Good",3,"Better",4,"Best","Unknown")</f>
        <v>Better</v>
      </c>
      <c r="AP589">
        <f>IF(CleanEmployeeData[[#This Row],[Attrition]]="Yes",1,IF(CleanEmployeeData[[#This Row],[Attrition]]="No",0,""))</f>
        <v>0</v>
      </c>
      <c r="AQ589" t="str" cm="1">
        <f t="array" ref="AQ589">_xlfn.IFS(CleanEmployeeData[[#This Row],[MonthlyIncome]]&lt;=3000,"0–3,000",CleanEmployeeData[[#This Row],[MonthlyIncome]]&lt;=6000,"3,001–6,000",CleanEmployeeData[[#This Row],[MonthlyIncome]]&lt;=10000,"6,001–10,000",TRUE,"10,001+")</f>
        <v>3,001–6,000</v>
      </c>
      <c r="AR589" t="str" cm="1">
        <f t="array" ref="AR589">_xlfn.IFS(CleanEmployeeData[[#This Row],[DistanceFromHome]]&lt;=5,"0–5 miles",CleanEmployeeData[[#This Row],[DistanceFromHome]]&lt;=10,"6–10 miles",CleanEmployeeData[[#This Row],[DistanceFromHome]]&lt;=15,"11–15 miles",TRUE,"16+ miles")</f>
        <v>11–15 miles</v>
      </c>
      <c r="AS589" t="str" cm="1">
        <f t="array" ref="AS589">_xlfn.IFS(CleanEmployeeData[[#This Row],[YearsAtCompany]]&lt;=1,"0–1 years",CleanEmployeeData[[#This Row],[YearsAtCompany]]&lt;=5,"2–5 years",CleanEmployeeData[[#This Row],[YearsAtCompany]]&lt;=10,"6–10 years",TRUE,"11+ years")</f>
        <v>2–5 years</v>
      </c>
    </row>
    <row r="590" spans="1:4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cm="1">
        <f t="array" ref="AJ590">_xlfn.SWITCH(CleanEmployeeData[[#This Row],[Education]],1,"Below College",2,"College",3,"Bachelor",4,"Master",5,"Doctor","Unknown")</f>
        <v>Bachelor</v>
      </c>
      <c r="AK590" t="str" cm="1">
        <f t="array" ref="AK590">_xlfn.SWITCH(CleanEmployeeData[[#This Row],[EnvironmentSatisfaction]],1,"Low",2,"Medium",3,"High",4,"Very High","Unknown")</f>
        <v>High</v>
      </c>
      <c r="AL590" t="str" cm="1">
        <f t="array" ref="AL590">_xlfn.SWITCH(CleanEmployeeData[[#This Row],[JobInvolvement]],1,"Low",2,"Medium",3,"High",4,"Very High","Unknown")</f>
        <v>High</v>
      </c>
      <c r="AM590" t="str" cm="1">
        <f t="array" ref="AM590">_xlfn.SWITCH(CleanEmployeeData[[#This Row],[JobSatisfaction]],1,"Low",2,"Medium",3,"High",4,"Very High","Unknown")</f>
        <v>High</v>
      </c>
      <c r="AN590" t="str" cm="1">
        <f t="array" ref="AN590">_xlfn.SWITCH(CleanEmployeeData[[#This Row],[PerformanceRating]],1,"Low",2,"Good",3,"Excellent",4,"Outstanding","Unknown")</f>
        <v>Excellent</v>
      </c>
      <c r="AO590" t="str" cm="1">
        <f t="array" ref="AO590">_xlfn.SWITCH(CleanEmployeeData[[#This Row],[WorkLifeBalance]],1,"Bad",2,"Good",3,"Better",4,"Best","Unknown")</f>
        <v>Better</v>
      </c>
      <c r="AP590">
        <f>IF(CleanEmployeeData[[#This Row],[Attrition]]="Yes",1,IF(CleanEmployeeData[[#This Row],[Attrition]]="No",0,""))</f>
        <v>0</v>
      </c>
      <c r="AQ590" t="str" cm="1">
        <f t="array" ref="AQ590">_xlfn.IFS(CleanEmployeeData[[#This Row],[MonthlyIncome]]&lt;=3000,"0–3,000",CleanEmployeeData[[#This Row],[MonthlyIncome]]&lt;=6000,"3,001–6,000",CleanEmployeeData[[#This Row],[MonthlyIncome]]&lt;=10000,"6,001–10,000",TRUE,"10,001+")</f>
        <v>10,001+</v>
      </c>
      <c r="AR590" t="str" cm="1">
        <f t="array" ref="AR590">_xlfn.IFS(CleanEmployeeData[[#This Row],[DistanceFromHome]]&lt;=5,"0–5 miles",CleanEmployeeData[[#This Row],[DistanceFromHome]]&lt;=10,"6–10 miles",CleanEmployeeData[[#This Row],[DistanceFromHome]]&lt;=15,"11–15 miles",TRUE,"16+ miles")</f>
        <v>0–5 miles</v>
      </c>
      <c r="AS590" t="str" cm="1">
        <f t="array" ref="AS590">_xlfn.IFS(CleanEmployeeData[[#This Row],[YearsAtCompany]]&lt;=1,"0–1 years",CleanEmployeeData[[#This Row],[YearsAtCompany]]&lt;=5,"2–5 years",CleanEmployeeData[[#This Row],[YearsAtCompany]]&lt;=10,"6–10 years",TRUE,"11+ years")</f>
        <v>2–5 years</v>
      </c>
    </row>
    <row r="591" spans="1:4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cm="1">
        <f t="array" ref="AJ591">_xlfn.SWITCH(CleanEmployeeData[[#This Row],[Education]],1,"Below College",2,"College",3,"Bachelor",4,"Master",5,"Doctor","Unknown")</f>
        <v>College</v>
      </c>
      <c r="AK591" t="str" cm="1">
        <f t="array" ref="AK591">_xlfn.SWITCH(CleanEmployeeData[[#This Row],[EnvironmentSatisfaction]],1,"Low",2,"Medium",3,"High",4,"Very High","Unknown")</f>
        <v>Medium</v>
      </c>
      <c r="AL591" t="str" cm="1">
        <f t="array" ref="AL591">_xlfn.SWITCH(CleanEmployeeData[[#This Row],[JobInvolvement]],1,"Low",2,"Medium",3,"High",4,"Very High","Unknown")</f>
        <v>Medium</v>
      </c>
      <c r="AM591" t="str" cm="1">
        <f t="array" ref="AM591">_xlfn.SWITCH(CleanEmployeeData[[#This Row],[JobSatisfaction]],1,"Low",2,"Medium",3,"High",4,"Very High","Unknown")</f>
        <v>Low</v>
      </c>
      <c r="AN591" t="str" cm="1">
        <f t="array" ref="AN591">_xlfn.SWITCH(CleanEmployeeData[[#This Row],[PerformanceRating]],1,"Low",2,"Good",3,"Excellent",4,"Outstanding","Unknown")</f>
        <v>Excellent</v>
      </c>
      <c r="AO591" t="str" cm="1">
        <f t="array" ref="AO591">_xlfn.SWITCH(CleanEmployeeData[[#This Row],[WorkLifeBalance]],1,"Bad",2,"Good",3,"Better",4,"Best","Unknown")</f>
        <v>Better</v>
      </c>
      <c r="AP591">
        <f>IF(CleanEmployeeData[[#This Row],[Attrition]]="Yes",1,IF(CleanEmployeeData[[#This Row],[Attrition]]="No",0,""))</f>
        <v>1</v>
      </c>
      <c r="AQ591" t="str" cm="1">
        <f t="array" ref="AQ591">_xlfn.IFS(CleanEmployeeData[[#This Row],[MonthlyIncome]]&lt;=3000,"0–3,000",CleanEmployeeData[[#This Row],[MonthlyIncome]]&lt;=6000,"3,001–6,000",CleanEmployeeData[[#This Row],[MonthlyIncome]]&lt;=10000,"6,001–10,000",TRUE,"10,001+")</f>
        <v>0–3,000</v>
      </c>
      <c r="AR591" t="str" cm="1">
        <f t="array" ref="AR591">_xlfn.IFS(CleanEmployeeData[[#This Row],[DistanceFromHome]]&lt;=5,"0–5 miles",CleanEmployeeData[[#This Row],[DistanceFromHome]]&lt;=10,"6–10 miles",CleanEmployeeData[[#This Row],[DistanceFromHome]]&lt;=15,"11–15 miles",TRUE,"16+ miles")</f>
        <v>0–5 miles</v>
      </c>
      <c r="AS591" t="str" cm="1">
        <f t="array" ref="AS591">_xlfn.IFS(CleanEmployeeData[[#This Row],[YearsAtCompany]]&lt;=1,"0–1 years",CleanEmployeeData[[#This Row],[YearsAtCompany]]&lt;=5,"2–5 years",CleanEmployeeData[[#This Row],[YearsAtCompany]]&lt;=10,"6–10 years",TRUE,"11+ years")</f>
        <v>0–1 years</v>
      </c>
    </row>
    <row r="592" spans="1:4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cm="1">
        <f t="array" ref="AJ592">_xlfn.SWITCH(CleanEmployeeData[[#This Row],[Education]],1,"Below College",2,"College",3,"Bachelor",4,"Master",5,"Doctor","Unknown")</f>
        <v>Bachelor</v>
      </c>
      <c r="AK592" t="str" cm="1">
        <f t="array" ref="AK592">_xlfn.SWITCH(CleanEmployeeData[[#This Row],[EnvironmentSatisfaction]],1,"Low",2,"Medium",3,"High",4,"Very High","Unknown")</f>
        <v>High</v>
      </c>
      <c r="AL592" t="str" cm="1">
        <f t="array" ref="AL592">_xlfn.SWITCH(CleanEmployeeData[[#This Row],[JobInvolvement]],1,"Low",2,"Medium",3,"High",4,"Very High","Unknown")</f>
        <v>High</v>
      </c>
      <c r="AM592" t="str" cm="1">
        <f t="array" ref="AM592">_xlfn.SWITCH(CleanEmployeeData[[#This Row],[JobSatisfaction]],1,"Low",2,"Medium",3,"High",4,"Very High","Unknown")</f>
        <v>High</v>
      </c>
      <c r="AN592" t="str" cm="1">
        <f t="array" ref="AN592">_xlfn.SWITCH(CleanEmployeeData[[#This Row],[PerformanceRating]],1,"Low",2,"Good",3,"Excellent",4,"Outstanding","Unknown")</f>
        <v>Excellent</v>
      </c>
      <c r="AO592" t="str" cm="1">
        <f t="array" ref="AO592">_xlfn.SWITCH(CleanEmployeeData[[#This Row],[WorkLifeBalance]],1,"Bad",2,"Good",3,"Better",4,"Best","Unknown")</f>
        <v>Best</v>
      </c>
      <c r="AP592">
        <f>IF(CleanEmployeeData[[#This Row],[Attrition]]="Yes",1,IF(CleanEmployeeData[[#This Row],[Attrition]]="No",0,""))</f>
        <v>0</v>
      </c>
      <c r="AQ592" t="str" cm="1">
        <f t="array" ref="AQ592">_xlfn.IFS(CleanEmployeeData[[#This Row],[MonthlyIncome]]&lt;=3000,"0–3,000",CleanEmployeeData[[#This Row],[MonthlyIncome]]&lt;=6000,"3,001–6,000",CleanEmployeeData[[#This Row],[MonthlyIncome]]&lt;=10000,"6,001–10,000",TRUE,"10,001+")</f>
        <v>10,001+</v>
      </c>
      <c r="AR592" t="str" cm="1">
        <f t="array" ref="AR592">_xlfn.IFS(CleanEmployeeData[[#This Row],[DistanceFromHome]]&lt;=5,"0–5 miles",CleanEmployeeData[[#This Row],[DistanceFromHome]]&lt;=10,"6–10 miles",CleanEmployeeData[[#This Row],[DistanceFromHome]]&lt;=15,"11–15 miles",TRUE,"16+ miles")</f>
        <v>6–10 miles</v>
      </c>
      <c r="AS592" t="str" cm="1">
        <f t="array" ref="AS592">_xlfn.IFS(CleanEmployeeData[[#This Row],[YearsAtCompany]]&lt;=1,"0–1 years",CleanEmployeeData[[#This Row],[YearsAtCompany]]&lt;=5,"2–5 years",CleanEmployeeData[[#This Row],[YearsAtCompany]]&lt;=10,"6–10 years",TRUE,"11+ years")</f>
        <v>11+ years</v>
      </c>
    </row>
    <row r="593" spans="1:4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cm="1">
        <f t="array" ref="AJ593">_xlfn.SWITCH(CleanEmployeeData[[#This Row],[Education]],1,"Below College",2,"College",3,"Bachelor",4,"Master",5,"Doctor","Unknown")</f>
        <v>Bachelor</v>
      </c>
      <c r="AK593" t="str" cm="1">
        <f t="array" ref="AK593">_xlfn.SWITCH(CleanEmployeeData[[#This Row],[EnvironmentSatisfaction]],1,"Low",2,"Medium",3,"High",4,"Very High","Unknown")</f>
        <v>Low</v>
      </c>
      <c r="AL593" t="str" cm="1">
        <f t="array" ref="AL593">_xlfn.SWITCH(CleanEmployeeData[[#This Row],[JobInvolvement]],1,"Low",2,"Medium",3,"High",4,"Very High","Unknown")</f>
        <v>High</v>
      </c>
      <c r="AM593" t="str" cm="1">
        <f t="array" ref="AM593">_xlfn.SWITCH(CleanEmployeeData[[#This Row],[JobSatisfaction]],1,"Low",2,"Medium",3,"High",4,"Very High","Unknown")</f>
        <v>Low</v>
      </c>
      <c r="AN593" t="str" cm="1">
        <f t="array" ref="AN593">_xlfn.SWITCH(CleanEmployeeData[[#This Row],[PerformanceRating]],1,"Low",2,"Good",3,"Excellent",4,"Outstanding","Unknown")</f>
        <v>Excellent</v>
      </c>
      <c r="AO593" t="str" cm="1">
        <f t="array" ref="AO593">_xlfn.SWITCH(CleanEmployeeData[[#This Row],[WorkLifeBalance]],1,"Bad",2,"Good",3,"Better",4,"Best","Unknown")</f>
        <v>Better</v>
      </c>
      <c r="AP593">
        <f>IF(CleanEmployeeData[[#This Row],[Attrition]]="Yes",1,IF(CleanEmployeeData[[#This Row],[Attrition]]="No",0,""))</f>
        <v>1</v>
      </c>
      <c r="AQ593" t="str" cm="1">
        <f t="array" ref="AQ593">_xlfn.IFS(CleanEmployeeData[[#This Row],[MonthlyIncome]]&lt;=3000,"0–3,000",CleanEmployeeData[[#This Row],[MonthlyIncome]]&lt;=6000,"3,001–6,000",CleanEmployeeData[[#This Row],[MonthlyIncome]]&lt;=10000,"6,001–10,000",TRUE,"10,001+")</f>
        <v>3,001–6,000</v>
      </c>
      <c r="AR593" t="str" cm="1">
        <f t="array" ref="AR593">_xlfn.IFS(CleanEmployeeData[[#This Row],[DistanceFromHome]]&lt;=5,"0–5 miles",CleanEmployeeData[[#This Row],[DistanceFromHome]]&lt;=10,"6–10 miles",CleanEmployeeData[[#This Row],[DistanceFromHome]]&lt;=15,"11–15 miles",TRUE,"16+ miles")</f>
        <v>16+ miles</v>
      </c>
      <c r="AS593" t="str" cm="1">
        <f t="array" ref="AS593">_xlfn.IFS(CleanEmployeeData[[#This Row],[YearsAtCompany]]&lt;=1,"0–1 years",CleanEmployeeData[[#This Row],[YearsAtCompany]]&lt;=5,"2–5 years",CleanEmployeeData[[#This Row],[YearsAtCompany]]&lt;=10,"6–10 years",TRUE,"11+ years")</f>
        <v>2–5 years</v>
      </c>
    </row>
    <row r="594" spans="1:4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cm="1">
        <f t="array" ref="AJ594">_xlfn.SWITCH(CleanEmployeeData[[#This Row],[Education]],1,"Below College",2,"College",3,"Bachelor",4,"Master",5,"Doctor","Unknown")</f>
        <v>College</v>
      </c>
      <c r="AK594" t="str" cm="1">
        <f t="array" ref="AK594">_xlfn.SWITCH(CleanEmployeeData[[#This Row],[EnvironmentSatisfaction]],1,"Low",2,"Medium",3,"High",4,"Very High","Unknown")</f>
        <v>High</v>
      </c>
      <c r="AL594" t="str" cm="1">
        <f t="array" ref="AL594">_xlfn.SWITCH(CleanEmployeeData[[#This Row],[JobInvolvement]],1,"Low",2,"Medium",3,"High",4,"Very High","Unknown")</f>
        <v>High</v>
      </c>
      <c r="AM594" t="str" cm="1">
        <f t="array" ref="AM594">_xlfn.SWITCH(CleanEmployeeData[[#This Row],[JobSatisfaction]],1,"Low",2,"Medium",3,"High",4,"Very High","Unknown")</f>
        <v>Very High</v>
      </c>
      <c r="AN594" t="str" cm="1">
        <f t="array" ref="AN594">_xlfn.SWITCH(CleanEmployeeData[[#This Row],[PerformanceRating]],1,"Low",2,"Good",3,"Excellent",4,"Outstanding","Unknown")</f>
        <v>Excellent</v>
      </c>
      <c r="AO594" t="str" cm="1">
        <f t="array" ref="AO594">_xlfn.SWITCH(CleanEmployeeData[[#This Row],[WorkLifeBalance]],1,"Bad",2,"Good",3,"Better",4,"Best","Unknown")</f>
        <v>Good</v>
      </c>
      <c r="AP594">
        <f>IF(CleanEmployeeData[[#This Row],[Attrition]]="Yes",1,IF(CleanEmployeeData[[#This Row],[Attrition]]="No",0,""))</f>
        <v>0</v>
      </c>
      <c r="AQ594" t="str" cm="1">
        <f t="array" ref="AQ594">_xlfn.IFS(CleanEmployeeData[[#This Row],[MonthlyIncome]]&lt;=3000,"0–3,000",CleanEmployeeData[[#This Row],[MonthlyIncome]]&lt;=6000,"3,001–6,000",CleanEmployeeData[[#This Row],[MonthlyIncome]]&lt;=10000,"6,001–10,000",TRUE,"10,001+")</f>
        <v>10,001+</v>
      </c>
      <c r="AR594" t="str" cm="1">
        <f t="array" ref="AR594">_xlfn.IFS(CleanEmployeeData[[#This Row],[DistanceFromHome]]&lt;=5,"0–5 miles",CleanEmployeeData[[#This Row],[DistanceFromHome]]&lt;=10,"6–10 miles",CleanEmployeeData[[#This Row],[DistanceFromHome]]&lt;=15,"11–15 miles",TRUE,"16+ miles")</f>
        <v>0–5 miles</v>
      </c>
      <c r="AS594" t="str" cm="1">
        <f t="array" ref="AS594">_xlfn.IFS(CleanEmployeeData[[#This Row],[YearsAtCompany]]&lt;=1,"0–1 years",CleanEmployeeData[[#This Row],[YearsAtCompany]]&lt;=5,"2–5 years",CleanEmployeeData[[#This Row],[YearsAtCompany]]&lt;=10,"6–10 years",TRUE,"11+ years")</f>
        <v>11+ years</v>
      </c>
    </row>
    <row r="595" spans="1:4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cm="1">
        <f t="array" ref="AJ595">_xlfn.SWITCH(CleanEmployeeData[[#This Row],[Education]],1,"Below College",2,"College",3,"Bachelor",4,"Master",5,"Doctor","Unknown")</f>
        <v>Bachelor</v>
      </c>
      <c r="AK595" t="str" cm="1">
        <f t="array" ref="AK595">_xlfn.SWITCH(CleanEmployeeData[[#This Row],[EnvironmentSatisfaction]],1,"Low",2,"Medium",3,"High",4,"Very High","Unknown")</f>
        <v>High</v>
      </c>
      <c r="AL595" t="str" cm="1">
        <f t="array" ref="AL595">_xlfn.SWITCH(CleanEmployeeData[[#This Row],[JobInvolvement]],1,"Low",2,"Medium",3,"High",4,"Very High","Unknown")</f>
        <v>High</v>
      </c>
      <c r="AM595" t="str" cm="1">
        <f t="array" ref="AM595">_xlfn.SWITCH(CleanEmployeeData[[#This Row],[JobSatisfaction]],1,"Low",2,"Medium",3,"High",4,"Very High","Unknown")</f>
        <v>Medium</v>
      </c>
      <c r="AN595" t="str" cm="1">
        <f t="array" ref="AN595">_xlfn.SWITCH(CleanEmployeeData[[#This Row],[PerformanceRating]],1,"Low",2,"Good",3,"Excellent",4,"Outstanding","Unknown")</f>
        <v>Excellent</v>
      </c>
      <c r="AO595" t="str" cm="1">
        <f t="array" ref="AO595">_xlfn.SWITCH(CleanEmployeeData[[#This Row],[WorkLifeBalance]],1,"Bad",2,"Good",3,"Better",4,"Best","Unknown")</f>
        <v>Better</v>
      </c>
      <c r="AP595">
        <f>IF(CleanEmployeeData[[#This Row],[Attrition]]="Yes",1,IF(CleanEmployeeData[[#This Row],[Attrition]]="No",0,""))</f>
        <v>0</v>
      </c>
      <c r="AQ595" t="str" cm="1">
        <f t="array" ref="AQ595">_xlfn.IFS(CleanEmployeeData[[#This Row],[MonthlyIncome]]&lt;=3000,"0–3,000",CleanEmployeeData[[#This Row],[MonthlyIncome]]&lt;=6000,"3,001–6,000",CleanEmployeeData[[#This Row],[MonthlyIncome]]&lt;=10000,"6,001–10,000",TRUE,"10,001+")</f>
        <v>3,001–6,000</v>
      </c>
      <c r="AR595" t="str" cm="1">
        <f t="array" ref="AR595">_xlfn.IFS(CleanEmployeeData[[#This Row],[DistanceFromHome]]&lt;=5,"0–5 miles",CleanEmployeeData[[#This Row],[DistanceFromHome]]&lt;=10,"6–10 miles",CleanEmployeeData[[#This Row],[DistanceFromHome]]&lt;=15,"11–15 miles",TRUE,"16+ miles")</f>
        <v>0–5 miles</v>
      </c>
      <c r="AS595" t="str" cm="1">
        <f t="array" ref="AS595">_xlfn.IFS(CleanEmployeeData[[#This Row],[YearsAtCompany]]&lt;=1,"0–1 years",CleanEmployeeData[[#This Row],[YearsAtCompany]]&lt;=5,"2–5 years",CleanEmployeeData[[#This Row],[YearsAtCompany]]&lt;=10,"6–10 years",TRUE,"11+ years")</f>
        <v>6–10 years</v>
      </c>
    </row>
    <row r="596" spans="1:4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cm="1">
        <f t="array" ref="AJ596">_xlfn.SWITCH(CleanEmployeeData[[#This Row],[Education]],1,"Below College",2,"College",3,"Bachelor",4,"Master",5,"Doctor","Unknown")</f>
        <v>College</v>
      </c>
      <c r="AK596" t="str" cm="1">
        <f t="array" ref="AK596">_xlfn.SWITCH(CleanEmployeeData[[#This Row],[EnvironmentSatisfaction]],1,"Low",2,"Medium",3,"High",4,"Very High","Unknown")</f>
        <v>High</v>
      </c>
      <c r="AL596" t="str" cm="1">
        <f t="array" ref="AL596">_xlfn.SWITCH(CleanEmployeeData[[#This Row],[JobInvolvement]],1,"Low",2,"Medium",3,"High",4,"Very High","Unknown")</f>
        <v>Very High</v>
      </c>
      <c r="AM596" t="str" cm="1">
        <f t="array" ref="AM596">_xlfn.SWITCH(CleanEmployeeData[[#This Row],[JobSatisfaction]],1,"Low",2,"Medium",3,"High",4,"Very High","Unknown")</f>
        <v>High</v>
      </c>
      <c r="AN596" t="str" cm="1">
        <f t="array" ref="AN596">_xlfn.SWITCH(CleanEmployeeData[[#This Row],[PerformanceRating]],1,"Low",2,"Good",3,"Excellent",4,"Outstanding","Unknown")</f>
        <v>Outstanding</v>
      </c>
      <c r="AO596" t="str" cm="1">
        <f t="array" ref="AO596">_xlfn.SWITCH(CleanEmployeeData[[#This Row],[WorkLifeBalance]],1,"Bad",2,"Good",3,"Better",4,"Best","Unknown")</f>
        <v>Better</v>
      </c>
      <c r="AP596">
        <f>IF(CleanEmployeeData[[#This Row],[Attrition]]="Yes",1,IF(CleanEmployeeData[[#This Row],[Attrition]]="No",0,""))</f>
        <v>0</v>
      </c>
      <c r="AQ596" t="str" cm="1">
        <f t="array" ref="AQ596">_xlfn.IFS(CleanEmployeeData[[#This Row],[MonthlyIncome]]&lt;=3000,"0–3,000",CleanEmployeeData[[#This Row],[MonthlyIncome]]&lt;=6000,"3,001–6,000",CleanEmployeeData[[#This Row],[MonthlyIncome]]&lt;=10000,"6,001–10,000",TRUE,"10,001+")</f>
        <v>0–3,000</v>
      </c>
      <c r="AR596" t="str" cm="1">
        <f t="array" ref="AR596">_xlfn.IFS(CleanEmployeeData[[#This Row],[DistanceFromHome]]&lt;=5,"0–5 miles",CleanEmployeeData[[#This Row],[DistanceFromHome]]&lt;=10,"6–10 miles",CleanEmployeeData[[#This Row],[DistanceFromHome]]&lt;=15,"11–15 miles",TRUE,"16+ miles")</f>
        <v>16+ miles</v>
      </c>
      <c r="AS596" t="str" cm="1">
        <f t="array" ref="AS596">_xlfn.IFS(CleanEmployeeData[[#This Row],[YearsAtCompany]]&lt;=1,"0–1 years",CleanEmployeeData[[#This Row],[YearsAtCompany]]&lt;=5,"2–5 years",CleanEmployeeData[[#This Row],[YearsAtCompany]]&lt;=10,"6–10 years",TRUE,"11+ years")</f>
        <v>6–10 years</v>
      </c>
    </row>
    <row r="597" spans="1:4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cm="1">
        <f t="array" ref="AJ597">_xlfn.SWITCH(CleanEmployeeData[[#This Row],[Education]],1,"Below College",2,"College",3,"Bachelor",4,"Master",5,"Doctor","Unknown")</f>
        <v>Master</v>
      </c>
      <c r="AK597" t="str" cm="1">
        <f t="array" ref="AK597">_xlfn.SWITCH(CleanEmployeeData[[#This Row],[EnvironmentSatisfaction]],1,"Low",2,"Medium",3,"High",4,"Very High","Unknown")</f>
        <v>Very High</v>
      </c>
      <c r="AL597" t="str" cm="1">
        <f t="array" ref="AL597">_xlfn.SWITCH(CleanEmployeeData[[#This Row],[JobInvolvement]],1,"Low",2,"Medium",3,"High",4,"Very High","Unknown")</f>
        <v>High</v>
      </c>
      <c r="AM597" t="str" cm="1">
        <f t="array" ref="AM597">_xlfn.SWITCH(CleanEmployeeData[[#This Row],[JobSatisfaction]],1,"Low",2,"Medium",3,"High",4,"Very High","Unknown")</f>
        <v>Medium</v>
      </c>
      <c r="AN597" t="str" cm="1">
        <f t="array" ref="AN597">_xlfn.SWITCH(CleanEmployeeData[[#This Row],[PerformanceRating]],1,"Low",2,"Good",3,"Excellent",4,"Outstanding","Unknown")</f>
        <v>Excellent</v>
      </c>
      <c r="AO597" t="str" cm="1">
        <f t="array" ref="AO597">_xlfn.SWITCH(CleanEmployeeData[[#This Row],[WorkLifeBalance]],1,"Bad",2,"Good",3,"Better",4,"Best","Unknown")</f>
        <v>Better</v>
      </c>
      <c r="AP597">
        <f>IF(CleanEmployeeData[[#This Row],[Attrition]]="Yes",1,IF(CleanEmployeeData[[#This Row],[Attrition]]="No",0,""))</f>
        <v>1</v>
      </c>
      <c r="AQ597" t="str" cm="1">
        <f t="array" ref="AQ597">_xlfn.IFS(CleanEmployeeData[[#This Row],[MonthlyIncome]]&lt;=3000,"0–3,000",CleanEmployeeData[[#This Row],[MonthlyIncome]]&lt;=6000,"3,001–6,000",CleanEmployeeData[[#This Row],[MonthlyIncome]]&lt;=10000,"6,001–10,000",TRUE,"10,001+")</f>
        <v>10,001+</v>
      </c>
      <c r="AR597" t="str" cm="1">
        <f t="array" ref="AR597">_xlfn.IFS(CleanEmployeeData[[#This Row],[DistanceFromHome]]&lt;=5,"0–5 miles",CleanEmployeeData[[#This Row],[DistanceFromHome]]&lt;=10,"6–10 miles",CleanEmployeeData[[#This Row],[DistanceFromHome]]&lt;=15,"11–15 miles",TRUE,"16+ miles")</f>
        <v>0–5 miles</v>
      </c>
      <c r="AS597" t="str" cm="1">
        <f t="array" ref="AS597">_xlfn.IFS(CleanEmployeeData[[#This Row],[YearsAtCompany]]&lt;=1,"0–1 years",CleanEmployeeData[[#This Row],[YearsAtCompany]]&lt;=5,"2–5 years",CleanEmployeeData[[#This Row],[YearsAtCompany]]&lt;=10,"6–10 years",TRUE,"11+ years")</f>
        <v>11+ years</v>
      </c>
    </row>
    <row r="598" spans="1:4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cm="1">
        <f t="array" ref="AJ598">_xlfn.SWITCH(CleanEmployeeData[[#This Row],[Education]],1,"Below College",2,"College",3,"Bachelor",4,"Master",5,"Doctor","Unknown")</f>
        <v>Master</v>
      </c>
      <c r="AK598" t="str" cm="1">
        <f t="array" ref="AK598">_xlfn.SWITCH(CleanEmployeeData[[#This Row],[EnvironmentSatisfaction]],1,"Low",2,"Medium",3,"High",4,"Very High","Unknown")</f>
        <v>Very High</v>
      </c>
      <c r="AL598" t="str" cm="1">
        <f t="array" ref="AL598">_xlfn.SWITCH(CleanEmployeeData[[#This Row],[JobInvolvement]],1,"Low",2,"Medium",3,"High",4,"Very High","Unknown")</f>
        <v>Very High</v>
      </c>
      <c r="AM598" t="str" cm="1">
        <f t="array" ref="AM598">_xlfn.SWITCH(CleanEmployeeData[[#This Row],[JobSatisfaction]],1,"Low",2,"Medium",3,"High",4,"Very High","Unknown")</f>
        <v>High</v>
      </c>
      <c r="AN598" t="str" cm="1">
        <f t="array" ref="AN598">_xlfn.SWITCH(CleanEmployeeData[[#This Row],[PerformanceRating]],1,"Low",2,"Good",3,"Excellent",4,"Outstanding","Unknown")</f>
        <v>Excellent</v>
      </c>
      <c r="AO598" t="str" cm="1">
        <f t="array" ref="AO598">_xlfn.SWITCH(CleanEmployeeData[[#This Row],[WorkLifeBalance]],1,"Bad",2,"Good",3,"Better",4,"Best","Unknown")</f>
        <v>Better</v>
      </c>
      <c r="AP598">
        <f>IF(CleanEmployeeData[[#This Row],[Attrition]]="Yes",1,IF(CleanEmployeeData[[#This Row],[Attrition]]="No",0,""))</f>
        <v>0</v>
      </c>
      <c r="AQ598" t="str" cm="1">
        <f t="array" ref="AQ598">_xlfn.IFS(CleanEmployeeData[[#This Row],[MonthlyIncome]]&lt;=3000,"0–3,000",CleanEmployeeData[[#This Row],[MonthlyIncome]]&lt;=6000,"3,001–6,000",CleanEmployeeData[[#This Row],[MonthlyIncome]]&lt;=10000,"6,001–10,000",TRUE,"10,001+")</f>
        <v>0–3,000</v>
      </c>
      <c r="AR598" t="str" cm="1">
        <f t="array" ref="AR598">_xlfn.IFS(CleanEmployeeData[[#This Row],[DistanceFromHome]]&lt;=5,"0–5 miles",CleanEmployeeData[[#This Row],[DistanceFromHome]]&lt;=10,"6–10 miles",CleanEmployeeData[[#This Row],[DistanceFromHome]]&lt;=15,"11–15 miles",TRUE,"16+ miles")</f>
        <v>0–5 miles</v>
      </c>
      <c r="AS598" t="str" cm="1">
        <f t="array" ref="AS598">_xlfn.IFS(CleanEmployeeData[[#This Row],[YearsAtCompany]]&lt;=1,"0–1 years",CleanEmployeeData[[#This Row],[YearsAtCompany]]&lt;=5,"2–5 years",CleanEmployeeData[[#This Row],[YearsAtCompany]]&lt;=10,"6–10 years",TRUE,"11+ years")</f>
        <v>2–5 years</v>
      </c>
    </row>
    <row r="599" spans="1:4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cm="1">
        <f t="array" ref="AJ599">_xlfn.SWITCH(CleanEmployeeData[[#This Row],[Education]],1,"Below College",2,"College",3,"Bachelor",4,"Master",5,"Doctor","Unknown")</f>
        <v>College</v>
      </c>
      <c r="AK599" t="str" cm="1">
        <f t="array" ref="AK599">_xlfn.SWITCH(CleanEmployeeData[[#This Row],[EnvironmentSatisfaction]],1,"Low",2,"Medium",3,"High",4,"Very High","Unknown")</f>
        <v>Very High</v>
      </c>
      <c r="AL599" t="str" cm="1">
        <f t="array" ref="AL599">_xlfn.SWITCH(CleanEmployeeData[[#This Row],[JobInvolvement]],1,"Low",2,"Medium",3,"High",4,"Very High","Unknown")</f>
        <v>Medium</v>
      </c>
      <c r="AM599" t="str" cm="1">
        <f t="array" ref="AM599">_xlfn.SWITCH(CleanEmployeeData[[#This Row],[JobSatisfaction]],1,"Low",2,"Medium",3,"High",4,"Very High","Unknown")</f>
        <v>Very High</v>
      </c>
      <c r="AN599" t="str" cm="1">
        <f t="array" ref="AN599">_xlfn.SWITCH(CleanEmployeeData[[#This Row],[PerformanceRating]],1,"Low",2,"Good",3,"Excellent",4,"Outstanding","Unknown")</f>
        <v>Excellent</v>
      </c>
      <c r="AO599" t="str" cm="1">
        <f t="array" ref="AO599">_xlfn.SWITCH(CleanEmployeeData[[#This Row],[WorkLifeBalance]],1,"Bad",2,"Good",3,"Better",4,"Best","Unknown")</f>
        <v>Better</v>
      </c>
      <c r="AP599">
        <f>IF(CleanEmployeeData[[#This Row],[Attrition]]="Yes",1,IF(CleanEmployeeData[[#This Row],[Attrition]]="No",0,""))</f>
        <v>0</v>
      </c>
      <c r="AQ599" t="str" cm="1">
        <f t="array" ref="AQ599">_xlfn.IFS(CleanEmployeeData[[#This Row],[MonthlyIncome]]&lt;=3000,"0–3,000",CleanEmployeeData[[#This Row],[MonthlyIncome]]&lt;=6000,"3,001–6,000",CleanEmployeeData[[#This Row],[MonthlyIncome]]&lt;=10000,"6,001–10,000",TRUE,"10,001+")</f>
        <v>6,001–10,000</v>
      </c>
      <c r="AR599" t="str" cm="1">
        <f t="array" ref="AR599">_xlfn.IFS(CleanEmployeeData[[#This Row],[DistanceFromHome]]&lt;=5,"0–5 miles",CleanEmployeeData[[#This Row],[DistanceFromHome]]&lt;=10,"6–10 miles",CleanEmployeeData[[#This Row],[DistanceFromHome]]&lt;=15,"11–15 miles",TRUE,"16+ miles")</f>
        <v>0–5 miles</v>
      </c>
      <c r="AS599" t="str" cm="1">
        <f t="array" ref="AS599">_xlfn.IFS(CleanEmployeeData[[#This Row],[YearsAtCompany]]&lt;=1,"0–1 years",CleanEmployeeData[[#This Row],[YearsAtCompany]]&lt;=5,"2–5 years",CleanEmployeeData[[#This Row],[YearsAtCompany]]&lt;=10,"6–10 years",TRUE,"11+ years")</f>
        <v>2–5 years</v>
      </c>
    </row>
    <row r="600" spans="1:4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cm="1">
        <f t="array" ref="AJ600">_xlfn.SWITCH(CleanEmployeeData[[#This Row],[Education]],1,"Below College",2,"College",3,"Bachelor",4,"Master",5,"Doctor","Unknown")</f>
        <v>Master</v>
      </c>
      <c r="AK600" t="str" cm="1">
        <f t="array" ref="AK600">_xlfn.SWITCH(CleanEmployeeData[[#This Row],[EnvironmentSatisfaction]],1,"Low",2,"Medium",3,"High",4,"Very High","Unknown")</f>
        <v>High</v>
      </c>
      <c r="AL600" t="str" cm="1">
        <f t="array" ref="AL600">_xlfn.SWITCH(CleanEmployeeData[[#This Row],[JobInvolvement]],1,"Low",2,"Medium",3,"High",4,"Very High","Unknown")</f>
        <v>High</v>
      </c>
      <c r="AM600" t="str" cm="1">
        <f t="array" ref="AM600">_xlfn.SWITCH(CleanEmployeeData[[#This Row],[JobSatisfaction]],1,"Low",2,"Medium",3,"High",4,"Very High","Unknown")</f>
        <v>High</v>
      </c>
      <c r="AN600" t="str" cm="1">
        <f t="array" ref="AN600">_xlfn.SWITCH(CleanEmployeeData[[#This Row],[PerformanceRating]],1,"Low",2,"Good",3,"Excellent",4,"Outstanding","Unknown")</f>
        <v>Excellent</v>
      </c>
      <c r="AO600" t="str" cm="1">
        <f t="array" ref="AO600">_xlfn.SWITCH(CleanEmployeeData[[#This Row],[WorkLifeBalance]],1,"Bad",2,"Good",3,"Better",4,"Best","Unknown")</f>
        <v>Good</v>
      </c>
      <c r="AP600">
        <f>IF(CleanEmployeeData[[#This Row],[Attrition]]="Yes",1,IF(CleanEmployeeData[[#This Row],[Attrition]]="No",0,""))</f>
        <v>1</v>
      </c>
      <c r="AQ600" t="str" cm="1">
        <f t="array" ref="AQ600">_xlfn.IFS(CleanEmployeeData[[#This Row],[MonthlyIncome]]&lt;=3000,"0–3,000",CleanEmployeeData[[#This Row],[MonthlyIncome]]&lt;=6000,"3,001–6,000",CleanEmployeeData[[#This Row],[MonthlyIncome]]&lt;=10000,"6,001–10,000",TRUE,"10,001+")</f>
        <v>3,001–6,000</v>
      </c>
      <c r="AR600" t="str" cm="1">
        <f t="array" ref="AR600">_xlfn.IFS(CleanEmployeeData[[#This Row],[DistanceFromHome]]&lt;=5,"0–5 miles",CleanEmployeeData[[#This Row],[DistanceFromHome]]&lt;=10,"6–10 miles",CleanEmployeeData[[#This Row],[DistanceFromHome]]&lt;=15,"11–15 miles",TRUE,"16+ miles")</f>
        <v>0–5 miles</v>
      </c>
      <c r="AS600" t="str" cm="1">
        <f t="array" ref="AS600">_xlfn.IFS(CleanEmployeeData[[#This Row],[YearsAtCompany]]&lt;=1,"0–1 years",CleanEmployeeData[[#This Row],[YearsAtCompany]]&lt;=5,"2–5 years",CleanEmployeeData[[#This Row],[YearsAtCompany]]&lt;=10,"6–10 years",TRUE,"11+ years")</f>
        <v>2–5 years</v>
      </c>
    </row>
    <row r="601" spans="1:4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cm="1">
        <f t="array" ref="AJ601">_xlfn.SWITCH(CleanEmployeeData[[#This Row],[Education]],1,"Below College",2,"College",3,"Bachelor",4,"Master",5,"Doctor","Unknown")</f>
        <v>Bachelor</v>
      </c>
      <c r="AK601" t="str" cm="1">
        <f t="array" ref="AK601">_xlfn.SWITCH(CleanEmployeeData[[#This Row],[EnvironmentSatisfaction]],1,"Low",2,"Medium",3,"High",4,"Very High","Unknown")</f>
        <v>High</v>
      </c>
      <c r="AL601" t="str" cm="1">
        <f t="array" ref="AL601">_xlfn.SWITCH(CleanEmployeeData[[#This Row],[JobInvolvement]],1,"Low",2,"Medium",3,"High",4,"Very High","Unknown")</f>
        <v>High</v>
      </c>
      <c r="AM601" t="str" cm="1">
        <f t="array" ref="AM601">_xlfn.SWITCH(CleanEmployeeData[[#This Row],[JobSatisfaction]],1,"Low",2,"Medium",3,"High",4,"Very High","Unknown")</f>
        <v>Medium</v>
      </c>
      <c r="AN601" t="str" cm="1">
        <f t="array" ref="AN601">_xlfn.SWITCH(CleanEmployeeData[[#This Row],[PerformanceRating]],1,"Low",2,"Good",3,"Excellent",4,"Outstanding","Unknown")</f>
        <v>Excellent</v>
      </c>
      <c r="AO601" t="str" cm="1">
        <f t="array" ref="AO601">_xlfn.SWITCH(CleanEmployeeData[[#This Row],[WorkLifeBalance]],1,"Bad",2,"Good",3,"Better",4,"Best","Unknown")</f>
        <v>Better</v>
      </c>
      <c r="AP601">
        <f>IF(CleanEmployeeData[[#This Row],[Attrition]]="Yes",1,IF(CleanEmployeeData[[#This Row],[Attrition]]="No",0,""))</f>
        <v>0</v>
      </c>
      <c r="AQ601" t="str" cm="1">
        <f t="array" ref="AQ601">_xlfn.IFS(CleanEmployeeData[[#This Row],[MonthlyIncome]]&lt;=3000,"0–3,000",CleanEmployeeData[[#This Row],[MonthlyIncome]]&lt;=6000,"3,001–6,000",CleanEmployeeData[[#This Row],[MonthlyIncome]]&lt;=10000,"6,001–10,000",TRUE,"10,001+")</f>
        <v>0–3,000</v>
      </c>
      <c r="AR601" t="str" cm="1">
        <f t="array" ref="AR601">_xlfn.IFS(CleanEmployeeData[[#This Row],[DistanceFromHome]]&lt;=5,"0–5 miles",CleanEmployeeData[[#This Row],[DistanceFromHome]]&lt;=10,"6–10 miles",CleanEmployeeData[[#This Row],[DistanceFromHome]]&lt;=15,"11–15 miles",TRUE,"16+ miles")</f>
        <v>11–15 miles</v>
      </c>
      <c r="AS601" t="str" cm="1">
        <f t="array" ref="AS601">_xlfn.IFS(CleanEmployeeData[[#This Row],[YearsAtCompany]]&lt;=1,"0–1 years",CleanEmployeeData[[#This Row],[YearsAtCompany]]&lt;=5,"2–5 years",CleanEmployeeData[[#This Row],[YearsAtCompany]]&lt;=10,"6–10 years",TRUE,"11+ years")</f>
        <v>2–5 years</v>
      </c>
    </row>
    <row r="602" spans="1:4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cm="1">
        <f t="array" ref="AJ602">_xlfn.SWITCH(CleanEmployeeData[[#This Row],[Education]],1,"Below College",2,"College",3,"Bachelor",4,"Master",5,"Doctor","Unknown")</f>
        <v>Bachelor</v>
      </c>
      <c r="AK602" t="str" cm="1">
        <f t="array" ref="AK602">_xlfn.SWITCH(CleanEmployeeData[[#This Row],[EnvironmentSatisfaction]],1,"Low",2,"Medium",3,"High",4,"Very High","Unknown")</f>
        <v>High</v>
      </c>
      <c r="AL602" t="str" cm="1">
        <f t="array" ref="AL602">_xlfn.SWITCH(CleanEmployeeData[[#This Row],[JobInvolvement]],1,"Low",2,"Medium",3,"High",4,"Very High","Unknown")</f>
        <v>Medium</v>
      </c>
      <c r="AM602" t="str" cm="1">
        <f t="array" ref="AM602">_xlfn.SWITCH(CleanEmployeeData[[#This Row],[JobSatisfaction]],1,"Low",2,"Medium",3,"High",4,"Very High","Unknown")</f>
        <v>High</v>
      </c>
      <c r="AN602" t="str" cm="1">
        <f t="array" ref="AN602">_xlfn.SWITCH(CleanEmployeeData[[#This Row],[PerformanceRating]],1,"Low",2,"Good",3,"Excellent",4,"Outstanding","Unknown")</f>
        <v>Excellent</v>
      </c>
      <c r="AO602" t="str" cm="1">
        <f t="array" ref="AO602">_xlfn.SWITCH(CleanEmployeeData[[#This Row],[WorkLifeBalance]],1,"Bad",2,"Good",3,"Better",4,"Best","Unknown")</f>
        <v>Better</v>
      </c>
      <c r="AP602">
        <f>IF(CleanEmployeeData[[#This Row],[Attrition]]="Yes",1,IF(CleanEmployeeData[[#This Row],[Attrition]]="No",0,""))</f>
        <v>0</v>
      </c>
      <c r="AQ602" t="str" cm="1">
        <f t="array" ref="AQ602">_xlfn.IFS(CleanEmployeeData[[#This Row],[MonthlyIncome]]&lt;=3000,"0–3,000",CleanEmployeeData[[#This Row],[MonthlyIncome]]&lt;=6000,"3,001–6,000",CleanEmployeeData[[#This Row],[MonthlyIncome]]&lt;=10000,"6,001–10,000",TRUE,"10,001+")</f>
        <v>6,001–10,000</v>
      </c>
      <c r="AR602" t="str" cm="1">
        <f t="array" ref="AR602">_xlfn.IFS(CleanEmployeeData[[#This Row],[DistanceFromHome]]&lt;=5,"0–5 miles",CleanEmployeeData[[#This Row],[DistanceFromHome]]&lt;=10,"6–10 miles",CleanEmployeeData[[#This Row],[DistanceFromHome]]&lt;=15,"11–15 miles",TRUE,"16+ miles")</f>
        <v>0–5 miles</v>
      </c>
      <c r="AS602" t="str" cm="1">
        <f t="array" ref="AS602">_xlfn.IFS(CleanEmployeeData[[#This Row],[YearsAtCompany]]&lt;=1,"0–1 years",CleanEmployeeData[[#This Row],[YearsAtCompany]]&lt;=5,"2–5 years",CleanEmployeeData[[#This Row],[YearsAtCompany]]&lt;=10,"6–10 years",TRUE,"11+ years")</f>
        <v>11+ years</v>
      </c>
    </row>
    <row r="603" spans="1:4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cm="1">
        <f t="array" ref="AJ603">_xlfn.SWITCH(CleanEmployeeData[[#This Row],[Education]],1,"Below College",2,"College",3,"Bachelor",4,"Master",5,"Doctor","Unknown")</f>
        <v>Master</v>
      </c>
      <c r="AK603" t="str" cm="1">
        <f t="array" ref="AK603">_xlfn.SWITCH(CleanEmployeeData[[#This Row],[EnvironmentSatisfaction]],1,"Low",2,"Medium",3,"High",4,"Very High","Unknown")</f>
        <v>Low</v>
      </c>
      <c r="AL603" t="str" cm="1">
        <f t="array" ref="AL603">_xlfn.SWITCH(CleanEmployeeData[[#This Row],[JobInvolvement]],1,"Low",2,"Medium",3,"High",4,"Very High","Unknown")</f>
        <v>Medium</v>
      </c>
      <c r="AM603" t="str" cm="1">
        <f t="array" ref="AM603">_xlfn.SWITCH(CleanEmployeeData[[#This Row],[JobSatisfaction]],1,"Low",2,"Medium",3,"High",4,"Very High","Unknown")</f>
        <v>High</v>
      </c>
      <c r="AN603" t="str" cm="1">
        <f t="array" ref="AN603">_xlfn.SWITCH(CleanEmployeeData[[#This Row],[PerformanceRating]],1,"Low",2,"Good",3,"Excellent",4,"Outstanding","Unknown")</f>
        <v>Excellent</v>
      </c>
      <c r="AO603" t="str" cm="1">
        <f t="array" ref="AO603">_xlfn.SWITCH(CleanEmployeeData[[#This Row],[WorkLifeBalance]],1,"Bad",2,"Good",3,"Better",4,"Best","Unknown")</f>
        <v>Better</v>
      </c>
      <c r="AP603">
        <f>IF(CleanEmployeeData[[#This Row],[Attrition]]="Yes",1,IF(CleanEmployeeData[[#This Row],[Attrition]]="No",0,""))</f>
        <v>0</v>
      </c>
      <c r="AQ603" t="str" cm="1">
        <f t="array" ref="AQ603">_xlfn.IFS(CleanEmployeeData[[#This Row],[MonthlyIncome]]&lt;=3000,"0–3,000",CleanEmployeeData[[#This Row],[MonthlyIncome]]&lt;=6000,"3,001–6,000",CleanEmployeeData[[#This Row],[MonthlyIncome]]&lt;=10000,"6,001–10,000",TRUE,"10,001+")</f>
        <v>3,001–6,000</v>
      </c>
      <c r="AR603" t="str" cm="1">
        <f t="array" ref="AR603">_xlfn.IFS(CleanEmployeeData[[#This Row],[DistanceFromHome]]&lt;=5,"0–5 miles",CleanEmployeeData[[#This Row],[DistanceFromHome]]&lt;=10,"6–10 miles",CleanEmployeeData[[#This Row],[DistanceFromHome]]&lt;=15,"11–15 miles",TRUE,"16+ miles")</f>
        <v>16+ miles</v>
      </c>
      <c r="AS603" t="str" cm="1">
        <f t="array" ref="AS603">_xlfn.IFS(CleanEmployeeData[[#This Row],[YearsAtCompany]]&lt;=1,"0–1 years",CleanEmployeeData[[#This Row],[YearsAtCompany]]&lt;=5,"2–5 years",CleanEmployeeData[[#This Row],[YearsAtCompany]]&lt;=10,"6–10 years",TRUE,"11+ years")</f>
        <v>0–1 years</v>
      </c>
    </row>
    <row r="604" spans="1:4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cm="1">
        <f t="array" ref="AJ604">_xlfn.SWITCH(CleanEmployeeData[[#This Row],[Education]],1,"Below College",2,"College",3,"Bachelor",4,"Master",5,"Doctor","Unknown")</f>
        <v>Bachelor</v>
      </c>
      <c r="AK604" t="str" cm="1">
        <f t="array" ref="AK604">_xlfn.SWITCH(CleanEmployeeData[[#This Row],[EnvironmentSatisfaction]],1,"Low",2,"Medium",3,"High",4,"Very High","Unknown")</f>
        <v>High</v>
      </c>
      <c r="AL604" t="str" cm="1">
        <f t="array" ref="AL604">_xlfn.SWITCH(CleanEmployeeData[[#This Row],[JobInvolvement]],1,"Low",2,"Medium",3,"High",4,"Very High","Unknown")</f>
        <v>Medium</v>
      </c>
      <c r="AM604" t="str" cm="1">
        <f t="array" ref="AM604">_xlfn.SWITCH(CleanEmployeeData[[#This Row],[JobSatisfaction]],1,"Low",2,"Medium",3,"High",4,"Very High","Unknown")</f>
        <v>Very High</v>
      </c>
      <c r="AN604" t="str" cm="1">
        <f t="array" ref="AN604">_xlfn.SWITCH(CleanEmployeeData[[#This Row],[PerformanceRating]],1,"Low",2,"Good",3,"Excellent",4,"Outstanding","Unknown")</f>
        <v>Outstanding</v>
      </c>
      <c r="AO604" t="str" cm="1">
        <f t="array" ref="AO604">_xlfn.SWITCH(CleanEmployeeData[[#This Row],[WorkLifeBalance]],1,"Bad",2,"Good",3,"Better",4,"Best","Unknown")</f>
        <v>Good</v>
      </c>
      <c r="AP604">
        <f>IF(CleanEmployeeData[[#This Row],[Attrition]]="Yes",1,IF(CleanEmployeeData[[#This Row],[Attrition]]="No",0,""))</f>
        <v>0</v>
      </c>
      <c r="AQ604" t="str" cm="1">
        <f t="array" ref="AQ604">_xlfn.IFS(CleanEmployeeData[[#This Row],[MonthlyIncome]]&lt;=3000,"0–3,000",CleanEmployeeData[[#This Row],[MonthlyIncome]]&lt;=6000,"3,001–6,000",CleanEmployeeData[[#This Row],[MonthlyIncome]]&lt;=10000,"6,001–10,000",TRUE,"10,001+")</f>
        <v>6,001–10,000</v>
      </c>
      <c r="AR604" t="str" cm="1">
        <f t="array" ref="AR604">_xlfn.IFS(CleanEmployeeData[[#This Row],[DistanceFromHome]]&lt;=5,"0–5 miles",CleanEmployeeData[[#This Row],[DistanceFromHome]]&lt;=10,"6–10 miles",CleanEmployeeData[[#This Row],[DistanceFromHome]]&lt;=15,"11–15 miles",TRUE,"16+ miles")</f>
        <v>0–5 miles</v>
      </c>
      <c r="AS604" t="str" cm="1">
        <f t="array" ref="AS604">_xlfn.IFS(CleanEmployeeData[[#This Row],[YearsAtCompany]]&lt;=1,"0–1 years",CleanEmployeeData[[#This Row],[YearsAtCompany]]&lt;=5,"2–5 years",CleanEmployeeData[[#This Row],[YearsAtCompany]]&lt;=10,"6–10 years",TRUE,"11+ years")</f>
        <v>0–1 years</v>
      </c>
    </row>
    <row r="605" spans="1:4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cm="1">
        <f t="array" ref="AJ605">_xlfn.SWITCH(CleanEmployeeData[[#This Row],[Education]],1,"Below College",2,"College",3,"Bachelor",4,"Master",5,"Doctor","Unknown")</f>
        <v>Bachelor</v>
      </c>
      <c r="AK605" t="str" cm="1">
        <f t="array" ref="AK605">_xlfn.SWITCH(CleanEmployeeData[[#This Row],[EnvironmentSatisfaction]],1,"Low",2,"Medium",3,"High",4,"Very High","Unknown")</f>
        <v>Medium</v>
      </c>
      <c r="AL605" t="str" cm="1">
        <f t="array" ref="AL605">_xlfn.SWITCH(CleanEmployeeData[[#This Row],[JobInvolvement]],1,"Low",2,"Medium",3,"High",4,"Very High","Unknown")</f>
        <v>Medium</v>
      </c>
      <c r="AM605" t="str" cm="1">
        <f t="array" ref="AM605">_xlfn.SWITCH(CleanEmployeeData[[#This Row],[JobSatisfaction]],1,"Low",2,"Medium",3,"High",4,"Very High","Unknown")</f>
        <v>High</v>
      </c>
      <c r="AN605" t="str" cm="1">
        <f t="array" ref="AN605">_xlfn.SWITCH(CleanEmployeeData[[#This Row],[PerformanceRating]],1,"Low",2,"Good",3,"Excellent",4,"Outstanding","Unknown")</f>
        <v>Excellent</v>
      </c>
      <c r="AO605" t="str" cm="1">
        <f t="array" ref="AO605">_xlfn.SWITCH(CleanEmployeeData[[#This Row],[WorkLifeBalance]],1,"Bad",2,"Good",3,"Better",4,"Best","Unknown")</f>
        <v>Better</v>
      </c>
      <c r="AP605">
        <f>IF(CleanEmployeeData[[#This Row],[Attrition]]="Yes",1,IF(CleanEmployeeData[[#This Row],[Attrition]]="No",0,""))</f>
        <v>0</v>
      </c>
      <c r="AQ605" t="str" cm="1">
        <f t="array" ref="AQ605">_xlfn.IFS(CleanEmployeeData[[#This Row],[MonthlyIncome]]&lt;=3000,"0–3,000",CleanEmployeeData[[#This Row],[MonthlyIncome]]&lt;=6000,"3,001–6,000",CleanEmployeeData[[#This Row],[MonthlyIncome]]&lt;=10000,"6,001–10,000",TRUE,"10,001+")</f>
        <v>0–3,000</v>
      </c>
      <c r="AR605" t="str" cm="1">
        <f t="array" ref="AR605">_xlfn.IFS(CleanEmployeeData[[#This Row],[DistanceFromHome]]&lt;=5,"0–5 miles",CleanEmployeeData[[#This Row],[DistanceFromHome]]&lt;=10,"6–10 miles",CleanEmployeeData[[#This Row],[DistanceFromHome]]&lt;=15,"11–15 miles",TRUE,"16+ miles")</f>
        <v>0–5 miles</v>
      </c>
      <c r="AS605" t="str" cm="1">
        <f t="array" ref="AS605">_xlfn.IFS(CleanEmployeeData[[#This Row],[YearsAtCompany]]&lt;=1,"0–1 years",CleanEmployeeData[[#This Row],[YearsAtCompany]]&lt;=5,"2–5 years",CleanEmployeeData[[#This Row],[YearsAtCompany]]&lt;=10,"6–10 years",TRUE,"11+ years")</f>
        <v>0–1 years</v>
      </c>
    </row>
    <row r="606" spans="1:4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cm="1">
        <f t="array" ref="AJ606">_xlfn.SWITCH(CleanEmployeeData[[#This Row],[Education]],1,"Below College",2,"College",3,"Bachelor",4,"Master",5,"Doctor","Unknown")</f>
        <v>Bachelor</v>
      </c>
      <c r="AK606" t="str" cm="1">
        <f t="array" ref="AK606">_xlfn.SWITCH(CleanEmployeeData[[#This Row],[EnvironmentSatisfaction]],1,"Low",2,"Medium",3,"High",4,"Very High","Unknown")</f>
        <v>Medium</v>
      </c>
      <c r="AL606" t="str" cm="1">
        <f t="array" ref="AL606">_xlfn.SWITCH(CleanEmployeeData[[#This Row],[JobInvolvement]],1,"Low",2,"Medium",3,"High",4,"Very High","Unknown")</f>
        <v>High</v>
      </c>
      <c r="AM606" t="str" cm="1">
        <f t="array" ref="AM606">_xlfn.SWITCH(CleanEmployeeData[[#This Row],[JobSatisfaction]],1,"Low",2,"Medium",3,"High",4,"Very High","Unknown")</f>
        <v>Medium</v>
      </c>
      <c r="AN606" t="str" cm="1">
        <f t="array" ref="AN606">_xlfn.SWITCH(CleanEmployeeData[[#This Row],[PerformanceRating]],1,"Low",2,"Good",3,"Excellent",4,"Outstanding","Unknown")</f>
        <v>Excellent</v>
      </c>
      <c r="AO606" t="str" cm="1">
        <f t="array" ref="AO606">_xlfn.SWITCH(CleanEmployeeData[[#This Row],[WorkLifeBalance]],1,"Bad",2,"Good",3,"Better",4,"Best","Unknown")</f>
        <v>Good</v>
      </c>
      <c r="AP606">
        <f>IF(CleanEmployeeData[[#This Row],[Attrition]]="Yes",1,IF(CleanEmployeeData[[#This Row],[Attrition]]="No",0,""))</f>
        <v>0</v>
      </c>
      <c r="AQ606" t="str" cm="1">
        <f t="array" ref="AQ606">_xlfn.IFS(CleanEmployeeData[[#This Row],[MonthlyIncome]]&lt;=3000,"0–3,000",CleanEmployeeData[[#This Row],[MonthlyIncome]]&lt;=6000,"3,001–6,000",CleanEmployeeData[[#This Row],[MonthlyIncome]]&lt;=10000,"6,001–10,000",TRUE,"10,001+")</f>
        <v>3,001–6,000</v>
      </c>
      <c r="AR606" t="str" cm="1">
        <f t="array" ref="AR606">_xlfn.IFS(CleanEmployeeData[[#This Row],[DistanceFromHome]]&lt;=5,"0–5 miles",CleanEmployeeData[[#This Row],[DistanceFromHome]]&lt;=10,"6–10 miles",CleanEmployeeData[[#This Row],[DistanceFromHome]]&lt;=15,"11–15 miles",TRUE,"16+ miles")</f>
        <v>16+ miles</v>
      </c>
      <c r="AS606" t="str" cm="1">
        <f t="array" ref="AS606">_xlfn.IFS(CleanEmployeeData[[#This Row],[YearsAtCompany]]&lt;=1,"0–1 years",CleanEmployeeData[[#This Row],[YearsAtCompany]]&lt;=5,"2–5 years",CleanEmployeeData[[#This Row],[YearsAtCompany]]&lt;=10,"6–10 years",TRUE,"11+ years")</f>
        <v>6–10 years</v>
      </c>
    </row>
    <row r="607" spans="1:4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cm="1">
        <f t="array" ref="AJ607">_xlfn.SWITCH(CleanEmployeeData[[#This Row],[Education]],1,"Below College",2,"College",3,"Bachelor",4,"Master",5,"Doctor","Unknown")</f>
        <v>Bachelor</v>
      </c>
      <c r="AK607" t="str" cm="1">
        <f t="array" ref="AK607">_xlfn.SWITCH(CleanEmployeeData[[#This Row],[EnvironmentSatisfaction]],1,"Low",2,"Medium",3,"High",4,"Very High","Unknown")</f>
        <v>Low</v>
      </c>
      <c r="AL607" t="str" cm="1">
        <f t="array" ref="AL607">_xlfn.SWITCH(CleanEmployeeData[[#This Row],[JobInvolvement]],1,"Low",2,"Medium",3,"High",4,"Very High","Unknown")</f>
        <v>Medium</v>
      </c>
      <c r="AM607" t="str" cm="1">
        <f t="array" ref="AM607">_xlfn.SWITCH(CleanEmployeeData[[#This Row],[JobSatisfaction]],1,"Low",2,"Medium",3,"High",4,"Very High","Unknown")</f>
        <v>Low</v>
      </c>
      <c r="AN607" t="str" cm="1">
        <f t="array" ref="AN607">_xlfn.SWITCH(CleanEmployeeData[[#This Row],[PerformanceRating]],1,"Low",2,"Good",3,"Excellent",4,"Outstanding","Unknown")</f>
        <v>Excellent</v>
      </c>
      <c r="AO607" t="str" cm="1">
        <f t="array" ref="AO607">_xlfn.SWITCH(CleanEmployeeData[[#This Row],[WorkLifeBalance]],1,"Bad",2,"Good",3,"Better",4,"Best","Unknown")</f>
        <v>Good</v>
      </c>
      <c r="AP607">
        <f>IF(CleanEmployeeData[[#This Row],[Attrition]]="Yes",1,IF(CleanEmployeeData[[#This Row],[Attrition]]="No",0,""))</f>
        <v>0</v>
      </c>
      <c r="AQ607" t="str" cm="1">
        <f t="array" ref="AQ607">_xlfn.IFS(CleanEmployeeData[[#This Row],[MonthlyIncome]]&lt;=3000,"0–3,000",CleanEmployeeData[[#This Row],[MonthlyIncome]]&lt;=6000,"3,001–6,000",CleanEmployeeData[[#This Row],[MonthlyIncome]]&lt;=10000,"6,001–10,000",TRUE,"10,001+")</f>
        <v>6,001–10,000</v>
      </c>
      <c r="AR607" t="str" cm="1">
        <f t="array" ref="AR607">_xlfn.IFS(CleanEmployeeData[[#This Row],[DistanceFromHome]]&lt;=5,"0–5 miles",CleanEmployeeData[[#This Row],[DistanceFromHome]]&lt;=10,"6–10 miles",CleanEmployeeData[[#This Row],[DistanceFromHome]]&lt;=15,"11–15 miles",TRUE,"16+ miles")</f>
        <v>11–15 miles</v>
      </c>
      <c r="AS607" t="str" cm="1">
        <f t="array" ref="AS607">_xlfn.IFS(CleanEmployeeData[[#This Row],[YearsAtCompany]]&lt;=1,"0–1 years",CleanEmployeeData[[#This Row],[YearsAtCompany]]&lt;=5,"2–5 years",CleanEmployeeData[[#This Row],[YearsAtCompany]]&lt;=10,"6–10 years",TRUE,"11+ years")</f>
        <v>2–5 years</v>
      </c>
    </row>
    <row r="608" spans="1:4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cm="1">
        <f t="array" ref="AJ608">_xlfn.SWITCH(CleanEmployeeData[[#This Row],[Education]],1,"Below College",2,"College",3,"Bachelor",4,"Master",5,"Doctor","Unknown")</f>
        <v>Master</v>
      </c>
      <c r="AK608" t="str" cm="1">
        <f t="array" ref="AK608">_xlfn.SWITCH(CleanEmployeeData[[#This Row],[EnvironmentSatisfaction]],1,"Low",2,"Medium",3,"High",4,"Very High","Unknown")</f>
        <v>High</v>
      </c>
      <c r="AL608" t="str" cm="1">
        <f t="array" ref="AL608">_xlfn.SWITCH(CleanEmployeeData[[#This Row],[JobInvolvement]],1,"Low",2,"Medium",3,"High",4,"Very High","Unknown")</f>
        <v>Medium</v>
      </c>
      <c r="AM608" t="str" cm="1">
        <f t="array" ref="AM608">_xlfn.SWITCH(CleanEmployeeData[[#This Row],[JobSatisfaction]],1,"Low",2,"Medium",3,"High",4,"Very High","Unknown")</f>
        <v>Very High</v>
      </c>
      <c r="AN608" t="str" cm="1">
        <f t="array" ref="AN608">_xlfn.SWITCH(CleanEmployeeData[[#This Row],[PerformanceRating]],1,"Low",2,"Good",3,"Excellent",4,"Outstanding","Unknown")</f>
        <v>Excellent</v>
      </c>
      <c r="AO608" t="str" cm="1">
        <f t="array" ref="AO608">_xlfn.SWITCH(CleanEmployeeData[[#This Row],[WorkLifeBalance]],1,"Bad",2,"Good",3,"Better",4,"Best","Unknown")</f>
        <v>Better</v>
      </c>
      <c r="AP608">
        <f>IF(CleanEmployeeData[[#This Row],[Attrition]]="Yes",1,IF(CleanEmployeeData[[#This Row],[Attrition]]="No",0,""))</f>
        <v>0</v>
      </c>
      <c r="AQ608" t="str" cm="1">
        <f t="array" ref="AQ608">_xlfn.IFS(CleanEmployeeData[[#This Row],[MonthlyIncome]]&lt;=3000,"0–3,000",CleanEmployeeData[[#This Row],[MonthlyIncome]]&lt;=6000,"3,001–6,000",CleanEmployeeData[[#This Row],[MonthlyIncome]]&lt;=10000,"6,001–10,000",TRUE,"10,001+")</f>
        <v>0–3,000</v>
      </c>
      <c r="AR608" t="str" cm="1">
        <f t="array" ref="AR608">_xlfn.IFS(CleanEmployeeData[[#This Row],[DistanceFromHome]]&lt;=5,"0–5 miles",CleanEmployeeData[[#This Row],[DistanceFromHome]]&lt;=10,"6–10 miles",CleanEmployeeData[[#This Row],[DistanceFromHome]]&lt;=15,"11–15 miles",TRUE,"16+ miles")</f>
        <v>16+ miles</v>
      </c>
      <c r="AS608" t="str" cm="1">
        <f t="array" ref="AS608">_xlfn.IFS(CleanEmployeeData[[#This Row],[YearsAtCompany]]&lt;=1,"0–1 years",CleanEmployeeData[[#This Row],[YearsAtCompany]]&lt;=5,"2–5 years",CleanEmployeeData[[#This Row],[YearsAtCompany]]&lt;=10,"6–10 years",TRUE,"11+ years")</f>
        <v>2–5 years</v>
      </c>
    </row>
    <row r="609" spans="1:4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cm="1">
        <f t="array" ref="AJ609">_xlfn.SWITCH(CleanEmployeeData[[#This Row],[Education]],1,"Below College",2,"College",3,"Bachelor",4,"Master",5,"Doctor","Unknown")</f>
        <v>Bachelor</v>
      </c>
      <c r="AK609" t="str" cm="1">
        <f t="array" ref="AK609">_xlfn.SWITCH(CleanEmployeeData[[#This Row],[EnvironmentSatisfaction]],1,"Low",2,"Medium",3,"High",4,"Very High","Unknown")</f>
        <v>High</v>
      </c>
      <c r="AL609" t="str" cm="1">
        <f t="array" ref="AL609">_xlfn.SWITCH(CleanEmployeeData[[#This Row],[JobInvolvement]],1,"Low",2,"Medium",3,"High",4,"Very High","Unknown")</f>
        <v>High</v>
      </c>
      <c r="AM609" t="str" cm="1">
        <f t="array" ref="AM609">_xlfn.SWITCH(CleanEmployeeData[[#This Row],[JobSatisfaction]],1,"Low",2,"Medium",3,"High",4,"Very High","Unknown")</f>
        <v>Very High</v>
      </c>
      <c r="AN609" t="str" cm="1">
        <f t="array" ref="AN609">_xlfn.SWITCH(CleanEmployeeData[[#This Row],[PerformanceRating]],1,"Low",2,"Good",3,"Excellent",4,"Outstanding","Unknown")</f>
        <v>Excellent</v>
      </c>
      <c r="AO609" t="str" cm="1">
        <f t="array" ref="AO609">_xlfn.SWITCH(CleanEmployeeData[[#This Row],[WorkLifeBalance]],1,"Bad",2,"Good",3,"Better",4,"Best","Unknown")</f>
        <v>Best</v>
      </c>
      <c r="AP609">
        <f>IF(CleanEmployeeData[[#This Row],[Attrition]]="Yes",1,IF(CleanEmployeeData[[#This Row],[Attrition]]="No",0,""))</f>
        <v>1</v>
      </c>
      <c r="AQ609" t="str" cm="1">
        <f t="array" ref="AQ609">_xlfn.IFS(CleanEmployeeData[[#This Row],[MonthlyIncome]]&lt;=3000,"0–3,000",CleanEmployeeData[[#This Row],[MonthlyIncome]]&lt;=6000,"3,001–6,000",CleanEmployeeData[[#This Row],[MonthlyIncome]]&lt;=10000,"6,001–10,000",TRUE,"10,001+")</f>
        <v>6,001–10,000</v>
      </c>
      <c r="AR609" t="str" cm="1">
        <f t="array" ref="AR609">_xlfn.IFS(CleanEmployeeData[[#This Row],[DistanceFromHome]]&lt;=5,"0–5 miles",CleanEmployeeData[[#This Row],[DistanceFromHome]]&lt;=10,"6–10 miles",CleanEmployeeData[[#This Row],[DistanceFromHome]]&lt;=15,"11–15 miles",TRUE,"16+ miles")</f>
        <v>11–15 miles</v>
      </c>
      <c r="AS609" t="str" cm="1">
        <f t="array" ref="AS609">_xlfn.IFS(CleanEmployeeData[[#This Row],[YearsAtCompany]]&lt;=1,"0–1 years",CleanEmployeeData[[#This Row],[YearsAtCompany]]&lt;=5,"2–5 years",CleanEmployeeData[[#This Row],[YearsAtCompany]]&lt;=10,"6–10 years",TRUE,"11+ years")</f>
        <v>6–10 years</v>
      </c>
    </row>
    <row r="610" spans="1:4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cm="1">
        <f t="array" ref="AJ610">_xlfn.SWITCH(CleanEmployeeData[[#This Row],[Education]],1,"Below College",2,"College",3,"Bachelor",4,"Master",5,"Doctor","Unknown")</f>
        <v>Below College</v>
      </c>
      <c r="AK610" t="str" cm="1">
        <f t="array" ref="AK610">_xlfn.SWITCH(CleanEmployeeData[[#This Row],[EnvironmentSatisfaction]],1,"Low",2,"Medium",3,"High",4,"Very High","Unknown")</f>
        <v>High</v>
      </c>
      <c r="AL610" t="str" cm="1">
        <f t="array" ref="AL610">_xlfn.SWITCH(CleanEmployeeData[[#This Row],[JobInvolvement]],1,"Low",2,"Medium",3,"High",4,"Very High","Unknown")</f>
        <v>High</v>
      </c>
      <c r="AM610" t="str" cm="1">
        <f t="array" ref="AM610">_xlfn.SWITCH(CleanEmployeeData[[#This Row],[JobSatisfaction]],1,"Low",2,"Medium",3,"High",4,"Very High","Unknown")</f>
        <v>Very High</v>
      </c>
      <c r="AN610" t="str" cm="1">
        <f t="array" ref="AN610">_xlfn.SWITCH(CleanEmployeeData[[#This Row],[PerformanceRating]],1,"Low",2,"Good",3,"Excellent",4,"Outstanding","Unknown")</f>
        <v>Excellent</v>
      </c>
      <c r="AO610" t="str" cm="1">
        <f t="array" ref="AO610">_xlfn.SWITCH(CleanEmployeeData[[#This Row],[WorkLifeBalance]],1,"Bad",2,"Good",3,"Better",4,"Best","Unknown")</f>
        <v>Good</v>
      </c>
      <c r="AP610">
        <f>IF(CleanEmployeeData[[#This Row],[Attrition]]="Yes",1,IF(CleanEmployeeData[[#This Row],[Attrition]]="No",0,""))</f>
        <v>1</v>
      </c>
      <c r="AQ610" t="str" cm="1">
        <f t="array" ref="AQ610">_xlfn.IFS(CleanEmployeeData[[#This Row],[MonthlyIncome]]&lt;=3000,"0–3,000",CleanEmployeeData[[#This Row],[MonthlyIncome]]&lt;=6000,"3,001–6,000",CleanEmployeeData[[#This Row],[MonthlyIncome]]&lt;=10000,"6,001–10,000",TRUE,"10,001+")</f>
        <v>3,001–6,000</v>
      </c>
      <c r="AR610" t="str" cm="1">
        <f t="array" ref="AR610">_xlfn.IFS(CleanEmployeeData[[#This Row],[DistanceFromHome]]&lt;=5,"0–5 miles",CleanEmployeeData[[#This Row],[DistanceFromHome]]&lt;=10,"6–10 miles",CleanEmployeeData[[#This Row],[DistanceFromHome]]&lt;=15,"11–15 miles",TRUE,"16+ miles")</f>
        <v>0–5 miles</v>
      </c>
      <c r="AS610" t="str" cm="1">
        <f t="array" ref="AS610">_xlfn.IFS(CleanEmployeeData[[#This Row],[YearsAtCompany]]&lt;=1,"0–1 years",CleanEmployeeData[[#This Row],[YearsAtCompany]]&lt;=5,"2–5 years",CleanEmployeeData[[#This Row],[YearsAtCompany]]&lt;=10,"6–10 years",TRUE,"11+ years")</f>
        <v>6–10 years</v>
      </c>
    </row>
    <row r="611" spans="1:4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cm="1">
        <f t="array" ref="AJ611">_xlfn.SWITCH(CleanEmployeeData[[#This Row],[Education]],1,"Below College",2,"College",3,"Bachelor",4,"Master",5,"Doctor","Unknown")</f>
        <v>College</v>
      </c>
      <c r="AK611" t="str" cm="1">
        <f t="array" ref="AK611">_xlfn.SWITCH(CleanEmployeeData[[#This Row],[EnvironmentSatisfaction]],1,"Low",2,"Medium",3,"High",4,"Very High","Unknown")</f>
        <v>Medium</v>
      </c>
      <c r="AL611" t="str" cm="1">
        <f t="array" ref="AL611">_xlfn.SWITCH(CleanEmployeeData[[#This Row],[JobInvolvement]],1,"Low",2,"Medium",3,"High",4,"Very High","Unknown")</f>
        <v>High</v>
      </c>
      <c r="AM611" t="str" cm="1">
        <f t="array" ref="AM611">_xlfn.SWITCH(CleanEmployeeData[[#This Row],[JobSatisfaction]],1,"Low",2,"Medium",3,"High",4,"Very High","Unknown")</f>
        <v>Low</v>
      </c>
      <c r="AN611" t="str" cm="1">
        <f t="array" ref="AN611">_xlfn.SWITCH(CleanEmployeeData[[#This Row],[PerformanceRating]],1,"Low",2,"Good",3,"Excellent",4,"Outstanding","Unknown")</f>
        <v>Outstanding</v>
      </c>
      <c r="AO611" t="str" cm="1">
        <f t="array" ref="AO611">_xlfn.SWITCH(CleanEmployeeData[[#This Row],[WorkLifeBalance]],1,"Bad",2,"Good",3,"Better",4,"Best","Unknown")</f>
        <v>Better</v>
      </c>
      <c r="AP611">
        <f>IF(CleanEmployeeData[[#This Row],[Attrition]]="Yes",1,IF(CleanEmployeeData[[#This Row],[Attrition]]="No",0,""))</f>
        <v>0</v>
      </c>
      <c r="AQ611" t="str" cm="1">
        <f t="array" ref="AQ611">_xlfn.IFS(CleanEmployeeData[[#This Row],[MonthlyIncome]]&lt;=3000,"0–3,000",CleanEmployeeData[[#This Row],[MonthlyIncome]]&lt;=6000,"3,001–6,000",CleanEmployeeData[[#This Row],[MonthlyIncome]]&lt;=10000,"6,001–10,000",TRUE,"10,001+")</f>
        <v>10,001+</v>
      </c>
      <c r="AR611" t="str" cm="1">
        <f t="array" ref="AR611">_xlfn.IFS(CleanEmployeeData[[#This Row],[DistanceFromHome]]&lt;=5,"0–5 miles",CleanEmployeeData[[#This Row],[DistanceFromHome]]&lt;=10,"6–10 miles",CleanEmployeeData[[#This Row],[DistanceFromHome]]&lt;=15,"11–15 miles",TRUE,"16+ miles")</f>
        <v>11–15 miles</v>
      </c>
      <c r="AS611" t="str" cm="1">
        <f t="array" ref="AS611">_xlfn.IFS(CleanEmployeeData[[#This Row],[YearsAtCompany]]&lt;=1,"0–1 years",CleanEmployeeData[[#This Row],[YearsAtCompany]]&lt;=5,"2–5 years",CleanEmployeeData[[#This Row],[YearsAtCompany]]&lt;=10,"6–10 years",TRUE,"11+ years")</f>
        <v>2–5 years</v>
      </c>
    </row>
    <row r="612" spans="1:4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cm="1">
        <f t="array" ref="AJ612">_xlfn.SWITCH(CleanEmployeeData[[#This Row],[Education]],1,"Below College",2,"College",3,"Bachelor",4,"Master",5,"Doctor","Unknown")</f>
        <v>Below College</v>
      </c>
      <c r="AK612" t="str" cm="1">
        <f t="array" ref="AK612">_xlfn.SWITCH(CleanEmployeeData[[#This Row],[EnvironmentSatisfaction]],1,"Low",2,"Medium",3,"High",4,"Very High","Unknown")</f>
        <v>High</v>
      </c>
      <c r="AL612" t="str" cm="1">
        <f t="array" ref="AL612">_xlfn.SWITCH(CleanEmployeeData[[#This Row],[JobInvolvement]],1,"Low",2,"Medium",3,"High",4,"Very High","Unknown")</f>
        <v>Medium</v>
      </c>
      <c r="AM612" t="str" cm="1">
        <f t="array" ref="AM612">_xlfn.SWITCH(CleanEmployeeData[[#This Row],[JobSatisfaction]],1,"Low",2,"Medium",3,"High",4,"Very High","Unknown")</f>
        <v>Very High</v>
      </c>
      <c r="AN612" t="str" cm="1">
        <f t="array" ref="AN612">_xlfn.SWITCH(CleanEmployeeData[[#This Row],[PerformanceRating]],1,"Low",2,"Good",3,"Excellent",4,"Outstanding","Unknown")</f>
        <v>Excellent</v>
      </c>
      <c r="AO612" t="str" cm="1">
        <f t="array" ref="AO612">_xlfn.SWITCH(CleanEmployeeData[[#This Row],[WorkLifeBalance]],1,"Bad",2,"Good",3,"Better",4,"Best","Unknown")</f>
        <v>Better</v>
      </c>
      <c r="AP612">
        <f>IF(CleanEmployeeData[[#This Row],[Attrition]]="Yes",1,IF(CleanEmployeeData[[#This Row],[Attrition]]="No",0,""))</f>
        <v>0</v>
      </c>
      <c r="AQ612" t="str" cm="1">
        <f t="array" ref="AQ612">_xlfn.IFS(CleanEmployeeData[[#This Row],[MonthlyIncome]]&lt;=3000,"0–3,000",CleanEmployeeData[[#This Row],[MonthlyIncome]]&lt;=6000,"3,001–6,000",CleanEmployeeData[[#This Row],[MonthlyIncome]]&lt;=10000,"6,001–10,000",TRUE,"10,001+")</f>
        <v>10,001+</v>
      </c>
      <c r="AR612" t="str" cm="1">
        <f t="array" ref="AR612">_xlfn.IFS(CleanEmployeeData[[#This Row],[DistanceFromHome]]&lt;=5,"0–5 miles",CleanEmployeeData[[#This Row],[DistanceFromHome]]&lt;=10,"6–10 miles",CleanEmployeeData[[#This Row],[DistanceFromHome]]&lt;=15,"11–15 miles",TRUE,"16+ miles")</f>
        <v>0–5 miles</v>
      </c>
      <c r="AS612" t="str" cm="1">
        <f t="array" ref="AS612">_xlfn.IFS(CleanEmployeeData[[#This Row],[YearsAtCompany]]&lt;=1,"0–1 years",CleanEmployeeData[[#This Row],[YearsAtCompany]]&lt;=5,"2–5 years",CleanEmployeeData[[#This Row],[YearsAtCompany]]&lt;=10,"6–10 years",TRUE,"11+ years")</f>
        <v>6–10 years</v>
      </c>
    </row>
    <row r="613" spans="1:4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cm="1">
        <f t="array" ref="AJ613">_xlfn.SWITCH(CleanEmployeeData[[#This Row],[Education]],1,"Below College",2,"College",3,"Bachelor",4,"Master",5,"Doctor","Unknown")</f>
        <v>Bachelor</v>
      </c>
      <c r="AK613" t="str" cm="1">
        <f t="array" ref="AK613">_xlfn.SWITCH(CleanEmployeeData[[#This Row],[EnvironmentSatisfaction]],1,"Low",2,"Medium",3,"High",4,"Very High","Unknown")</f>
        <v>High</v>
      </c>
      <c r="AL613" t="str" cm="1">
        <f t="array" ref="AL613">_xlfn.SWITCH(CleanEmployeeData[[#This Row],[JobInvolvement]],1,"Low",2,"Medium",3,"High",4,"Very High","Unknown")</f>
        <v>High</v>
      </c>
      <c r="AM613" t="str" cm="1">
        <f t="array" ref="AM613">_xlfn.SWITCH(CleanEmployeeData[[#This Row],[JobSatisfaction]],1,"Low",2,"Medium",3,"High",4,"Very High","Unknown")</f>
        <v>High</v>
      </c>
      <c r="AN613" t="str" cm="1">
        <f t="array" ref="AN613">_xlfn.SWITCH(CleanEmployeeData[[#This Row],[PerformanceRating]],1,"Low",2,"Good",3,"Excellent",4,"Outstanding","Unknown")</f>
        <v>Outstanding</v>
      </c>
      <c r="AO613" t="str" cm="1">
        <f t="array" ref="AO613">_xlfn.SWITCH(CleanEmployeeData[[#This Row],[WorkLifeBalance]],1,"Bad",2,"Good",3,"Better",4,"Best","Unknown")</f>
        <v>Best</v>
      </c>
      <c r="AP613">
        <f>IF(CleanEmployeeData[[#This Row],[Attrition]]="Yes",1,IF(CleanEmployeeData[[#This Row],[Attrition]]="No",0,""))</f>
        <v>0</v>
      </c>
      <c r="AQ613" t="str" cm="1">
        <f t="array" ref="AQ613">_xlfn.IFS(CleanEmployeeData[[#This Row],[MonthlyIncome]]&lt;=3000,"0–3,000",CleanEmployeeData[[#This Row],[MonthlyIncome]]&lt;=6000,"3,001–6,000",CleanEmployeeData[[#This Row],[MonthlyIncome]]&lt;=10000,"6,001–10,000",TRUE,"10,001+")</f>
        <v>10,001+</v>
      </c>
      <c r="AR613" t="str" cm="1">
        <f t="array" ref="AR613">_xlfn.IFS(CleanEmployeeData[[#This Row],[DistanceFromHome]]&lt;=5,"0–5 miles",CleanEmployeeData[[#This Row],[DistanceFromHome]]&lt;=10,"6–10 miles",CleanEmployeeData[[#This Row],[DistanceFromHome]]&lt;=15,"11–15 miles",TRUE,"16+ miles")</f>
        <v>6–10 miles</v>
      </c>
      <c r="AS613" t="str" cm="1">
        <f t="array" ref="AS613">_xlfn.IFS(CleanEmployeeData[[#This Row],[YearsAtCompany]]&lt;=1,"0–1 years",CleanEmployeeData[[#This Row],[YearsAtCompany]]&lt;=5,"2–5 years",CleanEmployeeData[[#This Row],[YearsAtCompany]]&lt;=10,"6–10 years",TRUE,"11+ years")</f>
        <v>6–10 years</v>
      </c>
    </row>
    <row r="614" spans="1:4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cm="1">
        <f t="array" ref="AJ614">_xlfn.SWITCH(CleanEmployeeData[[#This Row],[Education]],1,"Below College",2,"College",3,"Bachelor",4,"Master",5,"Doctor","Unknown")</f>
        <v>Master</v>
      </c>
      <c r="AK614" t="str" cm="1">
        <f t="array" ref="AK614">_xlfn.SWITCH(CleanEmployeeData[[#This Row],[EnvironmentSatisfaction]],1,"Low",2,"Medium",3,"High",4,"Very High","Unknown")</f>
        <v>Medium</v>
      </c>
      <c r="AL614" t="str" cm="1">
        <f t="array" ref="AL614">_xlfn.SWITCH(CleanEmployeeData[[#This Row],[JobInvolvement]],1,"Low",2,"Medium",3,"High",4,"Very High","Unknown")</f>
        <v>High</v>
      </c>
      <c r="AM614" t="str" cm="1">
        <f t="array" ref="AM614">_xlfn.SWITCH(CleanEmployeeData[[#This Row],[JobSatisfaction]],1,"Low",2,"Medium",3,"High",4,"Very High","Unknown")</f>
        <v>Medium</v>
      </c>
      <c r="AN614" t="str" cm="1">
        <f t="array" ref="AN614">_xlfn.SWITCH(CleanEmployeeData[[#This Row],[PerformanceRating]],1,"Low",2,"Good",3,"Excellent",4,"Outstanding","Unknown")</f>
        <v>Outstanding</v>
      </c>
      <c r="AO614" t="str" cm="1">
        <f t="array" ref="AO614">_xlfn.SWITCH(CleanEmployeeData[[#This Row],[WorkLifeBalance]],1,"Bad",2,"Good",3,"Better",4,"Best","Unknown")</f>
        <v>Better</v>
      </c>
      <c r="AP614">
        <f>IF(CleanEmployeeData[[#This Row],[Attrition]]="Yes",1,IF(CleanEmployeeData[[#This Row],[Attrition]]="No",0,""))</f>
        <v>0</v>
      </c>
      <c r="AQ614" t="str" cm="1">
        <f t="array" ref="AQ614">_xlfn.IFS(CleanEmployeeData[[#This Row],[MonthlyIncome]]&lt;=3000,"0–3,000",CleanEmployeeData[[#This Row],[MonthlyIncome]]&lt;=6000,"3,001–6,000",CleanEmployeeData[[#This Row],[MonthlyIncome]]&lt;=10000,"6,001–10,000",TRUE,"10,001+")</f>
        <v>3,001–6,000</v>
      </c>
      <c r="AR614" t="str" cm="1">
        <f t="array" ref="AR614">_xlfn.IFS(CleanEmployeeData[[#This Row],[DistanceFromHome]]&lt;=5,"0–5 miles",CleanEmployeeData[[#This Row],[DistanceFromHome]]&lt;=10,"6–10 miles",CleanEmployeeData[[#This Row],[DistanceFromHome]]&lt;=15,"11–15 miles",TRUE,"16+ miles")</f>
        <v>0–5 miles</v>
      </c>
      <c r="AS614" t="str" cm="1">
        <f t="array" ref="AS614">_xlfn.IFS(CleanEmployeeData[[#This Row],[YearsAtCompany]]&lt;=1,"0–1 years",CleanEmployeeData[[#This Row],[YearsAtCompany]]&lt;=5,"2–5 years",CleanEmployeeData[[#This Row],[YearsAtCompany]]&lt;=10,"6–10 years",TRUE,"11+ years")</f>
        <v>6–10 years</v>
      </c>
    </row>
    <row r="615" spans="1:4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cm="1">
        <f t="array" ref="AJ615">_xlfn.SWITCH(CleanEmployeeData[[#This Row],[Education]],1,"Below College",2,"College",3,"Bachelor",4,"Master",5,"Doctor","Unknown")</f>
        <v>College</v>
      </c>
      <c r="AK615" t="str" cm="1">
        <f t="array" ref="AK615">_xlfn.SWITCH(CleanEmployeeData[[#This Row],[EnvironmentSatisfaction]],1,"Low",2,"Medium",3,"High",4,"Very High","Unknown")</f>
        <v>High</v>
      </c>
      <c r="AL615" t="str" cm="1">
        <f t="array" ref="AL615">_xlfn.SWITCH(CleanEmployeeData[[#This Row],[JobInvolvement]],1,"Low",2,"Medium",3,"High",4,"Very High","Unknown")</f>
        <v>High</v>
      </c>
      <c r="AM615" t="str" cm="1">
        <f t="array" ref="AM615">_xlfn.SWITCH(CleanEmployeeData[[#This Row],[JobSatisfaction]],1,"Low",2,"Medium",3,"High",4,"Very High","Unknown")</f>
        <v>Very High</v>
      </c>
      <c r="AN615" t="str" cm="1">
        <f t="array" ref="AN615">_xlfn.SWITCH(CleanEmployeeData[[#This Row],[PerformanceRating]],1,"Low",2,"Good",3,"Excellent",4,"Outstanding","Unknown")</f>
        <v>Excellent</v>
      </c>
      <c r="AO615" t="str" cm="1">
        <f t="array" ref="AO615">_xlfn.SWITCH(CleanEmployeeData[[#This Row],[WorkLifeBalance]],1,"Bad",2,"Good",3,"Better",4,"Best","Unknown")</f>
        <v>Bad</v>
      </c>
      <c r="AP615">
        <f>IF(CleanEmployeeData[[#This Row],[Attrition]]="Yes",1,IF(CleanEmployeeData[[#This Row],[Attrition]]="No",0,""))</f>
        <v>0</v>
      </c>
      <c r="AQ615" t="str" cm="1">
        <f t="array" ref="AQ615">_xlfn.IFS(CleanEmployeeData[[#This Row],[MonthlyIncome]]&lt;=3000,"0–3,000",CleanEmployeeData[[#This Row],[MonthlyIncome]]&lt;=6000,"3,001–6,000",CleanEmployeeData[[#This Row],[MonthlyIncome]]&lt;=10000,"6,001–10,000",TRUE,"10,001+")</f>
        <v>3,001–6,000</v>
      </c>
      <c r="AR615" t="str" cm="1">
        <f t="array" ref="AR615">_xlfn.IFS(CleanEmployeeData[[#This Row],[DistanceFromHome]]&lt;=5,"0–5 miles",CleanEmployeeData[[#This Row],[DistanceFromHome]]&lt;=10,"6–10 miles",CleanEmployeeData[[#This Row],[DistanceFromHome]]&lt;=15,"11–15 miles",TRUE,"16+ miles")</f>
        <v>0–5 miles</v>
      </c>
      <c r="AS615" t="str" cm="1">
        <f t="array" ref="AS615">_xlfn.IFS(CleanEmployeeData[[#This Row],[YearsAtCompany]]&lt;=1,"0–1 years",CleanEmployeeData[[#This Row],[YearsAtCompany]]&lt;=5,"2–5 years",CleanEmployeeData[[#This Row],[YearsAtCompany]]&lt;=10,"6–10 years",TRUE,"11+ years")</f>
        <v>2–5 years</v>
      </c>
    </row>
    <row r="616" spans="1:4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cm="1">
        <f t="array" ref="AJ616">_xlfn.SWITCH(CleanEmployeeData[[#This Row],[Education]],1,"Below College",2,"College",3,"Bachelor",4,"Master",5,"Doctor","Unknown")</f>
        <v>College</v>
      </c>
      <c r="AK616" t="str" cm="1">
        <f t="array" ref="AK616">_xlfn.SWITCH(CleanEmployeeData[[#This Row],[EnvironmentSatisfaction]],1,"Low",2,"Medium",3,"High",4,"Very High","Unknown")</f>
        <v>High</v>
      </c>
      <c r="AL616" t="str" cm="1">
        <f t="array" ref="AL616">_xlfn.SWITCH(CleanEmployeeData[[#This Row],[JobInvolvement]],1,"Low",2,"Medium",3,"High",4,"Very High","Unknown")</f>
        <v>Medium</v>
      </c>
      <c r="AM616" t="str" cm="1">
        <f t="array" ref="AM616">_xlfn.SWITCH(CleanEmployeeData[[#This Row],[JobSatisfaction]],1,"Low",2,"Medium",3,"High",4,"Very High","Unknown")</f>
        <v>High</v>
      </c>
      <c r="AN616" t="str" cm="1">
        <f t="array" ref="AN616">_xlfn.SWITCH(CleanEmployeeData[[#This Row],[PerformanceRating]],1,"Low",2,"Good",3,"Excellent",4,"Outstanding","Unknown")</f>
        <v>Excellent</v>
      </c>
      <c r="AO616" t="str" cm="1">
        <f t="array" ref="AO616">_xlfn.SWITCH(CleanEmployeeData[[#This Row],[WorkLifeBalance]],1,"Bad",2,"Good",3,"Better",4,"Best","Unknown")</f>
        <v>Better</v>
      </c>
      <c r="AP616">
        <f>IF(CleanEmployeeData[[#This Row],[Attrition]]="Yes",1,IF(CleanEmployeeData[[#This Row],[Attrition]]="No",0,""))</f>
        <v>1</v>
      </c>
      <c r="AQ616" t="str" cm="1">
        <f t="array" ref="AQ616">_xlfn.IFS(CleanEmployeeData[[#This Row],[MonthlyIncome]]&lt;=3000,"0–3,000",CleanEmployeeData[[#This Row],[MonthlyIncome]]&lt;=6000,"3,001–6,000",CleanEmployeeData[[#This Row],[MonthlyIncome]]&lt;=10000,"6,001–10,000",TRUE,"10,001+")</f>
        <v>0–3,000</v>
      </c>
      <c r="AR616" t="str" cm="1">
        <f t="array" ref="AR616">_xlfn.IFS(CleanEmployeeData[[#This Row],[DistanceFromHome]]&lt;=5,"0–5 miles",CleanEmployeeData[[#This Row],[DistanceFromHome]]&lt;=10,"6–10 miles",CleanEmployeeData[[#This Row],[DistanceFromHome]]&lt;=15,"11–15 miles",TRUE,"16+ miles")</f>
        <v>0–5 miles</v>
      </c>
      <c r="AS616" t="str" cm="1">
        <f t="array" ref="AS616">_xlfn.IFS(CleanEmployeeData[[#This Row],[YearsAtCompany]]&lt;=1,"0–1 years",CleanEmployeeData[[#This Row],[YearsAtCompany]]&lt;=5,"2–5 years",CleanEmployeeData[[#This Row],[YearsAtCompany]]&lt;=10,"6–10 years",TRUE,"11+ years")</f>
        <v>6–10 years</v>
      </c>
    </row>
    <row r="617" spans="1:4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cm="1">
        <f t="array" ref="AJ617">_xlfn.SWITCH(CleanEmployeeData[[#This Row],[Education]],1,"Below College",2,"College",3,"Bachelor",4,"Master",5,"Doctor","Unknown")</f>
        <v>Bachelor</v>
      </c>
      <c r="AK617" t="str" cm="1">
        <f t="array" ref="AK617">_xlfn.SWITCH(CleanEmployeeData[[#This Row],[EnvironmentSatisfaction]],1,"Low",2,"Medium",3,"High",4,"Very High","Unknown")</f>
        <v>Very High</v>
      </c>
      <c r="AL617" t="str" cm="1">
        <f t="array" ref="AL617">_xlfn.SWITCH(CleanEmployeeData[[#This Row],[JobInvolvement]],1,"Low",2,"Medium",3,"High",4,"Very High","Unknown")</f>
        <v>High</v>
      </c>
      <c r="AM617" t="str" cm="1">
        <f t="array" ref="AM617">_xlfn.SWITCH(CleanEmployeeData[[#This Row],[JobSatisfaction]],1,"Low",2,"Medium",3,"High",4,"Very High","Unknown")</f>
        <v>Very High</v>
      </c>
      <c r="AN617" t="str" cm="1">
        <f t="array" ref="AN617">_xlfn.SWITCH(CleanEmployeeData[[#This Row],[PerformanceRating]],1,"Low",2,"Good",3,"Excellent",4,"Outstanding","Unknown")</f>
        <v>Excellent</v>
      </c>
      <c r="AO617" t="str" cm="1">
        <f t="array" ref="AO617">_xlfn.SWITCH(CleanEmployeeData[[#This Row],[WorkLifeBalance]],1,"Bad",2,"Good",3,"Better",4,"Best","Unknown")</f>
        <v>Good</v>
      </c>
      <c r="AP617">
        <f>IF(CleanEmployeeData[[#This Row],[Attrition]]="Yes",1,IF(CleanEmployeeData[[#This Row],[Attrition]]="No",0,""))</f>
        <v>0</v>
      </c>
      <c r="AQ617" t="str" cm="1">
        <f t="array" ref="AQ617">_xlfn.IFS(CleanEmployeeData[[#This Row],[MonthlyIncome]]&lt;=3000,"0–3,000",CleanEmployeeData[[#This Row],[MonthlyIncome]]&lt;=6000,"3,001–6,000",CleanEmployeeData[[#This Row],[MonthlyIncome]]&lt;=10000,"6,001–10,000",TRUE,"10,001+")</f>
        <v>0–3,000</v>
      </c>
      <c r="AR617" t="str" cm="1">
        <f t="array" ref="AR617">_xlfn.IFS(CleanEmployeeData[[#This Row],[DistanceFromHome]]&lt;=5,"0–5 miles",CleanEmployeeData[[#This Row],[DistanceFromHome]]&lt;=10,"6–10 miles",CleanEmployeeData[[#This Row],[DistanceFromHome]]&lt;=15,"11–15 miles",TRUE,"16+ miles")</f>
        <v>0–5 miles</v>
      </c>
      <c r="AS617" t="str" cm="1">
        <f t="array" ref="AS617">_xlfn.IFS(CleanEmployeeData[[#This Row],[YearsAtCompany]]&lt;=1,"0–1 years",CleanEmployeeData[[#This Row],[YearsAtCompany]]&lt;=5,"2–5 years",CleanEmployeeData[[#This Row],[YearsAtCompany]]&lt;=10,"6–10 years",TRUE,"11+ years")</f>
        <v>0–1 years</v>
      </c>
    </row>
    <row r="618" spans="1:4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cm="1">
        <f t="array" ref="AJ618">_xlfn.SWITCH(CleanEmployeeData[[#This Row],[Education]],1,"Below College",2,"College",3,"Bachelor",4,"Master",5,"Doctor","Unknown")</f>
        <v>Master</v>
      </c>
      <c r="AK618" t="str" cm="1">
        <f t="array" ref="AK618">_xlfn.SWITCH(CleanEmployeeData[[#This Row],[EnvironmentSatisfaction]],1,"Low",2,"Medium",3,"High",4,"Very High","Unknown")</f>
        <v>Low</v>
      </c>
      <c r="AL618" t="str" cm="1">
        <f t="array" ref="AL618">_xlfn.SWITCH(CleanEmployeeData[[#This Row],[JobInvolvement]],1,"Low",2,"Medium",3,"High",4,"Very High","Unknown")</f>
        <v>High</v>
      </c>
      <c r="AM618" t="str" cm="1">
        <f t="array" ref="AM618">_xlfn.SWITCH(CleanEmployeeData[[#This Row],[JobSatisfaction]],1,"Low",2,"Medium",3,"High",4,"Very High","Unknown")</f>
        <v>High</v>
      </c>
      <c r="AN618" t="str" cm="1">
        <f t="array" ref="AN618">_xlfn.SWITCH(CleanEmployeeData[[#This Row],[PerformanceRating]],1,"Low",2,"Good",3,"Excellent",4,"Outstanding","Unknown")</f>
        <v>Excellent</v>
      </c>
      <c r="AO618" t="str" cm="1">
        <f t="array" ref="AO618">_xlfn.SWITCH(CleanEmployeeData[[#This Row],[WorkLifeBalance]],1,"Bad",2,"Good",3,"Better",4,"Best","Unknown")</f>
        <v>Good</v>
      </c>
      <c r="AP618">
        <f>IF(CleanEmployeeData[[#This Row],[Attrition]]="Yes",1,IF(CleanEmployeeData[[#This Row],[Attrition]]="No",0,""))</f>
        <v>0</v>
      </c>
      <c r="AQ618" t="str" cm="1">
        <f t="array" ref="AQ618">_xlfn.IFS(CleanEmployeeData[[#This Row],[MonthlyIncome]]&lt;=3000,"0–3,000",CleanEmployeeData[[#This Row],[MonthlyIncome]]&lt;=6000,"3,001–6,000",CleanEmployeeData[[#This Row],[MonthlyIncome]]&lt;=10000,"6,001–10,000",TRUE,"10,001+")</f>
        <v>10,001+</v>
      </c>
      <c r="AR618" t="str" cm="1">
        <f t="array" ref="AR618">_xlfn.IFS(CleanEmployeeData[[#This Row],[DistanceFromHome]]&lt;=5,"0–5 miles",CleanEmployeeData[[#This Row],[DistanceFromHome]]&lt;=10,"6–10 miles",CleanEmployeeData[[#This Row],[DistanceFromHome]]&lt;=15,"11–15 miles",TRUE,"16+ miles")</f>
        <v>16+ miles</v>
      </c>
      <c r="AS618" t="str" cm="1">
        <f t="array" ref="AS618">_xlfn.IFS(CleanEmployeeData[[#This Row],[YearsAtCompany]]&lt;=1,"0–1 years",CleanEmployeeData[[#This Row],[YearsAtCompany]]&lt;=5,"2–5 years",CleanEmployeeData[[#This Row],[YearsAtCompany]]&lt;=10,"6–10 years",TRUE,"11+ years")</f>
        <v>11+ years</v>
      </c>
    </row>
    <row r="619" spans="1:4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cm="1">
        <f t="array" ref="AJ619">_xlfn.SWITCH(CleanEmployeeData[[#This Row],[Education]],1,"Below College",2,"College",3,"Bachelor",4,"Master",5,"Doctor","Unknown")</f>
        <v>Bachelor</v>
      </c>
      <c r="AK619" t="str" cm="1">
        <f t="array" ref="AK619">_xlfn.SWITCH(CleanEmployeeData[[#This Row],[EnvironmentSatisfaction]],1,"Low",2,"Medium",3,"High",4,"Very High","Unknown")</f>
        <v>Very High</v>
      </c>
      <c r="AL619" t="str" cm="1">
        <f t="array" ref="AL619">_xlfn.SWITCH(CleanEmployeeData[[#This Row],[JobInvolvement]],1,"Low",2,"Medium",3,"High",4,"Very High","Unknown")</f>
        <v>High</v>
      </c>
      <c r="AM619" t="str" cm="1">
        <f t="array" ref="AM619">_xlfn.SWITCH(CleanEmployeeData[[#This Row],[JobSatisfaction]],1,"Low",2,"Medium",3,"High",4,"Very High","Unknown")</f>
        <v>Medium</v>
      </c>
      <c r="AN619" t="str" cm="1">
        <f t="array" ref="AN619">_xlfn.SWITCH(CleanEmployeeData[[#This Row],[PerformanceRating]],1,"Low",2,"Good",3,"Excellent",4,"Outstanding","Unknown")</f>
        <v>Excellent</v>
      </c>
      <c r="AO619" t="str" cm="1">
        <f t="array" ref="AO619">_xlfn.SWITCH(CleanEmployeeData[[#This Row],[WorkLifeBalance]],1,"Bad",2,"Good",3,"Better",4,"Best","Unknown")</f>
        <v>Good</v>
      </c>
      <c r="AP619">
        <f>IF(CleanEmployeeData[[#This Row],[Attrition]]="Yes",1,IF(CleanEmployeeData[[#This Row],[Attrition]]="No",0,""))</f>
        <v>0</v>
      </c>
      <c r="AQ619" t="str" cm="1">
        <f t="array" ref="AQ619">_xlfn.IFS(CleanEmployeeData[[#This Row],[MonthlyIncome]]&lt;=3000,"0–3,000",CleanEmployeeData[[#This Row],[MonthlyIncome]]&lt;=6000,"3,001–6,000",CleanEmployeeData[[#This Row],[MonthlyIncome]]&lt;=10000,"6,001–10,000",TRUE,"10,001+")</f>
        <v>3,001–6,000</v>
      </c>
      <c r="AR619" t="str" cm="1">
        <f t="array" ref="AR619">_xlfn.IFS(CleanEmployeeData[[#This Row],[DistanceFromHome]]&lt;=5,"0–5 miles",CleanEmployeeData[[#This Row],[DistanceFromHome]]&lt;=10,"6–10 miles",CleanEmployeeData[[#This Row],[DistanceFromHome]]&lt;=15,"11–15 miles",TRUE,"16+ miles")</f>
        <v>0–5 miles</v>
      </c>
      <c r="AS619" t="str" cm="1">
        <f t="array" ref="AS619">_xlfn.IFS(CleanEmployeeData[[#This Row],[YearsAtCompany]]&lt;=1,"0–1 years",CleanEmployeeData[[#This Row],[YearsAtCompany]]&lt;=5,"2–5 years",CleanEmployeeData[[#This Row],[YearsAtCompany]]&lt;=10,"6–10 years",TRUE,"11+ years")</f>
        <v>2–5 years</v>
      </c>
    </row>
    <row r="620" spans="1:4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cm="1">
        <f t="array" ref="AJ620">_xlfn.SWITCH(CleanEmployeeData[[#This Row],[Education]],1,"Below College",2,"College",3,"Bachelor",4,"Master",5,"Doctor","Unknown")</f>
        <v>Below College</v>
      </c>
      <c r="AK620" t="str" cm="1">
        <f t="array" ref="AK620">_xlfn.SWITCH(CleanEmployeeData[[#This Row],[EnvironmentSatisfaction]],1,"Low",2,"Medium",3,"High",4,"Very High","Unknown")</f>
        <v>Low</v>
      </c>
      <c r="AL620" t="str" cm="1">
        <f t="array" ref="AL620">_xlfn.SWITCH(CleanEmployeeData[[#This Row],[JobInvolvement]],1,"Low",2,"Medium",3,"High",4,"Very High","Unknown")</f>
        <v>Very High</v>
      </c>
      <c r="AM620" t="str" cm="1">
        <f t="array" ref="AM620">_xlfn.SWITCH(CleanEmployeeData[[#This Row],[JobSatisfaction]],1,"Low",2,"Medium",3,"High",4,"Very High","Unknown")</f>
        <v>Low</v>
      </c>
      <c r="AN620" t="str" cm="1">
        <f t="array" ref="AN620">_xlfn.SWITCH(CleanEmployeeData[[#This Row],[PerformanceRating]],1,"Low",2,"Good",3,"Excellent",4,"Outstanding","Unknown")</f>
        <v>Excellent</v>
      </c>
      <c r="AO620" t="str" cm="1">
        <f t="array" ref="AO620">_xlfn.SWITCH(CleanEmployeeData[[#This Row],[WorkLifeBalance]],1,"Bad",2,"Good",3,"Better",4,"Best","Unknown")</f>
        <v>Good</v>
      </c>
      <c r="AP620">
        <f>IF(CleanEmployeeData[[#This Row],[Attrition]]="Yes",1,IF(CleanEmployeeData[[#This Row],[Attrition]]="No",0,""))</f>
        <v>0</v>
      </c>
      <c r="AQ620" t="str" cm="1">
        <f t="array" ref="AQ620">_xlfn.IFS(CleanEmployeeData[[#This Row],[MonthlyIncome]]&lt;=3000,"0–3,000",CleanEmployeeData[[#This Row],[MonthlyIncome]]&lt;=6000,"3,001–6,000",CleanEmployeeData[[#This Row],[MonthlyIncome]]&lt;=10000,"6,001–10,000",TRUE,"10,001+")</f>
        <v>3,001–6,000</v>
      </c>
      <c r="AR620" t="str" cm="1">
        <f t="array" ref="AR620">_xlfn.IFS(CleanEmployeeData[[#This Row],[DistanceFromHome]]&lt;=5,"0–5 miles",CleanEmployeeData[[#This Row],[DistanceFromHome]]&lt;=10,"6–10 miles",CleanEmployeeData[[#This Row],[DistanceFromHome]]&lt;=15,"11–15 miles",TRUE,"16+ miles")</f>
        <v>0–5 miles</v>
      </c>
      <c r="AS620" t="str" cm="1">
        <f t="array" ref="AS620">_xlfn.IFS(CleanEmployeeData[[#This Row],[YearsAtCompany]]&lt;=1,"0–1 years",CleanEmployeeData[[#This Row],[YearsAtCompany]]&lt;=5,"2–5 years",CleanEmployeeData[[#This Row],[YearsAtCompany]]&lt;=10,"6–10 years",TRUE,"11+ years")</f>
        <v>2–5 years</v>
      </c>
    </row>
    <row r="621" spans="1:4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cm="1">
        <f t="array" ref="AJ621">_xlfn.SWITCH(CleanEmployeeData[[#This Row],[Education]],1,"Below College",2,"College",3,"Bachelor",4,"Master",5,"Doctor","Unknown")</f>
        <v>Bachelor</v>
      </c>
      <c r="AK621" t="str" cm="1">
        <f t="array" ref="AK621">_xlfn.SWITCH(CleanEmployeeData[[#This Row],[EnvironmentSatisfaction]],1,"Low",2,"Medium",3,"High",4,"Very High","Unknown")</f>
        <v>Low</v>
      </c>
      <c r="AL621" t="str" cm="1">
        <f t="array" ref="AL621">_xlfn.SWITCH(CleanEmployeeData[[#This Row],[JobInvolvement]],1,"Low",2,"Medium",3,"High",4,"Very High","Unknown")</f>
        <v>Very High</v>
      </c>
      <c r="AM621" t="str" cm="1">
        <f t="array" ref="AM621">_xlfn.SWITCH(CleanEmployeeData[[#This Row],[JobSatisfaction]],1,"Low",2,"Medium",3,"High",4,"Very High","Unknown")</f>
        <v>Low</v>
      </c>
      <c r="AN621" t="str" cm="1">
        <f t="array" ref="AN621">_xlfn.SWITCH(CleanEmployeeData[[#This Row],[PerformanceRating]],1,"Low",2,"Good",3,"Excellent",4,"Outstanding","Unknown")</f>
        <v>Outstanding</v>
      </c>
      <c r="AO621" t="str" cm="1">
        <f t="array" ref="AO621">_xlfn.SWITCH(CleanEmployeeData[[#This Row],[WorkLifeBalance]],1,"Bad",2,"Good",3,"Better",4,"Best","Unknown")</f>
        <v>Better</v>
      </c>
      <c r="AP621">
        <f>IF(CleanEmployeeData[[#This Row],[Attrition]]="Yes",1,IF(CleanEmployeeData[[#This Row],[Attrition]]="No",0,""))</f>
        <v>0</v>
      </c>
      <c r="AQ621" t="str" cm="1">
        <f t="array" ref="AQ621">_xlfn.IFS(CleanEmployeeData[[#This Row],[MonthlyIncome]]&lt;=3000,"0–3,000",CleanEmployeeData[[#This Row],[MonthlyIncome]]&lt;=6000,"3,001–6,000",CleanEmployeeData[[#This Row],[MonthlyIncome]]&lt;=10000,"6,001–10,000",TRUE,"10,001+")</f>
        <v>3,001–6,000</v>
      </c>
      <c r="AR621" t="str" cm="1">
        <f t="array" ref="AR621">_xlfn.IFS(CleanEmployeeData[[#This Row],[DistanceFromHome]]&lt;=5,"0–5 miles",CleanEmployeeData[[#This Row],[DistanceFromHome]]&lt;=10,"6–10 miles",CleanEmployeeData[[#This Row],[DistanceFromHome]]&lt;=15,"11–15 miles",TRUE,"16+ miles")</f>
        <v>0–5 miles</v>
      </c>
      <c r="AS621" t="str" cm="1">
        <f t="array" ref="AS621">_xlfn.IFS(CleanEmployeeData[[#This Row],[YearsAtCompany]]&lt;=1,"0–1 years",CleanEmployeeData[[#This Row],[YearsAtCompany]]&lt;=5,"2–5 years",CleanEmployeeData[[#This Row],[YearsAtCompany]]&lt;=10,"6–10 years",TRUE,"11+ years")</f>
        <v>6–10 years</v>
      </c>
    </row>
    <row r="622" spans="1:4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cm="1">
        <f t="array" ref="AJ622">_xlfn.SWITCH(CleanEmployeeData[[#This Row],[Education]],1,"Below College",2,"College",3,"Bachelor",4,"Master",5,"Doctor","Unknown")</f>
        <v>Below College</v>
      </c>
      <c r="AK622" t="str" cm="1">
        <f t="array" ref="AK622">_xlfn.SWITCH(CleanEmployeeData[[#This Row],[EnvironmentSatisfaction]],1,"Low",2,"Medium",3,"High",4,"Very High","Unknown")</f>
        <v>High</v>
      </c>
      <c r="AL622" t="str" cm="1">
        <f t="array" ref="AL622">_xlfn.SWITCH(CleanEmployeeData[[#This Row],[JobInvolvement]],1,"Low",2,"Medium",3,"High",4,"Very High","Unknown")</f>
        <v>Medium</v>
      </c>
      <c r="AM622" t="str" cm="1">
        <f t="array" ref="AM622">_xlfn.SWITCH(CleanEmployeeData[[#This Row],[JobSatisfaction]],1,"Low",2,"Medium",3,"High",4,"Very High","Unknown")</f>
        <v>Low</v>
      </c>
      <c r="AN622" t="str" cm="1">
        <f t="array" ref="AN622">_xlfn.SWITCH(CleanEmployeeData[[#This Row],[PerformanceRating]],1,"Low",2,"Good",3,"Excellent",4,"Outstanding","Unknown")</f>
        <v>Excellent</v>
      </c>
      <c r="AO622" t="str" cm="1">
        <f t="array" ref="AO622">_xlfn.SWITCH(CleanEmployeeData[[#This Row],[WorkLifeBalance]],1,"Bad",2,"Good",3,"Better",4,"Best","Unknown")</f>
        <v>Good</v>
      </c>
      <c r="AP622">
        <f>IF(CleanEmployeeData[[#This Row],[Attrition]]="Yes",1,IF(CleanEmployeeData[[#This Row],[Attrition]]="No",0,""))</f>
        <v>0</v>
      </c>
      <c r="AQ622" t="str" cm="1">
        <f t="array" ref="AQ622">_xlfn.IFS(CleanEmployeeData[[#This Row],[MonthlyIncome]]&lt;=3000,"0–3,000",CleanEmployeeData[[#This Row],[MonthlyIncome]]&lt;=6000,"3,001–6,000",CleanEmployeeData[[#This Row],[MonthlyIncome]]&lt;=10000,"6,001–10,000",TRUE,"10,001+")</f>
        <v>0–3,000</v>
      </c>
      <c r="AR622" t="str" cm="1">
        <f t="array" ref="AR622">_xlfn.IFS(CleanEmployeeData[[#This Row],[DistanceFromHome]]&lt;=5,"0–5 miles",CleanEmployeeData[[#This Row],[DistanceFromHome]]&lt;=10,"6–10 miles",CleanEmployeeData[[#This Row],[DistanceFromHome]]&lt;=15,"11–15 miles",TRUE,"16+ miles")</f>
        <v>16+ miles</v>
      </c>
      <c r="AS622" t="str" cm="1">
        <f t="array" ref="AS622">_xlfn.IFS(CleanEmployeeData[[#This Row],[YearsAtCompany]]&lt;=1,"0–1 years",CleanEmployeeData[[#This Row],[YearsAtCompany]]&lt;=5,"2–5 years",CleanEmployeeData[[#This Row],[YearsAtCompany]]&lt;=10,"6–10 years",TRUE,"11+ years")</f>
        <v>6–10 years</v>
      </c>
    </row>
    <row r="623" spans="1:4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cm="1">
        <f t="array" ref="AJ623">_xlfn.SWITCH(CleanEmployeeData[[#This Row],[Education]],1,"Below College",2,"College",3,"Bachelor",4,"Master",5,"Doctor","Unknown")</f>
        <v>College</v>
      </c>
      <c r="AK623" t="str" cm="1">
        <f t="array" ref="AK623">_xlfn.SWITCH(CleanEmployeeData[[#This Row],[EnvironmentSatisfaction]],1,"Low",2,"Medium",3,"High",4,"Very High","Unknown")</f>
        <v>Medium</v>
      </c>
      <c r="AL623" t="str" cm="1">
        <f t="array" ref="AL623">_xlfn.SWITCH(CleanEmployeeData[[#This Row],[JobInvolvement]],1,"Low",2,"Medium",3,"High",4,"Very High","Unknown")</f>
        <v>High</v>
      </c>
      <c r="AM623" t="str" cm="1">
        <f t="array" ref="AM623">_xlfn.SWITCH(CleanEmployeeData[[#This Row],[JobSatisfaction]],1,"Low",2,"Medium",3,"High",4,"Very High","Unknown")</f>
        <v>Very High</v>
      </c>
      <c r="AN623" t="str" cm="1">
        <f t="array" ref="AN623">_xlfn.SWITCH(CleanEmployeeData[[#This Row],[PerformanceRating]],1,"Low",2,"Good",3,"Excellent",4,"Outstanding","Unknown")</f>
        <v>Excellent</v>
      </c>
      <c r="AO623" t="str" cm="1">
        <f t="array" ref="AO623">_xlfn.SWITCH(CleanEmployeeData[[#This Row],[WorkLifeBalance]],1,"Bad",2,"Good",3,"Better",4,"Best","Unknown")</f>
        <v>Good</v>
      </c>
      <c r="AP623">
        <f>IF(CleanEmployeeData[[#This Row],[Attrition]]="Yes",1,IF(CleanEmployeeData[[#This Row],[Attrition]]="No",0,""))</f>
        <v>0</v>
      </c>
      <c r="AQ623" t="str" cm="1">
        <f t="array" ref="AQ623">_xlfn.IFS(CleanEmployeeData[[#This Row],[MonthlyIncome]]&lt;=3000,"0–3,000",CleanEmployeeData[[#This Row],[MonthlyIncome]]&lt;=6000,"3,001–6,000",CleanEmployeeData[[#This Row],[MonthlyIncome]]&lt;=10000,"6,001–10,000",TRUE,"10,001+")</f>
        <v>6,001–10,000</v>
      </c>
      <c r="AR623" t="str" cm="1">
        <f t="array" ref="AR623">_xlfn.IFS(CleanEmployeeData[[#This Row],[DistanceFromHome]]&lt;=5,"0–5 miles",CleanEmployeeData[[#This Row],[DistanceFromHome]]&lt;=10,"6–10 miles",CleanEmployeeData[[#This Row],[DistanceFromHome]]&lt;=15,"11–15 miles",TRUE,"16+ miles")</f>
        <v>0–5 miles</v>
      </c>
      <c r="AS623" t="str" cm="1">
        <f t="array" ref="AS623">_xlfn.IFS(CleanEmployeeData[[#This Row],[YearsAtCompany]]&lt;=1,"0–1 years",CleanEmployeeData[[#This Row],[YearsAtCompany]]&lt;=5,"2–5 years",CleanEmployeeData[[#This Row],[YearsAtCompany]]&lt;=10,"6–10 years",TRUE,"11+ years")</f>
        <v>11+ years</v>
      </c>
    </row>
    <row r="624" spans="1:4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cm="1">
        <f t="array" ref="AJ624">_xlfn.SWITCH(CleanEmployeeData[[#This Row],[Education]],1,"Below College",2,"College",3,"Bachelor",4,"Master",5,"Doctor","Unknown")</f>
        <v>Master</v>
      </c>
      <c r="AK624" t="str" cm="1">
        <f t="array" ref="AK624">_xlfn.SWITCH(CleanEmployeeData[[#This Row],[EnvironmentSatisfaction]],1,"Low",2,"Medium",3,"High",4,"Very High","Unknown")</f>
        <v>Medium</v>
      </c>
      <c r="AL624" t="str" cm="1">
        <f t="array" ref="AL624">_xlfn.SWITCH(CleanEmployeeData[[#This Row],[JobInvolvement]],1,"Low",2,"Medium",3,"High",4,"Very High","Unknown")</f>
        <v>High</v>
      </c>
      <c r="AM624" t="str" cm="1">
        <f t="array" ref="AM624">_xlfn.SWITCH(CleanEmployeeData[[#This Row],[JobSatisfaction]],1,"Low",2,"Medium",3,"High",4,"Very High","Unknown")</f>
        <v>Very High</v>
      </c>
      <c r="AN624" t="str" cm="1">
        <f t="array" ref="AN624">_xlfn.SWITCH(CleanEmployeeData[[#This Row],[PerformanceRating]],1,"Low",2,"Good",3,"Excellent",4,"Outstanding","Unknown")</f>
        <v>Excellent</v>
      </c>
      <c r="AO624" t="str" cm="1">
        <f t="array" ref="AO624">_xlfn.SWITCH(CleanEmployeeData[[#This Row],[WorkLifeBalance]],1,"Bad",2,"Good",3,"Better",4,"Best","Unknown")</f>
        <v>Good</v>
      </c>
      <c r="AP624">
        <f>IF(CleanEmployeeData[[#This Row],[Attrition]]="Yes",1,IF(CleanEmployeeData[[#This Row],[Attrition]]="No",0,""))</f>
        <v>0</v>
      </c>
      <c r="AQ624" t="str" cm="1">
        <f t="array" ref="AQ624">_xlfn.IFS(CleanEmployeeData[[#This Row],[MonthlyIncome]]&lt;=3000,"0–3,000",CleanEmployeeData[[#This Row],[MonthlyIncome]]&lt;=6000,"3,001–6,000",CleanEmployeeData[[#This Row],[MonthlyIncome]]&lt;=10000,"6,001–10,000",TRUE,"10,001+")</f>
        <v>3,001–6,000</v>
      </c>
      <c r="AR624" t="str" cm="1">
        <f t="array" ref="AR624">_xlfn.IFS(CleanEmployeeData[[#This Row],[DistanceFromHome]]&lt;=5,"0–5 miles",CleanEmployeeData[[#This Row],[DistanceFromHome]]&lt;=10,"6–10 miles",CleanEmployeeData[[#This Row],[DistanceFromHome]]&lt;=15,"11–15 miles",TRUE,"16+ miles")</f>
        <v>11–15 miles</v>
      </c>
      <c r="AS624" t="str" cm="1">
        <f t="array" ref="AS624">_xlfn.IFS(CleanEmployeeData[[#This Row],[YearsAtCompany]]&lt;=1,"0–1 years",CleanEmployeeData[[#This Row],[YearsAtCompany]]&lt;=5,"2–5 years",CleanEmployeeData[[#This Row],[YearsAtCompany]]&lt;=10,"6–10 years",TRUE,"11+ years")</f>
        <v>2–5 years</v>
      </c>
    </row>
    <row r="625" spans="1:4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cm="1">
        <f t="array" ref="AJ625">_xlfn.SWITCH(CleanEmployeeData[[#This Row],[Education]],1,"Below College",2,"College",3,"Bachelor",4,"Master",5,"Doctor","Unknown")</f>
        <v>Master</v>
      </c>
      <c r="AK625" t="str" cm="1">
        <f t="array" ref="AK625">_xlfn.SWITCH(CleanEmployeeData[[#This Row],[EnvironmentSatisfaction]],1,"Low",2,"Medium",3,"High",4,"Very High","Unknown")</f>
        <v>Medium</v>
      </c>
      <c r="AL625" t="str" cm="1">
        <f t="array" ref="AL625">_xlfn.SWITCH(CleanEmployeeData[[#This Row],[JobInvolvement]],1,"Low",2,"Medium",3,"High",4,"Very High","Unknown")</f>
        <v>Medium</v>
      </c>
      <c r="AM625" t="str" cm="1">
        <f t="array" ref="AM625">_xlfn.SWITCH(CleanEmployeeData[[#This Row],[JobSatisfaction]],1,"Low",2,"Medium",3,"High",4,"Very High","Unknown")</f>
        <v>Very High</v>
      </c>
      <c r="AN625" t="str" cm="1">
        <f t="array" ref="AN625">_xlfn.SWITCH(CleanEmployeeData[[#This Row],[PerformanceRating]],1,"Low",2,"Good",3,"Excellent",4,"Outstanding","Unknown")</f>
        <v>Excellent</v>
      </c>
      <c r="AO625" t="str" cm="1">
        <f t="array" ref="AO625">_xlfn.SWITCH(CleanEmployeeData[[#This Row],[WorkLifeBalance]],1,"Bad",2,"Good",3,"Better",4,"Best","Unknown")</f>
        <v>Good</v>
      </c>
      <c r="AP625">
        <f>IF(CleanEmployeeData[[#This Row],[Attrition]]="Yes",1,IF(CleanEmployeeData[[#This Row],[Attrition]]="No",0,""))</f>
        <v>0</v>
      </c>
      <c r="AQ625" t="str" cm="1">
        <f t="array" ref="AQ625">_xlfn.IFS(CleanEmployeeData[[#This Row],[MonthlyIncome]]&lt;=3000,"0–3,000",CleanEmployeeData[[#This Row],[MonthlyIncome]]&lt;=6000,"3,001–6,000",CleanEmployeeData[[#This Row],[MonthlyIncome]]&lt;=10000,"6,001–10,000",TRUE,"10,001+")</f>
        <v>3,001–6,000</v>
      </c>
      <c r="AR625" t="str" cm="1">
        <f t="array" ref="AR625">_xlfn.IFS(CleanEmployeeData[[#This Row],[DistanceFromHome]]&lt;=5,"0–5 miles",CleanEmployeeData[[#This Row],[DistanceFromHome]]&lt;=10,"6–10 miles",CleanEmployeeData[[#This Row],[DistanceFromHome]]&lt;=15,"11–15 miles",TRUE,"16+ miles")</f>
        <v>0–5 miles</v>
      </c>
      <c r="AS625" t="str" cm="1">
        <f t="array" ref="AS625">_xlfn.IFS(CleanEmployeeData[[#This Row],[YearsAtCompany]]&lt;=1,"0–1 years",CleanEmployeeData[[#This Row],[YearsAtCompany]]&lt;=5,"2–5 years",CleanEmployeeData[[#This Row],[YearsAtCompany]]&lt;=10,"6–10 years",TRUE,"11+ years")</f>
        <v>2–5 years</v>
      </c>
    </row>
    <row r="626" spans="1:4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cm="1">
        <f t="array" ref="AJ626">_xlfn.SWITCH(CleanEmployeeData[[#This Row],[Education]],1,"Below College",2,"College",3,"Bachelor",4,"Master",5,"Doctor","Unknown")</f>
        <v>College</v>
      </c>
      <c r="AK626" t="str" cm="1">
        <f t="array" ref="AK626">_xlfn.SWITCH(CleanEmployeeData[[#This Row],[EnvironmentSatisfaction]],1,"Low",2,"Medium",3,"High",4,"Very High","Unknown")</f>
        <v>Low</v>
      </c>
      <c r="AL626" t="str" cm="1">
        <f t="array" ref="AL626">_xlfn.SWITCH(CleanEmployeeData[[#This Row],[JobInvolvement]],1,"Low",2,"Medium",3,"High",4,"Very High","Unknown")</f>
        <v>Medium</v>
      </c>
      <c r="AM626" t="str" cm="1">
        <f t="array" ref="AM626">_xlfn.SWITCH(CleanEmployeeData[[#This Row],[JobSatisfaction]],1,"Low",2,"Medium",3,"High",4,"Very High","Unknown")</f>
        <v>Very High</v>
      </c>
      <c r="AN626" t="str" cm="1">
        <f t="array" ref="AN626">_xlfn.SWITCH(CleanEmployeeData[[#This Row],[PerformanceRating]],1,"Low",2,"Good",3,"Excellent",4,"Outstanding","Unknown")</f>
        <v>Excellent</v>
      </c>
      <c r="AO626" t="str" cm="1">
        <f t="array" ref="AO626">_xlfn.SWITCH(CleanEmployeeData[[#This Row],[WorkLifeBalance]],1,"Bad",2,"Good",3,"Better",4,"Best","Unknown")</f>
        <v>Better</v>
      </c>
      <c r="AP626">
        <f>IF(CleanEmployeeData[[#This Row],[Attrition]]="Yes",1,IF(CleanEmployeeData[[#This Row],[Attrition]]="No",0,""))</f>
        <v>0</v>
      </c>
      <c r="AQ626" t="str" cm="1">
        <f t="array" ref="AQ626">_xlfn.IFS(CleanEmployeeData[[#This Row],[MonthlyIncome]]&lt;=3000,"0–3,000",CleanEmployeeData[[#This Row],[MonthlyIncome]]&lt;=6000,"3,001–6,000",CleanEmployeeData[[#This Row],[MonthlyIncome]]&lt;=10000,"6,001–10,000",TRUE,"10,001+")</f>
        <v>10,001+</v>
      </c>
      <c r="AR626" t="str" cm="1">
        <f t="array" ref="AR626">_xlfn.IFS(CleanEmployeeData[[#This Row],[DistanceFromHome]]&lt;=5,"0–5 miles",CleanEmployeeData[[#This Row],[DistanceFromHome]]&lt;=10,"6–10 miles",CleanEmployeeData[[#This Row],[DistanceFromHome]]&lt;=15,"11–15 miles",TRUE,"16+ miles")</f>
        <v>6–10 miles</v>
      </c>
      <c r="AS626" t="str" cm="1">
        <f t="array" ref="AS626">_xlfn.IFS(CleanEmployeeData[[#This Row],[YearsAtCompany]]&lt;=1,"0–1 years",CleanEmployeeData[[#This Row],[YearsAtCompany]]&lt;=5,"2–5 years",CleanEmployeeData[[#This Row],[YearsAtCompany]]&lt;=10,"6–10 years",TRUE,"11+ years")</f>
        <v>2–5 years</v>
      </c>
    </row>
    <row r="627" spans="1:4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cm="1">
        <f t="array" ref="AJ627">_xlfn.SWITCH(CleanEmployeeData[[#This Row],[Education]],1,"Below College",2,"College",3,"Bachelor",4,"Master",5,"Doctor","Unknown")</f>
        <v>Bachelor</v>
      </c>
      <c r="AK627" t="str" cm="1">
        <f t="array" ref="AK627">_xlfn.SWITCH(CleanEmployeeData[[#This Row],[EnvironmentSatisfaction]],1,"Low",2,"Medium",3,"High",4,"Very High","Unknown")</f>
        <v>Very High</v>
      </c>
      <c r="AL627" t="str" cm="1">
        <f t="array" ref="AL627">_xlfn.SWITCH(CleanEmployeeData[[#This Row],[JobInvolvement]],1,"Low",2,"Medium",3,"High",4,"Very High","Unknown")</f>
        <v>High</v>
      </c>
      <c r="AM627" t="str" cm="1">
        <f t="array" ref="AM627">_xlfn.SWITCH(CleanEmployeeData[[#This Row],[JobSatisfaction]],1,"Low",2,"Medium",3,"High",4,"Very High","Unknown")</f>
        <v>Low</v>
      </c>
      <c r="AN627" t="str" cm="1">
        <f t="array" ref="AN627">_xlfn.SWITCH(CleanEmployeeData[[#This Row],[PerformanceRating]],1,"Low",2,"Good",3,"Excellent",4,"Outstanding","Unknown")</f>
        <v>Excellent</v>
      </c>
      <c r="AO627" t="str" cm="1">
        <f t="array" ref="AO627">_xlfn.SWITCH(CleanEmployeeData[[#This Row],[WorkLifeBalance]],1,"Bad",2,"Good",3,"Better",4,"Best","Unknown")</f>
        <v>Better</v>
      </c>
      <c r="AP627">
        <f>IF(CleanEmployeeData[[#This Row],[Attrition]]="Yes",1,IF(CleanEmployeeData[[#This Row],[Attrition]]="No",0,""))</f>
        <v>0</v>
      </c>
      <c r="AQ627" t="str" cm="1">
        <f t="array" ref="AQ627">_xlfn.IFS(CleanEmployeeData[[#This Row],[MonthlyIncome]]&lt;=3000,"0–3,000",CleanEmployeeData[[#This Row],[MonthlyIncome]]&lt;=6000,"3,001–6,000",CleanEmployeeData[[#This Row],[MonthlyIncome]]&lt;=10000,"6,001–10,000",TRUE,"10,001+")</f>
        <v>10,001+</v>
      </c>
      <c r="AR627" t="str" cm="1">
        <f t="array" ref="AR627">_xlfn.IFS(CleanEmployeeData[[#This Row],[DistanceFromHome]]&lt;=5,"0–5 miles",CleanEmployeeData[[#This Row],[DistanceFromHome]]&lt;=10,"6–10 miles",CleanEmployeeData[[#This Row],[DistanceFromHome]]&lt;=15,"11–15 miles",TRUE,"16+ miles")</f>
        <v>6–10 miles</v>
      </c>
      <c r="AS627" t="str" cm="1">
        <f t="array" ref="AS627">_xlfn.IFS(CleanEmployeeData[[#This Row],[YearsAtCompany]]&lt;=1,"0–1 years",CleanEmployeeData[[#This Row],[YearsAtCompany]]&lt;=5,"2–5 years",CleanEmployeeData[[#This Row],[YearsAtCompany]]&lt;=10,"6–10 years",TRUE,"11+ years")</f>
        <v>2–5 years</v>
      </c>
    </row>
    <row r="628" spans="1:4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cm="1">
        <f t="array" ref="AJ628">_xlfn.SWITCH(CleanEmployeeData[[#This Row],[Education]],1,"Below College",2,"College",3,"Bachelor",4,"Master",5,"Doctor","Unknown")</f>
        <v>College</v>
      </c>
      <c r="AK628" t="str" cm="1">
        <f t="array" ref="AK628">_xlfn.SWITCH(CleanEmployeeData[[#This Row],[EnvironmentSatisfaction]],1,"Low",2,"Medium",3,"High",4,"Very High","Unknown")</f>
        <v>High</v>
      </c>
      <c r="AL628" t="str" cm="1">
        <f t="array" ref="AL628">_xlfn.SWITCH(CleanEmployeeData[[#This Row],[JobInvolvement]],1,"Low",2,"Medium",3,"High",4,"Very High","Unknown")</f>
        <v>Very High</v>
      </c>
      <c r="AM628" t="str" cm="1">
        <f t="array" ref="AM628">_xlfn.SWITCH(CleanEmployeeData[[#This Row],[JobSatisfaction]],1,"Low",2,"Medium",3,"High",4,"Very High","Unknown")</f>
        <v>High</v>
      </c>
      <c r="AN628" t="str" cm="1">
        <f t="array" ref="AN628">_xlfn.SWITCH(CleanEmployeeData[[#This Row],[PerformanceRating]],1,"Low",2,"Good",3,"Excellent",4,"Outstanding","Unknown")</f>
        <v>Excellent</v>
      </c>
      <c r="AO628" t="str" cm="1">
        <f t="array" ref="AO628">_xlfn.SWITCH(CleanEmployeeData[[#This Row],[WorkLifeBalance]],1,"Bad",2,"Good",3,"Better",4,"Best","Unknown")</f>
        <v>Good</v>
      </c>
      <c r="AP628">
        <f>IF(CleanEmployeeData[[#This Row],[Attrition]]="Yes",1,IF(CleanEmployeeData[[#This Row],[Attrition]]="No",0,""))</f>
        <v>0</v>
      </c>
      <c r="AQ628" t="str" cm="1">
        <f t="array" ref="AQ628">_xlfn.IFS(CleanEmployeeData[[#This Row],[MonthlyIncome]]&lt;=3000,"0–3,000",CleanEmployeeData[[#This Row],[MonthlyIncome]]&lt;=6000,"3,001–6,000",CleanEmployeeData[[#This Row],[MonthlyIncome]]&lt;=10000,"6,001–10,000",TRUE,"10,001+")</f>
        <v>3,001–6,000</v>
      </c>
      <c r="AR628" t="str" cm="1">
        <f t="array" ref="AR628">_xlfn.IFS(CleanEmployeeData[[#This Row],[DistanceFromHome]]&lt;=5,"0–5 miles",CleanEmployeeData[[#This Row],[DistanceFromHome]]&lt;=10,"6–10 miles",CleanEmployeeData[[#This Row],[DistanceFromHome]]&lt;=15,"11–15 miles",TRUE,"16+ miles")</f>
        <v>6–10 miles</v>
      </c>
      <c r="AS628" t="str" cm="1">
        <f t="array" ref="AS628">_xlfn.IFS(CleanEmployeeData[[#This Row],[YearsAtCompany]]&lt;=1,"0–1 years",CleanEmployeeData[[#This Row],[YearsAtCompany]]&lt;=5,"2–5 years",CleanEmployeeData[[#This Row],[YearsAtCompany]]&lt;=10,"6–10 years",TRUE,"11+ years")</f>
        <v>2–5 years</v>
      </c>
    </row>
    <row r="629" spans="1:4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cm="1">
        <f t="array" ref="AJ629">_xlfn.SWITCH(CleanEmployeeData[[#This Row],[Education]],1,"Below College",2,"College",3,"Bachelor",4,"Master",5,"Doctor","Unknown")</f>
        <v>Master</v>
      </c>
      <c r="AK629" t="str" cm="1">
        <f t="array" ref="AK629">_xlfn.SWITCH(CleanEmployeeData[[#This Row],[EnvironmentSatisfaction]],1,"Low",2,"Medium",3,"High",4,"Very High","Unknown")</f>
        <v>High</v>
      </c>
      <c r="AL629" t="str" cm="1">
        <f t="array" ref="AL629">_xlfn.SWITCH(CleanEmployeeData[[#This Row],[JobInvolvement]],1,"Low",2,"Medium",3,"High",4,"Very High","Unknown")</f>
        <v>Medium</v>
      </c>
      <c r="AM629" t="str" cm="1">
        <f t="array" ref="AM629">_xlfn.SWITCH(CleanEmployeeData[[#This Row],[JobSatisfaction]],1,"Low",2,"Medium",3,"High",4,"Very High","Unknown")</f>
        <v>Very High</v>
      </c>
      <c r="AN629" t="str" cm="1">
        <f t="array" ref="AN629">_xlfn.SWITCH(CleanEmployeeData[[#This Row],[PerformanceRating]],1,"Low",2,"Good",3,"Excellent",4,"Outstanding","Unknown")</f>
        <v>Outstanding</v>
      </c>
      <c r="AO629" t="str" cm="1">
        <f t="array" ref="AO629">_xlfn.SWITCH(CleanEmployeeData[[#This Row],[WorkLifeBalance]],1,"Bad",2,"Good",3,"Better",4,"Best","Unknown")</f>
        <v>Better</v>
      </c>
      <c r="AP629">
        <f>IF(CleanEmployeeData[[#This Row],[Attrition]]="Yes",1,IF(CleanEmployeeData[[#This Row],[Attrition]]="No",0,""))</f>
        <v>0</v>
      </c>
      <c r="AQ629" t="str" cm="1">
        <f t="array" ref="AQ629">_xlfn.IFS(CleanEmployeeData[[#This Row],[MonthlyIncome]]&lt;=3000,"0–3,000",CleanEmployeeData[[#This Row],[MonthlyIncome]]&lt;=6000,"3,001–6,000",CleanEmployeeData[[#This Row],[MonthlyIncome]]&lt;=10000,"6,001–10,000",TRUE,"10,001+")</f>
        <v>10,001+</v>
      </c>
      <c r="AR629" t="str" cm="1">
        <f t="array" ref="AR629">_xlfn.IFS(CleanEmployeeData[[#This Row],[DistanceFromHome]]&lt;=5,"0–5 miles",CleanEmployeeData[[#This Row],[DistanceFromHome]]&lt;=10,"6–10 miles",CleanEmployeeData[[#This Row],[DistanceFromHome]]&lt;=15,"11–15 miles",TRUE,"16+ miles")</f>
        <v>16+ miles</v>
      </c>
      <c r="AS629" t="str" cm="1">
        <f t="array" ref="AS629">_xlfn.IFS(CleanEmployeeData[[#This Row],[YearsAtCompany]]&lt;=1,"0–1 years",CleanEmployeeData[[#This Row],[YearsAtCompany]]&lt;=5,"2–5 years",CleanEmployeeData[[#This Row],[YearsAtCompany]]&lt;=10,"6–10 years",TRUE,"11+ years")</f>
        <v>6–10 years</v>
      </c>
    </row>
    <row r="630" spans="1:4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cm="1">
        <f t="array" ref="AJ630">_xlfn.SWITCH(CleanEmployeeData[[#This Row],[Education]],1,"Below College",2,"College",3,"Bachelor",4,"Master",5,"Doctor","Unknown")</f>
        <v>Master</v>
      </c>
      <c r="AK630" t="str" cm="1">
        <f t="array" ref="AK630">_xlfn.SWITCH(CleanEmployeeData[[#This Row],[EnvironmentSatisfaction]],1,"Low",2,"Medium",3,"High",4,"Very High","Unknown")</f>
        <v>Very High</v>
      </c>
      <c r="AL630" t="str" cm="1">
        <f t="array" ref="AL630">_xlfn.SWITCH(CleanEmployeeData[[#This Row],[JobInvolvement]],1,"Low",2,"Medium",3,"High",4,"Very High","Unknown")</f>
        <v>Medium</v>
      </c>
      <c r="AM630" t="str" cm="1">
        <f t="array" ref="AM630">_xlfn.SWITCH(CleanEmployeeData[[#This Row],[JobSatisfaction]],1,"Low",2,"Medium",3,"High",4,"Very High","Unknown")</f>
        <v>High</v>
      </c>
      <c r="AN630" t="str" cm="1">
        <f t="array" ref="AN630">_xlfn.SWITCH(CleanEmployeeData[[#This Row],[PerformanceRating]],1,"Low",2,"Good",3,"Excellent",4,"Outstanding","Unknown")</f>
        <v>Excellent</v>
      </c>
      <c r="AO630" t="str" cm="1">
        <f t="array" ref="AO630">_xlfn.SWITCH(CleanEmployeeData[[#This Row],[WorkLifeBalance]],1,"Bad",2,"Good",3,"Better",4,"Best","Unknown")</f>
        <v>Better</v>
      </c>
      <c r="AP630">
        <f>IF(CleanEmployeeData[[#This Row],[Attrition]]="Yes",1,IF(CleanEmployeeData[[#This Row],[Attrition]]="No",0,""))</f>
        <v>0</v>
      </c>
      <c r="AQ630" t="str" cm="1">
        <f t="array" ref="AQ630">_xlfn.IFS(CleanEmployeeData[[#This Row],[MonthlyIncome]]&lt;=3000,"0–3,000",CleanEmployeeData[[#This Row],[MonthlyIncome]]&lt;=6000,"3,001–6,000",CleanEmployeeData[[#This Row],[MonthlyIncome]]&lt;=10000,"6,001–10,000",TRUE,"10,001+")</f>
        <v>6,001–10,000</v>
      </c>
      <c r="AR630" t="str" cm="1">
        <f t="array" ref="AR630">_xlfn.IFS(CleanEmployeeData[[#This Row],[DistanceFromHome]]&lt;=5,"0–5 miles",CleanEmployeeData[[#This Row],[DistanceFromHome]]&lt;=10,"6–10 miles",CleanEmployeeData[[#This Row],[DistanceFromHome]]&lt;=15,"11–15 miles",TRUE,"16+ miles")</f>
        <v>16+ miles</v>
      </c>
      <c r="AS630" t="str" cm="1">
        <f t="array" ref="AS630">_xlfn.IFS(CleanEmployeeData[[#This Row],[YearsAtCompany]]&lt;=1,"0–1 years",CleanEmployeeData[[#This Row],[YearsAtCompany]]&lt;=5,"2–5 years",CleanEmployeeData[[#This Row],[YearsAtCompany]]&lt;=10,"6–10 years",TRUE,"11+ years")</f>
        <v>0–1 years</v>
      </c>
    </row>
    <row r="631" spans="1:4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cm="1">
        <f t="array" ref="AJ631">_xlfn.SWITCH(CleanEmployeeData[[#This Row],[Education]],1,"Below College",2,"College",3,"Bachelor",4,"Master",5,"Doctor","Unknown")</f>
        <v>College</v>
      </c>
      <c r="AK631" t="str" cm="1">
        <f t="array" ref="AK631">_xlfn.SWITCH(CleanEmployeeData[[#This Row],[EnvironmentSatisfaction]],1,"Low",2,"Medium",3,"High",4,"Very High","Unknown")</f>
        <v>Medium</v>
      </c>
      <c r="AL631" t="str" cm="1">
        <f t="array" ref="AL631">_xlfn.SWITCH(CleanEmployeeData[[#This Row],[JobInvolvement]],1,"Low",2,"Medium",3,"High",4,"Very High","Unknown")</f>
        <v>Medium</v>
      </c>
      <c r="AM631" t="str" cm="1">
        <f t="array" ref="AM631">_xlfn.SWITCH(CleanEmployeeData[[#This Row],[JobSatisfaction]],1,"Low",2,"Medium",3,"High",4,"Very High","Unknown")</f>
        <v>Very High</v>
      </c>
      <c r="AN631" t="str" cm="1">
        <f t="array" ref="AN631">_xlfn.SWITCH(CleanEmployeeData[[#This Row],[PerformanceRating]],1,"Low",2,"Good",3,"Excellent",4,"Outstanding","Unknown")</f>
        <v>Excellent</v>
      </c>
      <c r="AO631" t="str" cm="1">
        <f t="array" ref="AO631">_xlfn.SWITCH(CleanEmployeeData[[#This Row],[WorkLifeBalance]],1,"Bad",2,"Good",3,"Better",4,"Best","Unknown")</f>
        <v>Better</v>
      </c>
      <c r="AP631">
        <f>IF(CleanEmployeeData[[#This Row],[Attrition]]="Yes",1,IF(CleanEmployeeData[[#This Row],[Attrition]]="No",0,""))</f>
        <v>0</v>
      </c>
      <c r="AQ631" t="str" cm="1">
        <f t="array" ref="AQ631">_xlfn.IFS(CleanEmployeeData[[#This Row],[MonthlyIncome]]&lt;=3000,"0–3,000",CleanEmployeeData[[#This Row],[MonthlyIncome]]&lt;=6000,"3,001–6,000",CleanEmployeeData[[#This Row],[MonthlyIncome]]&lt;=10000,"6,001–10,000",TRUE,"10,001+")</f>
        <v>3,001–6,000</v>
      </c>
      <c r="AR631" t="str" cm="1">
        <f t="array" ref="AR631">_xlfn.IFS(CleanEmployeeData[[#This Row],[DistanceFromHome]]&lt;=5,"0–5 miles",CleanEmployeeData[[#This Row],[DistanceFromHome]]&lt;=10,"6–10 miles",CleanEmployeeData[[#This Row],[DistanceFromHome]]&lt;=15,"11–15 miles",TRUE,"16+ miles")</f>
        <v>6–10 miles</v>
      </c>
      <c r="AS631" t="str" cm="1">
        <f t="array" ref="AS631">_xlfn.IFS(CleanEmployeeData[[#This Row],[YearsAtCompany]]&lt;=1,"0–1 years",CleanEmployeeData[[#This Row],[YearsAtCompany]]&lt;=5,"2–5 years",CleanEmployeeData[[#This Row],[YearsAtCompany]]&lt;=10,"6–10 years",TRUE,"11+ years")</f>
        <v>2–5 years</v>
      </c>
    </row>
    <row r="632" spans="1:4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cm="1">
        <f t="array" ref="AJ632">_xlfn.SWITCH(CleanEmployeeData[[#This Row],[Education]],1,"Below College",2,"College",3,"Bachelor",4,"Master",5,"Doctor","Unknown")</f>
        <v>College</v>
      </c>
      <c r="AK632" t="str" cm="1">
        <f t="array" ref="AK632">_xlfn.SWITCH(CleanEmployeeData[[#This Row],[EnvironmentSatisfaction]],1,"Low",2,"Medium",3,"High",4,"Very High","Unknown")</f>
        <v>Very High</v>
      </c>
      <c r="AL632" t="str" cm="1">
        <f t="array" ref="AL632">_xlfn.SWITCH(CleanEmployeeData[[#This Row],[JobInvolvement]],1,"Low",2,"Medium",3,"High",4,"Very High","Unknown")</f>
        <v>Medium</v>
      </c>
      <c r="AM632" t="str" cm="1">
        <f t="array" ref="AM632">_xlfn.SWITCH(CleanEmployeeData[[#This Row],[JobSatisfaction]],1,"Low",2,"Medium",3,"High",4,"Very High","Unknown")</f>
        <v>Very High</v>
      </c>
      <c r="AN632" t="str" cm="1">
        <f t="array" ref="AN632">_xlfn.SWITCH(CleanEmployeeData[[#This Row],[PerformanceRating]],1,"Low",2,"Good",3,"Excellent",4,"Outstanding","Unknown")</f>
        <v>Outstanding</v>
      </c>
      <c r="AO632" t="str" cm="1">
        <f t="array" ref="AO632">_xlfn.SWITCH(CleanEmployeeData[[#This Row],[WorkLifeBalance]],1,"Bad",2,"Good",3,"Better",4,"Best","Unknown")</f>
        <v>Bad</v>
      </c>
      <c r="AP632">
        <f>IF(CleanEmployeeData[[#This Row],[Attrition]]="Yes",1,IF(CleanEmployeeData[[#This Row],[Attrition]]="No",0,""))</f>
        <v>0</v>
      </c>
      <c r="AQ632" t="str" cm="1">
        <f t="array" ref="AQ632">_xlfn.IFS(CleanEmployeeData[[#This Row],[MonthlyIncome]]&lt;=3000,"0–3,000",CleanEmployeeData[[#This Row],[MonthlyIncome]]&lt;=6000,"3,001–6,000",CleanEmployeeData[[#This Row],[MonthlyIncome]]&lt;=10000,"6,001–10,000",TRUE,"10,001+")</f>
        <v>3,001–6,000</v>
      </c>
      <c r="AR632" t="str" cm="1">
        <f t="array" ref="AR632">_xlfn.IFS(CleanEmployeeData[[#This Row],[DistanceFromHome]]&lt;=5,"0–5 miles",CleanEmployeeData[[#This Row],[DistanceFromHome]]&lt;=10,"6–10 miles",CleanEmployeeData[[#This Row],[DistanceFromHome]]&lt;=15,"11–15 miles",TRUE,"16+ miles")</f>
        <v>0–5 miles</v>
      </c>
      <c r="AS632" t="str" cm="1">
        <f t="array" ref="AS632">_xlfn.IFS(CleanEmployeeData[[#This Row],[YearsAtCompany]]&lt;=1,"0–1 years",CleanEmployeeData[[#This Row],[YearsAtCompany]]&lt;=5,"2–5 years",CleanEmployeeData[[#This Row],[YearsAtCompany]]&lt;=10,"6–10 years",TRUE,"11+ years")</f>
        <v>2–5 years</v>
      </c>
    </row>
    <row r="633" spans="1:4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cm="1">
        <f t="array" ref="AJ633">_xlfn.SWITCH(CleanEmployeeData[[#This Row],[Education]],1,"Below College",2,"College",3,"Bachelor",4,"Master",5,"Doctor","Unknown")</f>
        <v>Master</v>
      </c>
      <c r="AK633" t="str" cm="1">
        <f t="array" ref="AK633">_xlfn.SWITCH(CleanEmployeeData[[#This Row],[EnvironmentSatisfaction]],1,"Low",2,"Medium",3,"High",4,"Very High","Unknown")</f>
        <v>Low</v>
      </c>
      <c r="AL633" t="str" cm="1">
        <f t="array" ref="AL633">_xlfn.SWITCH(CleanEmployeeData[[#This Row],[JobInvolvement]],1,"Low",2,"Medium",3,"High",4,"Very High","Unknown")</f>
        <v>Very High</v>
      </c>
      <c r="AM633" t="str" cm="1">
        <f t="array" ref="AM633">_xlfn.SWITCH(CleanEmployeeData[[#This Row],[JobSatisfaction]],1,"Low",2,"Medium",3,"High",4,"Very High","Unknown")</f>
        <v>Very High</v>
      </c>
      <c r="AN633" t="str" cm="1">
        <f t="array" ref="AN633">_xlfn.SWITCH(CleanEmployeeData[[#This Row],[PerformanceRating]],1,"Low",2,"Good",3,"Excellent",4,"Outstanding","Unknown")</f>
        <v>Outstanding</v>
      </c>
      <c r="AO633" t="str" cm="1">
        <f t="array" ref="AO633">_xlfn.SWITCH(CleanEmployeeData[[#This Row],[WorkLifeBalance]],1,"Bad",2,"Good",3,"Better",4,"Best","Unknown")</f>
        <v>Good</v>
      </c>
      <c r="AP633">
        <f>IF(CleanEmployeeData[[#This Row],[Attrition]]="Yes",1,IF(CleanEmployeeData[[#This Row],[Attrition]]="No",0,""))</f>
        <v>0</v>
      </c>
      <c r="AQ633" t="str" cm="1">
        <f t="array" ref="AQ633">_xlfn.IFS(CleanEmployeeData[[#This Row],[MonthlyIncome]]&lt;=3000,"0–3,000",CleanEmployeeData[[#This Row],[MonthlyIncome]]&lt;=6000,"3,001–6,000",CleanEmployeeData[[#This Row],[MonthlyIncome]]&lt;=10000,"6,001–10,000",TRUE,"10,001+")</f>
        <v>0–3,000</v>
      </c>
      <c r="AR633" t="str" cm="1">
        <f t="array" ref="AR633">_xlfn.IFS(CleanEmployeeData[[#This Row],[DistanceFromHome]]&lt;=5,"0–5 miles",CleanEmployeeData[[#This Row],[DistanceFromHome]]&lt;=10,"6–10 miles",CleanEmployeeData[[#This Row],[DistanceFromHome]]&lt;=15,"11–15 miles",TRUE,"16+ miles")</f>
        <v>6–10 miles</v>
      </c>
      <c r="AS633" t="str" cm="1">
        <f t="array" ref="AS633">_xlfn.IFS(CleanEmployeeData[[#This Row],[YearsAtCompany]]&lt;=1,"0–1 years",CleanEmployeeData[[#This Row],[YearsAtCompany]]&lt;=5,"2–5 years",CleanEmployeeData[[#This Row],[YearsAtCompany]]&lt;=10,"6–10 years",TRUE,"11+ years")</f>
        <v>2–5 years</v>
      </c>
    </row>
    <row r="634" spans="1:4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cm="1">
        <f t="array" ref="AJ634">_xlfn.SWITCH(CleanEmployeeData[[#This Row],[Education]],1,"Below College",2,"College",3,"Bachelor",4,"Master",5,"Doctor","Unknown")</f>
        <v>Below College</v>
      </c>
      <c r="AK634" t="str" cm="1">
        <f t="array" ref="AK634">_xlfn.SWITCH(CleanEmployeeData[[#This Row],[EnvironmentSatisfaction]],1,"Low",2,"Medium",3,"High",4,"Very High","Unknown")</f>
        <v>Medium</v>
      </c>
      <c r="AL634" t="str" cm="1">
        <f t="array" ref="AL634">_xlfn.SWITCH(CleanEmployeeData[[#This Row],[JobInvolvement]],1,"Low",2,"Medium",3,"High",4,"Very High","Unknown")</f>
        <v>High</v>
      </c>
      <c r="AM634" t="str" cm="1">
        <f t="array" ref="AM634">_xlfn.SWITCH(CleanEmployeeData[[#This Row],[JobSatisfaction]],1,"Low",2,"Medium",3,"High",4,"Very High","Unknown")</f>
        <v>Very High</v>
      </c>
      <c r="AN634" t="str" cm="1">
        <f t="array" ref="AN634">_xlfn.SWITCH(CleanEmployeeData[[#This Row],[PerformanceRating]],1,"Low",2,"Good",3,"Excellent",4,"Outstanding","Unknown")</f>
        <v>Excellent</v>
      </c>
      <c r="AO634" t="str" cm="1">
        <f t="array" ref="AO634">_xlfn.SWITCH(CleanEmployeeData[[#This Row],[WorkLifeBalance]],1,"Bad",2,"Good",3,"Better",4,"Best","Unknown")</f>
        <v>Better</v>
      </c>
      <c r="AP634">
        <f>IF(CleanEmployeeData[[#This Row],[Attrition]]="Yes",1,IF(CleanEmployeeData[[#This Row],[Attrition]]="No",0,""))</f>
        <v>0</v>
      </c>
      <c r="AQ634" t="str" cm="1">
        <f t="array" ref="AQ634">_xlfn.IFS(CleanEmployeeData[[#This Row],[MonthlyIncome]]&lt;=3000,"0–3,000",CleanEmployeeData[[#This Row],[MonthlyIncome]]&lt;=6000,"3,001–6,000",CleanEmployeeData[[#This Row],[MonthlyIncome]]&lt;=10000,"6,001–10,000",TRUE,"10,001+")</f>
        <v>0–3,000</v>
      </c>
      <c r="AR634" t="str" cm="1">
        <f t="array" ref="AR634">_xlfn.IFS(CleanEmployeeData[[#This Row],[DistanceFromHome]]&lt;=5,"0–5 miles",CleanEmployeeData[[#This Row],[DistanceFromHome]]&lt;=10,"6–10 miles",CleanEmployeeData[[#This Row],[DistanceFromHome]]&lt;=15,"11–15 miles",TRUE,"16+ miles")</f>
        <v>0–5 miles</v>
      </c>
      <c r="AS634" t="str" cm="1">
        <f t="array" ref="AS634">_xlfn.IFS(CleanEmployeeData[[#This Row],[YearsAtCompany]]&lt;=1,"0–1 years",CleanEmployeeData[[#This Row],[YearsAtCompany]]&lt;=5,"2–5 years",CleanEmployeeData[[#This Row],[YearsAtCompany]]&lt;=10,"6–10 years",TRUE,"11+ years")</f>
        <v>2–5 years</v>
      </c>
    </row>
    <row r="635" spans="1:4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cm="1">
        <f t="array" ref="AJ635">_xlfn.SWITCH(CleanEmployeeData[[#This Row],[Education]],1,"Below College",2,"College",3,"Bachelor",4,"Master",5,"Doctor","Unknown")</f>
        <v>Bachelor</v>
      </c>
      <c r="AK635" t="str" cm="1">
        <f t="array" ref="AK635">_xlfn.SWITCH(CleanEmployeeData[[#This Row],[EnvironmentSatisfaction]],1,"Low",2,"Medium",3,"High",4,"Very High","Unknown")</f>
        <v>Low</v>
      </c>
      <c r="AL635" t="str" cm="1">
        <f t="array" ref="AL635">_xlfn.SWITCH(CleanEmployeeData[[#This Row],[JobInvolvement]],1,"Low",2,"Medium",3,"High",4,"Very High","Unknown")</f>
        <v>Medium</v>
      </c>
      <c r="AM635" t="str" cm="1">
        <f t="array" ref="AM635">_xlfn.SWITCH(CleanEmployeeData[[#This Row],[JobSatisfaction]],1,"Low",2,"Medium",3,"High",4,"Very High","Unknown")</f>
        <v>Low</v>
      </c>
      <c r="AN635" t="str" cm="1">
        <f t="array" ref="AN635">_xlfn.SWITCH(CleanEmployeeData[[#This Row],[PerformanceRating]],1,"Low",2,"Good",3,"Excellent",4,"Outstanding","Unknown")</f>
        <v>Outstanding</v>
      </c>
      <c r="AO635" t="str" cm="1">
        <f t="array" ref="AO635">_xlfn.SWITCH(CleanEmployeeData[[#This Row],[WorkLifeBalance]],1,"Bad",2,"Good",3,"Better",4,"Best","Unknown")</f>
        <v>Better</v>
      </c>
      <c r="AP635">
        <f>IF(CleanEmployeeData[[#This Row],[Attrition]]="Yes",1,IF(CleanEmployeeData[[#This Row],[Attrition]]="No",0,""))</f>
        <v>0</v>
      </c>
      <c r="AQ635" t="str" cm="1">
        <f t="array" ref="AQ635">_xlfn.IFS(CleanEmployeeData[[#This Row],[MonthlyIncome]]&lt;=3000,"0–3,000",CleanEmployeeData[[#This Row],[MonthlyIncome]]&lt;=6000,"3,001–6,000",CleanEmployeeData[[#This Row],[MonthlyIncome]]&lt;=10000,"6,001–10,000",TRUE,"10,001+")</f>
        <v>0–3,000</v>
      </c>
      <c r="AR635" t="str" cm="1">
        <f t="array" ref="AR635">_xlfn.IFS(CleanEmployeeData[[#This Row],[DistanceFromHome]]&lt;=5,"0–5 miles",CleanEmployeeData[[#This Row],[DistanceFromHome]]&lt;=10,"6–10 miles",CleanEmployeeData[[#This Row],[DistanceFromHome]]&lt;=15,"11–15 miles",TRUE,"16+ miles")</f>
        <v>6–10 miles</v>
      </c>
      <c r="AS635" t="str" cm="1">
        <f t="array" ref="AS635">_xlfn.IFS(CleanEmployeeData[[#This Row],[YearsAtCompany]]&lt;=1,"0–1 years",CleanEmployeeData[[#This Row],[YearsAtCompany]]&lt;=5,"2–5 years",CleanEmployeeData[[#This Row],[YearsAtCompany]]&lt;=10,"6–10 years",TRUE,"11+ years")</f>
        <v>2–5 years</v>
      </c>
    </row>
    <row r="636" spans="1:4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cm="1">
        <f t="array" ref="AJ636">_xlfn.SWITCH(CleanEmployeeData[[#This Row],[Education]],1,"Below College",2,"College",3,"Bachelor",4,"Master",5,"Doctor","Unknown")</f>
        <v>Below College</v>
      </c>
      <c r="AK636" t="str" cm="1">
        <f t="array" ref="AK636">_xlfn.SWITCH(CleanEmployeeData[[#This Row],[EnvironmentSatisfaction]],1,"Low",2,"Medium",3,"High",4,"Very High","Unknown")</f>
        <v>High</v>
      </c>
      <c r="AL636" t="str" cm="1">
        <f t="array" ref="AL636">_xlfn.SWITCH(CleanEmployeeData[[#This Row],[JobInvolvement]],1,"Low",2,"Medium",3,"High",4,"Very High","Unknown")</f>
        <v>High</v>
      </c>
      <c r="AM636" t="str" cm="1">
        <f t="array" ref="AM636">_xlfn.SWITCH(CleanEmployeeData[[#This Row],[JobSatisfaction]],1,"Low",2,"Medium",3,"High",4,"Very High","Unknown")</f>
        <v>Low</v>
      </c>
      <c r="AN636" t="str" cm="1">
        <f t="array" ref="AN636">_xlfn.SWITCH(CleanEmployeeData[[#This Row],[PerformanceRating]],1,"Low",2,"Good",3,"Excellent",4,"Outstanding","Unknown")</f>
        <v>Excellent</v>
      </c>
      <c r="AO636" t="str" cm="1">
        <f t="array" ref="AO636">_xlfn.SWITCH(CleanEmployeeData[[#This Row],[WorkLifeBalance]],1,"Bad",2,"Good",3,"Better",4,"Best","Unknown")</f>
        <v>Better</v>
      </c>
      <c r="AP636">
        <f>IF(CleanEmployeeData[[#This Row],[Attrition]]="Yes",1,IF(CleanEmployeeData[[#This Row],[Attrition]]="No",0,""))</f>
        <v>0</v>
      </c>
      <c r="AQ636" t="str" cm="1">
        <f t="array" ref="AQ636">_xlfn.IFS(CleanEmployeeData[[#This Row],[MonthlyIncome]]&lt;=3000,"0–3,000",CleanEmployeeData[[#This Row],[MonthlyIncome]]&lt;=6000,"3,001–6,000",CleanEmployeeData[[#This Row],[MonthlyIncome]]&lt;=10000,"6,001–10,000",TRUE,"10,001+")</f>
        <v>3,001–6,000</v>
      </c>
      <c r="AR636" t="str" cm="1">
        <f t="array" ref="AR636">_xlfn.IFS(CleanEmployeeData[[#This Row],[DistanceFromHome]]&lt;=5,"0–5 miles",CleanEmployeeData[[#This Row],[DistanceFromHome]]&lt;=10,"6–10 miles",CleanEmployeeData[[#This Row],[DistanceFromHome]]&lt;=15,"11–15 miles",TRUE,"16+ miles")</f>
        <v>0–5 miles</v>
      </c>
      <c r="AS636" t="str" cm="1">
        <f t="array" ref="AS636">_xlfn.IFS(CleanEmployeeData[[#This Row],[YearsAtCompany]]&lt;=1,"0–1 years",CleanEmployeeData[[#This Row],[YearsAtCompany]]&lt;=5,"2–5 years",CleanEmployeeData[[#This Row],[YearsAtCompany]]&lt;=10,"6–10 years",TRUE,"11+ years")</f>
        <v>2–5 years</v>
      </c>
    </row>
    <row r="637" spans="1:4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cm="1">
        <f t="array" ref="AJ637">_xlfn.SWITCH(CleanEmployeeData[[#This Row],[Education]],1,"Below College",2,"College",3,"Bachelor",4,"Master",5,"Doctor","Unknown")</f>
        <v>Bachelor</v>
      </c>
      <c r="AK637" t="str" cm="1">
        <f t="array" ref="AK637">_xlfn.SWITCH(CleanEmployeeData[[#This Row],[EnvironmentSatisfaction]],1,"Low",2,"Medium",3,"High",4,"Very High","Unknown")</f>
        <v>Very High</v>
      </c>
      <c r="AL637" t="str" cm="1">
        <f t="array" ref="AL637">_xlfn.SWITCH(CleanEmployeeData[[#This Row],[JobInvolvement]],1,"Low",2,"Medium",3,"High",4,"Very High","Unknown")</f>
        <v>Medium</v>
      </c>
      <c r="AM637" t="str" cm="1">
        <f t="array" ref="AM637">_xlfn.SWITCH(CleanEmployeeData[[#This Row],[JobSatisfaction]],1,"Low",2,"Medium",3,"High",4,"Very High","Unknown")</f>
        <v>High</v>
      </c>
      <c r="AN637" t="str" cm="1">
        <f t="array" ref="AN637">_xlfn.SWITCH(CleanEmployeeData[[#This Row],[PerformanceRating]],1,"Low",2,"Good",3,"Excellent",4,"Outstanding","Unknown")</f>
        <v>Outstanding</v>
      </c>
      <c r="AO637" t="str" cm="1">
        <f t="array" ref="AO637">_xlfn.SWITCH(CleanEmployeeData[[#This Row],[WorkLifeBalance]],1,"Bad",2,"Good",3,"Better",4,"Best","Unknown")</f>
        <v>Better</v>
      </c>
      <c r="AP637">
        <f>IF(CleanEmployeeData[[#This Row],[Attrition]]="Yes",1,IF(CleanEmployeeData[[#This Row],[Attrition]]="No",0,""))</f>
        <v>0</v>
      </c>
      <c r="AQ637" t="str" cm="1">
        <f t="array" ref="AQ637">_xlfn.IFS(CleanEmployeeData[[#This Row],[MonthlyIncome]]&lt;=3000,"0–3,000",CleanEmployeeData[[#This Row],[MonthlyIncome]]&lt;=6000,"3,001–6,000",CleanEmployeeData[[#This Row],[MonthlyIncome]]&lt;=10000,"6,001–10,000",TRUE,"10,001+")</f>
        <v>10,001+</v>
      </c>
      <c r="AR637" t="str" cm="1">
        <f t="array" ref="AR637">_xlfn.IFS(CleanEmployeeData[[#This Row],[DistanceFromHome]]&lt;=5,"0–5 miles",CleanEmployeeData[[#This Row],[DistanceFromHome]]&lt;=10,"6–10 miles",CleanEmployeeData[[#This Row],[DistanceFromHome]]&lt;=15,"11–15 miles",TRUE,"16+ miles")</f>
        <v>6–10 miles</v>
      </c>
      <c r="AS637" t="str" cm="1">
        <f t="array" ref="AS637">_xlfn.IFS(CleanEmployeeData[[#This Row],[YearsAtCompany]]&lt;=1,"0–1 years",CleanEmployeeData[[#This Row],[YearsAtCompany]]&lt;=5,"2–5 years",CleanEmployeeData[[#This Row],[YearsAtCompany]]&lt;=10,"6–10 years",TRUE,"11+ years")</f>
        <v>11+ years</v>
      </c>
    </row>
    <row r="638" spans="1:4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cm="1">
        <f t="array" ref="AJ638">_xlfn.SWITCH(CleanEmployeeData[[#This Row],[Education]],1,"Below College",2,"College",3,"Bachelor",4,"Master",5,"Doctor","Unknown")</f>
        <v>Master</v>
      </c>
      <c r="AK638" t="str" cm="1">
        <f t="array" ref="AK638">_xlfn.SWITCH(CleanEmployeeData[[#This Row],[EnvironmentSatisfaction]],1,"Low",2,"Medium",3,"High",4,"Very High","Unknown")</f>
        <v>Very High</v>
      </c>
      <c r="AL638" t="str" cm="1">
        <f t="array" ref="AL638">_xlfn.SWITCH(CleanEmployeeData[[#This Row],[JobInvolvement]],1,"Low",2,"Medium",3,"High",4,"Very High","Unknown")</f>
        <v>High</v>
      </c>
      <c r="AM638" t="str" cm="1">
        <f t="array" ref="AM638">_xlfn.SWITCH(CleanEmployeeData[[#This Row],[JobSatisfaction]],1,"Low",2,"Medium",3,"High",4,"Very High","Unknown")</f>
        <v>Medium</v>
      </c>
      <c r="AN638" t="str" cm="1">
        <f t="array" ref="AN638">_xlfn.SWITCH(CleanEmployeeData[[#This Row],[PerformanceRating]],1,"Low",2,"Good",3,"Excellent",4,"Outstanding","Unknown")</f>
        <v>Excellent</v>
      </c>
      <c r="AO638" t="str" cm="1">
        <f t="array" ref="AO638">_xlfn.SWITCH(CleanEmployeeData[[#This Row],[WorkLifeBalance]],1,"Bad",2,"Good",3,"Better",4,"Best","Unknown")</f>
        <v>Good</v>
      </c>
      <c r="AP638">
        <f>IF(CleanEmployeeData[[#This Row],[Attrition]]="Yes",1,IF(CleanEmployeeData[[#This Row],[Attrition]]="No",0,""))</f>
        <v>1</v>
      </c>
      <c r="AQ638" t="str" cm="1">
        <f t="array" ref="AQ638">_xlfn.IFS(CleanEmployeeData[[#This Row],[MonthlyIncome]]&lt;=3000,"0–3,000",CleanEmployeeData[[#This Row],[MonthlyIncome]]&lt;=6000,"3,001–6,000",CleanEmployeeData[[#This Row],[MonthlyIncome]]&lt;=10000,"6,001–10,000",TRUE,"10,001+")</f>
        <v>0–3,000</v>
      </c>
      <c r="AR638" t="str" cm="1">
        <f t="array" ref="AR638">_xlfn.IFS(CleanEmployeeData[[#This Row],[DistanceFromHome]]&lt;=5,"0–5 miles",CleanEmployeeData[[#This Row],[DistanceFromHome]]&lt;=10,"6–10 miles",CleanEmployeeData[[#This Row],[DistanceFromHome]]&lt;=15,"11–15 miles",TRUE,"16+ miles")</f>
        <v>16+ miles</v>
      </c>
      <c r="AS638" t="str" cm="1">
        <f t="array" ref="AS638">_xlfn.IFS(CleanEmployeeData[[#This Row],[YearsAtCompany]]&lt;=1,"0–1 years",CleanEmployeeData[[#This Row],[YearsAtCompany]]&lt;=5,"2–5 years",CleanEmployeeData[[#This Row],[YearsAtCompany]]&lt;=10,"6–10 years",TRUE,"11+ years")</f>
        <v>6–10 years</v>
      </c>
    </row>
    <row r="639" spans="1:4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cm="1">
        <f t="array" ref="AJ639">_xlfn.SWITCH(CleanEmployeeData[[#This Row],[Education]],1,"Below College",2,"College",3,"Bachelor",4,"Master",5,"Doctor","Unknown")</f>
        <v>Bachelor</v>
      </c>
      <c r="AK639" t="str" cm="1">
        <f t="array" ref="AK639">_xlfn.SWITCH(CleanEmployeeData[[#This Row],[EnvironmentSatisfaction]],1,"Low",2,"Medium",3,"High",4,"Very High","Unknown")</f>
        <v>Very High</v>
      </c>
      <c r="AL639" t="str" cm="1">
        <f t="array" ref="AL639">_xlfn.SWITCH(CleanEmployeeData[[#This Row],[JobInvolvement]],1,"Low",2,"Medium",3,"High",4,"Very High","Unknown")</f>
        <v>High</v>
      </c>
      <c r="AM639" t="str" cm="1">
        <f t="array" ref="AM639">_xlfn.SWITCH(CleanEmployeeData[[#This Row],[JobSatisfaction]],1,"Low",2,"Medium",3,"High",4,"Very High","Unknown")</f>
        <v>Very High</v>
      </c>
      <c r="AN639" t="str" cm="1">
        <f t="array" ref="AN639">_xlfn.SWITCH(CleanEmployeeData[[#This Row],[PerformanceRating]],1,"Low",2,"Good",3,"Excellent",4,"Outstanding","Unknown")</f>
        <v>Excellent</v>
      </c>
      <c r="AO639" t="str" cm="1">
        <f t="array" ref="AO639">_xlfn.SWITCH(CleanEmployeeData[[#This Row],[WorkLifeBalance]],1,"Bad",2,"Good",3,"Better",4,"Best","Unknown")</f>
        <v>Better</v>
      </c>
      <c r="AP639">
        <f>IF(CleanEmployeeData[[#This Row],[Attrition]]="Yes",1,IF(CleanEmployeeData[[#This Row],[Attrition]]="No",0,""))</f>
        <v>0</v>
      </c>
      <c r="AQ639" t="str" cm="1">
        <f t="array" ref="AQ639">_xlfn.IFS(CleanEmployeeData[[#This Row],[MonthlyIncome]]&lt;=3000,"0–3,000",CleanEmployeeData[[#This Row],[MonthlyIncome]]&lt;=6000,"3,001–6,000",CleanEmployeeData[[#This Row],[MonthlyIncome]]&lt;=10000,"6,001–10,000",TRUE,"10,001+")</f>
        <v>0–3,000</v>
      </c>
      <c r="AR639" t="str" cm="1">
        <f t="array" ref="AR639">_xlfn.IFS(CleanEmployeeData[[#This Row],[DistanceFromHome]]&lt;=5,"0–5 miles",CleanEmployeeData[[#This Row],[DistanceFromHome]]&lt;=10,"6–10 miles",CleanEmployeeData[[#This Row],[DistanceFromHome]]&lt;=15,"11–15 miles",TRUE,"16+ miles")</f>
        <v>0–5 miles</v>
      </c>
      <c r="AS639" t="str" cm="1">
        <f t="array" ref="AS639">_xlfn.IFS(CleanEmployeeData[[#This Row],[YearsAtCompany]]&lt;=1,"0–1 years",CleanEmployeeData[[#This Row],[YearsAtCompany]]&lt;=5,"2–5 years",CleanEmployeeData[[#This Row],[YearsAtCompany]]&lt;=10,"6–10 years",TRUE,"11+ years")</f>
        <v>2–5 years</v>
      </c>
    </row>
    <row r="640" spans="1:4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cm="1">
        <f t="array" ref="AJ640">_xlfn.SWITCH(CleanEmployeeData[[#This Row],[Education]],1,"Below College",2,"College",3,"Bachelor",4,"Master",5,"Doctor","Unknown")</f>
        <v>Below College</v>
      </c>
      <c r="AK640" t="str" cm="1">
        <f t="array" ref="AK640">_xlfn.SWITCH(CleanEmployeeData[[#This Row],[EnvironmentSatisfaction]],1,"Low",2,"Medium",3,"High",4,"Very High","Unknown")</f>
        <v>High</v>
      </c>
      <c r="AL640" t="str" cm="1">
        <f t="array" ref="AL640">_xlfn.SWITCH(CleanEmployeeData[[#This Row],[JobInvolvement]],1,"Low",2,"Medium",3,"High",4,"Very High","Unknown")</f>
        <v>Medium</v>
      </c>
      <c r="AM640" t="str" cm="1">
        <f t="array" ref="AM640">_xlfn.SWITCH(CleanEmployeeData[[#This Row],[JobSatisfaction]],1,"Low",2,"Medium",3,"High",4,"Very High","Unknown")</f>
        <v>Low</v>
      </c>
      <c r="AN640" t="str" cm="1">
        <f t="array" ref="AN640">_xlfn.SWITCH(CleanEmployeeData[[#This Row],[PerformanceRating]],1,"Low",2,"Good",3,"Excellent",4,"Outstanding","Unknown")</f>
        <v>Excellent</v>
      </c>
      <c r="AO640" t="str" cm="1">
        <f t="array" ref="AO640">_xlfn.SWITCH(CleanEmployeeData[[#This Row],[WorkLifeBalance]],1,"Bad",2,"Good",3,"Better",4,"Best","Unknown")</f>
        <v>Best</v>
      </c>
      <c r="AP640">
        <f>IF(CleanEmployeeData[[#This Row],[Attrition]]="Yes",1,IF(CleanEmployeeData[[#This Row],[Attrition]]="No",0,""))</f>
        <v>0</v>
      </c>
      <c r="AQ640" t="str" cm="1">
        <f t="array" ref="AQ640">_xlfn.IFS(CleanEmployeeData[[#This Row],[MonthlyIncome]]&lt;=3000,"0–3,000",CleanEmployeeData[[#This Row],[MonthlyIncome]]&lt;=6000,"3,001–6,000",CleanEmployeeData[[#This Row],[MonthlyIncome]]&lt;=10000,"6,001–10,000",TRUE,"10,001+")</f>
        <v>3,001–6,000</v>
      </c>
      <c r="AR640" t="str" cm="1">
        <f t="array" ref="AR640">_xlfn.IFS(CleanEmployeeData[[#This Row],[DistanceFromHome]]&lt;=5,"0–5 miles",CleanEmployeeData[[#This Row],[DistanceFromHome]]&lt;=10,"6–10 miles",CleanEmployeeData[[#This Row],[DistanceFromHome]]&lt;=15,"11–15 miles",TRUE,"16+ miles")</f>
        <v>0–5 miles</v>
      </c>
      <c r="AS640" t="str" cm="1">
        <f t="array" ref="AS640">_xlfn.IFS(CleanEmployeeData[[#This Row],[YearsAtCompany]]&lt;=1,"0–1 years",CleanEmployeeData[[#This Row],[YearsAtCompany]]&lt;=5,"2–5 years",CleanEmployeeData[[#This Row],[YearsAtCompany]]&lt;=10,"6–10 years",TRUE,"11+ years")</f>
        <v>2–5 years</v>
      </c>
    </row>
    <row r="641" spans="1:4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cm="1">
        <f t="array" ref="AJ641">_xlfn.SWITCH(CleanEmployeeData[[#This Row],[Education]],1,"Below College",2,"College",3,"Bachelor",4,"Master",5,"Doctor","Unknown")</f>
        <v>Bachelor</v>
      </c>
      <c r="AK641" t="str" cm="1">
        <f t="array" ref="AK641">_xlfn.SWITCH(CleanEmployeeData[[#This Row],[EnvironmentSatisfaction]],1,"Low",2,"Medium",3,"High",4,"Very High","Unknown")</f>
        <v>High</v>
      </c>
      <c r="AL641" t="str" cm="1">
        <f t="array" ref="AL641">_xlfn.SWITCH(CleanEmployeeData[[#This Row],[JobInvolvement]],1,"Low",2,"Medium",3,"High",4,"Very High","Unknown")</f>
        <v>High</v>
      </c>
      <c r="AM641" t="str" cm="1">
        <f t="array" ref="AM641">_xlfn.SWITCH(CleanEmployeeData[[#This Row],[JobSatisfaction]],1,"Low",2,"Medium",3,"High",4,"Very High","Unknown")</f>
        <v>Low</v>
      </c>
      <c r="AN641" t="str" cm="1">
        <f t="array" ref="AN641">_xlfn.SWITCH(CleanEmployeeData[[#This Row],[PerformanceRating]],1,"Low",2,"Good",3,"Excellent",4,"Outstanding","Unknown")</f>
        <v>Excellent</v>
      </c>
      <c r="AO641" t="str" cm="1">
        <f t="array" ref="AO641">_xlfn.SWITCH(CleanEmployeeData[[#This Row],[WorkLifeBalance]],1,"Bad",2,"Good",3,"Better",4,"Best","Unknown")</f>
        <v>Better</v>
      </c>
      <c r="AP641">
        <f>IF(CleanEmployeeData[[#This Row],[Attrition]]="Yes",1,IF(CleanEmployeeData[[#This Row],[Attrition]]="No",0,""))</f>
        <v>0</v>
      </c>
      <c r="AQ641" t="str" cm="1">
        <f t="array" ref="AQ641">_xlfn.IFS(CleanEmployeeData[[#This Row],[MonthlyIncome]]&lt;=3000,"0–3,000",CleanEmployeeData[[#This Row],[MonthlyIncome]]&lt;=6000,"3,001–6,000",CleanEmployeeData[[#This Row],[MonthlyIncome]]&lt;=10000,"6,001–10,000",TRUE,"10,001+")</f>
        <v>3,001–6,000</v>
      </c>
      <c r="AR641" t="str" cm="1">
        <f t="array" ref="AR641">_xlfn.IFS(CleanEmployeeData[[#This Row],[DistanceFromHome]]&lt;=5,"0–5 miles",CleanEmployeeData[[#This Row],[DistanceFromHome]]&lt;=10,"6–10 miles",CleanEmployeeData[[#This Row],[DistanceFromHome]]&lt;=15,"11–15 miles",TRUE,"16+ miles")</f>
        <v>0–5 miles</v>
      </c>
      <c r="AS641" t="str" cm="1">
        <f t="array" ref="AS641">_xlfn.IFS(CleanEmployeeData[[#This Row],[YearsAtCompany]]&lt;=1,"0–1 years",CleanEmployeeData[[#This Row],[YearsAtCompany]]&lt;=5,"2–5 years",CleanEmployeeData[[#This Row],[YearsAtCompany]]&lt;=10,"6–10 years",TRUE,"11+ years")</f>
        <v>2–5 years</v>
      </c>
    </row>
    <row r="642" spans="1:4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cm="1">
        <f t="array" ref="AJ642">_xlfn.SWITCH(CleanEmployeeData[[#This Row],[Education]],1,"Below College",2,"College",3,"Bachelor",4,"Master",5,"Doctor","Unknown")</f>
        <v>Below College</v>
      </c>
      <c r="AK642" t="str" cm="1">
        <f t="array" ref="AK642">_xlfn.SWITCH(CleanEmployeeData[[#This Row],[EnvironmentSatisfaction]],1,"Low",2,"Medium",3,"High",4,"Very High","Unknown")</f>
        <v>Low</v>
      </c>
      <c r="AL642" t="str" cm="1">
        <f t="array" ref="AL642">_xlfn.SWITCH(CleanEmployeeData[[#This Row],[JobInvolvement]],1,"Low",2,"Medium",3,"High",4,"Very High","Unknown")</f>
        <v>Medium</v>
      </c>
      <c r="AM642" t="str" cm="1">
        <f t="array" ref="AM642">_xlfn.SWITCH(CleanEmployeeData[[#This Row],[JobSatisfaction]],1,"Low",2,"Medium",3,"High",4,"Very High","Unknown")</f>
        <v>Very High</v>
      </c>
      <c r="AN642" t="str" cm="1">
        <f t="array" ref="AN642">_xlfn.SWITCH(CleanEmployeeData[[#This Row],[PerformanceRating]],1,"Low",2,"Good",3,"Excellent",4,"Outstanding","Unknown")</f>
        <v>Excellent</v>
      </c>
      <c r="AO642" t="str" cm="1">
        <f t="array" ref="AO642">_xlfn.SWITCH(CleanEmployeeData[[#This Row],[WorkLifeBalance]],1,"Bad",2,"Good",3,"Better",4,"Best","Unknown")</f>
        <v>Good</v>
      </c>
      <c r="AP642">
        <f>IF(CleanEmployeeData[[#This Row],[Attrition]]="Yes",1,IF(CleanEmployeeData[[#This Row],[Attrition]]="No",0,""))</f>
        <v>0</v>
      </c>
      <c r="AQ642" t="str" cm="1">
        <f t="array" ref="AQ642">_xlfn.IFS(CleanEmployeeData[[#This Row],[MonthlyIncome]]&lt;=3000,"0–3,000",CleanEmployeeData[[#This Row],[MonthlyIncome]]&lt;=6000,"3,001–6,000",CleanEmployeeData[[#This Row],[MonthlyIncome]]&lt;=10000,"6,001–10,000",TRUE,"10,001+")</f>
        <v>3,001–6,000</v>
      </c>
      <c r="AR642" t="str" cm="1">
        <f t="array" ref="AR642">_xlfn.IFS(CleanEmployeeData[[#This Row],[DistanceFromHome]]&lt;=5,"0–5 miles",CleanEmployeeData[[#This Row],[DistanceFromHome]]&lt;=10,"6–10 miles",CleanEmployeeData[[#This Row],[DistanceFromHome]]&lt;=15,"11–15 miles",TRUE,"16+ miles")</f>
        <v>0–5 miles</v>
      </c>
      <c r="AS642" t="str" cm="1">
        <f t="array" ref="AS642">_xlfn.IFS(CleanEmployeeData[[#This Row],[YearsAtCompany]]&lt;=1,"0–1 years",CleanEmployeeData[[#This Row],[YearsAtCompany]]&lt;=5,"2–5 years",CleanEmployeeData[[#This Row],[YearsAtCompany]]&lt;=10,"6–10 years",TRUE,"11+ years")</f>
        <v>2–5 years</v>
      </c>
    </row>
    <row r="643" spans="1:4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cm="1">
        <f t="array" ref="AJ643">_xlfn.SWITCH(CleanEmployeeData[[#This Row],[Education]],1,"Below College",2,"College",3,"Bachelor",4,"Master",5,"Doctor","Unknown")</f>
        <v>College</v>
      </c>
      <c r="AK643" t="str" cm="1">
        <f t="array" ref="AK643">_xlfn.SWITCH(CleanEmployeeData[[#This Row],[EnvironmentSatisfaction]],1,"Low",2,"Medium",3,"High",4,"Very High","Unknown")</f>
        <v>Medium</v>
      </c>
      <c r="AL643" t="str" cm="1">
        <f t="array" ref="AL643">_xlfn.SWITCH(CleanEmployeeData[[#This Row],[JobInvolvement]],1,"Low",2,"Medium",3,"High",4,"Very High","Unknown")</f>
        <v>High</v>
      </c>
      <c r="AM643" t="str" cm="1">
        <f t="array" ref="AM643">_xlfn.SWITCH(CleanEmployeeData[[#This Row],[JobSatisfaction]],1,"Low",2,"Medium",3,"High",4,"Very High","Unknown")</f>
        <v>Medium</v>
      </c>
      <c r="AN643" t="str" cm="1">
        <f t="array" ref="AN643">_xlfn.SWITCH(CleanEmployeeData[[#This Row],[PerformanceRating]],1,"Low",2,"Good",3,"Excellent",4,"Outstanding","Unknown")</f>
        <v>Excellent</v>
      </c>
      <c r="AO643" t="str" cm="1">
        <f t="array" ref="AO643">_xlfn.SWITCH(CleanEmployeeData[[#This Row],[WorkLifeBalance]],1,"Bad",2,"Good",3,"Better",4,"Best","Unknown")</f>
        <v>Better</v>
      </c>
      <c r="AP643">
        <f>IF(CleanEmployeeData[[#This Row],[Attrition]]="Yes",1,IF(CleanEmployeeData[[#This Row],[Attrition]]="No",0,""))</f>
        <v>0</v>
      </c>
      <c r="AQ643" t="str" cm="1">
        <f t="array" ref="AQ643">_xlfn.IFS(CleanEmployeeData[[#This Row],[MonthlyIncome]]&lt;=3000,"0–3,000",CleanEmployeeData[[#This Row],[MonthlyIncome]]&lt;=6000,"3,001–6,000",CleanEmployeeData[[#This Row],[MonthlyIncome]]&lt;=10000,"6,001–10,000",TRUE,"10,001+")</f>
        <v>6,001–10,000</v>
      </c>
      <c r="AR643" t="str" cm="1">
        <f t="array" ref="AR643">_xlfn.IFS(CleanEmployeeData[[#This Row],[DistanceFromHome]]&lt;=5,"0–5 miles",CleanEmployeeData[[#This Row],[DistanceFromHome]]&lt;=10,"6–10 miles",CleanEmployeeData[[#This Row],[DistanceFromHome]]&lt;=15,"11–15 miles",TRUE,"16+ miles")</f>
        <v>0–5 miles</v>
      </c>
      <c r="AS643" t="str" cm="1">
        <f t="array" ref="AS643">_xlfn.IFS(CleanEmployeeData[[#This Row],[YearsAtCompany]]&lt;=1,"0–1 years",CleanEmployeeData[[#This Row],[YearsAtCompany]]&lt;=5,"2–5 years",CleanEmployeeData[[#This Row],[YearsAtCompany]]&lt;=10,"6–10 years",TRUE,"11+ years")</f>
        <v>6–10 years</v>
      </c>
    </row>
    <row r="644" spans="1:4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cm="1">
        <f t="array" ref="AJ644">_xlfn.SWITCH(CleanEmployeeData[[#This Row],[Education]],1,"Below College",2,"College",3,"Bachelor",4,"Master",5,"Doctor","Unknown")</f>
        <v>Bachelor</v>
      </c>
      <c r="AK644" t="str" cm="1">
        <f t="array" ref="AK644">_xlfn.SWITCH(CleanEmployeeData[[#This Row],[EnvironmentSatisfaction]],1,"Low",2,"Medium",3,"High",4,"Very High","Unknown")</f>
        <v>Medium</v>
      </c>
      <c r="AL644" t="str" cm="1">
        <f t="array" ref="AL644">_xlfn.SWITCH(CleanEmployeeData[[#This Row],[JobInvolvement]],1,"Low",2,"Medium",3,"High",4,"Very High","Unknown")</f>
        <v>Medium</v>
      </c>
      <c r="AM644" t="str" cm="1">
        <f t="array" ref="AM644">_xlfn.SWITCH(CleanEmployeeData[[#This Row],[JobSatisfaction]],1,"Low",2,"Medium",3,"High",4,"Very High","Unknown")</f>
        <v>Medium</v>
      </c>
      <c r="AN644" t="str" cm="1">
        <f t="array" ref="AN644">_xlfn.SWITCH(CleanEmployeeData[[#This Row],[PerformanceRating]],1,"Low",2,"Good",3,"Excellent",4,"Outstanding","Unknown")</f>
        <v>Excellent</v>
      </c>
      <c r="AO644" t="str" cm="1">
        <f t="array" ref="AO644">_xlfn.SWITCH(CleanEmployeeData[[#This Row],[WorkLifeBalance]],1,"Bad",2,"Good",3,"Better",4,"Best","Unknown")</f>
        <v>Better</v>
      </c>
      <c r="AP644">
        <f>IF(CleanEmployeeData[[#This Row],[Attrition]]="Yes",1,IF(CleanEmployeeData[[#This Row],[Attrition]]="No",0,""))</f>
        <v>0</v>
      </c>
      <c r="AQ644" t="str" cm="1">
        <f t="array" ref="AQ644">_xlfn.IFS(CleanEmployeeData[[#This Row],[MonthlyIncome]]&lt;=3000,"0–3,000",CleanEmployeeData[[#This Row],[MonthlyIncome]]&lt;=6000,"3,001–6,000",CleanEmployeeData[[#This Row],[MonthlyIncome]]&lt;=10000,"6,001–10,000",TRUE,"10,001+")</f>
        <v>0–3,000</v>
      </c>
      <c r="AR644" t="str" cm="1">
        <f t="array" ref="AR644">_xlfn.IFS(CleanEmployeeData[[#This Row],[DistanceFromHome]]&lt;=5,"0–5 miles",CleanEmployeeData[[#This Row],[DistanceFromHome]]&lt;=10,"6–10 miles",CleanEmployeeData[[#This Row],[DistanceFromHome]]&lt;=15,"11–15 miles",TRUE,"16+ miles")</f>
        <v>6–10 miles</v>
      </c>
      <c r="AS644" t="str" cm="1">
        <f t="array" ref="AS644">_xlfn.IFS(CleanEmployeeData[[#This Row],[YearsAtCompany]]&lt;=1,"0–1 years",CleanEmployeeData[[#This Row],[YearsAtCompany]]&lt;=5,"2–5 years",CleanEmployeeData[[#This Row],[YearsAtCompany]]&lt;=10,"6–10 years",TRUE,"11+ years")</f>
        <v>2–5 years</v>
      </c>
    </row>
    <row r="645" spans="1:4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cm="1">
        <f t="array" ref="AJ645">_xlfn.SWITCH(CleanEmployeeData[[#This Row],[Education]],1,"Below College",2,"College",3,"Bachelor",4,"Master",5,"Doctor","Unknown")</f>
        <v>Bachelor</v>
      </c>
      <c r="AK645" t="str" cm="1">
        <f t="array" ref="AK645">_xlfn.SWITCH(CleanEmployeeData[[#This Row],[EnvironmentSatisfaction]],1,"Low",2,"Medium",3,"High",4,"Very High","Unknown")</f>
        <v>High</v>
      </c>
      <c r="AL645" t="str" cm="1">
        <f t="array" ref="AL645">_xlfn.SWITCH(CleanEmployeeData[[#This Row],[JobInvolvement]],1,"Low",2,"Medium",3,"High",4,"Very High","Unknown")</f>
        <v>Very High</v>
      </c>
      <c r="AM645" t="str" cm="1">
        <f t="array" ref="AM645">_xlfn.SWITCH(CleanEmployeeData[[#This Row],[JobSatisfaction]],1,"Low",2,"Medium",3,"High",4,"Very High","Unknown")</f>
        <v>Very High</v>
      </c>
      <c r="AN645" t="str" cm="1">
        <f t="array" ref="AN645">_xlfn.SWITCH(CleanEmployeeData[[#This Row],[PerformanceRating]],1,"Low",2,"Good",3,"Excellent",4,"Outstanding","Unknown")</f>
        <v>Excellent</v>
      </c>
      <c r="AO645" t="str" cm="1">
        <f t="array" ref="AO645">_xlfn.SWITCH(CleanEmployeeData[[#This Row],[WorkLifeBalance]],1,"Bad",2,"Good",3,"Better",4,"Best","Unknown")</f>
        <v>Good</v>
      </c>
      <c r="AP645">
        <f>IF(CleanEmployeeData[[#This Row],[Attrition]]="Yes",1,IF(CleanEmployeeData[[#This Row],[Attrition]]="No",0,""))</f>
        <v>0</v>
      </c>
      <c r="AQ645" t="str" cm="1">
        <f t="array" ref="AQ645">_xlfn.IFS(CleanEmployeeData[[#This Row],[MonthlyIncome]]&lt;=3000,"0–3,000",CleanEmployeeData[[#This Row],[MonthlyIncome]]&lt;=6000,"3,001–6,000",CleanEmployeeData[[#This Row],[MonthlyIncome]]&lt;=10000,"6,001–10,000",TRUE,"10,001+")</f>
        <v>3,001–6,000</v>
      </c>
      <c r="AR645" t="str" cm="1">
        <f t="array" ref="AR645">_xlfn.IFS(CleanEmployeeData[[#This Row],[DistanceFromHome]]&lt;=5,"0–5 miles",CleanEmployeeData[[#This Row],[DistanceFromHome]]&lt;=10,"6–10 miles",CleanEmployeeData[[#This Row],[DistanceFromHome]]&lt;=15,"11–15 miles",TRUE,"16+ miles")</f>
        <v>0–5 miles</v>
      </c>
      <c r="AS645" t="str" cm="1">
        <f t="array" ref="AS645">_xlfn.IFS(CleanEmployeeData[[#This Row],[YearsAtCompany]]&lt;=1,"0–1 years",CleanEmployeeData[[#This Row],[YearsAtCompany]]&lt;=5,"2–5 years",CleanEmployeeData[[#This Row],[YearsAtCompany]]&lt;=10,"6–10 years",TRUE,"11+ years")</f>
        <v>2–5 years</v>
      </c>
    </row>
    <row r="646" spans="1:4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cm="1">
        <f t="array" ref="AJ646">_xlfn.SWITCH(CleanEmployeeData[[#This Row],[Education]],1,"Below College",2,"College",3,"Bachelor",4,"Master",5,"Doctor","Unknown")</f>
        <v>Master</v>
      </c>
      <c r="AK646" t="str" cm="1">
        <f t="array" ref="AK646">_xlfn.SWITCH(CleanEmployeeData[[#This Row],[EnvironmentSatisfaction]],1,"Low",2,"Medium",3,"High",4,"Very High","Unknown")</f>
        <v>Very High</v>
      </c>
      <c r="AL646" t="str" cm="1">
        <f t="array" ref="AL646">_xlfn.SWITCH(CleanEmployeeData[[#This Row],[JobInvolvement]],1,"Low",2,"Medium",3,"High",4,"Very High","Unknown")</f>
        <v>High</v>
      </c>
      <c r="AM646" t="str" cm="1">
        <f t="array" ref="AM646">_xlfn.SWITCH(CleanEmployeeData[[#This Row],[JobSatisfaction]],1,"Low",2,"Medium",3,"High",4,"Very High","Unknown")</f>
        <v>Very High</v>
      </c>
      <c r="AN646" t="str" cm="1">
        <f t="array" ref="AN646">_xlfn.SWITCH(CleanEmployeeData[[#This Row],[PerformanceRating]],1,"Low",2,"Good",3,"Excellent",4,"Outstanding","Unknown")</f>
        <v>Excellent</v>
      </c>
      <c r="AO646" t="str" cm="1">
        <f t="array" ref="AO646">_xlfn.SWITCH(CleanEmployeeData[[#This Row],[WorkLifeBalance]],1,"Bad",2,"Good",3,"Better",4,"Best","Unknown")</f>
        <v>Better</v>
      </c>
      <c r="AP646">
        <f>IF(CleanEmployeeData[[#This Row],[Attrition]]="Yes",1,IF(CleanEmployeeData[[#This Row],[Attrition]]="No",0,""))</f>
        <v>0</v>
      </c>
      <c r="AQ646" t="str" cm="1">
        <f t="array" ref="AQ646">_xlfn.IFS(CleanEmployeeData[[#This Row],[MonthlyIncome]]&lt;=3000,"0–3,000",CleanEmployeeData[[#This Row],[MonthlyIncome]]&lt;=6000,"3,001–6,000",CleanEmployeeData[[#This Row],[MonthlyIncome]]&lt;=10000,"6,001–10,000",TRUE,"10,001+")</f>
        <v>0–3,000</v>
      </c>
      <c r="AR646" t="str" cm="1">
        <f t="array" ref="AR646">_xlfn.IFS(CleanEmployeeData[[#This Row],[DistanceFromHome]]&lt;=5,"0–5 miles",CleanEmployeeData[[#This Row],[DistanceFromHome]]&lt;=10,"6–10 miles",CleanEmployeeData[[#This Row],[DistanceFromHome]]&lt;=15,"11–15 miles",TRUE,"16+ miles")</f>
        <v>11–15 miles</v>
      </c>
      <c r="AS646" t="str" cm="1">
        <f t="array" ref="AS646">_xlfn.IFS(CleanEmployeeData[[#This Row],[YearsAtCompany]]&lt;=1,"0–1 years",CleanEmployeeData[[#This Row],[YearsAtCompany]]&lt;=5,"2–5 years",CleanEmployeeData[[#This Row],[YearsAtCompany]]&lt;=10,"6–10 years",TRUE,"11+ years")</f>
        <v>6–10 years</v>
      </c>
    </row>
    <row r="647" spans="1:4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cm="1">
        <f t="array" ref="AJ647">_xlfn.SWITCH(CleanEmployeeData[[#This Row],[Education]],1,"Below College",2,"College",3,"Bachelor",4,"Master",5,"Doctor","Unknown")</f>
        <v>Bachelor</v>
      </c>
      <c r="AK647" t="str" cm="1">
        <f t="array" ref="AK647">_xlfn.SWITCH(CleanEmployeeData[[#This Row],[EnvironmentSatisfaction]],1,"Low",2,"Medium",3,"High",4,"Very High","Unknown")</f>
        <v>Medium</v>
      </c>
      <c r="AL647" t="str" cm="1">
        <f t="array" ref="AL647">_xlfn.SWITCH(CleanEmployeeData[[#This Row],[JobInvolvement]],1,"Low",2,"Medium",3,"High",4,"Very High","Unknown")</f>
        <v>Medium</v>
      </c>
      <c r="AM647" t="str" cm="1">
        <f t="array" ref="AM647">_xlfn.SWITCH(CleanEmployeeData[[#This Row],[JobSatisfaction]],1,"Low",2,"Medium",3,"High",4,"Very High","Unknown")</f>
        <v>High</v>
      </c>
      <c r="AN647" t="str" cm="1">
        <f t="array" ref="AN647">_xlfn.SWITCH(CleanEmployeeData[[#This Row],[PerformanceRating]],1,"Low",2,"Good",3,"Excellent",4,"Outstanding","Unknown")</f>
        <v>Excellent</v>
      </c>
      <c r="AO647" t="str" cm="1">
        <f t="array" ref="AO647">_xlfn.SWITCH(CleanEmployeeData[[#This Row],[WorkLifeBalance]],1,"Bad",2,"Good",3,"Better",4,"Best","Unknown")</f>
        <v>Better</v>
      </c>
      <c r="AP647">
        <f>IF(CleanEmployeeData[[#This Row],[Attrition]]="Yes",1,IF(CleanEmployeeData[[#This Row],[Attrition]]="No",0,""))</f>
        <v>1</v>
      </c>
      <c r="AQ647" t="str" cm="1">
        <f t="array" ref="AQ647">_xlfn.IFS(CleanEmployeeData[[#This Row],[MonthlyIncome]]&lt;=3000,"0–3,000",CleanEmployeeData[[#This Row],[MonthlyIncome]]&lt;=6000,"3,001–6,000",CleanEmployeeData[[#This Row],[MonthlyIncome]]&lt;=10000,"6,001–10,000",TRUE,"10,001+")</f>
        <v>0–3,000</v>
      </c>
      <c r="AR647" t="str" cm="1">
        <f t="array" ref="AR647">_xlfn.IFS(CleanEmployeeData[[#This Row],[DistanceFromHome]]&lt;=5,"0–5 miles",CleanEmployeeData[[#This Row],[DistanceFromHome]]&lt;=10,"6–10 miles",CleanEmployeeData[[#This Row],[DistanceFromHome]]&lt;=15,"11–15 miles",TRUE,"16+ miles")</f>
        <v>0–5 miles</v>
      </c>
      <c r="AS647" t="str" cm="1">
        <f t="array" ref="AS647">_xlfn.IFS(CleanEmployeeData[[#This Row],[YearsAtCompany]]&lt;=1,"0–1 years",CleanEmployeeData[[#This Row],[YearsAtCompany]]&lt;=5,"2–5 years",CleanEmployeeData[[#This Row],[YearsAtCompany]]&lt;=10,"6–10 years",TRUE,"11+ years")</f>
        <v>2–5 years</v>
      </c>
    </row>
    <row r="648" spans="1:4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cm="1">
        <f t="array" ref="AJ648">_xlfn.SWITCH(CleanEmployeeData[[#This Row],[Education]],1,"Below College",2,"College",3,"Bachelor",4,"Master",5,"Doctor","Unknown")</f>
        <v>Bachelor</v>
      </c>
      <c r="AK648" t="str" cm="1">
        <f t="array" ref="AK648">_xlfn.SWITCH(CleanEmployeeData[[#This Row],[EnvironmentSatisfaction]],1,"Low",2,"Medium",3,"High",4,"Very High","Unknown")</f>
        <v>Low</v>
      </c>
      <c r="AL648" t="str" cm="1">
        <f t="array" ref="AL648">_xlfn.SWITCH(CleanEmployeeData[[#This Row],[JobInvolvement]],1,"Low",2,"Medium",3,"High",4,"Very High","Unknown")</f>
        <v>High</v>
      </c>
      <c r="AM648" t="str" cm="1">
        <f t="array" ref="AM648">_xlfn.SWITCH(CleanEmployeeData[[#This Row],[JobSatisfaction]],1,"Low",2,"Medium",3,"High",4,"Very High","Unknown")</f>
        <v>Very High</v>
      </c>
      <c r="AN648" t="str" cm="1">
        <f t="array" ref="AN648">_xlfn.SWITCH(CleanEmployeeData[[#This Row],[PerformanceRating]],1,"Low",2,"Good",3,"Excellent",4,"Outstanding","Unknown")</f>
        <v>Excellent</v>
      </c>
      <c r="AO648" t="str" cm="1">
        <f t="array" ref="AO648">_xlfn.SWITCH(CleanEmployeeData[[#This Row],[WorkLifeBalance]],1,"Bad",2,"Good",3,"Better",4,"Best","Unknown")</f>
        <v>Better</v>
      </c>
      <c r="AP648">
        <f>IF(CleanEmployeeData[[#This Row],[Attrition]]="Yes",1,IF(CleanEmployeeData[[#This Row],[Attrition]]="No",0,""))</f>
        <v>0</v>
      </c>
      <c r="AQ648" t="str" cm="1">
        <f t="array" ref="AQ648">_xlfn.IFS(CleanEmployeeData[[#This Row],[MonthlyIncome]]&lt;=3000,"0–3,000",CleanEmployeeData[[#This Row],[MonthlyIncome]]&lt;=6000,"3,001–6,000",CleanEmployeeData[[#This Row],[MonthlyIncome]]&lt;=10000,"6,001–10,000",TRUE,"10,001+")</f>
        <v>10,001+</v>
      </c>
      <c r="AR648" t="str" cm="1">
        <f t="array" ref="AR648">_xlfn.IFS(CleanEmployeeData[[#This Row],[DistanceFromHome]]&lt;=5,"0–5 miles",CleanEmployeeData[[#This Row],[DistanceFromHome]]&lt;=10,"6–10 miles",CleanEmployeeData[[#This Row],[DistanceFromHome]]&lt;=15,"11–15 miles",TRUE,"16+ miles")</f>
        <v>6–10 miles</v>
      </c>
      <c r="AS648" t="str" cm="1">
        <f t="array" ref="AS648">_xlfn.IFS(CleanEmployeeData[[#This Row],[YearsAtCompany]]&lt;=1,"0–1 years",CleanEmployeeData[[#This Row],[YearsAtCompany]]&lt;=5,"2–5 years",CleanEmployeeData[[#This Row],[YearsAtCompany]]&lt;=10,"6–10 years",TRUE,"11+ years")</f>
        <v>2–5 years</v>
      </c>
    </row>
    <row r="649" spans="1:4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cm="1">
        <f t="array" ref="AJ649">_xlfn.SWITCH(CleanEmployeeData[[#This Row],[Education]],1,"Below College",2,"College",3,"Bachelor",4,"Master",5,"Doctor","Unknown")</f>
        <v>Bachelor</v>
      </c>
      <c r="AK649" t="str" cm="1">
        <f t="array" ref="AK649">_xlfn.SWITCH(CleanEmployeeData[[#This Row],[EnvironmentSatisfaction]],1,"Low",2,"Medium",3,"High",4,"Very High","Unknown")</f>
        <v>Very High</v>
      </c>
      <c r="AL649" t="str" cm="1">
        <f t="array" ref="AL649">_xlfn.SWITCH(CleanEmployeeData[[#This Row],[JobInvolvement]],1,"Low",2,"Medium",3,"High",4,"Very High","Unknown")</f>
        <v>Medium</v>
      </c>
      <c r="AM649" t="str" cm="1">
        <f t="array" ref="AM649">_xlfn.SWITCH(CleanEmployeeData[[#This Row],[JobSatisfaction]],1,"Low",2,"Medium",3,"High",4,"Very High","Unknown")</f>
        <v>Medium</v>
      </c>
      <c r="AN649" t="str" cm="1">
        <f t="array" ref="AN649">_xlfn.SWITCH(CleanEmployeeData[[#This Row],[PerformanceRating]],1,"Low",2,"Good",3,"Excellent",4,"Outstanding","Unknown")</f>
        <v>Excellent</v>
      </c>
      <c r="AO649" t="str" cm="1">
        <f t="array" ref="AO649">_xlfn.SWITCH(CleanEmployeeData[[#This Row],[WorkLifeBalance]],1,"Bad",2,"Good",3,"Better",4,"Best","Unknown")</f>
        <v>Better</v>
      </c>
      <c r="AP649">
        <f>IF(CleanEmployeeData[[#This Row],[Attrition]]="Yes",1,IF(CleanEmployeeData[[#This Row],[Attrition]]="No",0,""))</f>
        <v>0</v>
      </c>
      <c r="AQ649" t="str" cm="1">
        <f t="array" ref="AQ649">_xlfn.IFS(CleanEmployeeData[[#This Row],[MonthlyIncome]]&lt;=3000,"0–3,000",CleanEmployeeData[[#This Row],[MonthlyIncome]]&lt;=6000,"3,001–6,000",CleanEmployeeData[[#This Row],[MonthlyIncome]]&lt;=10000,"6,001–10,000",TRUE,"10,001+")</f>
        <v>10,001+</v>
      </c>
      <c r="AR649" t="str" cm="1">
        <f t="array" ref="AR649">_xlfn.IFS(CleanEmployeeData[[#This Row],[DistanceFromHome]]&lt;=5,"0–5 miles",CleanEmployeeData[[#This Row],[DistanceFromHome]]&lt;=10,"6–10 miles",CleanEmployeeData[[#This Row],[DistanceFromHome]]&lt;=15,"11–15 miles",TRUE,"16+ miles")</f>
        <v>16+ miles</v>
      </c>
      <c r="AS649" t="str" cm="1">
        <f t="array" ref="AS649">_xlfn.IFS(CleanEmployeeData[[#This Row],[YearsAtCompany]]&lt;=1,"0–1 years",CleanEmployeeData[[#This Row],[YearsAtCompany]]&lt;=5,"2–5 years",CleanEmployeeData[[#This Row],[YearsAtCompany]]&lt;=10,"6–10 years",TRUE,"11+ years")</f>
        <v>11+ years</v>
      </c>
    </row>
    <row r="650" spans="1:4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cm="1">
        <f t="array" ref="AJ650">_xlfn.SWITCH(CleanEmployeeData[[#This Row],[Education]],1,"Below College",2,"College",3,"Bachelor",4,"Master",5,"Doctor","Unknown")</f>
        <v>College</v>
      </c>
      <c r="AK650" t="str" cm="1">
        <f t="array" ref="AK650">_xlfn.SWITCH(CleanEmployeeData[[#This Row],[EnvironmentSatisfaction]],1,"Low",2,"Medium",3,"High",4,"Very High","Unknown")</f>
        <v>High</v>
      </c>
      <c r="AL650" t="str" cm="1">
        <f t="array" ref="AL650">_xlfn.SWITCH(CleanEmployeeData[[#This Row],[JobInvolvement]],1,"Low",2,"Medium",3,"High",4,"Very High","Unknown")</f>
        <v>High</v>
      </c>
      <c r="AM650" t="str" cm="1">
        <f t="array" ref="AM650">_xlfn.SWITCH(CleanEmployeeData[[#This Row],[JobSatisfaction]],1,"Low",2,"Medium",3,"High",4,"Very High","Unknown")</f>
        <v>Very High</v>
      </c>
      <c r="AN650" t="str" cm="1">
        <f t="array" ref="AN650">_xlfn.SWITCH(CleanEmployeeData[[#This Row],[PerformanceRating]],1,"Low",2,"Good",3,"Excellent",4,"Outstanding","Unknown")</f>
        <v>Excellent</v>
      </c>
      <c r="AO650" t="str" cm="1">
        <f t="array" ref="AO650">_xlfn.SWITCH(CleanEmployeeData[[#This Row],[WorkLifeBalance]],1,"Bad",2,"Good",3,"Better",4,"Best","Unknown")</f>
        <v>Better</v>
      </c>
      <c r="AP650">
        <f>IF(CleanEmployeeData[[#This Row],[Attrition]]="Yes",1,IF(CleanEmployeeData[[#This Row],[Attrition]]="No",0,""))</f>
        <v>0</v>
      </c>
      <c r="AQ650" t="str" cm="1">
        <f t="array" ref="AQ650">_xlfn.IFS(CleanEmployeeData[[#This Row],[MonthlyIncome]]&lt;=3000,"0–3,000",CleanEmployeeData[[#This Row],[MonthlyIncome]]&lt;=6000,"3,001–6,000",CleanEmployeeData[[#This Row],[MonthlyIncome]]&lt;=10000,"6,001–10,000",TRUE,"10,001+")</f>
        <v>0–3,000</v>
      </c>
      <c r="AR650" t="str" cm="1">
        <f t="array" ref="AR650">_xlfn.IFS(CleanEmployeeData[[#This Row],[DistanceFromHome]]&lt;=5,"0–5 miles",CleanEmployeeData[[#This Row],[DistanceFromHome]]&lt;=10,"6–10 miles",CleanEmployeeData[[#This Row],[DistanceFromHome]]&lt;=15,"11–15 miles",TRUE,"16+ miles")</f>
        <v>16+ miles</v>
      </c>
      <c r="AS650" t="str" cm="1">
        <f t="array" ref="AS650">_xlfn.IFS(CleanEmployeeData[[#This Row],[YearsAtCompany]]&lt;=1,"0–1 years",CleanEmployeeData[[#This Row],[YearsAtCompany]]&lt;=5,"2–5 years",CleanEmployeeData[[#This Row],[YearsAtCompany]]&lt;=10,"6–10 years",TRUE,"11+ years")</f>
        <v>2–5 years</v>
      </c>
    </row>
    <row r="651" spans="1:4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cm="1">
        <f t="array" ref="AJ651">_xlfn.SWITCH(CleanEmployeeData[[#This Row],[Education]],1,"Below College",2,"College",3,"Bachelor",4,"Master",5,"Doctor","Unknown")</f>
        <v>Master</v>
      </c>
      <c r="AK651" t="str" cm="1">
        <f t="array" ref="AK651">_xlfn.SWITCH(CleanEmployeeData[[#This Row],[EnvironmentSatisfaction]],1,"Low",2,"Medium",3,"High",4,"Very High","Unknown")</f>
        <v>Very High</v>
      </c>
      <c r="AL651" t="str" cm="1">
        <f t="array" ref="AL651">_xlfn.SWITCH(CleanEmployeeData[[#This Row],[JobInvolvement]],1,"Low",2,"Medium",3,"High",4,"Very High","Unknown")</f>
        <v>High</v>
      </c>
      <c r="AM651" t="str" cm="1">
        <f t="array" ref="AM651">_xlfn.SWITCH(CleanEmployeeData[[#This Row],[JobSatisfaction]],1,"Low",2,"Medium",3,"High",4,"Very High","Unknown")</f>
        <v>Very High</v>
      </c>
      <c r="AN651" t="str" cm="1">
        <f t="array" ref="AN651">_xlfn.SWITCH(CleanEmployeeData[[#This Row],[PerformanceRating]],1,"Low",2,"Good",3,"Excellent",4,"Outstanding","Unknown")</f>
        <v>Excellent</v>
      </c>
      <c r="AO651" t="str" cm="1">
        <f t="array" ref="AO651">_xlfn.SWITCH(CleanEmployeeData[[#This Row],[WorkLifeBalance]],1,"Bad",2,"Good",3,"Better",4,"Best","Unknown")</f>
        <v>Better</v>
      </c>
      <c r="AP651">
        <f>IF(CleanEmployeeData[[#This Row],[Attrition]]="Yes",1,IF(CleanEmployeeData[[#This Row],[Attrition]]="No",0,""))</f>
        <v>0</v>
      </c>
      <c r="AQ651" t="str" cm="1">
        <f t="array" ref="AQ651">_xlfn.IFS(CleanEmployeeData[[#This Row],[MonthlyIncome]]&lt;=3000,"0–3,000",CleanEmployeeData[[#This Row],[MonthlyIncome]]&lt;=6000,"3,001–6,000",CleanEmployeeData[[#This Row],[MonthlyIncome]]&lt;=10000,"6,001–10,000",TRUE,"10,001+")</f>
        <v>10,001+</v>
      </c>
      <c r="AR651" t="str" cm="1">
        <f t="array" ref="AR651">_xlfn.IFS(CleanEmployeeData[[#This Row],[DistanceFromHome]]&lt;=5,"0–5 miles",CleanEmployeeData[[#This Row],[DistanceFromHome]]&lt;=10,"6–10 miles",CleanEmployeeData[[#This Row],[DistanceFromHome]]&lt;=15,"11–15 miles",TRUE,"16+ miles")</f>
        <v>16+ miles</v>
      </c>
      <c r="AS651" t="str" cm="1">
        <f t="array" ref="AS651">_xlfn.IFS(CleanEmployeeData[[#This Row],[YearsAtCompany]]&lt;=1,"0–1 years",CleanEmployeeData[[#This Row],[YearsAtCompany]]&lt;=5,"2–5 years",CleanEmployeeData[[#This Row],[YearsAtCompany]]&lt;=10,"6–10 years",TRUE,"11+ years")</f>
        <v>11+ years</v>
      </c>
    </row>
    <row r="652" spans="1:4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cm="1">
        <f t="array" ref="AJ652">_xlfn.SWITCH(CleanEmployeeData[[#This Row],[Education]],1,"Below College",2,"College",3,"Bachelor",4,"Master",5,"Doctor","Unknown")</f>
        <v>Bachelor</v>
      </c>
      <c r="AK652" t="str" cm="1">
        <f t="array" ref="AK652">_xlfn.SWITCH(CleanEmployeeData[[#This Row],[EnvironmentSatisfaction]],1,"Low",2,"Medium",3,"High",4,"Very High","Unknown")</f>
        <v>Very High</v>
      </c>
      <c r="AL652" t="str" cm="1">
        <f t="array" ref="AL652">_xlfn.SWITCH(CleanEmployeeData[[#This Row],[JobInvolvement]],1,"Low",2,"Medium",3,"High",4,"Very High","Unknown")</f>
        <v>High</v>
      </c>
      <c r="AM652" t="str" cm="1">
        <f t="array" ref="AM652">_xlfn.SWITCH(CleanEmployeeData[[#This Row],[JobSatisfaction]],1,"Low",2,"Medium",3,"High",4,"Very High","Unknown")</f>
        <v>Very High</v>
      </c>
      <c r="AN652" t="str" cm="1">
        <f t="array" ref="AN652">_xlfn.SWITCH(CleanEmployeeData[[#This Row],[PerformanceRating]],1,"Low",2,"Good",3,"Excellent",4,"Outstanding","Unknown")</f>
        <v>Excellent</v>
      </c>
      <c r="AO652" t="str" cm="1">
        <f t="array" ref="AO652">_xlfn.SWITCH(CleanEmployeeData[[#This Row],[WorkLifeBalance]],1,"Bad",2,"Good",3,"Better",4,"Best","Unknown")</f>
        <v>Good</v>
      </c>
      <c r="AP652">
        <f>IF(CleanEmployeeData[[#This Row],[Attrition]]="Yes",1,IF(CleanEmployeeData[[#This Row],[Attrition]]="No",0,""))</f>
        <v>0</v>
      </c>
      <c r="AQ652" t="str" cm="1">
        <f t="array" ref="AQ652">_xlfn.IFS(CleanEmployeeData[[#This Row],[MonthlyIncome]]&lt;=3000,"0–3,000",CleanEmployeeData[[#This Row],[MonthlyIncome]]&lt;=6000,"3,001–6,000",CleanEmployeeData[[#This Row],[MonthlyIncome]]&lt;=10000,"6,001–10,000",TRUE,"10,001+")</f>
        <v>3,001–6,000</v>
      </c>
      <c r="AR652" t="str" cm="1">
        <f t="array" ref="AR652">_xlfn.IFS(CleanEmployeeData[[#This Row],[DistanceFromHome]]&lt;=5,"0–5 miles",CleanEmployeeData[[#This Row],[DistanceFromHome]]&lt;=10,"6–10 miles",CleanEmployeeData[[#This Row],[DistanceFromHome]]&lt;=15,"11–15 miles",TRUE,"16+ miles")</f>
        <v>0–5 miles</v>
      </c>
      <c r="AS652" t="str" cm="1">
        <f t="array" ref="AS652">_xlfn.IFS(CleanEmployeeData[[#This Row],[YearsAtCompany]]&lt;=1,"0–1 years",CleanEmployeeData[[#This Row],[YearsAtCompany]]&lt;=5,"2–5 years",CleanEmployeeData[[#This Row],[YearsAtCompany]]&lt;=10,"6–10 years",TRUE,"11+ years")</f>
        <v>2–5 years</v>
      </c>
    </row>
    <row r="653" spans="1:4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cm="1">
        <f t="array" ref="AJ653">_xlfn.SWITCH(CleanEmployeeData[[#This Row],[Education]],1,"Below College",2,"College",3,"Bachelor",4,"Master",5,"Doctor","Unknown")</f>
        <v>College</v>
      </c>
      <c r="AK653" t="str" cm="1">
        <f t="array" ref="AK653">_xlfn.SWITCH(CleanEmployeeData[[#This Row],[EnvironmentSatisfaction]],1,"Low",2,"Medium",3,"High",4,"Very High","Unknown")</f>
        <v>High</v>
      </c>
      <c r="AL653" t="str" cm="1">
        <f t="array" ref="AL653">_xlfn.SWITCH(CleanEmployeeData[[#This Row],[JobInvolvement]],1,"Low",2,"Medium",3,"High",4,"Very High","Unknown")</f>
        <v>High</v>
      </c>
      <c r="AM653" t="str" cm="1">
        <f t="array" ref="AM653">_xlfn.SWITCH(CleanEmployeeData[[#This Row],[JobSatisfaction]],1,"Low",2,"Medium",3,"High",4,"Very High","Unknown")</f>
        <v>Very High</v>
      </c>
      <c r="AN653" t="str" cm="1">
        <f t="array" ref="AN653">_xlfn.SWITCH(CleanEmployeeData[[#This Row],[PerformanceRating]],1,"Low",2,"Good",3,"Excellent",4,"Outstanding","Unknown")</f>
        <v>Outstanding</v>
      </c>
      <c r="AO653" t="str" cm="1">
        <f t="array" ref="AO653">_xlfn.SWITCH(CleanEmployeeData[[#This Row],[WorkLifeBalance]],1,"Bad",2,"Good",3,"Better",4,"Best","Unknown")</f>
        <v>Better</v>
      </c>
      <c r="AP653">
        <f>IF(CleanEmployeeData[[#This Row],[Attrition]]="Yes",1,IF(CleanEmployeeData[[#This Row],[Attrition]]="No",0,""))</f>
        <v>0</v>
      </c>
      <c r="AQ653" t="str" cm="1">
        <f t="array" ref="AQ653">_xlfn.IFS(CleanEmployeeData[[#This Row],[MonthlyIncome]]&lt;=3000,"0–3,000",CleanEmployeeData[[#This Row],[MonthlyIncome]]&lt;=6000,"3,001–6,000",CleanEmployeeData[[#This Row],[MonthlyIncome]]&lt;=10000,"6,001–10,000",TRUE,"10,001+")</f>
        <v>3,001–6,000</v>
      </c>
      <c r="AR653" t="str" cm="1">
        <f t="array" ref="AR653">_xlfn.IFS(CleanEmployeeData[[#This Row],[DistanceFromHome]]&lt;=5,"0–5 miles",CleanEmployeeData[[#This Row],[DistanceFromHome]]&lt;=10,"6–10 miles",CleanEmployeeData[[#This Row],[DistanceFromHome]]&lt;=15,"11–15 miles",TRUE,"16+ miles")</f>
        <v>0–5 miles</v>
      </c>
      <c r="AS653" t="str" cm="1">
        <f t="array" ref="AS653">_xlfn.IFS(CleanEmployeeData[[#This Row],[YearsAtCompany]]&lt;=1,"0–1 years",CleanEmployeeData[[#This Row],[YearsAtCompany]]&lt;=5,"2–5 years",CleanEmployeeData[[#This Row],[YearsAtCompany]]&lt;=10,"6–10 years",TRUE,"11+ years")</f>
        <v>6–10 years</v>
      </c>
    </row>
    <row r="654" spans="1:4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cm="1">
        <f t="array" ref="AJ654">_xlfn.SWITCH(CleanEmployeeData[[#This Row],[Education]],1,"Below College",2,"College",3,"Bachelor",4,"Master",5,"Doctor","Unknown")</f>
        <v>College</v>
      </c>
      <c r="AK654" t="str" cm="1">
        <f t="array" ref="AK654">_xlfn.SWITCH(CleanEmployeeData[[#This Row],[EnvironmentSatisfaction]],1,"Low",2,"Medium",3,"High",4,"Very High","Unknown")</f>
        <v>Low</v>
      </c>
      <c r="AL654" t="str" cm="1">
        <f t="array" ref="AL654">_xlfn.SWITCH(CleanEmployeeData[[#This Row],[JobInvolvement]],1,"Low",2,"Medium",3,"High",4,"Very High","Unknown")</f>
        <v>High</v>
      </c>
      <c r="AM654" t="str" cm="1">
        <f t="array" ref="AM654">_xlfn.SWITCH(CleanEmployeeData[[#This Row],[JobSatisfaction]],1,"Low",2,"Medium",3,"High",4,"Very High","Unknown")</f>
        <v>Medium</v>
      </c>
      <c r="AN654" t="str" cm="1">
        <f t="array" ref="AN654">_xlfn.SWITCH(CleanEmployeeData[[#This Row],[PerformanceRating]],1,"Low",2,"Good",3,"Excellent",4,"Outstanding","Unknown")</f>
        <v>Excellent</v>
      </c>
      <c r="AO654" t="str" cm="1">
        <f t="array" ref="AO654">_xlfn.SWITCH(CleanEmployeeData[[#This Row],[WorkLifeBalance]],1,"Bad",2,"Good",3,"Better",4,"Best","Unknown")</f>
        <v>Better</v>
      </c>
      <c r="AP654">
        <f>IF(CleanEmployeeData[[#This Row],[Attrition]]="Yes",1,IF(CleanEmployeeData[[#This Row],[Attrition]]="No",0,""))</f>
        <v>0</v>
      </c>
      <c r="AQ654" t="str" cm="1">
        <f t="array" ref="AQ654">_xlfn.IFS(CleanEmployeeData[[#This Row],[MonthlyIncome]]&lt;=3000,"0–3,000",CleanEmployeeData[[#This Row],[MonthlyIncome]]&lt;=6000,"3,001–6,000",CleanEmployeeData[[#This Row],[MonthlyIncome]]&lt;=10000,"6,001–10,000",TRUE,"10,001+")</f>
        <v>6,001–10,000</v>
      </c>
      <c r="AR654" t="str" cm="1">
        <f t="array" ref="AR654">_xlfn.IFS(CleanEmployeeData[[#This Row],[DistanceFromHome]]&lt;=5,"0–5 miles",CleanEmployeeData[[#This Row],[DistanceFromHome]]&lt;=10,"6–10 miles",CleanEmployeeData[[#This Row],[DistanceFromHome]]&lt;=15,"11–15 miles",TRUE,"16+ miles")</f>
        <v>16+ miles</v>
      </c>
      <c r="AS654" t="str" cm="1">
        <f t="array" ref="AS654">_xlfn.IFS(CleanEmployeeData[[#This Row],[YearsAtCompany]]&lt;=1,"0–1 years",CleanEmployeeData[[#This Row],[YearsAtCompany]]&lt;=5,"2–5 years",CleanEmployeeData[[#This Row],[YearsAtCompany]]&lt;=10,"6–10 years",TRUE,"11+ years")</f>
        <v>6–10 years</v>
      </c>
    </row>
    <row r="655" spans="1:4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cm="1">
        <f t="array" ref="AJ655">_xlfn.SWITCH(CleanEmployeeData[[#This Row],[Education]],1,"Below College",2,"College",3,"Bachelor",4,"Master",5,"Doctor","Unknown")</f>
        <v>Master</v>
      </c>
      <c r="AK655" t="str" cm="1">
        <f t="array" ref="AK655">_xlfn.SWITCH(CleanEmployeeData[[#This Row],[EnvironmentSatisfaction]],1,"Low",2,"Medium",3,"High",4,"Very High","Unknown")</f>
        <v>Low</v>
      </c>
      <c r="AL655" t="str" cm="1">
        <f t="array" ref="AL655">_xlfn.SWITCH(CleanEmployeeData[[#This Row],[JobInvolvement]],1,"Low",2,"Medium",3,"High",4,"Very High","Unknown")</f>
        <v>High</v>
      </c>
      <c r="AM655" t="str" cm="1">
        <f t="array" ref="AM655">_xlfn.SWITCH(CleanEmployeeData[[#This Row],[JobSatisfaction]],1,"Low",2,"Medium",3,"High",4,"Very High","Unknown")</f>
        <v>Low</v>
      </c>
      <c r="AN655" t="str" cm="1">
        <f t="array" ref="AN655">_xlfn.SWITCH(CleanEmployeeData[[#This Row],[PerformanceRating]],1,"Low",2,"Good",3,"Excellent",4,"Outstanding","Unknown")</f>
        <v>Excellent</v>
      </c>
      <c r="AO655" t="str" cm="1">
        <f t="array" ref="AO655">_xlfn.SWITCH(CleanEmployeeData[[#This Row],[WorkLifeBalance]],1,"Bad",2,"Good",3,"Better",4,"Best","Unknown")</f>
        <v>Better</v>
      </c>
      <c r="AP655">
        <f>IF(CleanEmployeeData[[#This Row],[Attrition]]="Yes",1,IF(CleanEmployeeData[[#This Row],[Attrition]]="No",0,""))</f>
        <v>0</v>
      </c>
      <c r="AQ655" t="str" cm="1">
        <f t="array" ref="AQ655">_xlfn.IFS(CleanEmployeeData[[#This Row],[MonthlyIncome]]&lt;=3000,"0–3,000",CleanEmployeeData[[#This Row],[MonthlyIncome]]&lt;=6000,"3,001–6,000",CleanEmployeeData[[#This Row],[MonthlyIncome]]&lt;=10000,"6,001–10,000",TRUE,"10,001+")</f>
        <v>10,001+</v>
      </c>
      <c r="AR655" t="str" cm="1">
        <f t="array" ref="AR655">_xlfn.IFS(CleanEmployeeData[[#This Row],[DistanceFromHome]]&lt;=5,"0–5 miles",CleanEmployeeData[[#This Row],[DistanceFromHome]]&lt;=10,"6–10 miles",CleanEmployeeData[[#This Row],[DistanceFromHome]]&lt;=15,"11–15 miles",TRUE,"16+ miles")</f>
        <v>0–5 miles</v>
      </c>
      <c r="AS655" t="str" cm="1">
        <f t="array" ref="AS655">_xlfn.IFS(CleanEmployeeData[[#This Row],[YearsAtCompany]]&lt;=1,"0–1 years",CleanEmployeeData[[#This Row],[YearsAtCompany]]&lt;=5,"2–5 years",CleanEmployeeData[[#This Row],[YearsAtCompany]]&lt;=10,"6–10 years",TRUE,"11+ years")</f>
        <v>11+ years</v>
      </c>
    </row>
    <row r="656" spans="1:4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cm="1">
        <f t="array" ref="AJ656">_xlfn.SWITCH(CleanEmployeeData[[#This Row],[Education]],1,"Below College",2,"College",3,"Bachelor",4,"Master",5,"Doctor","Unknown")</f>
        <v>Bachelor</v>
      </c>
      <c r="AK656" t="str" cm="1">
        <f t="array" ref="AK656">_xlfn.SWITCH(CleanEmployeeData[[#This Row],[EnvironmentSatisfaction]],1,"Low",2,"Medium",3,"High",4,"Very High","Unknown")</f>
        <v>Very High</v>
      </c>
      <c r="AL656" t="str" cm="1">
        <f t="array" ref="AL656">_xlfn.SWITCH(CleanEmployeeData[[#This Row],[JobInvolvement]],1,"Low",2,"Medium",3,"High",4,"Very High","Unknown")</f>
        <v>Medium</v>
      </c>
      <c r="AM656" t="str" cm="1">
        <f t="array" ref="AM656">_xlfn.SWITCH(CleanEmployeeData[[#This Row],[JobSatisfaction]],1,"Low",2,"Medium",3,"High",4,"Very High","Unknown")</f>
        <v>Very High</v>
      </c>
      <c r="AN656" t="str" cm="1">
        <f t="array" ref="AN656">_xlfn.SWITCH(CleanEmployeeData[[#This Row],[PerformanceRating]],1,"Low",2,"Good",3,"Excellent",4,"Outstanding","Unknown")</f>
        <v>Excellent</v>
      </c>
      <c r="AO656" t="str" cm="1">
        <f t="array" ref="AO656">_xlfn.SWITCH(CleanEmployeeData[[#This Row],[WorkLifeBalance]],1,"Bad",2,"Good",3,"Better",4,"Best","Unknown")</f>
        <v>Better</v>
      </c>
      <c r="AP656">
        <f>IF(CleanEmployeeData[[#This Row],[Attrition]]="Yes",1,IF(CleanEmployeeData[[#This Row],[Attrition]]="No",0,""))</f>
        <v>0</v>
      </c>
      <c r="AQ656" t="str" cm="1">
        <f t="array" ref="AQ656">_xlfn.IFS(CleanEmployeeData[[#This Row],[MonthlyIncome]]&lt;=3000,"0–3,000",CleanEmployeeData[[#This Row],[MonthlyIncome]]&lt;=6000,"3,001–6,000",CleanEmployeeData[[#This Row],[MonthlyIncome]]&lt;=10000,"6,001–10,000",TRUE,"10,001+")</f>
        <v>3,001–6,000</v>
      </c>
      <c r="AR656" t="str" cm="1">
        <f t="array" ref="AR656">_xlfn.IFS(CleanEmployeeData[[#This Row],[DistanceFromHome]]&lt;=5,"0–5 miles",CleanEmployeeData[[#This Row],[DistanceFromHome]]&lt;=10,"6–10 miles",CleanEmployeeData[[#This Row],[DistanceFromHome]]&lt;=15,"11–15 miles",TRUE,"16+ miles")</f>
        <v>0–5 miles</v>
      </c>
      <c r="AS656" t="str" cm="1">
        <f t="array" ref="AS656">_xlfn.IFS(CleanEmployeeData[[#This Row],[YearsAtCompany]]&lt;=1,"0–1 years",CleanEmployeeData[[#This Row],[YearsAtCompany]]&lt;=5,"2–5 years",CleanEmployeeData[[#This Row],[YearsAtCompany]]&lt;=10,"6–10 years",TRUE,"11+ years")</f>
        <v>2–5 years</v>
      </c>
    </row>
    <row r="657" spans="1:4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cm="1">
        <f t="array" ref="AJ657">_xlfn.SWITCH(CleanEmployeeData[[#This Row],[Education]],1,"Below College",2,"College",3,"Bachelor",4,"Master",5,"Doctor","Unknown")</f>
        <v>College</v>
      </c>
      <c r="AK657" t="str" cm="1">
        <f t="array" ref="AK657">_xlfn.SWITCH(CleanEmployeeData[[#This Row],[EnvironmentSatisfaction]],1,"Low",2,"Medium",3,"High",4,"Very High","Unknown")</f>
        <v>Very High</v>
      </c>
      <c r="AL657" t="str" cm="1">
        <f t="array" ref="AL657">_xlfn.SWITCH(CleanEmployeeData[[#This Row],[JobInvolvement]],1,"Low",2,"Medium",3,"High",4,"Very High","Unknown")</f>
        <v>High</v>
      </c>
      <c r="AM657" t="str" cm="1">
        <f t="array" ref="AM657">_xlfn.SWITCH(CleanEmployeeData[[#This Row],[JobSatisfaction]],1,"Low",2,"Medium",3,"High",4,"Very High","Unknown")</f>
        <v>Medium</v>
      </c>
      <c r="AN657" t="str" cm="1">
        <f t="array" ref="AN657">_xlfn.SWITCH(CleanEmployeeData[[#This Row],[PerformanceRating]],1,"Low",2,"Good",3,"Excellent",4,"Outstanding","Unknown")</f>
        <v>Excellent</v>
      </c>
      <c r="AO657" t="str" cm="1">
        <f t="array" ref="AO657">_xlfn.SWITCH(CleanEmployeeData[[#This Row],[WorkLifeBalance]],1,"Bad",2,"Good",3,"Better",4,"Best","Unknown")</f>
        <v>Best</v>
      </c>
      <c r="AP657">
        <f>IF(CleanEmployeeData[[#This Row],[Attrition]]="Yes",1,IF(CleanEmployeeData[[#This Row],[Attrition]]="No",0,""))</f>
        <v>0</v>
      </c>
      <c r="AQ657" t="str" cm="1">
        <f t="array" ref="AQ657">_xlfn.IFS(CleanEmployeeData[[#This Row],[MonthlyIncome]]&lt;=3000,"0–3,000",CleanEmployeeData[[#This Row],[MonthlyIncome]]&lt;=6000,"3,001–6,000",CleanEmployeeData[[#This Row],[MonthlyIncome]]&lt;=10000,"6,001–10,000",TRUE,"10,001+")</f>
        <v>0–3,000</v>
      </c>
      <c r="AR657" t="str" cm="1">
        <f t="array" ref="AR657">_xlfn.IFS(CleanEmployeeData[[#This Row],[DistanceFromHome]]&lt;=5,"0–5 miles",CleanEmployeeData[[#This Row],[DistanceFromHome]]&lt;=10,"6–10 miles",CleanEmployeeData[[#This Row],[DistanceFromHome]]&lt;=15,"11–15 miles",TRUE,"16+ miles")</f>
        <v>0–5 miles</v>
      </c>
      <c r="AS657" t="str" cm="1">
        <f t="array" ref="AS657">_xlfn.IFS(CleanEmployeeData[[#This Row],[YearsAtCompany]]&lt;=1,"0–1 years",CleanEmployeeData[[#This Row],[YearsAtCompany]]&lt;=5,"2–5 years",CleanEmployeeData[[#This Row],[YearsAtCompany]]&lt;=10,"6–10 years",TRUE,"11+ years")</f>
        <v>2–5 years</v>
      </c>
    </row>
    <row r="658" spans="1:4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cm="1">
        <f t="array" ref="AJ658">_xlfn.SWITCH(CleanEmployeeData[[#This Row],[Education]],1,"Below College",2,"College",3,"Bachelor",4,"Master",5,"Doctor","Unknown")</f>
        <v>Master</v>
      </c>
      <c r="AK658" t="str" cm="1">
        <f t="array" ref="AK658">_xlfn.SWITCH(CleanEmployeeData[[#This Row],[EnvironmentSatisfaction]],1,"Low",2,"Medium",3,"High",4,"Very High","Unknown")</f>
        <v>Low</v>
      </c>
      <c r="AL658" t="str" cm="1">
        <f t="array" ref="AL658">_xlfn.SWITCH(CleanEmployeeData[[#This Row],[JobInvolvement]],1,"Low",2,"Medium",3,"High",4,"Very High","Unknown")</f>
        <v>High</v>
      </c>
      <c r="AM658" t="str" cm="1">
        <f t="array" ref="AM658">_xlfn.SWITCH(CleanEmployeeData[[#This Row],[JobSatisfaction]],1,"Low",2,"Medium",3,"High",4,"Very High","Unknown")</f>
        <v>Very High</v>
      </c>
      <c r="AN658" t="str" cm="1">
        <f t="array" ref="AN658">_xlfn.SWITCH(CleanEmployeeData[[#This Row],[PerformanceRating]],1,"Low",2,"Good",3,"Excellent",4,"Outstanding","Unknown")</f>
        <v>Outstanding</v>
      </c>
      <c r="AO658" t="str" cm="1">
        <f t="array" ref="AO658">_xlfn.SWITCH(CleanEmployeeData[[#This Row],[WorkLifeBalance]],1,"Bad",2,"Good",3,"Better",4,"Best","Unknown")</f>
        <v>Bad</v>
      </c>
      <c r="AP658">
        <f>IF(CleanEmployeeData[[#This Row],[Attrition]]="Yes",1,IF(CleanEmployeeData[[#This Row],[Attrition]]="No",0,""))</f>
        <v>1</v>
      </c>
      <c r="AQ658" t="str" cm="1">
        <f t="array" ref="AQ658">_xlfn.IFS(CleanEmployeeData[[#This Row],[MonthlyIncome]]&lt;=3000,"0–3,000",CleanEmployeeData[[#This Row],[MonthlyIncome]]&lt;=6000,"3,001–6,000",CleanEmployeeData[[#This Row],[MonthlyIncome]]&lt;=10000,"6,001–10,000",TRUE,"10,001+")</f>
        <v>0–3,000</v>
      </c>
      <c r="AR658" t="str" cm="1">
        <f t="array" ref="AR658">_xlfn.IFS(CleanEmployeeData[[#This Row],[DistanceFromHome]]&lt;=5,"0–5 miles",CleanEmployeeData[[#This Row],[DistanceFromHome]]&lt;=10,"6–10 miles",CleanEmployeeData[[#This Row],[DistanceFromHome]]&lt;=15,"11–15 miles",TRUE,"16+ miles")</f>
        <v>16+ miles</v>
      </c>
      <c r="AS658" t="str" cm="1">
        <f t="array" ref="AS658">_xlfn.IFS(CleanEmployeeData[[#This Row],[YearsAtCompany]]&lt;=1,"0–1 years",CleanEmployeeData[[#This Row],[YearsAtCompany]]&lt;=5,"2–5 years",CleanEmployeeData[[#This Row],[YearsAtCompany]]&lt;=10,"6–10 years",TRUE,"11+ years")</f>
        <v>0–1 years</v>
      </c>
    </row>
    <row r="659" spans="1:4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cm="1">
        <f t="array" ref="AJ659">_xlfn.SWITCH(CleanEmployeeData[[#This Row],[Education]],1,"Below College",2,"College",3,"Bachelor",4,"Master",5,"Doctor","Unknown")</f>
        <v>Below College</v>
      </c>
      <c r="AK659" t="str" cm="1">
        <f t="array" ref="AK659">_xlfn.SWITCH(CleanEmployeeData[[#This Row],[EnvironmentSatisfaction]],1,"Low",2,"Medium",3,"High",4,"Very High","Unknown")</f>
        <v>Low</v>
      </c>
      <c r="AL659" t="str" cm="1">
        <f t="array" ref="AL659">_xlfn.SWITCH(CleanEmployeeData[[#This Row],[JobInvolvement]],1,"Low",2,"Medium",3,"High",4,"Very High","Unknown")</f>
        <v>Medium</v>
      </c>
      <c r="AM659" t="str" cm="1">
        <f t="array" ref="AM659">_xlfn.SWITCH(CleanEmployeeData[[#This Row],[JobSatisfaction]],1,"Low",2,"Medium",3,"High",4,"Very High","Unknown")</f>
        <v>Very High</v>
      </c>
      <c r="AN659" t="str" cm="1">
        <f t="array" ref="AN659">_xlfn.SWITCH(CleanEmployeeData[[#This Row],[PerformanceRating]],1,"Low",2,"Good",3,"Excellent",4,"Outstanding","Unknown")</f>
        <v>Excellent</v>
      </c>
      <c r="AO659" t="str" cm="1">
        <f t="array" ref="AO659">_xlfn.SWITCH(CleanEmployeeData[[#This Row],[WorkLifeBalance]],1,"Bad",2,"Good",3,"Better",4,"Best","Unknown")</f>
        <v>Better</v>
      </c>
      <c r="AP659">
        <f>IF(CleanEmployeeData[[#This Row],[Attrition]]="Yes",1,IF(CleanEmployeeData[[#This Row],[Attrition]]="No",0,""))</f>
        <v>0</v>
      </c>
      <c r="AQ659" t="str" cm="1">
        <f t="array" ref="AQ659">_xlfn.IFS(CleanEmployeeData[[#This Row],[MonthlyIncome]]&lt;=3000,"0–3,000",CleanEmployeeData[[#This Row],[MonthlyIncome]]&lt;=6000,"3,001–6,000",CleanEmployeeData[[#This Row],[MonthlyIncome]]&lt;=10000,"6,001–10,000",TRUE,"10,001+")</f>
        <v>0–3,000</v>
      </c>
      <c r="AR659" t="str" cm="1">
        <f t="array" ref="AR659">_xlfn.IFS(CleanEmployeeData[[#This Row],[DistanceFromHome]]&lt;=5,"0–5 miles",CleanEmployeeData[[#This Row],[DistanceFromHome]]&lt;=10,"6–10 miles",CleanEmployeeData[[#This Row],[DistanceFromHome]]&lt;=15,"11–15 miles",TRUE,"16+ miles")</f>
        <v>6–10 miles</v>
      </c>
      <c r="AS659" t="str" cm="1">
        <f t="array" ref="AS659">_xlfn.IFS(CleanEmployeeData[[#This Row],[YearsAtCompany]]&lt;=1,"0–1 years",CleanEmployeeData[[#This Row],[YearsAtCompany]]&lt;=5,"2–5 years",CleanEmployeeData[[#This Row],[YearsAtCompany]]&lt;=10,"6–10 years",TRUE,"11+ years")</f>
        <v>2–5 years</v>
      </c>
    </row>
    <row r="660" spans="1:4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cm="1">
        <f t="array" ref="AJ660">_xlfn.SWITCH(CleanEmployeeData[[#This Row],[Education]],1,"Below College",2,"College",3,"Bachelor",4,"Master",5,"Doctor","Unknown")</f>
        <v>College</v>
      </c>
      <c r="AK660" t="str" cm="1">
        <f t="array" ref="AK660">_xlfn.SWITCH(CleanEmployeeData[[#This Row],[EnvironmentSatisfaction]],1,"Low",2,"Medium",3,"High",4,"Very High","Unknown")</f>
        <v>Medium</v>
      </c>
      <c r="AL660" t="str" cm="1">
        <f t="array" ref="AL660">_xlfn.SWITCH(CleanEmployeeData[[#This Row],[JobInvolvement]],1,"Low",2,"Medium",3,"High",4,"Very High","Unknown")</f>
        <v>High</v>
      </c>
      <c r="AM660" t="str" cm="1">
        <f t="array" ref="AM660">_xlfn.SWITCH(CleanEmployeeData[[#This Row],[JobSatisfaction]],1,"Low",2,"Medium",3,"High",4,"Very High","Unknown")</f>
        <v>Low</v>
      </c>
      <c r="AN660" t="str" cm="1">
        <f t="array" ref="AN660">_xlfn.SWITCH(CleanEmployeeData[[#This Row],[PerformanceRating]],1,"Low",2,"Good",3,"Excellent",4,"Outstanding","Unknown")</f>
        <v>Excellent</v>
      </c>
      <c r="AO660" t="str" cm="1">
        <f t="array" ref="AO660">_xlfn.SWITCH(CleanEmployeeData[[#This Row],[WorkLifeBalance]],1,"Bad",2,"Good",3,"Better",4,"Best","Unknown")</f>
        <v>Better</v>
      </c>
      <c r="AP660">
        <f>IF(CleanEmployeeData[[#This Row],[Attrition]]="Yes",1,IF(CleanEmployeeData[[#This Row],[Attrition]]="No",0,""))</f>
        <v>0</v>
      </c>
      <c r="AQ660" t="str" cm="1">
        <f t="array" ref="AQ660">_xlfn.IFS(CleanEmployeeData[[#This Row],[MonthlyIncome]]&lt;=3000,"0–3,000",CleanEmployeeData[[#This Row],[MonthlyIncome]]&lt;=6000,"3,001–6,000",CleanEmployeeData[[#This Row],[MonthlyIncome]]&lt;=10000,"6,001–10,000",TRUE,"10,001+")</f>
        <v>0–3,000</v>
      </c>
      <c r="AR660" t="str" cm="1">
        <f t="array" ref="AR660">_xlfn.IFS(CleanEmployeeData[[#This Row],[DistanceFromHome]]&lt;=5,"0–5 miles",CleanEmployeeData[[#This Row],[DistanceFromHome]]&lt;=10,"6–10 miles",CleanEmployeeData[[#This Row],[DistanceFromHome]]&lt;=15,"11–15 miles",TRUE,"16+ miles")</f>
        <v>6–10 miles</v>
      </c>
      <c r="AS660" t="str" cm="1">
        <f t="array" ref="AS660">_xlfn.IFS(CleanEmployeeData[[#This Row],[YearsAtCompany]]&lt;=1,"0–1 years",CleanEmployeeData[[#This Row],[YearsAtCompany]]&lt;=5,"2–5 years",CleanEmployeeData[[#This Row],[YearsAtCompany]]&lt;=10,"6–10 years",TRUE,"11+ years")</f>
        <v>6–10 years</v>
      </c>
    </row>
    <row r="661" spans="1:4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cm="1">
        <f t="array" ref="AJ661">_xlfn.SWITCH(CleanEmployeeData[[#This Row],[Education]],1,"Below College",2,"College",3,"Bachelor",4,"Master",5,"Doctor","Unknown")</f>
        <v>Master</v>
      </c>
      <c r="AK661" t="str" cm="1">
        <f t="array" ref="AK661">_xlfn.SWITCH(CleanEmployeeData[[#This Row],[EnvironmentSatisfaction]],1,"Low",2,"Medium",3,"High",4,"Very High","Unknown")</f>
        <v>Low</v>
      </c>
      <c r="AL661" t="str" cm="1">
        <f t="array" ref="AL661">_xlfn.SWITCH(CleanEmployeeData[[#This Row],[JobInvolvement]],1,"Low",2,"Medium",3,"High",4,"Very High","Unknown")</f>
        <v>High</v>
      </c>
      <c r="AM661" t="str" cm="1">
        <f t="array" ref="AM661">_xlfn.SWITCH(CleanEmployeeData[[#This Row],[JobSatisfaction]],1,"Low",2,"Medium",3,"High",4,"Very High","Unknown")</f>
        <v>Very High</v>
      </c>
      <c r="AN661" t="str" cm="1">
        <f t="array" ref="AN661">_xlfn.SWITCH(CleanEmployeeData[[#This Row],[PerformanceRating]],1,"Low",2,"Good",3,"Excellent",4,"Outstanding","Unknown")</f>
        <v>Excellent</v>
      </c>
      <c r="AO661" t="str" cm="1">
        <f t="array" ref="AO661">_xlfn.SWITCH(CleanEmployeeData[[#This Row],[WorkLifeBalance]],1,"Bad",2,"Good",3,"Better",4,"Best","Unknown")</f>
        <v>Better</v>
      </c>
      <c r="AP661">
        <f>IF(CleanEmployeeData[[#This Row],[Attrition]]="Yes",1,IF(CleanEmployeeData[[#This Row],[Attrition]]="No",0,""))</f>
        <v>0</v>
      </c>
      <c r="AQ661" t="str" cm="1">
        <f t="array" ref="AQ661">_xlfn.IFS(CleanEmployeeData[[#This Row],[MonthlyIncome]]&lt;=3000,"0–3,000",CleanEmployeeData[[#This Row],[MonthlyIncome]]&lt;=6000,"3,001–6,000",CleanEmployeeData[[#This Row],[MonthlyIncome]]&lt;=10000,"6,001–10,000",TRUE,"10,001+")</f>
        <v>3,001–6,000</v>
      </c>
      <c r="AR661" t="str" cm="1">
        <f t="array" ref="AR661">_xlfn.IFS(CleanEmployeeData[[#This Row],[DistanceFromHome]]&lt;=5,"0–5 miles",CleanEmployeeData[[#This Row],[DistanceFromHome]]&lt;=10,"6–10 miles",CleanEmployeeData[[#This Row],[DistanceFromHome]]&lt;=15,"11–15 miles",TRUE,"16+ miles")</f>
        <v>0–5 miles</v>
      </c>
      <c r="AS661" t="str" cm="1">
        <f t="array" ref="AS661">_xlfn.IFS(CleanEmployeeData[[#This Row],[YearsAtCompany]]&lt;=1,"0–1 years",CleanEmployeeData[[#This Row],[YearsAtCompany]]&lt;=5,"2–5 years",CleanEmployeeData[[#This Row],[YearsAtCompany]]&lt;=10,"6–10 years",TRUE,"11+ years")</f>
        <v>2–5 years</v>
      </c>
    </row>
    <row r="662" spans="1:4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cm="1">
        <f t="array" ref="AJ662">_xlfn.SWITCH(CleanEmployeeData[[#This Row],[Education]],1,"Below College",2,"College",3,"Bachelor",4,"Master",5,"Doctor","Unknown")</f>
        <v>Below College</v>
      </c>
      <c r="AK662" t="str" cm="1">
        <f t="array" ref="AK662">_xlfn.SWITCH(CleanEmployeeData[[#This Row],[EnvironmentSatisfaction]],1,"Low",2,"Medium",3,"High",4,"Very High","Unknown")</f>
        <v>Very High</v>
      </c>
      <c r="AL662" t="str" cm="1">
        <f t="array" ref="AL662">_xlfn.SWITCH(CleanEmployeeData[[#This Row],[JobInvolvement]],1,"Low",2,"Medium",3,"High",4,"Very High","Unknown")</f>
        <v>Medium</v>
      </c>
      <c r="AM662" t="str" cm="1">
        <f t="array" ref="AM662">_xlfn.SWITCH(CleanEmployeeData[[#This Row],[JobSatisfaction]],1,"Low",2,"Medium",3,"High",4,"Very High","Unknown")</f>
        <v>Very High</v>
      </c>
      <c r="AN662" t="str" cm="1">
        <f t="array" ref="AN662">_xlfn.SWITCH(CleanEmployeeData[[#This Row],[PerformanceRating]],1,"Low",2,"Good",3,"Excellent",4,"Outstanding","Unknown")</f>
        <v>Excellent</v>
      </c>
      <c r="AO662" t="str" cm="1">
        <f t="array" ref="AO662">_xlfn.SWITCH(CleanEmployeeData[[#This Row],[WorkLifeBalance]],1,"Bad",2,"Good",3,"Better",4,"Best","Unknown")</f>
        <v>Good</v>
      </c>
      <c r="AP662">
        <f>IF(CleanEmployeeData[[#This Row],[Attrition]]="Yes",1,IF(CleanEmployeeData[[#This Row],[Attrition]]="No",0,""))</f>
        <v>1</v>
      </c>
      <c r="AQ662" t="str" cm="1">
        <f t="array" ref="AQ662">_xlfn.IFS(CleanEmployeeData[[#This Row],[MonthlyIncome]]&lt;=3000,"0–3,000",CleanEmployeeData[[#This Row],[MonthlyIncome]]&lt;=6000,"3,001–6,000",CleanEmployeeData[[#This Row],[MonthlyIncome]]&lt;=10000,"6,001–10,000",TRUE,"10,001+")</f>
        <v>0–3,000</v>
      </c>
      <c r="AR662" t="str" cm="1">
        <f t="array" ref="AR662">_xlfn.IFS(CleanEmployeeData[[#This Row],[DistanceFromHome]]&lt;=5,"0–5 miles",CleanEmployeeData[[#This Row],[DistanceFromHome]]&lt;=10,"6–10 miles",CleanEmployeeData[[#This Row],[DistanceFromHome]]&lt;=15,"11–15 miles",TRUE,"16+ miles")</f>
        <v>0–5 miles</v>
      </c>
      <c r="AS662" t="str" cm="1">
        <f t="array" ref="AS662">_xlfn.IFS(CleanEmployeeData[[#This Row],[YearsAtCompany]]&lt;=1,"0–1 years",CleanEmployeeData[[#This Row],[YearsAtCompany]]&lt;=5,"2–5 years",CleanEmployeeData[[#This Row],[YearsAtCompany]]&lt;=10,"6–10 years",TRUE,"11+ years")</f>
        <v>0–1 years</v>
      </c>
    </row>
    <row r="663" spans="1:4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cm="1">
        <f t="array" ref="AJ663">_xlfn.SWITCH(CleanEmployeeData[[#This Row],[Education]],1,"Below College",2,"College",3,"Bachelor",4,"Master",5,"Doctor","Unknown")</f>
        <v>Bachelor</v>
      </c>
      <c r="AK663" t="str" cm="1">
        <f t="array" ref="AK663">_xlfn.SWITCH(CleanEmployeeData[[#This Row],[EnvironmentSatisfaction]],1,"Low",2,"Medium",3,"High",4,"Very High","Unknown")</f>
        <v>Low</v>
      </c>
      <c r="AL663" t="str" cm="1">
        <f t="array" ref="AL663">_xlfn.SWITCH(CleanEmployeeData[[#This Row],[JobInvolvement]],1,"Low",2,"Medium",3,"High",4,"Very High","Unknown")</f>
        <v>High</v>
      </c>
      <c r="AM663" t="str" cm="1">
        <f t="array" ref="AM663">_xlfn.SWITCH(CleanEmployeeData[[#This Row],[JobSatisfaction]],1,"Low",2,"Medium",3,"High",4,"Very High","Unknown")</f>
        <v>Medium</v>
      </c>
      <c r="AN663" t="str" cm="1">
        <f t="array" ref="AN663">_xlfn.SWITCH(CleanEmployeeData[[#This Row],[PerformanceRating]],1,"Low",2,"Good",3,"Excellent",4,"Outstanding","Unknown")</f>
        <v>Outstanding</v>
      </c>
      <c r="AO663" t="str" cm="1">
        <f t="array" ref="AO663">_xlfn.SWITCH(CleanEmployeeData[[#This Row],[WorkLifeBalance]],1,"Bad",2,"Good",3,"Better",4,"Best","Unknown")</f>
        <v>Best</v>
      </c>
      <c r="AP663">
        <f>IF(CleanEmployeeData[[#This Row],[Attrition]]="Yes",1,IF(CleanEmployeeData[[#This Row],[Attrition]]="No",0,""))</f>
        <v>0</v>
      </c>
      <c r="AQ663" t="str" cm="1">
        <f t="array" ref="AQ663">_xlfn.IFS(CleanEmployeeData[[#This Row],[MonthlyIncome]]&lt;=3000,"0–3,000",CleanEmployeeData[[#This Row],[MonthlyIncome]]&lt;=6000,"3,001–6,000",CleanEmployeeData[[#This Row],[MonthlyIncome]]&lt;=10000,"6,001–10,000",TRUE,"10,001+")</f>
        <v>3,001–6,000</v>
      </c>
      <c r="AR663" t="str" cm="1">
        <f t="array" ref="AR663">_xlfn.IFS(CleanEmployeeData[[#This Row],[DistanceFromHome]]&lt;=5,"0–5 miles",CleanEmployeeData[[#This Row],[DistanceFromHome]]&lt;=10,"6–10 miles",CleanEmployeeData[[#This Row],[DistanceFromHome]]&lt;=15,"11–15 miles",TRUE,"16+ miles")</f>
        <v>6–10 miles</v>
      </c>
      <c r="AS663" t="str" cm="1">
        <f t="array" ref="AS663">_xlfn.IFS(CleanEmployeeData[[#This Row],[YearsAtCompany]]&lt;=1,"0–1 years",CleanEmployeeData[[#This Row],[YearsAtCompany]]&lt;=5,"2–5 years",CleanEmployeeData[[#This Row],[YearsAtCompany]]&lt;=10,"6–10 years",TRUE,"11+ years")</f>
        <v>0–1 years</v>
      </c>
    </row>
    <row r="664" spans="1:4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cm="1">
        <f t="array" ref="AJ664">_xlfn.SWITCH(CleanEmployeeData[[#This Row],[Education]],1,"Below College",2,"College",3,"Bachelor",4,"Master",5,"Doctor","Unknown")</f>
        <v>Bachelor</v>
      </c>
      <c r="AK664" t="str" cm="1">
        <f t="array" ref="AK664">_xlfn.SWITCH(CleanEmployeeData[[#This Row],[EnvironmentSatisfaction]],1,"Low",2,"Medium",3,"High",4,"Very High","Unknown")</f>
        <v>High</v>
      </c>
      <c r="AL664" t="str" cm="1">
        <f t="array" ref="AL664">_xlfn.SWITCH(CleanEmployeeData[[#This Row],[JobInvolvement]],1,"Low",2,"Medium",3,"High",4,"Very High","Unknown")</f>
        <v>Medium</v>
      </c>
      <c r="AM664" t="str" cm="1">
        <f t="array" ref="AM664">_xlfn.SWITCH(CleanEmployeeData[[#This Row],[JobSatisfaction]],1,"Low",2,"Medium",3,"High",4,"Very High","Unknown")</f>
        <v>High</v>
      </c>
      <c r="AN664" t="str" cm="1">
        <f t="array" ref="AN664">_xlfn.SWITCH(CleanEmployeeData[[#This Row],[PerformanceRating]],1,"Low",2,"Good",3,"Excellent",4,"Outstanding","Unknown")</f>
        <v>Excellent</v>
      </c>
      <c r="AO664" t="str" cm="1">
        <f t="array" ref="AO664">_xlfn.SWITCH(CleanEmployeeData[[#This Row],[WorkLifeBalance]],1,"Bad",2,"Good",3,"Better",4,"Best","Unknown")</f>
        <v>Good</v>
      </c>
      <c r="AP664">
        <f>IF(CleanEmployeeData[[#This Row],[Attrition]]="Yes",1,IF(CleanEmployeeData[[#This Row],[Attrition]]="No",0,""))</f>
        <v>1</v>
      </c>
      <c r="AQ664" t="str" cm="1">
        <f t="array" ref="AQ664">_xlfn.IFS(CleanEmployeeData[[#This Row],[MonthlyIncome]]&lt;=3000,"0–3,000",CleanEmployeeData[[#This Row],[MonthlyIncome]]&lt;=6000,"3,001–6,000",CleanEmployeeData[[#This Row],[MonthlyIncome]]&lt;=10000,"6,001–10,000",TRUE,"10,001+")</f>
        <v>0–3,000</v>
      </c>
      <c r="AR664" t="str" cm="1">
        <f t="array" ref="AR664">_xlfn.IFS(CleanEmployeeData[[#This Row],[DistanceFromHome]]&lt;=5,"0–5 miles",CleanEmployeeData[[#This Row],[DistanceFromHome]]&lt;=10,"6–10 miles",CleanEmployeeData[[#This Row],[DistanceFromHome]]&lt;=15,"11–15 miles",TRUE,"16+ miles")</f>
        <v>0–5 miles</v>
      </c>
      <c r="AS664" t="str" cm="1">
        <f t="array" ref="AS664">_xlfn.IFS(CleanEmployeeData[[#This Row],[YearsAtCompany]]&lt;=1,"0–1 years",CleanEmployeeData[[#This Row],[YearsAtCompany]]&lt;=5,"2–5 years",CleanEmployeeData[[#This Row],[YearsAtCompany]]&lt;=10,"6–10 years",TRUE,"11+ years")</f>
        <v>2–5 years</v>
      </c>
    </row>
    <row r="665" spans="1:4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cm="1">
        <f t="array" ref="AJ665">_xlfn.SWITCH(CleanEmployeeData[[#This Row],[Education]],1,"Below College",2,"College",3,"Bachelor",4,"Master",5,"Doctor","Unknown")</f>
        <v>Below College</v>
      </c>
      <c r="AK665" t="str" cm="1">
        <f t="array" ref="AK665">_xlfn.SWITCH(CleanEmployeeData[[#This Row],[EnvironmentSatisfaction]],1,"Low",2,"Medium",3,"High",4,"Very High","Unknown")</f>
        <v>Very High</v>
      </c>
      <c r="AL665" t="str" cm="1">
        <f t="array" ref="AL665">_xlfn.SWITCH(CleanEmployeeData[[#This Row],[JobInvolvement]],1,"Low",2,"Medium",3,"High",4,"Very High","Unknown")</f>
        <v>High</v>
      </c>
      <c r="AM665" t="str" cm="1">
        <f t="array" ref="AM665">_xlfn.SWITCH(CleanEmployeeData[[#This Row],[JobSatisfaction]],1,"Low",2,"Medium",3,"High",4,"Very High","Unknown")</f>
        <v>Very High</v>
      </c>
      <c r="AN665" t="str" cm="1">
        <f t="array" ref="AN665">_xlfn.SWITCH(CleanEmployeeData[[#This Row],[PerformanceRating]],1,"Low",2,"Good",3,"Excellent",4,"Outstanding","Unknown")</f>
        <v>Excellent</v>
      </c>
      <c r="AO665" t="str" cm="1">
        <f t="array" ref="AO665">_xlfn.SWITCH(CleanEmployeeData[[#This Row],[WorkLifeBalance]],1,"Bad",2,"Good",3,"Better",4,"Best","Unknown")</f>
        <v>Good</v>
      </c>
      <c r="AP665">
        <f>IF(CleanEmployeeData[[#This Row],[Attrition]]="Yes",1,IF(CleanEmployeeData[[#This Row],[Attrition]]="No",0,""))</f>
        <v>1</v>
      </c>
      <c r="AQ665" t="str" cm="1">
        <f t="array" ref="AQ665">_xlfn.IFS(CleanEmployeeData[[#This Row],[MonthlyIncome]]&lt;=3000,"0–3,000",CleanEmployeeData[[#This Row],[MonthlyIncome]]&lt;=6000,"3,001–6,000",CleanEmployeeData[[#This Row],[MonthlyIncome]]&lt;=10000,"6,001–10,000",TRUE,"10,001+")</f>
        <v>0–3,000</v>
      </c>
      <c r="AR665" t="str" cm="1">
        <f t="array" ref="AR665">_xlfn.IFS(CleanEmployeeData[[#This Row],[DistanceFromHome]]&lt;=5,"0–5 miles",CleanEmployeeData[[#This Row],[DistanceFromHome]]&lt;=10,"6–10 miles",CleanEmployeeData[[#This Row],[DistanceFromHome]]&lt;=15,"11–15 miles",TRUE,"16+ miles")</f>
        <v>16+ miles</v>
      </c>
      <c r="AS665" t="str" cm="1">
        <f t="array" ref="AS665">_xlfn.IFS(CleanEmployeeData[[#This Row],[YearsAtCompany]]&lt;=1,"0–1 years",CleanEmployeeData[[#This Row],[YearsAtCompany]]&lt;=5,"2–5 years",CleanEmployeeData[[#This Row],[YearsAtCompany]]&lt;=10,"6–10 years",TRUE,"11+ years")</f>
        <v>0–1 years</v>
      </c>
    </row>
    <row r="666" spans="1:4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cm="1">
        <f t="array" ref="AJ666">_xlfn.SWITCH(CleanEmployeeData[[#This Row],[Education]],1,"Below College",2,"College",3,"Bachelor",4,"Master",5,"Doctor","Unknown")</f>
        <v>Below College</v>
      </c>
      <c r="AK666" t="str" cm="1">
        <f t="array" ref="AK666">_xlfn.SWITCH(CleanEmployeeData[[#This Row],[EnvironmentSatisfaction]],1,"Low",2,"Medium",3,"High",4,"Very High","Unknown")</f>
        <v>High</v>
      </c>
      <c r="AL666" t="str" cm="1">
        <f t="array" ref="AL666">_xlfn.SWITCH(CleanEmployeeData[[#This Row],[JobInvolvement]],1,"Low",2,"Medium",3,"High",4,"Very High","Unknown")</f>
        <v>High</v>
      </c>
      <c r="AM666" t="str" cm="1">
        <f t="array" ref="AM666">_xlfn.SWITCH(CleanEmployeeData[[#This Row],[JobSatisfaction]],1,"Low",2,"Medium",3,"High",4,"Very High","Unknown")</f>
        <v>Very High</v>
      </c>
      <c r="AN666" t="str" cm="1">
        <f t="array" ref="AN666">_xlfn.SWITCH(CleanEmployeeData[[#This Row],[PerformanceRating]],1,"Low",2,"Good",3,"Excellent",4,"Outstanding","Unknown")</f>
        <v>Excellent</v>
      </c>
      <c r="AO666" t="str" cm="1">
        <f t="array" ref="AO666">_xlfn.SWITCH(CleanEmployeeData[[#This Row],[WorkLifeBalance]],1,"Bad",2,"Good",3,"Better",4,"Best","Unknown")</f>
        <v>Good</v>
      </c>
      <c r="AP666">
        <f>IF(CleanEmployeeData[[#This Row],[Attrition]]="Yes",1,IF(CleanEmployeeData[[#This Row],[Attrition]]="No",0,""))</f>
        <v>0</v>
      </c>
      <c r="AQ666" t="str" cm="1">
        <f t="array" ref="AQ666">_xlfn.IFS(CleanEmployeeData[[#This Row],[MonthlyIncome]]&lt;=3000,"0–3,000",CleanEmployeeData[[#This Row],[MonthlyIncome]]&lt;=6000,"3,001–6,000",CleanEmployeeData[[#This Row],[MonthlyIncome]]&lt;=10000,"6,001–10,000",TRUE,"10,001+")</f>
        <v>6,001–10,000</v>
      </c>
      <c r="AR666" t="str" cm="1">
        <f t="array" ref="AR666">_xlfn.IFS(CleanEmployeeData[[#This Row],[DistanceFromHome]]&lt;=5,"0–5 miles",CleanEmployeeData[[#This Row],[DistanceFromHome]]&lt;=10,"6–10 miles",CleanEmployeeData[[#This Row],[DistanceFromHome]]&lt;=15,"11–15 miles",TRUE,"16+ miles")</f>
        <v>11–15 miles</v>
      </c>
      <c r="AS666" t="str" cm="1">
        <f t="array" ref="AS666">_xlfn.IFS(CleanEmployeeData[[#This Row],[YearsAtCompany]]&lt;=1,"0–1 years",CleanEmployeeData[[#This Row],[YearsAtCompany]]&lt;=5,"2–5 years",CleanEmployeeData[[#This Row],[YearsAtCompany]]&lt;=10,"6–10 years",TRUE,"11+ years")</f>
        <v>11+ years</v>
      </c>
    </row>
    <row r="667" spans="1:4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cm="1">
        <f t="array" ref="AJ667">_xlfn.SWITCH(CleanEmployeeData[[#This Row],[Education]],1,"Below College",2,"College",3,"Bachelor",4,"Master",5,"Doctor","Unknown")</f>
        <v>Master</v>
      </c>
      <c r="AK667" t="str" cm="1">
        <f t="array" ref="AK667">_xlfn.SWITCH(CleanEmployeeData[[#This Row],[EnvironmentSatisfaction]],1,"Low",2,"Medium",3,"High",4,"Very High","Unknown")</f>
        <v>Very High</v>
      </c>
      <c r="AL667" t="str" cm="1">
        <f t="array" ref="AL667">_xlfn.SWITCH(CleanEmployeeData[[#This Row],[JobInvolvement]],1,"Low",2,"Medium",3,"High",4,"Very High","Unknown")</f>
        <v>Medium</v>
      </c>
      <c r="AM667" t="str" cm="1">
        <f t="array" ref="AM667">_xlfn.SWITCH(CleanEmployeeData[[#This Row],[JobSatisfaction]],1,"Low",2,"Medium",3,"High",4,"Very High","Unknown")</f>
        <v>Very High</v>
      </c>
      <c r="AN667" t="str" cm="1">
        <f t="array" ref="AN667">_xlfn.SWITCH(CleanEmployeeData[[#This Row],[PerformanceRating]],1,"Low",2,"Good",3,"Excellent",4,"Outstanding","Unknown")</f>
        <v>Excellent</v>
      </c>
      <c r="AO667" t="str" cm="1">
        <f t="array" ref="AO667">_xlfn.SWITCH(CleanEmployeeData[[#This Row],[WorkLifeBalance]],1,"Bad",2,"Good",3,"Better",4,"Best","Unknown")</f>
        <v>Good</v>
      </c>
      <c r="AP667">
        <f>IF(CleanEmployeeData[[#This Row],[Attrition]]="Yes",1,IF(CleanEmployeeData[[#This Row],[Attrition]]="No",0,""))</f>
        <v>0</v>
      </c>
      <c r="AQ667" t="str" cm="1">
        <f t="array" ref="AQ667">_xlfn.IFS(CleanEmployeeData[[#This Row],[MonthlyIncome]]&lt;=3000,"0–3,000",CleanEmployeeData[[#This Row],[MonthlyIncome]]&lt;=6000,"3,001–6,000",CleanEmployeeData[[#This Row],[MonthlyIncome]]&lt;=10000,"6,001–10,000",TRUE,"10,001+")</f>
        <v>3,001–6,000</v>
      </c>
      <c r="AR667" t="str" cm="1">
        <f t="array" ref="AR667">_xlfn.IFS(CleanEmployeeData[[#This Row],[DistanceFromHome]]&lt;=5,"0–5 miles",CleanEmployeeData[[#This Row],[DistanceFromHome]]&lt;=10,"6–10 miles",CleanEmployeeData[[#This Row],[DistanceFromHome]]&lt;=15,"11–15 miles",TRUE,"16+ miles")</f>
        <v>0–5 miles</v>
      </c>
      <c r="AS667" t="str" cm="1">
        <f t="array" ref="AS667">_xlfn.IFS(CleanEmployeeData[[#This Row],[YearsAtCompany]]&lt;=1,"0–1 years",CleanEmployeeData[[#This Row],[YearsAtCompany]]&lt;=5,"2–5 years",CleanEmployeeData[[#This Row],[YearsAtCompany]]&lt;=10,"6–10 years",TRUE,"11+ years")</f>
        <v>2–5 years</v>
      </c>
    </row>
    <row r="668" spans="1:4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cm="1">
        <f t="array" ref="AJ668">_xlfn.SWITCH(CleanEmployeeData[[#This Row],[Education]],1,"Below College",2,"College",3,"Bachelor",4,"Master",5,"Doctor","Unknown")</f>
        <v>Below College</v>
      </c>
      <c r="AK668" t="str" cm="1">
        <f t="array" ref="AK668">_xlfn.SWITCH(CleanEmployeeData[[#This Row],[EnvironmentSatisfaction]],1,"Low",2,"Medium",3,"High",4,"Very High","Unknown")</f>
        <v>Medium</v>
      </c>
      <c r="AL668" t="str" cm="1">
        <f t="array" ref="AL668">_xlfn.SWITCH(CleanEmployeeData[[#This Row],[JobInvolvement]],1,"Low",2,"Medium",3,"High",4,"Very High","Unknown")</f>
        <v>High</v>
      </c>
      <c r="AM668" t="str" cm="1">
        <f t="array" ref="AM668">_xlfn.SWITCH(CleanEmployeeData[[#This Row],[JobSatisfaction]],1,"Low",2,"Medium",3,"High",4,"Very High","Unknown")</f>
        <v>High</v>
      </c>
      <c r="AN668" t="str" cm="1">
        <f t="array" ref="AN668">_xlfn.SWITCH(CleanEmployeeData[[#This Row],[PerformanceRating]],1,"Low",2,"Good",3,"Excellent",4,"Outstanding","Unknown")</f>
        <v>Excellent</v>
      </c>
      <c r="AO668" t="str" cm="1">
        <f t="array" ref="AO668">_xlfn.SWITCH(CleanEmployeeData[[#This Row],[WorkLifeBalance]],1,"Bad",2,"Good",3,"Better",4,"Best","Unknown")</f>
        <v>Best</v>
      </c>
      <c r="AP668">
        <f>IF(CleanEmployeeData[[#This Row],[Attrition]]="Yes",1,IF(CleanEmployeeData[[#This Row],[Attrition]]="No",0,""))</f>
        <v>1</v>
      </c>
      <c r="AQ668" t="str" cm="1">
        <f t="array" ref="AQ668">_xlfn.IFS(CleanEmployeeData[[#This Row],[MonthlyIncome]]&lt;=3000,"0–3,000",CleanEmployeeData[[#This Row],[MonthlyIncome]]&lt;=6000,"3,001–6,000",CleanEmployeeData[[#This Row],[MonthlyIncome]]&lt;=10000,"6,001–10,000",TRUE,"10,001+")</f>
        <v>3,001–6,000</v>
      </c>
      <c r="AR668" t="str" cm="1">
        <f t="array" ref="AR668">_xlfn.IFS(CleanEmployeeData[[#This Row],[DistanceFromHome]]&lt;=5,"0–5 miles",CleanEmployeeData[[#This Row],[DistanceFromHome]]&lt;=10,"6–10 miles",CleanEmployeeData[[#This Row],[DistanceFromHome]]&lt;=15,"11–15 miles",TRUE,"16+ miles")</f>
        <v>0–5 miles</v>
      </c>
      <c r="AS668" t="str" cm="1">
        <f t="array" ref="AS668">_xlfn.IFS(CleanEmployeeData[[#This Row],[YearsAtCompany]]&lt;=1,"0–1 years",CleanEmployeeData[[#This Row],[YearsAtCompany]]&lt;=5,"2–5 years",CleanEmployeeData[[#This Row],[YearsAtCompany]]&lt;=10,"6–10 years",TRUE,"11+ years")</f>
        <v>2–5 years</v>
      </c>
    </row>
    <row r="669" spans="1:4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cm="1">
        <f t="array" ref="AJ669">_xlfn.SWITCH(CleanEmployeeData[[#This Row],[Education]],1,"Below College",2,"College",3,"Bachelor",4,"Master",5,"Doctor","Unknown")</f>
        <v>Master</v>
      </c>
      <c r="AK669" t="str" cm="1">
        <f t="array" ref="AK669">_xlfn.SWITCH(CleanEmployeeData[[#This Row],[EnvironmentSatisfaction]],1,"Low",2,"Medium",3,"High",4,"Very High","Unknown")</f>
        <v>Medium</v>
      </c>
      <c r="AL669" t="str" cm="1">
        <f t="array" ref="AL669">_xlfn.SWITCH(CleanEmployeeData[[#This Row],[JobInvolvement]],1,"Low",2,"Medium",3,"High",4,"Very High","Unknown")</f>
        <v>Low</v>
      </c>
      <c r="AM669" t="str" cm="1">
        <f t="array" ref="AM669">_xlfn.SWITCH(CleanEmployeeData[[#This Row],[JobSatisfaction]],1,"Low",2,"Medium",3,"High",4,"Very High","Unknown")</f>
        <v>Very High</v>
      </c>
      <c r="AN669" t="str" cm="1">
        <f t="array" ref="AN669">_xlfn.SWITCH(CleanEmployeeData[[#This Row],[PerformanceRating]],1,"Low",2,"Good",3,"Excellent",4,"Outstanding","Unknown")</f>
        <v>Excellent</v>
      </c>
      <c r="AO669" t="str" cm="1">
        <f t="array" ref="AO669">_xlfn.SWITCH(CleanEmployeeData[[#This Row],[WorkLifeBalance]],1,"Bad",2,"Good",3,"Better",4,"Best","Unknown")</f>
        <v>Good</v>
      </c>
      <c r="AP669">
        <f>IF(CleanEmployeeData[[#This Row],[Attrition]]="Yes",1,IF(CleanEmployeeData[[#This Row],[Attrition]]="No",0,""))</f>
        <v>1</v>
      </c>
      <c r="AQ669" t="str" cm="1">
        <f t="array" ref="AQ669">_xlfn.IFS(CleanEmployeeData[[#This Row],[MonthlyIncome]]&lt;=3000,"0–3,000",CleanEmployeeData[[#This Row],[MonthlyIncome]]&lt;=6000,"3,001–6,000",CleanEmployeeData[[#This Row],[MonthlyIncome]]&lt;=10000,"6,001–10,000",TRUE,"10,001+")</f>
        <v>0–3,000</v>
      </c>
      <c r="AR669" t="str" cm="1">
        <f t="array" ref="AR669">_xlfn.IFS(CleanEmployeeData[[#This Row],[DistanceFromHome]]&lt;=5,"0–5 miles",CleanEmployeeData[[#This Row],[DistanceFromHome]]&lt;=10,"6–10 miles",CleanEmployeeData[[#This Row],[DistanceFromHome]]&lt;=15,"11–15 miles",TRUE,"16+ miles")</f>
        <v>0–5 miles</v>
      </c>
      <c r="AS669" t="str" cm="1">
        <f t="array" ref="AS669">_xlfn.IFS(CleanEmployeeData[[#This Row],[YearsAtCompany]]&lt;=1,"0–1 years",CleanEmployeeData[[#This Row],[YearsAtCompany]]&lt;=5,"2–5 years",CleanEmployeeData[[#This Row],[YearsAtCompany]]&lt;=10,"6–10 years",TRUE,"11+ years")</f>
        <v>6–10 years</v>
      </c>
    </row>
    <row r="670" spans="1:4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cm="1">
        <f t="array" ref="AJ670">_xlfn.SWITCH(CleanEmployeeData[[#This Row],[Education]],1,"Below College",2,"College",3,"Bachelor",4,"Master",5,"Doctor","Unknown")</f>
        <v>Bachelor</v>
      </c>
      <c r="AK670" t="str" cm="1">
        <f t="array" ref="AK670">_xlfn.SWITCH(CleanEmployeeData[[#This Row],[EnvironmentSatisfaction]],1,"Low",2,"Medium",3,"High",4,"Very High","Unknown")</f>
        <v>High</v>
      </c>
      <c r="AL670" t="str" cm="1">
        <f t="array" ref="AL670">_xlfn.SWITCH(CleanEmployeeData[[#This Row],[JobInvolvement]],1,"Low",2,"Medium",3,"High",4,"Very High","Unknown")</f>
        <v>High</v>
      </c>
      <c r="AM670" t="str" cm="1">
        <f t="array" ref="AM670">_xlfn.SWITCH(CleanEmployeeData[[#This Row],[JobSatisfaction]],1,"Low",2,"Medium",3,"High",4,"Very High","Unknown")</f>
        <v>High</v>
      </c>
      <c r="AN670" t="str" cm="1">
        <f t="array" ref="AN670">_xlfn.SWITCH(CleanEmployeeData[[#This Row],[PerformanceRating]],1,"Low",2,"Good",3,"Excellent",4,"Outstanding","Unknown")</f>
        <v>Excellent</v>
      </c>
      <c r="AO670" t="str" cm="1">
        <f t="array" ref="AO670">_xlfn.SWITCH(CleanEmployeeData[[#This Row],[WorkLifeBalance]],1,"Bad",2,"Good",3,"Better",4,"Best","Unknown")</f>
        <v>Better</v>
      </c>
      <c r="AP670">
        <f>IF(CleanEmployeeData[[#This Row],[Attrition]]="Yes",1,IF(CleanEmployeeData[[#This Row],[Attrition]]="No",0,""))</f>
        <v>0</v>
      </c>
      <c r="AQ670" t="str" cm="1">
        <f t="array" ref="AQ670">_xlfn.IFS(CleanEmployeeData[[#This Row],[MonthlyIncome]]&lt;=3000,"0–3,000",CleanEmployeeData[[#This Row],[MonthlyIncome]]&lt;=6000,"3,001–6,000",CleanEmployeeData[[#This Row],[MonthlyIncome]]&lt;=10000,"6,001–10,000",TRUE,"10,001+")</f>
        <v>0–3,000</v>
      </c>
      <c r="AR670" t="str" cm="1">
        <f t="array" ref="AR670">_xlfn.IFS(CleanEmployeeData[[#This Row],[DistanceFromHome]]&lt;=5,"0–5 miles",CleanEmployeeData[[#This Row],[DistanceFromHome]]&lt;=10,"6–10 miles",CleanEmployeeData[[#This Row],[DistanceFromHome]]&lt;=15,"11–15 miles",TRUE,"16+ miles")</f>
        <v>6–10 miles</v>
      </c>
      <c r="AS670" t="str" cm="1">
        <f t="array" ref="AS670">_xlfn.IFS(CleanEmployeeData[[#This Row],[YearsAtCompany]]&lt;=1,"0–1 years",CleanEmployeeData[[#This Row],[YearsAtCompany]]&lt;=5,"2–5 years",CleanEmployeeData[[#This Row],[YearsAtCompany]]&lt;=10,"6–10 years",TRUE,"11+ years")</f>
        <v>2–5 years</v>
      </c>
    </row>
    <row r="671" spans="1:4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cm="1">
        <f t="array" ref="AJ671">_xlfn.SWITCH(CleanEmployeeData[[#This Row],[Education]],1,"Below College",2,"College",3,"Bachelor",4,"Master",5,"Doctor","Unknown")</f>
        <v>Bachelor</v>
      </c>
      <c r="AK671" t="str" cm="1">
        <f t="array" ref="AK671">_xlfn.SWITCH(CleanEmployeeData[[#This Row],[EnvironmentSatisfaction]],1,"Low",2,"Medium",3,"High",4,"Very High","Unknown")</f>
        <v>Very High</v>
      </c>
      <c r="AL671" t="str" cm="1">
        <f t="array" ref="AL671">_xlfn.SWITCH(CleanEmployeeData[[#This Row],[JobInvolvement]],1,"Low",2,"Medium",3,"High",4,"Very High","Unknown")</f>
        <v>High</v>
      </c>
      <c r="AM671" t="str" cm="1">
        <f t="array" ref="AM671">_xlfn.SWITCH(CleanEmployeeData[[#This Row],[JobSatisfaction]],1,"Low",2,"Medium",3,"High",4,"Very High","Unknown")</f>
        <v>Low</v>
      </c>
      <c r="AN671" t="str" cm="1">
        <f t="array" ref="AN671">_xlfn.SWITCH(CleanEmployeeData[[#This Row],[PerformanceRating]],1,"Low",2,"Good",3,"Excellent",4,"Outstanding","Unknown")</f>
        <v>Outstanding</v>
      </c>
      <c r="AO671" t="str" cm="1">
        <f t="array" ref="AO671">_xlfn.SWITCH(CleanEmployeeData[[#This Row],[WorkLifeBalance]],1,"Bad",2,"Good",3,"Better",4,"Best","Unknown")</f>
        <v>Bad</v>
      </c>
      <c r="AP671">
        <f>IF(CleanEmployeeData[[#This Row],[Attrition]]="Yes",1,IF(CleanEmployeeData[[#This Row],[Attrition]]="No",0,""))</f>
        <v>1</v>
      </c>
      <c r="AQ671" t="str" cm="1">
        <f t="array" ref="AQ671">_xlfn.IFS(CleanEmployeeData[[#This Row],[MonthlyIncome]]&lt;=3000,"0–3,000",CleanEmployeeData[[#This Row],[MonthlyIncome]]&lt;=6000,"3,001–6,000",CleanEmployeeData[[#This Row],[MonthlyIncome]]&lt;=10000,"6,001–10,000",TRUE,"10,001+")</f>
        <v>0–3,000</v>
      </c>
      <c r="AR671" t="str" cm="1">
        <f t="array" ref="AR671">_xlfn.IFS(CleanEmployeeData[[#This Row],[DistanceFromHome]]&lt;=5,"0–5 miles",CleanEmployeeData[[#This Row],[DistanceFromHome]]&lt;=10,"6–10 miles",CleanEmployeeData[[#This Row],[DistanceFromHome]]&lt;=15,"11–15 miles",TRUE,"16+ miles")</f>
        <v>6–10 miles</v>
      </c>
      <c r="AS671" t="str" cm="1">
        <f t="array" ref="AS671">_xlfn.IFS(CleanEmployeeData[[#This Row],[YearsAtCompany]]&lt;=1,"0–1 years",CleanEmployeeData[[#This Row],[YearsAtCompany]]&lt;=5,"2–5 years",CleanEmployeeData[[#This Row],[YearsAtCompany]]&lt;=10,"6–10 years",TRUE,"11+ years")</f>
        <v>2–5 years</v>
      </c>
    </row>
    <row r="672" spans="1:4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cm="1">
        <f t="array" ref="AJ672">_xlfn.SWITCH(CleanEmployeeData[[#This Row],[Education]],1,"Below College",2,"College",3,"Bachelor",4,"Master",5,"Doctor","Unknown")</f>
        <v>Bachelor</v>
      </c>
      <c r="AK672" t="str" cm="1">
        <f t="array" ref="AK672">_xlfn.SWITCH(CleanEmployeeData[[#This Row],[EnvironmentSatisfaction]],1,"Low",2,"Medium",3,"High",4,"Very High","Unknown")</f>
        <v>Medium</v>
      </c>
      <c r="AL672" t="str" cm="1">
        <f t="array" ref="AL672">_xlfn.SWITCH(CleanEmployeeData[[#This Row],[JobInvolvement]],1,"Low",2,"Medium",3,"High",4,"Very High","Unknown")</f>
        <v>High</v>
      </c>
      <c r="AM672" t="str" cm="1">
        <f t="array" ref="AM672">_xlfn.SWITCH(CleanEmployeeData[[#This Row],[JobSatisfaction]],1,"Low",2,"Medium",3,"High",4,"Very High","Unknown")</f>
        <v>High</v>
      </c>
      <c r="AN672" t="str" cm="1">
        <f t="array" ref="AN672">_xlfn.SWITCH(CleanEmployeeData[[#This Row],[PerformanceRating]],1,"Low",2,"Good",3,"Excellent",4,"Outstanding","Unknown")</f>
        <v>Excellent</v>
      </c>
      <c r="AO672" t="str" cm="1">
        <f t="array" ref="AO672">_xlfn.SWITCH(CleanEmployeeData[[#This Row],[WorkLifeBalance]],1,"Bad",2,"Good",3,"Better",4,"Best","Unknown")</f>
        <v>Better</v>
      </c>
      <c r="AP672">
        <f>IF(CleanEmployeeData[[#This Row],[Attrition]]="Yes",1,IF(CleanEmployeeData[[#This Row],[Attrition]]="No",0,""))</f>
        <v>0</v>
      </c>
      <c r="AQ672" t="str" cm="1">
        <f t="array" ref="AQ672">_xlfn.IFS(CleanEmployeeData[[#This Row],[MonthlyIncome]]&lt;=3000,"0–3,000",CleanEmployeeData[[#This Row],[MonthlyIncome]]&lt;=6000,"3,001–6,000",CleanEmployeeData[[#This Row],[MonthlyIncome]]&lt;=10000,"6,001–10,000",TRUE,"10,001+")</f>
        <v>0–3,000</v>
      </c>
      <c r="AR672" t="str" cm="1">
        <f t="array" ref="AR672">_xlfn.IFS(CleanEmployeeData[[#This Row],[DistanceFromHome]]&lt;=5,"0–5 miles",CleanEmployeeData[[#This Row],[DistanceFromHome]]&lt;=10,"6–10 miles",CleanEmployeeData[[#This Row],[DistanceFromHome]]&lt;=15,"11–15 miles",TRUE,"16+ miles")</f>
        <v>0–5 miles</v>
      </c>
      <c r="AS672" t="str" cm="1">
        <f t="array" ref="AS672">_xlfn.IFS(CleanEmployeeData[[#This Row],[YearsAtCompany]]&lt;=1,"0–1 years",CleanEmployeeData[[#This Row],[YearsAtCompany]]&lt;=5,"2–5 years",CleanEmployeeData[[#This Row],[YearsAtCompany]]&lt;=10,"6–10 years",TRUE,"11+ years")</f>
        <v>0–1 years</v>
      </c>
    </row>
    <row r="673" spans="1:4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cm="1">
        <f t="array" ref="AJ673">_xlfn.SWITCH(CleanEmployeeData[[#This Row],[Education]],1,"Below College",2,"College",3,"Bachelor",4,"Master",5,"Doctor","Unknown")</f>
        <v>Bachelor</v>
      </c>
      <c r="AK673" t="str" cm="1">
        <f t="array" ref="AK673">_xlfn.SWITCH(CleanEmployeeData[[#This Row],[EnvironmentSatisfaction]],1,"Low",2,"Medium",3,"High",4,"Very High","Unknown")</f>
        <v>Medium</v>
      </c>
      <c r="AL673" t="str" cm="1">
        <f t="array" ref="AL673">_xlfn.SWITCH(CleanEmployeeData[[#This Row],[JobInvolvement]],1,"Low",2,"Medium",3,"High",4,"Very High","Unknown")</f>
        <v>High</v>
      </c>
      <c r="AM673" t="str" cm="1">
        <f t="array" ref="AM673">_xlfn.SWITCH(CleanEmployeeData[[#This Row],[JobSatisfaction]],1,"Low",2,"Medium",3,"High",4,"Very High","Unknown")</f>
        <v>Medium</v>
      </c>
      <c r="AN673" t="str" cm="1">
        <f t="array" ref="AN673">_xlfn.SWITCH(CleanEmployeeData[[#This Row],[PerformanceRating]],1,"Low",2,"Good",3,"Excellent",4,"Outstanding","Unknown")</f>
        <v>Excellent</v>
      </c>
      <c r="AO673" t="str" cm="1">
        <f t="array" ref="AO673">_xlfn.SWITCH(CleanEmployeeData[[#This Row],[WorkLifeBalance]],1,"Bad",2,"Good",3,"Better",4,"Best","Unknown")</f>
        <v>Better</v>
      </c>
      <c r="AP673">
        <f>IF(CleanEmployeeData[[#This Row],[Attrition]]="Yes",1,IF(CleanEmployeeData[[#This Row],[Attrition]]="No",0,""))</f>
        <v>0</v>
      </c>
      <c r="AQ673" t="str" cm="1">
        <f t="array" ref="AQ673">_xlfn.IFS(CleanEmployeeData[[#This Row],[MonthlyIncome]]&lt;=3000,"0–3,000",CleanEmployeeData[[#This Row],[MonthlyIncome]]&lt;=6000,"3,001–6,000",CleanEmployeeData[[#This Row],[MonthlyIncome]]&lt;=10000,"6,001–10,000",TRUE,"10,001+")</f>
        <v>0–3,000</v>
      </c>
      <c r="AR673" t="str" cm="1">
        <f t="array" ref="AR673">_xlfn.IFS(CleanEmployeeData[[#This Row],[DistanceFromHome]]&lt;=5,"0–5 miles",CleanEmployeeData[[#This Row],[DistanceFromHome]]&lt;=10,"6–10 miles",CleanEmployeeData[[#This Row],[DistanceFromHome]]&lt;=15,"11–15 miles",TRUE,"16+ miles")</f>
        <v>6–10 miles</v>
      </c>
      <c r="AS673" t="str" cm="1">
        <f t="array" ref="AS673">_xlfn.IFS(CleanEmployeeData[[#This Row],[YearsAtCompany]]&lt;=1,"0–1 years",CleanEmployeeData[[#This Row],[YearsAtCompany]]&lt;=5,"2–5 years",CleanEmployeeData[[#This Row],[YearsAtCompany]]&lt;=10,"6–10 years",TRUE,"11+ years")</f>
        <v>0–1 years</v>
      </c>
    </row>
    <row r="674" spans="1:4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cm="1">
        <f t="array" ref="AJ674">_xlfn.SWITCH(CleanEmployeeData[[#This Row],[Education]],1,"Below College",2,"College",3,"Bachelor",4,"Master",5,"Doctor","Unknown")</f>
        <v>College</v>
      </c>
      <c r="AK674" t="str" cm="1">
        <f t="array" ref="AK674">_xlfn.SWITCH(CleanEmployeeData[[#This Row],[EnvironmentSatisfaction]],1,"Low",2,"Medium",3,"High",4,"Very High","Unknown")</f>
        <v>High</v>
      </c>
      <c r="AL674" t="str" cm="1">
        <f t="array" ref="AL674">_xlfn.SWITCH(CleanEmployeeData[[#This Row],[JobInvolvement]],1,"Low",2,"Medium",3,"High",4,"Very High","Unknown")</f>
        <v>Medium</v>
      </c>
      <c r="AM674" t="str" cm="1">
        <f t="array" ref="AM674">_xlfn.SWITCH(CleanEmployeeData[[#This Row],[JobSatisfaction]],1,"Low",2,"Medium",3,"High",4,"Very High","Unknown")</f>
        <v>High</v>
      </c>
      <c r="AN674" t="str" cm="1">
        <f t="array" ref="AN674">_xlfn.SWITCH(CleanEmployeeData[[#This Row],[PerformanceRating]],1,"Low",2,"Good",3,"Excellent",4,"Outstanding","Unknown")</f>
        <v>Excellent</v>
      </c>
      <c r="AO674" t="str" cm="1">
        <f t="array" ref="AO674">_xlfn.SWITCH(CleanEmployeeData[[#This Row],[WorkLifeBalance]],1,"Bad",2,"Good",3,"Better",4,"Best","Unknown")</f>
        <v>Better</v>
      </c>
      <c r="AP674">
        <f>IF(CleanEmployeeData[[#This Row],[Attrition]]="Yes",1,IF(CleanEmployeeData[[#This Row],[Attrition]]="No",0,""))</f>
        <v>0</v>
      </c>
      <c r="AQ674" t="str" cm="1">
        <f t="array" ref="AQ674">_xlfn.IFS(CleanEmployeeData[[#This Row],[MonthlyIncome]]&lt;=3000,"0–3,000",CleanEmployeeData[[#This Row],[MonthlyIncome]]&lt;=6000,"3,001–6,000",CleanEmployeeData[[#This Row],[MonthlyIncome]]&lt;=10000,"6,001–10,000",TRUE,"10,001+")</f>
        <v>6,001–10,000</v>
      </c>
      <c r="AR674" t="str" cm="1">
        <f t="array" ref="AR674">_xlfn.IFS(CleanEmployeeData[[#This Row],[DistanceFromHome]]&lt;=5,"0–5 miles",CleanEmployeeData[[#This Row],[DistanceFromHome]]&lt;=10,"6–10 miles",CleanEmployeeData[[#This Row],[DistanceFromHome]]&lt;=15,"11–15 miles",TRUE,"16+ miles")</f>
        <v>11–15 miles</v>
      </c>
      <c r="AS674" t="str" cm="1">
        <f t="array" ref="AS674">_xlfn.IFS(CleanEmployeeData[[#This Row],[YearsAtCompany]]&lt;=1,"0–1 years",CleanEmployeeData[[#This Row],[YearsAtCompany]]&lt;=5,"2–5 years",CleanEmployeeData[[#This Row],[YearsAtCompany]]&lt;=10,"6–10 years",TRUE,"11+ years")</f>
        <v>2–5 years</v>
      </c>
    </row>
    <row r="675" spans="1:4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cm="1">
        <f t="array" ref="AJ675">_xlfn.SWITCH(CleanEmployeeData[[#This Row],[Education]],1,"Below College",2,"College",3,"Bachelor",4,"Master",5,"Doctor","Unknown")</f>
        <v>Master</v>
      </c>
      <c r="AK675" t="str" cm="1">
        <f t="array" ref="AK675">_xlfn.SWITCH(CleanEmployeeData[[#This Row],[EnvironmentSatisfaction]],1,"Low",2,"Medium",3,"High",4,"Very High","Unknown")</f>
        <v>High</v>
      </c>
      <c r="AL675" t="str" cm="1">
        <f t="array" ref="AL675">_xlfn.SWITCH(CleanEmployeeData[[#This Row],[JobInvolvement]],1,"Low",2,"Medium",3,"High",4,"Very High","Unknown")</f>
        <v>Medium</v>
      </c>
      <c r="AM675" t="str" cm="1">
        <f t="array" ref="AM675">_xlfn.SWITCH(CleanEmployeeData[[#This Row],[JobSatisfaction]],1,"Low",2,"Medium",3,"High",4,"Very High","Unknown")</f>
        <v>Low</v>
      </c>
      <c r="AN675" t="str" cm="1">
        <f t="array" ref="AN675">_xlfn.SWITCH(CleanEmployeeData[[#This Row],[PerformanceRating]],1,"Low",2,"Good",3,"Excellent",4,"Outstanding","Unknown")</f>
        <v>Excellent</v>
      </c>
      <c r="AO675" t="str" cm="1">
        <f t="array" ref="AO675">_xlfn.SWITCH(CleanEmployeeData[[#This Row],[WorkLifeBalance]],1,"Bad",2,"Good",3,"Better",4,"Best","Unknown")</f>
        <v>Better</v>
      </c>
      <c r="AP675">
        <f>IF(CleanEmployeeData[[#This Row],[Attrition]]="Yes",1,IF(CleanEmployeeData[[#This Row],[Attrition]]="No",0,""))</f>
        <v>0</v>
      </c>
      <c r="AQ675" t="str" cm="1">
        <f t="array" ref="AQ675">_xlfn.IFS(CleanEmployeeData[[#This Row],[MonthlyIncome]]&lt;=3000,"0–3,000",CleanEmployeeData[[#This Row],[MonthlyIncome]]&lt;=6000,"3,001–6,000",CleanEmployeeData[[#This Row],[MonthlyIncome]]&lt;=10000,"6,001–10,000",TRUE,"10,001+")</f>
        <v>0–3,000</v>
      </c>
      <c r="AR675" t="str" cm="1">
        <f t="array" ref="AR675">_xlfn.IFS(CleanEmployeeData[[#This Row],[DistanceFromHome]]&lt;=5,"0–5 miles",CleanEmployeeData[[#This Row],[DistanceFromHome]]&lt;=10,"6–10 miles",CleanEmployeeData[[#This Row],[DistanceFromHome]]&lt;=15,"11–15 miles",TRUE,"16+ miles")</f>
        <v>0–5 miles</v>
      </c>
      <c r="AS675" t="str" cm="1">
        <f t="array" ref="AS675">_xlfn.IFS(CleanEmployeeData[[#This Row],[YearsAtCompany]]&lt;=1,"0–1 years",CleanEmployeeData[[#This Row],[YearsAtCompany]]&lt;=5,"2–5 years",CleanEmployeeData[[#This Row],[YearsAtCompany]]&lt;=10,"6–10 years",TRUE,"11+ years")</f>
        <v>2–5 years</v>
      </c>
    </row>
    <row r="676" spans="1:4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cm="1">
        <f t="array" ref="AJ676">_xlfn.SWITCH(CleanEmployeeData[[#This Row],[Education]],1,"Below College",2,"College",3,"Bachelor",4,"Master",5,"Doctor","Unknown")</f>
        <v>Bachelor</v>
      </c>
      <c r="AK676" t="str" cm="1">
        <f t="array" ref="AK676">_xlfn.SWITCH(CleanEmployeeData[[#This Row],[EnvironmentSatisfaction]],1,"Low",2,"Medium",3,"High",4,"Very High","Unknown")</f>
        <v>High</v>
      </c>
      <c r="AL676" t="str" cm="1">
        <f t="array" ref="AL676">_xlfn.SWITCH(CleanEmployeeData[[#This Row],[JobInvolvement]],1,"Low",2,"Medium",3,"High",4,"Very High","Unknown")</f>
        <v>Medium</v>
      </c>
      <c r="AM676" t="str" cm="1">
        <f t="array" ref="AM676">_xlfn.SWITCH(CleanEmployeeData[[#This Row],[JobSatisfaction]],1,"Low",2,"Medium",3,"High",4,"Very High","Unknown")</f>
        <v>Medium</v>
      </c>
      <c r="AN676" t="str" cm="1">
        <f t="array" ref="AN676">_xlfn.SWITCH(CleanEmployeeData[[#This Row],[PerformanceRating]],1,"Low",2,"Good",3,"Excellent",4,"Outstanding","Unknown")</f>
        <v>Excellent</v>
      </c>
      <c r="AO676" t="str" cm="1">
        <f t="array" ref="AO676">_xlfn.SWITCH(CleanEmployeeData[[#This Row],[WorkLifeBalance]],1,"Bad",2,"Good",3,"Better",4,"Best","Unknown")</f>
        <v>Better</v>
      </c>
      <c r="AP676">
        <f>IF(CleanEmployeeData[[#This Row],[Attrition]]="Yes",1,IF(CleanEmployeeData[[#This Row],[Attrition]]="No",0,""))</f>
        <v>0</v>
      </c>
      <c r="AQ676" t="str" cm="1">
        <f t="array" ref="AQ676">_xlfn.IFS(CleanEmployeeData[[#This Row],[MonthlyIncome]]&lt;=3000,"0–3,000",CleanEmployeeData[[#This Row],[MonthlyIncome]]&lt;=6000,"3,001–6,000",CleanEmployeeData[[#This Row],[MonthlyIncome]]&lt;=10000,"6,001–10,000",TRUE,"10,001+")</f>
        <v>10,001+</v>
      </c>
      <c r="AR676" t="str" cm="1">
        <f t="array" ref="AR676">_xlfn.IFS(CleanEmployeeData[[#This Row],[DistanceFromHome]]&lt;=5,"0–5 miles",CleanEmployeeData[[#This Row],[DistanceFromHome]]&lt;=10,"6–10 miles",CleanEmployeeData[[#This Row],[DistanceFromHome]]&lt;=15,"11–15 miles",TRUE,"16+ miles")</f>
        <v>0–5 miles</v>
      </c>
      <c r="AS676" t="str" cm="1">
        <f t="array" ref="AS676">_xlfn.IFS(CleanEmployeeData[[#This Row],[YearsAtCompany]]&lt;=1,"0–1 years",CleanEmployeeData[[#This Row],[YearsAtCompany]]&lt;=5,"2–5 years",CleanEmployeeData[[#This Row],[YearsAtCompany]]&lt;=10,"6–10 years",TRUE,"11+ years")</f>
        <v>6–10 years</v>
      </c>
    </row>
    <row r="677" spans="1:4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cm="1">
        <f t="array" ref="AJ677">_xlfn.SWITCH(CleanEmployeeData[[#This Row],[Education]],1,"Below College",2,"College",3,"Bachelor",4,"Master",5,"Doctor","Unknown")</f>
        <v>Master</v>
      </c>
      <c r="AK677" t="str" cm="1">
        <f t="array" ref="AK677">_xlfn.SWITCH(CleanEmployeeData[[#This Row],[EnvironmentSatisfaction]],1,"Low",2,"Medium",3,"High",4,"Very High","Unknown")</f>
        <v>Medium</v>
      </c>
      <c r="AL677" t="str" cm="1">
        <f t="array" ref="AL677">_xlfn.SWITCH(CleanEmployeeData[[#This Row],[JobInvolvement]],1,"Low",2,"Medium",3,"High",4,"Very High","Unknown")</f>
        <v>Medium</v>
      </c>
      <c r="AM677" t="str" cm="1">
        <f t="array" ref="AM677">_xlfn.SWITCH(CleanEmployeeData[[#This Row],[JobSatisfaction]],1,"Low",2,"Medium",3,"High",4,"Very High","Unknown")</f>
        <v>High</v>
      </c>
      <c r="AN677" t="str" cm="1">
        <f t="array" ref="AN677">_xlfn.SWITCH(CleanEmployeeData[[#This Row],[PerformanceRating]],1,"Low",2,"Good",3,"Excellent",4,"Outstanding","Unknown")</f>
        <v>Excellent</v>
      </c>
      <c r="AO677" t="str" cm="1">
        <f t="array" ref="AO677">_xlfn.SWITCH(CleanEmployeeData[[#This Row],[WorkLifeBalance]],1,"Bad",2,"Good",3,"Better",4,"Best","Unknown")</f>
        <v>Best</v>
      </c>
      <c r="AP677">
        <f>IF(CleanEmployeeData[[#This Row],[Attrition]]="Yes",1,IF(CleanEmployeeData[[#This Row],[Attrition]]="No",0,""))</f>
        <v>0</v>
      </c>
      <c r="AQ677" t="str" cm="1">
        <f t="array" ref="AQ677">_xlfn.IFS(CleanEmployeeData[[#This Row],[MonthlyIncome]]&lt;=3000,"0–3,000",CleanEmployeeData[[#This Row],[MonthlyIncome]]&lt;=6000,"3,001–6,000",CleanEmployeeData[[#This Row],[MonthlyIncome]]&lt;=10000,"6,001–10,000",TRUE,"10,001+")</f>
        <v>0–3,000</v>
      </c>
      <c r="AR677" t="str" cm="1">
        <f t="array" ref="AR677">_xlfn.IFS(CleanEmployeeData[[#This Row],[DistanceFromHome]]&lt;=5,"0–5 miles",CleanEmployeeData[[#This Row],[DistanceFromHome]]&lt;=10,"6–10 miles",CleanEmployeeData[[#This Row],[DistanceFromHome]]&lt;=15,"11–15 miles",TRUE,"16+ miles")</f>
        <v>6–10 miles</v>
      </c>
      <c r="AS677" t="str" cm="1">
        <f t="array" ref="AS677">_xlfn.IFS(CleanEmployeeData[[#This Row],[YearsAtCompany]]&lt;=1,"0–1 years",CleanEmployeeData[[#This Row],[YearsAtCompany]]&lt;=5,"2–5 years",CleanEmployeeData[[#This Row],[YearsAtCompany]]&lt;=10,"6–10 years",TRUE,"11+ years")</f>
        <v>6–10 years</v>
      </c>
    </row>
    <row r="678" spans="1:4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cm="1">
        <f t="array" ref="AJ678">_xlfn.SWITCH(CleanEmployeeData[[#This Row],[Education]],1,"Below College",2,"College",3,"Bachelor",4,"Master",5,"Doctor","Unknown")</f>
        <v>Below College</v>
      </c>
      <c r="AK678" t="str" cm="1">
        <f t="array" ref="AK678">_xlfn.SWITCH(CleanEmployeeData[[#This Row],[EnvironmentSatisfaction]],1,"Low",2,"Medium",3,"High",4,"Very High","Unknown")</f>
        <v>Very High</v>
      </c>
      <c r="AL678" t="str" cm="1">
        <f t="array" ref="AL678">_xlfn.SWITCH(CleanEmployeeData[[#This Row],[JobInvolvement]],1,"Low",2,"Medium",3,"High",4,"Very High","Unknown")</f>
        <v>High</v>
      </c>
      <c r="AM678" t="str" cm="1">
        <f t="array" ref="AM678">_xlfn.SWITCH(CleanEmployeeData[[#This Row],[JobSatisfaction]],1,"Low",2,"Medium",3,"High",4,"Very High","Unknown")</f>
        <v>Very High</v>
      </c>
      <c r="AN678" t="str" cm="1">
        <f t="array" ref="AN678">_xlfn.SWITCH(CleanEmployeeData[[#This Row],[PerformanceRating]],1,"Low",2,"Good",3,"Excellent",4,"Outstanding","Unknown")</f>
        <v>Outstanding</v>
      </c>
      <c r="AO678" t="str" cm="1">
        <f t="array" ref="AO678">_xlfn.SWITCH(CleanEmployeeData[[#This Row],[WorkLifeBalance]],1,"Bad",2,"Good",3,"Better",4,"Best","Unknown")</f>
        <v>Bad</v>
      </c>
      <c r="AP678">
        <f>IF(CleanEmployeeData[[#This Row],[Attrition]]="Yes",1,IF(CleanEmployeeData[[#This Row],[Attrition]]="No",0,""))</f>
        <v>0</v>
      </c>
      <c r="AQ678" t="str" cm="1">
        <f t="array" ref="AQ678">_xlfn.IFS(CleanEmployeeData[[#This Row],[MonthlyIncome]]&lt;=3000,"0–3,000",CleanEmployeeData[[#This Row],[MonthlyIncome]]&lt;=6000,"3,001–6,000",CleanEmployeeData[[#This Row],[MonthlyIncome]]&lt;=10000,"6,001–10,000",TRUE,"10,001+")</f>
        <v>3,001–6,000</v>
      </c>
      <c r="AR678" t="str" cm="1">
        <f t="array" ref="AR678">_xlfn.IFS(CleanEmployeeData[[#This Row],[DistanceFromHome]]&lt;=5,"0–5 miles",CleanEmployeeData[[#This Row],[DistanceFromHome]]&lt;=10,"6–10 miles",CleanEmployeeData[[#This Row],[DistanceFromHome]]&lt;=15,"11–15 miles",TRUE,"16+ miles")</f>
        <v>16+ miles</v>
      </c>
      <c r="AS678" t="str" cm="1">
        <f t="array" ref="AS678">_xlfn.IFS(CleanEmployeeData[[#This Row],[YearsAtCompany]]&lt;=1,"0–1 years",CleanEmployeeData[[#This Row],[YearsAtCompany]]&lt;=5,"2–5 years",CleanEmployeeData[[#This Row],[YearsAtCompany]]&lt;=10,"6–10 years",TRUE,"11+ years")</f>
        <v>6–10 years</v>
      </c>
    </row>
    <row r="679" spans="1:4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cm="1">
        <f t="array" ref="AJ679">_xlfn.SWITCH(CleanEmployeeData[[#This Row],[Education]],1,"Below College",2,"College",3,"Bachelor",4,"Master",5,"Doctor","Unknown")</f>
        <v>College</v>
      </c>
      <c r="AK679" t="str" cm="1">
        <f t="array" ref="AK679">_xlfn.SWITCH(CleanEmployeeData[[#This Row],[EnvironmentSatisfaction]],1,"Low",2,"Medium",3,"High",4,"Very High","Unknown")</f>
        <v>Low</v>
      </c>
      <c r="AL679" t="str" cm="1">
        <f t="array" ref="AL679">_xlfn.SWITCH(CleanEmployeeData[[#This Row],[JobInvolvement]],1,"Low",2,"Medium",3,"High",4,"Very High","Unknown")</f>
        <v>High</v>
      </c>
      <c r="AM679" t="str" cm="1">
        <f t="array" ref="AM679">_xlfn.SWITCH(CleanEmployeeData[[#This Row],[JobSatisfaction]],1,"Low",2,"Medium",3,"High",4,"Very High","Unknown")</f>
        <v>Medium</v>
      </c>
      <c r="AN679" t="str" cm="1">
        <f t="array" ref="AN679">_xlfn.SWITCH(CleanEmployeeData[[#This Row],[PerformanceRating]],1,"Low",2,"Good",3,"Excellent",4,"Outstanding","Unknown")</f>
        <v>Excellent</v>
      </c>
      <c r="AO679" t="str" cm="1">
        <f t="array" ref="AO679">_xlfn.SWITCH(CleanEmployeeData[[#This Row],[WorkLifeBalance]],1,"Bad",2,"Good",3,"Better",4,"Best","Unknown")</f>
        <v>Good</v>
      </c>
      <c r="AP679">
        <f>IF(CleanEmployeeData[[#This Row],[Attrition]]="Yes",1,IF(CleanEmployeeData[[#This Row],[Attrition]]="No",0,""))</f>
        <v>0</v>
      </c>
      <c r="AQ679" t="str" cm="1">
        <f t="array" ref="AQ679">_xlfn.IFS(CleanEmployeeData[[#This Row],[MonthlyIncome]]&lt;=3000,"0–3,000",CleanEmployeeData[[#This Row],[MonthlyIncome]]&lt;=6000,"3,001–6,000",CleanEmployeeData[[#This Row],[MonthlyIncome]]&lt;=10000,"6,001–10,000",TRUE,"10,001+")</f>
        <v>6,001–10,000</v>
      </c>
      <c r="AR679" t="str" cm="1">
        <f t="array" ref="AR679">_xlfn.IFS(CleanEmployeeData[[#This Row],[DistanceFromHome]]&lt;=5,"0–5 miles",CleanEmployeeData[[#This Row],[DistanceFromHome]]&lt;=10,"6–10 miles",CleanEmployeeData[[#This Row],[DistanceFromHome]]&lt;=15,"11–15 miles",TRUE,"16+ miles")</f>
        <v>6–10 miles</v>
      </c>
      <c r="AS679" t="str" cm="1">
        <f t="array" ref="AS679">_xlfn.IFS(CleanEmployeeData[[#This Row],[YearsAtCompany]]&lt;=1,"0–1 years",CleanEmployeeData[[#This Row],[YearsAtCompany]]&lt;=5,"2–5 years",CleanEmployeeData[[#This Row],[YearsAtCompany]]&lt;=10,"6–10 years",TRUE,"11+ years")</f>
        <v>11+ years</v>
      </c>
    </row>
    <row r="680" spans="1:4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cm="1">
        <f t="array" ref="AJ680">_xlfn.SWITCH(CleanEmployeeData[[#This Row],[Education]],1,"Below College",2,"College",3,"Bachelor",4,"Master",5,"Doctor","Unknown")</f>
        <v>Master</v>
      </c>
      <c r="AK680" t="str" cm="1">
        <f t="array" ref="AK680">_xlfn.SWITCH(CleanEmployeeData[[#This Row],[EnvironmentSatisfaction]],1,"Low",2,"Medium",3,"High",4,"Very High","Unknown")</f>
        <v>Very High</v>
      </c>
      <c r="AL680" t="str" cm="1">
        <f t="array" ref="AL680">_xlfn.SWITCH(CleanEmployeeData[[#This Row],[JobInvolvement]],1,"Low",2,"Medium",3,"High",4,"Very High","Unknown")</f>
        <v>High</v>
      </c>
      <c r="AM680" t="str" cm="1">
        <f t="array" ref="AM680">_xlfn.SWITCH(CleanEmployeeData[[#This Row],[JobSatisfaction]],1,"Low",2,"Medium",3,"High",4,"Very High","Unknown")</f>
        <v>High</v>
      </c>
      <c r="AN680" t="str" cm="1">
        <f t="array" ref="AN680">_xlfn.SWITCH(CleanEmployeeData[[#This Row],[PerformanceRating]],1,"Low",2,"Good",3,"Excellent",4,"Outstanding","Unknown")</f>
        <v>Excellent</v>
      </c>
      <c r="AO680" t="str" cm="1">
        <f t="array" ref="AO680">_xlfn.SWITCH(CleanEmployeeData[[#This Row],[WorkLifeBalance]],1,"Bad",2,"Good",3,"Better",4,"Best","Unknown")</f>
        <v>Good</v>
      </c>
      <c r="AP680">
        <f>IF(CleanEmployeeData[[#This Row],[Attrition]]="Yes",1,IF(CleanEmployeeData[[#This Row],[Attrition]]="No",0,""))</f>
        <v>0</v>
      </c>
      <c r="AQ680" t="str" cm="1">
        <f t="array" ref="AQ680">_xlfn.IFS(CleanEmployeeData[[#This Row],[MonthlyIncome]]&lt;=3000,"0–3,000",CleanEmployeeData[[#This Row],[MonthlyIncome]]&lt;=6000,"3,001–6,000",CleanEmployeeData[[#This Row],[MonthlyIncome]]&lt;=10000,"6,001–10,000",TRUE,"10,001+")</f>
        <v>0–3,000</v>
      </c>
      <c r="AR680" t="str" cm="1">
        <f t="array" ref="AR680">_xlfn.IFS(CleanEmployeeData[[#This Row],[DistanceFromHome]]&lt;=5,"0–5 miles",CleanEmployeeData[[#This Row],[DistanceFromHome]]&lt;=10,"6–10 miles",CleanEmployeeData[[#This Row],[DistanceFromHome]]&lt;=15,"11–15 miles",TRUE,"16+ miles")</f>
        <v>16+ miles</v>
      </c>
      <c r="AS680" t="str" cm="1">
        <f t="array" ref="AS680">_xlfn.IFS(CleanEmployeeData[[#This Row],[YearsAtCompany]]&lt;=1,"0–1 years",CleanEmployeeData[[#This Row],[YearsAtCompany]]&lt;=5,"2–5 years",CleanEmployeeData[[#This Row],[YearsAtCompany]]&lt;=10,"6–10 years",TRUE,"11+ years")</f>
        <v>0–1 years</v>
      </c>
    </row>
    <row r="681" spans="1:4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cm="1">
        <f t="array" ref="AJ681">_xlfn.SWITCH(CleanEmployeeData[[#This Row],[Education]],1,"Below College",2,"College",3,"Bachelor",4,"Master",5,"Doctor","Unknown")</f>
        <v>College</v>
      </c>
      <c r="AK681" t="str" cm="1">
        <f t="array" ref="AK681">_xlfn.SWITCH(CleanEmployeeData[[#This Row],[EnvironmentSatisfaction]],1,"Low",2,"Medium",3,"High",4,"Very High","Unknown")</f>
        <v>Very High</v>
      </c>
      <c r="AL681" t="str" cm="1">
        <f t="array" ref="AL681">_xlfn.SWITCH(CleanEmployeeData[[#This Row],[JobInvolvement]],1,"Low",2,"Medium",3,"High",4,"Very High","Unknown")</f>
        <v>High</v>
      </c>
      <c r="AM681" t="str" cm="1">
        <f t="array" ref="AM681">_xlfn.SWITCH(CleanEmployeeData[[#This Row],[JobSatisfaction]],1,"Low",2,"Medium",3,"High",4,"Very High","Unknown")</f>
        <v>High</v>
      </c>
      <c r="AN681" t="str" cm="1">
        <f t="array" ref="AN681">_xlfn.SWITCH(CleanEmployeeData[[#This Row],[PerformanceRating]],1,"Low",2,"Good",3,"Excellent",4,"Outstanding","Unknown")</f>
        <v>Excellent</v>
      </c>
      <c r="AO681" t="str" cm="1">
        <f t="array" ref="AO681">_xlfn.SWITCH(CleanEmployeeData[[#This Row],[WorkLifeBalance]],1,"Bad",2,"Good",3,"Better",4,"Best","Unknown")</f>
        <v>Good</v>
      </c>
      <c r="AP681">
        <f>IF(CleanEmployeeData[[#This Row],[Attrition]]="Yes",1,IF(CleanEmployeeData[[#This Row],[Attrition]]="No",0,""))</f>
        <v>0</v>
      </c>
      <c r="AQ681" t="str" cm="1">
        <f t="array" ref="AQ681">_xlfn.IFS(CleanEmployeeData[[#This Row],[MonthlyIncome]]&lt;=3000,"0–3,000",CleanEmployeeData[[#This Row],[MonthlyIncome]]&lt;=6000,"3,001–6,000",CleanEmployeeData[[#This Row],[MonthlyIncome]]&lt;=10000,"6,001–10,000",TRUE,"10,001+")</f>
        <v>6,001–10,000</v>
      </c>
      <c r="AR681" t="str" cm="1">
        <f t="array" ref="AR681">_xlfn.IFS(CleanEmployeeData[[#This Row],[DistanceFromHome]]&lt;=5,"0–5 miles",CleanEmployeeData[[#This Row],[DistanceFromHome]]&lt;=10,"6–10 miles",CleanEmployeeData[[#This Row],[DistanceFromHome]]&lt;=15,"11–15 miles",TRUE,"16+ miles")</f>
        <v>16+ miles</v>
      </c>
      <c r="AS681" t="str" cm="1">
        <f t="array" ref="AS681">_xlfn.IFS(CleanEmployeeData[[#This Row],[YearsAtCompany]]&lt;=1,"0–1 years",CleanEmployeeData[[#This Row],[YearsAtCompany]]&lt;=5,"2–5 years",CleanEmployeeData[[#This Row],[YearsAtCompany]]&lt;=10,"6–10 years",TRUE,"11+ years")</f>
        <v>6–10 years</v>
      </c>
    </row>
    <row r="682" spans="1:4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cm="1">
        <f t="array" ref="AJ682">_xlfn.SWITCH(CleanEmployeeData[[#This Row],[Education]],1,"Below College",2,"College",3,"Bachelor",4,"Master",5,"Doctor","Unknown")</f>
        <v>Master</v>
      </c>
      <c r="AK682" t="str" cm="1">
        <f t="array" ref="AK682">_xlfn.SWITCH(CleanEmployeeData[[#This Row],[EnvironmentSatisfaction]],1,"Low",2,"Medium",3,"High",4,"Very High","Unknown")</f>
        <v>Medium</v>
      </c>
      <c r="AL682" t="str" cm="1">
        <f t="array" ref="AL682">_xlfn.SWITCH(CleanEmployeeData[[#This Row],[JobInvolvement]],1,"Low",2,"Medium",3,"High",4,"Very High","Unknown")</f>
        <v>High</v>
      </c>
      <c r="AM682" t="str" cm="1">
        <f t="array" ref="AM682">_xlfn.SWITCH(CleanEmployeeData[[#This Row],[JobSatisfaction]],1,"Low",2,"Medium",3,"High",4,"Very High","Unknown")</f>
        <v>Very High</v>
      </c>
      <c r="AN682" t="str" cm="1">
        <f t="array" ref="AN682">_xlfn.SWITCH(CleanEmployeeData[[#This Row],[PerformanceRating]],1,"Low",2,"Good",3,"Excellent",4,"Outstanding","Unknown")</f>
        <v>Excellent</v>
      </c>
      <c r="AO682" t="str" cm="1">
        <f t="array" ref="AO682">_xlfn.SWITCH(CleanEmployeeData[[#This Row],[WorkLifeBalance]],1,"Bad",2,"Good",3,"Better",4,"Best","Unknown")</f>
        <v>Better</v>
      </c>
      <c r="AP682">
        <f>IF(CleanEmployeeData[[#This Row],[Attrition]]="Yes",1,IF(CleanEmployeeData[[#This Row],[Attrition]]="No",0,""))</f>
        <v>0</v>
      </c>
      <c r="AQ682" t="str" cm="1">
        <f t="array" ref="AQ682">_xlfn.IFS(CleanEmployeeData[[#This Row],[MonthlyIncome]]&lt;=3000,"0–3,000",CleanEmployeeData[[#This Row],[MonthlyIncome]]&lt;=6000,"3,001–6,000",CleanEmployeeData[[#This Row],[MonthlyIncome]]&lt;=10000,"6,001–10,000",TRUE,"10,001+")</f>
        <v>3,001–6,000</v>
      </c>
      <c r="AR682" t="str" cm="1">
        <f t="array" ref="AR682">_xlfn.IFS(CleanEmployeeData[[#This Row],[DistanceFromHome]]&lt;=5,"0–5 miles",CleanEmployeeData[[#This Row],[DistanceFromHome]]&lt;=10,"6–10 miles",CleanEmployeeData[[#This Row],[DistanceFromHome]]&lt;=15,"11–15 miles",TRUE,"16+ miles")</f>
        <v>6–10 miles</v>
      </c>
      <c r="AS682" t="str" cm="1">
        <f t="array" ref="AS682">_xlfn.IFS(CleanEmployeeData[[#This Row],[YearsAtCompany]]&lt;=1,"0–1 years",CleanEmployeeData[[#This Row],[YearsAtCompany]]&lt;=5,"2–5 years",CleanEmployeeData[[#This Row],[YearsAtCompany]]&lt;=10,"6–10 years",TRUE,"11+ years")</f>
        <v>6–10 years</v>
      </c>
    </row>
    <row r="683" spans="1:4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cm="1">
        <f t="array" ref="AJ683">_xlfn.SWITCH(CleanEmployeeData[[#This Row],[Education]],1,"Below College",2,"College",3,"Bachelor",4,"Master",5,"Doctor","Unknown")</f>
        <v>Bachelor</v>
      </c>
      <c r="AK683" t="str" cm="1">
        <f t="array" ref="AK683">_xlfn.SWITCH(CleanEmployeeData[[#This Row],[EnvironmentSatisfaction]],1,"Low",2,"Medium",3,"High",4,"Very High","Unknown")</f>
        <v>Very High</v>
      </c>
      <c r="AL683" t="str" cm="1">
        <f t="array" ref="AL683">_xlfn.SWITCH(CleanEmployeeData[[#This Row],[JobInvolvement]],1,"Low",2,"Medium",3,"High",4,"Very High","Unknown")</f>
        <v>High</v>
      </c>
      <c r="AM683" t="str" cm="1">
        <f t="array" ref="AM683">_xlfn.SWITCH(CleanEmployeeData[[#This Row],[JobSatisfaction]],1,"Low",2,"Medium",3,"High",4,"Very High","Unknown")</f>
        <v>Low</v>
      </c>
      <c r="AN683" t="str" cm="1">
        <f t="array" ref="AN683">_xlfn.SWITCH(CleanEmployeeData[[#This Row],[PerformanceRating]],1,"Low",2,"Good",3,"Excellent",4,"Outstanding","Unknown")</f>
        <v>Excellent</v>
      </c>
      <c r="AO683" t="str" cm="1">
        <f t="array" ref="AO683">_xlfn.SWITCH(CleanEmployeeData[[#This Row],[WorkLifeBalance]],1,"Bad",2,"Good",3,"Better",4,"Best","Unknown")</f>
        <v>Better</v>
      </c>
      <c r="AP683">
        <f>IF(CleanEmployeeData[[#This Row],[Attrition]]="Yes",1,IF(CleanEmployeeData[[#This Row],[Attrition]]="No",0,""))</f>
        <v>0</v>
      </c>
      <c r="AQ683" t="str" cm="1">
        <f t="array" ref="AQ683">_xlfn.IFS(CleanEmployeeData[[#This Row],[MonthlyIncome]]&lt;=3000,"0–3,000",CleanEmployeeData[[#This Row],[MonthlyIncome]]&lt;=6000,"3,001–6,000",CleanEmployeeData[[#This Row],[MonthlyIncome]]&lt;=10000,"6,001–10,000",TRUE,"10,001+")</f>
        <v>10,001+</v>
      </c>
      <c r="AR683" t="str" cm="1">
        <f t="array" ref="AR683">_xlfn.IFS(CleanEmployeeData[[#This Row],[DistanceFromHome]]&lt;=5,"0–5 miles",CleanEmployeeData[[#This Row],[DistanceFromHome]]&lt;=10,"6–10 miles",CleanEmployeeData[[#This Row],[DistanceFromHome]]&lt;=15,"11–15 miles",TRUE,"16+ miles")</f>
        <v>0–5 miles</v>
      </c>
      <c r="AS683" t="str" cm="1">
        <f t="array" ref="AS683">_xlfn.IFS(CleanEmployeeData[[#This Row],[YearsAtCompany]]&lt;=1,"0–1 years",CleanEmployeeData[[#This Row],[YearsAtCompany]]&lt;=5,"2–5 years",CleanEmployeeData[[#This Row],[YearsAtCompany]]&lt;=10,"6–10 years",TRUE,"11+ years")</f>
        <v>11+ years</v>
      </c>
    </row>
    <row r="684" spans="1:4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cm="1">
        <f t="array" ref="AJ684">_xlfn.SWITCH(CleanEmployeeData[[#This Row],[Education]],1,"Below College",2,"College",3,"Bachelor",4,"Master",5,"Doctor","Unknown")</f>
        <v>Bachelor</v>
      </c>
      <c r="AK684" t="str" cm="1">
        <f t="array" ref="AK684">_xlfn.SWITCH(CleanEmployeeData[[#This Row],[EnvironmentSatisfaction]],1,"Low",2,"Medium",3,"High",4,"Very High","Unknown")</f>
        <v>High</v>
      </c>
      <c r="AL684" t="str" cm="1">
        <f t="array" ref="AL684">_xlfn.SWITCH(CleanEmployeeData[[#This Row],[JobInvolvement]],1,"Low",2,"Medium",3,"High",4,"Very High","Unknown")</f>
        <v>Medium</v>
      </c>
      <c r="AM684" t="str" cm="1">
        <f t="array" ref="AM684">_xlfn.SWITCH(CleanEmployeeData[[#This Row],[JobSatisfaction]],1,"Low",2,"Medium",3,"High",4,"Very High","Unknown")</f>
        <v>Medium</v>
      </c>
      <c r="AN684" t="str" cm="1">
        <f t="array" ref="AN684">_xlfn.SWITCH(CleanEmployeeData[[#This Row],[PerformanceRating]],1,"Low",2,"Good",3,"Excellent",4,"Outstanding","Unknown")</f>
        <v>Outstanding</v>
      </c>
      <c r="AO684" t="str" cm="1">
        <f t="array" ref="AO684">_xlfn.SWITCH(CleanEmployeeData[[#This Row],[WorkLifeBalance]],1,"Bad",2,"Good",3,"Better",4,"Best","Unknown")</f>
        <v>Better</v>
      </c>
      <c r="AP684">
        <f>IF(CleanEmployeeData[[#This Row],[Attrition]]="Yes",1,IF(CleanEmployeeData[[#This Row],[Attrition]]="No",0,""))</f>
        <v>0</v>
      </c>
      <c r="AQ684" t="str" cm="1">
        <f t="array" ref="AQ684">_xlfn.IFS(CleanEmployeeData[[#This Row],[MonthlyIncome]]&lt;=3000,"0–3,000",CleanEmployeeData[[#This Row],[MonthlyIncome]]&lt;=6000,"3,001–6,000",CleanEmployeeData[[#This Row],[MonthlyIncome]]&lt;=10000,"6,001–10,000",TRUE,"10,001+")</f>
        <v>0–3,000</v>
      </c>
      <c r="AR684" t="str" cm="1">
        <f t="array" ref="AR684">_xlfn.IFS(CleanEmployeeData[[#This Row],[DistanceFromHome]]&lt;=5,"0–5 miles",CleanEmployeeData[[#This Row],[DistanceFromHome]]&lt;=10,"6–10 miles",CleanEmployeeData[[#This Row],[DistanceFromHome]]&lt;=15,"11–15 miles",TRUE,"16+ miles")</f>
        <v>0–5 miles</v>
      </c>
      <c r="AS684" t="str" cm="1">
        <f t="array" ref="AS684">_xlfn.IFS(CleanEmployeeData[[#This Row],[YearsAtCompany]]&lt;=1,"0–1 years",CleanEmployeeData[[#This Row],[YearsAtCompany]]&lt;=5,"2–5 years",CleanEmployeeData[[#This Row],[YearsAtCompany]]&lt;=10,"6–10 years",TRUE,"11+ years")</f>
        <v>2–5 years</v>
      </c>
    </row>
    <row r="685" spans="1:4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cm="1">
        <f t="array" ref="AJ685">_xlfn.SWITCH(CleanEmployeeData[[#This Row],[Education]],1,"Below College",2,"College",3,"Bachelor",4,"Master",5,"Doctor","Unknown")</f>
        <v>College</v>
      </c>
      <c r="AK685" t="str" cm="1">
        <f t="array" ref="AK685">_xlfn.SWITCH(CleanEmployeeData[[#This Row],[EnvironmentSatisfaction]],1,"Low",2,"Medium",3,"High",4,"Very High","Unknown")</f>
        <v>High</v>
      </c>
      <c r="AL685" t="str" cm="1">
        <f t="array" ref="AL685">_xlfn.SWITCH(CleanEmployeeData[[#This Row],[JobInvolvement]],1,"Low",2,"Medium",3,"High",4,"Very High","Unknown")</f>
        <v>Medium</v>
      </c>
      <c r="AM685" t="str" cm="1">
        <f t="array" ref="AM685">_xlfn.SWITCH(CleanEmployeeData[[#This Row],[JobSatisfaction]],1,"Low",2,"Medium",3,"High",4,"Very High","Unknown")</f>
        <v>Medium</v>
      </c>
      <c r="AN685" t="str" cm="1">
        <f t="array" ref="AN685">_xlfn.SWITCH(CleanEmployeeData[[#This Row],[PerformanceRating]],1,"Low",2,"Good",3,"Excellent",4,"Outstanding","Unknown")</f>
        <v>Excellent</v>
      </c>
      <c r="AO685" t="str" cm="1">
        <f t="array" ref="AO685">_xlfn.SWITCH(CleanEmployeeData[[#This Row],[WorkLifeBalance]],1,"Bad",2,"Good",3,"Better",4,"Best","Unknown")</f>
        <v>Better</v>
      </c>
      <c r="AP685">
        <f>IF(CleanEmployeeData[[#This Row],[Attrition]]="Yes",1,IF(CleanEmployeeData[[#This Row],[Attrition]]="No",0,""))</f>
        <v>1</v>
      </c>
      <c r="AQ685" t="str" cm="1">
        <f t="array" ref="AQ685">_xlfn.IFS(CleanEmployeeData[[#This Row],[MonthlyIncome]]&lt;=3000,"0–3,000",CleanEmployeeData[[#This Row],[MonthlyIncome]]&lt;=6000,"3,001–6,000",CleanEmployeeData[[#This Row],[MonthlyIncome]]&lt;=10000,"6,001–10,000",TRUE,"10,001+")</f>
        <v>0–3,000</v>
      </c>
      <c r="AR685" t="str" cm="1">
        <f t="array" ref="AR685">_xlfn.IFS(CleanEmployeeData[[#This Row],[DistanceFromHome]]&lt;=5,"0–5 miles",CleanEmployeeData[[#This Row],[DistanceFromHome]]&lt;=10,"6–10 miles",CleanEmployeeData[[#This Row],[DistanceFromHome]]&lt;=15,"11–15 miles",TRUE,"16+ miles")</f>
        <v>16+ miles</v>
      </c>
      <c r="AS685" t="str" cm="1">
        <f t="array" ref="AS685">_xlfn.IFS(CleanEmployeeData[[#This Row],[YearsAtCompany]]&lt;=1,"0–1 years",CleanEmployeeData[[#This Row],[YearsAtCompany]]&lt;=5,"2–5 years",CleanEmployeeData[[#This Row],[YearsAtCompany]]&lt;=10,"6–10 years",TRUE,"11+ years")</f>
        <v>0–1 years</v>
      </c>
    </row>
    <row r="686" spans="1:4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cm="1">
        <f t="array" ref="AJ686">_xlfn.SWITCH(CleanEmployeeData[[#This Row],[Education]],1,"Below College",2,"College",3,"Bachelor",4,"Master",5,"Doctor","Unknown")</f>
        <v>Master</v>
      </c>
      <c r="AK686" t="str" cm="1">
        <f t="array" ref="AK686">_xlfn.SWITCH(CleanEmployeeData[[#This Row],[EnvironmentSatisfaction]],1,"Low",2,"Medium",3,"High",4,"Very High","Unknown")</f>
        <v>Low</v>
      </c>
      <c r="AL686" t="str" cm="1">
        <f t="array" ref="AL686">_xlfn.SWITCH(CleanEmployeeData[[#This Row],[JobInvolvement]],1,"Low",2,"Medium",3,"High",4,"Very High","Unknown")</f>
        <v>Medium</v>
      </c>
      <c r="AM686" t="str" cm="1">
        <f t="array" ref="AM686">_xlfn.SWITCH(CleanEmployeeData[[#This Row],[JobSatisfaction]],1,"Low",2,"Medium",3,"High",4,"Very High","Unknown")</f>
        <v>Medium</v>
      </c>
      <c r="AN686" t="str" cm="1">
        <f t="array" ref="AN686">_xlfn.SWITCH(CleanEmployeeData[[#This Row],[PerformanceRating]],1,"Low",2,"Good",3,"Excellent",4,"Outstanding","Unknown")</f>
        <v>Excellent</v>
      </c>
      <c r="AO686" t="str" cm="1">
        <f t="array" ref="AO686">_xlfn.SWITCH(CleanEmployeeData[[#This Row],[WorkLifeBalance]],1,"Bad",2,"Good",3,"Better",4,"Best","Unknown")</f>
        <v>Good</v>
      </c>
      <c r="AP686">
        <f>IF(CleanEmployeeData[[#This Row],[Attrition]]="Yes",1,IF(CleanEmployeeData[[#This Row],[Attrition]]="No",0,""))</f>
        <v>0</v>
      </c>
      <c r="AQ686" t="str" cm="1">
        <f t="array" ref="AQ686">_xlfn.IFS(CleanEmployeeData[[#This Row],[MonthlyIncome]]&lt;=3000,"0–3,000",CleanEmployeeData[[#This Row],[MonthlyIncome]]&lt;=6000,"3,001–6,000",CleanEmployeeData[[#This Row],[MonthlyIncome]]&lt;=10000,"6,001–10,000",TRUE,"10,001+")</f>
        <v>6,001–10,000</v>
      </c>
      <c r="AR686" t="str" cm="1">
        <f t="array" ref="AR686">_xlfn.IFS(CleanEmployeeData[[#This Row],[DistanceFromHome]]&lt;=5,"0–5 miles",CleanEmployeeData[[#This Row],[DistanceFromHome]]&lt;=10,"6–10 miles",CleanEmployeeData[[#This Row],[DistanceFromHome]]&lt;=15,"11–15 miles",TRUE,"16+ miles")</f>
        <v>6–10 miles</v>
      </c>
      <c r="AS686" t="str" cm="1">
        <f t="array" ref="AS686">_xlfn.IFS(CleanEmployeeData[[#This Row],[YearsAtCompany]]&lt;=1,"0–1 years",CleanEmployeeData[[#This Row],[YearsAtCompany]]&lt;=5,"2–5 years",CleanEmployeeData[[#This Row],[YearsAtCompany]]&lt;=10,"6–10 years",TRUE,"11+ years")</f>
        <v>0–1 years</v>
      </c>
    </row>
    <row r="687" spans="1:4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cm="1">
        <f t="array" ref="AJ687">_xlfn.SWITCH(CleanEmployeeData[[#This Row],[Education]],1,"Below College",2,"College",3,"Bachelor",4,"Master",5,"Doctor","Unknown")</f>
        <v>Bachelor</v>
      </c>
      <c r="AK687" t="str" cm="1">
        <f t="array" ref="AK687">_xlfn.SWITCH(CleanEmployeeData[[#This Row],[EnvironmentSatisfaction]],1,"Low",2,"Medium",3,"High",4,"Very High","Unknown")</f>
        <v>High</v>
      </c>
      <c r="AL687" t="str" cm="1">
        <f t="array" ref="AL687">_xlfn.SWITCH(CleanEmployeeData[[#This Row],[JobInvolvement]],1,"Low",2,"Medium",3,"High",4,"Very High","Unknown")</f>
        <v>Medium</v>
      </c>
      <c r="AM687" t="str" cm="1">
        <f t="array" ref="AM687">_xlfn.SWITCH(CleanEmployeeData[[#This Row],[JobSatisfaction]],1,"Low",2,"Medium",3,"High",4,"Very High","Unknown")</f>
        <v>Low</v>
      </c>
      <c r="AN687" t="str" cm="1">
        <f t="array" ref="AN687">_xlfn.SWITCH(CleanEmployeeData[[#This Row],[PerformanceRating]],1,"Low",2,"Good",3,"Excellent",4,"Outstanding","Unknown")</f>
        <v>Excellent</v>
      </c>
      <c r="AO687" t="str" cm="1">
        <f t="array" ref="AO687">_xlfn.SWITCH(CleanEmployeeData[[#This Row],[WorkLifeBalance]],1,"Bad",2,"Good",3,"Better",4,"Best","Unknown")</f>
        <v>Better</v>
      </c>
      <c r="AP687">
        <f>IF(CleanEmployeeData[[#This Row],[Attrition]]="Yes",1,IF(CleanEmployeeData[[#This Row],[Attrition]]="No",0,""))</f>
        <v>0</v>
      </c>
      <c r="AQ687" t="str" cm="1">
        <f t="array" ref="AQ687">_xlfn.IFS(CleanEmployeeData[[#This Row],[MonthlyIncome]]&lt;=3000,"0–3,000",CleanEmployeeData[[#This Row],[MonthlyIncome]]&lt;=6000,"3,001–6,000",CleanEmployeeData[[#This Row],[MonthlyIncome]]&lt;=10000,"6,001–10,000",TRUE,"10,001+")</f>
        <v>3,001–6,000</v>
      </c>
      <c r="AR687" t="str" cm="1">
        <f t="array" ref="AR687">_xlfn.IFS(CleanEmployeeData[[#This Row],[DistanceFromHome]]&lt;=5,"0–5 miles",CleanEmployeeData[[#This Row],[DistanceFromHome]]&lt;=10,"6–10 miles",CleanEmployeeData[[#This Row],[DistanceFromHome]]&lt;=15,"11–15 miles",TRUE,"16+ miles")</f>
        <v>0–5 miles</v>
      </c>
      <c r="AS687" t="str" cm="1">
        <f t="array" ref="AS687">_xlfn.IFS(CleanEmployeeData[[#This Row],[YearsAtCompany]]&lt;=1,"0–1 years",CleanEmployeeData[[#This Row],[YearsAtCompany]]&lt;=5,"2–5 years",CleanEmployeeData[[#This Row],[YearsAtCompany]]&lt;=10,"6–10 years",TRUE,"11+ years")</f>
        <v>6–10 years</v>
      </c>
    </row>
    <row r="688" spans="1:4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cm="1">
        <f t="array" ref="AJ688">_xlfn.SWITCH(CleanEmployeeData[[#This Row],[Education]],1,"Below College",2,"College",3,"Bachelor",4,"Master",5,"Doctor","Unknown")</f>
        <v>Bachelor</v>
      </c>
      <c r="AK688" t="str" cm="1">
        <f t="array" ref="AK688">_xlfn.SWITCH(CleanEmployeeData[[#This Row],[EnvironmentSatisfaction]],1,"Low",2,"Medium",3,"High",4,"Very High","Unknown")</f>
        <v>Very High</v>
      </c>
      <c r="AL688" t="str" cm="1">
        <f t="array" ref="AL688">_xlfn.SWITCH(CleanEmployeeData[[#This Row],[JobInvolvement]],1,"Low",2,"Medium",3,"High",4,"Very High","Unknown")</f>
        <v>High</v>
      </c>
      <c r="AM688" t="str" cm="1">
        <f t="array" ref="AM688">_xlfn.SWITCH(CleanEmployeeData[[#This Row],[JobSatisfaction]],1,"Low",2,"Medium",3,"High",4,"Very High","Unknown")</f>
        <v>Low</v>
      </c>
      <c r="AN688" t="str" cm="1">
        <f t="array" ref="AN688">_xlfn.SWITCH(CleanEmployeeData[[#This Row],[PerformanceRating]],1,"Low",2,"Good",3,"Excellent",4,"Outstanding","Unknown")</f>
        <v>Excellent</v>
      </c>
      <c r="AO688" t="str" cm="1">
        <f t="array" ref="AO688">_xlfn.SWITCH(CleanEmployeeData[[#This Row],[WorkLifeBalance]],1,"Bad",2,"Good",3,"Better",4,"Best","Unknown")</f>
        <v>Better</v>
      </c>
      <c r="AP688">
        <f>IF(CleanEmployeeData[[#This Row],[Attrition]]="Yes",1,IF(CleanEmployeeData[[#This Row],[Attrition]]="No",0,""))</f>
        <v>0</v>
      </c>
      <c r="AQ688" t="str" cm="1">
        <f t="array" ref="AQ688">_xlfn.IFS(CleanEmployeeData[[#This Row],[MonthlyIncome]]&lt;=3000,"0–3,000",CleanEmployeeData[[#This Row],[MonthlyIncome]]&lt;=6000,"3,001–6,000",CleanEmployeeData[[#This Row],[MonthlyIncome]]&lt;=10000,"6,001–10,000",TRUE,"10,001+")</f>
        <v>3,001–6,000</v>
      </c>
      <c r="AR688" t="str" cm="1">
        <f t="array" ref="AR688">_xlfn.IFS(CleanEmployeeData[[#This Row],[DistanceFromHome]]&lt;=5,"0–5 miles",CleanEmployeeData[[#This Row],[DistanceFromHome]]&lt;=10,"6–10 miles",CleanEmployeeData[[#This Row],[DistanceFromHome]]&lt;=15,"11–15 miles",TRUE,"16+ miles")</f>
        <v>6–10 miles</v>
      </c>
      <c r="AS688" t="str" cm="1">
        <f t="array" ref="AS688">_xlfn.IFS(CleanEmployeeData[[#This Row],[YearsAtCompany]]&lt;=1,"0–1 years",CleanEmployeeData[[#This Row],[YearsAtCompany]]&lt;=5,"2–5 years",CleanEmployeeData[[#This Row],[YearsAtCompany]]&lt;=10,"6–10 years",TRUE,"11+ years")</f>
        <v>11+ years</v>
      </c>
    </row>
    <row r="689" spans="1:4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cm="1">
        <f t="array" ref="AJ689">_xlfn.SWITCH(CleanEmployeeData[[#This Row],[Education]],1,"Below College",2,"College",3,"Bachelor",4,"Master",5,"Doctor","Unknown")</f>
        <v>Master</v>
      </c>
      <c r="AK689" t="str" cm="1">
        <f t="array" ref="AK689">_xlfn.SWITCH(CleanEmployeeData[[#This Row],[EnvironmentSatisfaction]],1,"Low",2,"Medium",3,"High",4,"Very High","Unknown")</f>
        <v>High</v>
      </c>
      <c r="AL689" t="str" cm="1">
        <f t="array" ref="AL689">_xlfn.SWITCH(CleanEmployeeData[[#This Row],[JobInvolvement]],1,"Low",2,"Medium",3,"High",4,"Very High","Unknown")</f>
        <v>High</v>
      </c>
      <c r="AM689" t="str" cm="1">
        <f t="array" ref="AM689">_xlfn.SWITCH(CleanEmployeeData[[#This Row],[JobSatisfaction]],1,"Low",2,"Medium",3,"High",4,"Very High","Unknown")</f>
        <v>High</v>
      </c>
      <c r="AN689" t="str" cm="1">
        <f t="array" ref="AN689">_xlfn.SWITCH(CleanEmployeeData[[#This Row],[PerformanceRating]],1,"Low",2,"Good",3,"Excellent",4,"Outstanding","Unknown")</f>
        <v>Outstanding</v>
      </c>
      <c r="AO689" t="str" cm="1">
        <f t="array" ref="AO689">_xlfn.SWITCH(CleanEmployeeData[[#This Row],[WorkLifeBalance]],1,"Bad",2,"Good",3,"Better",4,"Best","Unknown")</f>
        <v>Better</v>
      </c>
      <c r="AP689">
        <f>IF(CleanEmployeeData[[#This Row],[Attrition]]="Yes",1,IF(CleanEmployeeData[[#This Row],[Attrition]]="No",0,""))</f>
        <v>0</v>
      </c>
      <c r="AQ689" t="str" cm="1">
        <f t="array" ref="AQ689">_xlfn.IFS(CleanEmployeeData[[#This Row],[MonthlyIncome]]&lt;=3000,"0–3,000",CleanEmployeeData[[#This Row],[MonthlyIncome]]&lt;=6000,"3,001–6,000",CleanEmployeeData[[#This Row],[MonthlyIncome]]&lt;=10000,"6,001–10,000",TRUE,"10,001+")</f>
        <v>0–3,000</v>
      </c>
      <c r="AR689" t="str" cm="1">
        <f t="array" ref="AR689">_xlfn.IFS(CleanEmployeeData[[#This Row],[DistanceFromHome]]&lt;=5,"0–5 miles",CleanEmployeeData[[#This Row],[DistanceFromHome]]&lt;=10,"6–10 miles",CleanEmployeeData[[#This Row],[DistanceFromHome]]&lt;=15,"11–15 miles",TRUE,"16+ miles")</f>
        <v>0–5 miles</v>
      </c>
      <c r="AS689" t="str" cm="1">
        <f t="array" ref="AS689">_xlfn.IFS(CleanEmployeeData[[#This Row],[YearsAtCompany]]&lt;=1,"0–1 years",CleanEmployeeData[[#This Row],[YearsAtCompany]]&lt;=5,"2–5 years",CleanEmployeeData[[#This Row],[YearsAtCompany]]&lt;=10,"6–10 years",TRUE,"11+ years")</f>
        <v>11+ years</v>
      </c>
    </row>
    <row r="690" spans="1:4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cm="1">
        <f t="array" ref="AJ690">_xlfn.SWITCH(CleanEmployeeData[[#This Row],[Education]],1,"Below College",2,"College",3,"Bachelor",4,"Master",5,"Doctor","Unknown")</f>
        <v>Bachelor</v>
      </c>
      <c r="AK690" t="str" cm="1">
        <f t="array" ref="AK690">_xlfn.SWITCH(CleanEmployeeData[[#This Row],[EnvironmentSatisfaction]],1,"Low",2,"Medium",3,"High",4,"Very High","Unknown")</f>
        <v>Very High</v>
      </c>
      <c r="AL690" t="str" cm="1">
        <f t="array" ref="AL690">_xlfn.SWITCH(CleanEmployeeData[[#This Row],[JobInvolvement]],1,"Low",2,"Medium",3,"High",4,"Very High","Unknown")</f>
        <v>Medium</v>
      </c>
      <c r="AM690" t="str" cm="1">
        <f t="array" ref="AM690">_xlfn.SWITCH(CleanEmployeeData[[#This Row],[JobSatisfaction]],1,"Low",2,"Medium",3,"High",4,"Very High","Unknown")</f>
        <v>Medium</v>
      </c>
      <c r="AN690" t="str" cm="1">
        <f t="array" ref="AN690">_xlfn.SWITCH(CleanEmployeeData[[#This Row],[PerformanceRating]],1,"Low",2,"Good",3,"Excellent",4,"Outstanding","Unknown")</f>
        <v>Excellent</v>
      </c>
      <c r="AO690" t="str" cm="1">
        <f t="array" ref="AO690">_xlfn.SWITCH(CleanEmployeeData[[#This Row],[WorkLifeBalance]],1,"Bad",2,"Good",3,"Better",4,"Best","Unknown")</f>
        <v>Best</v>
      </c>
      <c r="AP690">
        <f>IF(CleanEmployeeData[[#This Row],[Attrition]]="Yes",1,IF(CleanEmployeeData[[#This Row],[Attrition]]="No",0,""))</f>
        <v>1</v>
      </c>
      <c r="AQ690" t="str" cm="1">
        <f t="array" ref="AQ690">_xlfn.IFS(CleanEmployeeData[[#This Row],[MonthlyIncome]]&lt;=3000,"0–3,000",CleanEmployeeData[[#This Row],[MonthlyIncome]]&lt;=6000,"3,001–6,000",CleanEmployeeData[[#This Row],[MonthlyIncome]]&lt;=10000,"6,001–10,000",TRUE,"10,001+")</f>
        <v>0–3,000</v>
      </c>
      <c r="AR690" t="str" cm="1">
        <f t="array" ref="AR690">_xlfn.IFS(CleanEmployeeData[[#This Row],[DistanceFromHome]]&lt;=5,"0–5 miles",CleanEmployeeData[[#This Row],[DistanceFromHome]]&lt;=10,"6–10 miles",CleanEmployeeData[[#This Row],[DistanceFromHome]]&lt;=15,"11–15 miles",TRUE,"16+ miles")</f>
        <v>16+ miles</v>
      </c>
      <c r="AS690" t="str" cm="1">
        <f t="array" ref="AS690">_xlfn.IFS(CleanEmployeeData[[#This Row],[YearsAtCompany]]&lt;=1,"0–1 years",CleanEmployeeData[[#This Row],[YearsAtCompany]]&lt;=5,"2–5 years",CleanEmployeeData[[#This Row],[YearsAtCompany]]&lt;=10,"6–10 years",TRUE,"11+ years")</f>
        <v>0–1 years</v>
      </c>
    </row>
    <row r="691" spans="1:4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cm="1">
        <f t="array" ref="AJ691">_xlfn.SWITCH(CleanEmployeeData[[#This Row],[Education]],1,"Below College",2,"College",3,"Bachelor",4,"Master",5,"Doctor","Unknown")</f>
        <v>Bachelor</v>
      </c>
      <c r="AK691" t="str" cm="1">
        <f t="array" ref="AK691">_xlfn.SWITCH(CleanEmployeeData[[#This Row],[EnvironmentSatisfaction]],1,"Low",2,"Medium",3,"High",4,"Very High","Unknown")</f>
        <v>Low</v>
      </c>
      <c r="AL691" t="str" cm="1">
        <f t="array" ref="AL691">_xlfn.SWITCH(CleanEmployeeData[[#This Row],[JobInvolvement]],1,"Low",2,"Medium",3,"High",4,"Very High","Unknown")</f>
        <v>High</v>
      </c>
      <c r="AM691" t="str" cm="1">
        <f t="array" ref="AM691">_xlfn.SWITCH(CleanEmployeeData[[#This Row],[JobSatisfaction]],1,"Low",2,"Medium",3,"High",4,"Very High","Unknown")</f>
        <v>Low</v>
      </c>
      <c r="AN691" t="str" cm="1">
        <f t="array" ref="AN691">_xlfn.SWITCH(CleanEmployeeData[[#This Row],[PerformanceRating]],1,"Low",2,"Good",3,"Excellent",4,"Outstanding","Unknown")</f>
        <v>Excellent</v>
      </c>
      <c r="AO691" t="str" cm="1">
        <f t="array" ref="AO691">_xlfn.SWITCH(CleanEmployeeData[[#This Row],[WorkLifeBalance]],1,"Bad",2,"Good",3,"Better",4,"Best","Unknown")</f>
        <v>Better</v>
      </c>
      <c r="AP691">
        <f>IF(CleanEmployeeData[[#This Row],[Attrition]]="Yes",1,IF(CleanEmployeeData[[#This Row],[Attrition]]="No",0,""))</f>
        <v>1</v>
      </c>
      <c r="AQ691" t="str" cm="1">
        <f t="array" ref="AQ691">_xlfn.IFS(CleanEmployeeData[[#This Row],[MonthlyIncome]]&lt;=3000,"0–3,000",CleanEmployeeData[[#This Row],[MonthlyIncome]]&lt;=6000,"3,001–6,000",CleanEmployeeData[[#This Row],[MonthlyIncome]]&lt;=10000,"6,001–10,000",TRUE,"10,001+")</f>
        <v>0–3,000</v>
      </c>
      <c r="AR691" t="str" cm="1">
        <f t="array" ref="AR691">_xlfn.IFS(CleanEmployeeData[[#This Row],[DistanceFromHome]]&lt;=5,"0–5 miles",CleanEmployeeData[[#This Row],[DistanceFromHome]]&lt;=10,"6–10 miles",CleanEmployeeData[[#This Row],[DistanceFromHome]]&lt;=15,"11–15 miles",TRUE,"16+ miles")</f>
        <v>0–5 miles</v>
      </c>
      <c r="AS691" t="str" cm="1">
        <f t="array" ref="AS691">_xlfn.IFS(CleanEmployeeData[[#This Row],[YearsAtCompany]]&lt;=1,"0–1 years",CleanEmployeeData[[#This Row],[YearsAtCompany]]&lt;=5,"2–5 years",CleanEmployeeData[[#This Row],[YearsAtCompany]]&lt;=10,"6–10 years",TRUE,"11+ years")</f>
        <v>0–1 years</v>
      </c>
    </row>
    <row r="692" spans="1:4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cm="1">
        <f t="array" ref="AJ692">_xlfn.SWITCH(CleanEmployeeData[[#This Row],[Education]],1,"Below College",2,"College",3,"Bachelor",4,"Master",5,"Doctor","Unknown")</f>
        <v>Bachelor</v>
      </c>
      <c r="AK692" t="str" cm="1">
        <f t="array" ref="AK692">_xlfn.SWITCH(CleanEmployeeData[[#This Row],[EnvironmentSatisfaction]],1,"Low",2,"Medium",3,"High",4,"Very High","Unknown")</f>
        <v>Very High</v>
      </c>
      <c r="AL692" t="str" cm="1">
        <f t="array" ref="AL692">_xlfn.SWITCH(CleanEmployeeData[[#This Row],[JobInvolvement]],1,"Low",2,"Medium",3,"High",4,"Very High","Unknown")</f>
        <v>High</v>
      </c>
      <c r="AM692" t="str" cm="1">
        <f t="array" ref="AM692">_xlfn.SWITCH(CleanEmployeeData[[#This Row],[JobSatisfaction]],1,"Low",2,"Medium",3,"High",4,"Very High","Unknown")</f>
        <v>Very High</v>
      </c>
      <c r="AN692" t="str" cm="1">
        <f t="array" ref="AN692">_xlfn.SWITCH(CleanEmployeeData[[#This Row],[PerformanceRating]],1,"Low",2,"Good",3,"Excellent",4,"Outstanding","Unknown")</f>
        <v>Excellent</v>
      </c>
      <c r="AO692" t="str" cm="1">
        <f t="array" ref="AO692">_xlfn.SWITCH(CleanEmployeeData[[#This Row],[WorkLifeBalance]],1,"Bad",2,"Good",3,"Better",4,"Best","Unknown")</f>
        <v>Bad</v>
      </c>
      <c r="AP692">
        <f>IF(CleanEmployeeData[[#This Row],[Attrition]]="Yes",1,IF(CleanEmployeeData[[#This Row],[Attrition]]="No",0,""))</f>
        <v>0</v>
      </c>
      <c r="AQ692" t="str" cm="1">
        <f t="array" ref="AQ692">_xlfn.IFS(CleanEmployeeData[[#This Row],[MonthlyIncome]]&lt;=3000,"0–3,000",CleanEmployeeData[[#This Row],[MonthlyIncome]]&lt;=6000,"3,001–6,000",CleanEmployeeData[[#This Row],[MonthlyIncome]]&lt;=10000,"6,001–10,000",TRUE,"10,001+")</f>
        <v>3,001–6,000</v>
      </c>
      <c r="AR692" t="str" cm="1">
        <f t="array" ref="AR692">_xlfn.IFS(CleanEmployeeData[[#This Row],[DistanceFromHome]]&lt;=5,"0–5 miles",CleanEmployeeData[[#This Row],[DistanceFromHome]]&lt;=10,"6–10 miles",CleanEmployeeData[[#This Row],[DistanceFromHome]]&lt;=15,"11–15 miles",TRUE,"16+ miles")</f>
        <v>11–15 miles</v>
      </c>
      <c r="AS692" t="str" cm="1">
        <f t="array" ref="AS692">_xlfn.IFS(CleanEmployeeData[[#This Row],[YearsAtCompany]]&lt;=1,"0–1 years",CleanEmployeeData[[#This Row],[YearsAtCompany]]&lt;=5,"2–5 years",CleanEmployeeData[[#This Row],[YearsAtCompany]]&lt;=10,"6–10 years",TRUE,"11+ years")</f>
        <v>6–10 years</v>
      </c>
    </row>
    <row r="693" spans="1:4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cm="1">
        <f t="array" ref="AJ693">_xlfn.SWITCH(CleanEmployeeData[[#This Row],[Education]],1,"Below College",2,"College",3,"Bachelor",4,"Master",5,"Doctor","Unknown")</f>
        <v>Master</v>
      </c>
      <c r="AK693" t="str" cm="1">
        <f t="array" ref="AK693">_xlfn.SWITCH(CleanEmployeeData[[#This Row],[EnvironmentSatisfaction]],1,"Low",2,"Medium",3,"High",4,"Very High","Unknown")</f>
        <v>Very High</v>
      </c>
      <c r="AL693" t="str" cm="1">
        <f t="array" ref="AL693">_xlfn.SWITCH(CleanEmployeeData[[#This Row],[JobInvolvement]],1,"Low",2,"Medium",3,"High",4,"Very High","Unknown")</f>
        <v>High</v>
      </c>
      <c r="AM693" t="str" cm="1">
        <f t="array" ref="AM693">_xlfn.SWITCH(CleanEmployeeData[[#This Row],[JobSatisfaction]],1,"Low",2,"Medium",3,"High",4,"Very High","Unknown")</f>
        <v>Medium</v>
      </c>
      <c r="AN693" t="str" cm="1">
        <f t="array" ref="AN693">_xlfn.SWITCH(CleanEmployeeData[[#This Row],[PerformanceRating]],1,"Low",2,"Good",3,"Excellent",4,"Outstanding","Unknown")</f>
        <v>Excellent</v>
      </c>
      <c r="AO693" t="str" cm="1">
        <f t="array" ref="AO693">_xlfn.SWITCH(CleanEmployeeData[[#This Row],[WorkLifeBalance]],1,"Bad",2,"Good",3,"Better",4,"Best","Unknown")</f>
        <v>Better</v>
      </c>
      <c r="AP693">
        <f>IF(CleanEmployeeData[[#This Row],[Attrition]]="Yes",1,IF(CleanEmployeeData[[#This Row],[Attrition]]="No",0,""))</f>
        <v>0</v>
      </c>
      <c r="AQ693" t="str" cm="1">
        <f t="array" ref="AQ693">_xlfn.IFS(CleanEmployeeData[[#This Row],[MonthlyIncome]]&lt;=3000,"0–3,000",CleanEmployeeData[[#This Row],[MonthlyIncome]]&lt;=6000,"3,001–6,000",CleanEmployeeData[[#This Row],[MonthlyIncome]]&lt;=10000,"6,001–10,000",TRUE,"10,001+")</f>
        <v>3,001–6,000</v>
      </c>
      <c r="AR693" t="str" cm="1">
        <f t="array" ref="AR693">_xlfn.IFS(CleanEmployeeData[[#This Row],[DistanceFromHome]]&lt;=5,"0–5 miles",CleanEmployeeData[[#This Row],[DistanceFromHome]]&lt;=10,"6–10 miles",CleanEmployeeData[[#This Row],[DistanceFromHome]]&lt;=15,"11–15 miles",TRUE,"16+ miles")</f>
        <v>6–10 miles</v>
      </c>
      <c r="AS693" t="str" cm="1">
        <f t="array" ref="AS693">_xlfn.IFS(CleanEmployeeData[[#This Row],[YearsAtCompany]]&lt;=1,"0–1 years",CleanEmployeeData[[#This Row],[YearsAtCompany]]&lt;=5,"2–5 years",CleanEmployeeData[[#This Row],[YearsAtCompany]]&lt;=10,"6–10 years",TRUE,"11+ years")</f>
        <v>0–1 years</v>
      </c>
    </row>
    <row r="694" spans="1:4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cm="1">
        <f t="array" ref="AJ694">_xlfn.SWITCH(CleanEmployeeData[[#This Row],[Education]],1,"Below College",2,"College",3,"Bachelor",4,"Master",5,"Doctor","Unknown")</f>
        <v>Master</v>
      </c>
      <c r="AK694" t="str" cm="1">
        <f t="array" ref="AK694">_xlfn.SWITCH(CleanEmployeeData[[#This Row],[EnvironmentSatisfaction]],1,"Low",2,"Medium",3,"High",4,"Very High","Unknown")</f>
        <v>High</v>
      </c>
      <c r="AL694" t="str" cm="1">
        <f t="array" ref="AL694">_xlfn.SWITCH(CleanEmployeeData[[#This Row],[JobInvolvement]],1,"Low",2,"Medium",3,"High",4,"Very High","Unknown")</f>
        <v>High</v>
      </c>
      <c r="AM694" t="str" cm="1">
        <f t="array" ref="AM694">_xlfn.SWITCH(CleanEmployeeData[[#This Row],[JobSatisfaction]],1,"Low",2,"Medium",3,"High",4,"Very High","Unknown")</f>
        <v>Low</v>
      </c>
      <c r="AN694" t="str" cm="1">
        <f t="array" ref="AN694">_xlfn.SWITCH(CleanEmployeeData[[#This Row],[PerformanceRating]],1,"Low",2,"Good",3,"Excellent",4,"Outstanding","Unknown")</f>
        <v>Excellent</v>
      </c>
      <c r="AO694" t="str" cm="1">
        <f t="array" ref="AO694">_xlfn.SWITCH(CleanEmployeeData[[#This Row],[WorkLifeBalance]],1,"Bad",2,"Good",3,"Better",4,"Best","Unknown")</f>
        <v>Best</v>
      </c>
      <c r="AP694">
        <f>IF(CleanEmployeeData[[#This Row],[Attrition]]="Yes",1,IF(CleanEmployeeData[[#This Row],[Attrition]]="No",0,""))</f>
        <v>0</v>
      </c>
      <c r="AQ694" t="str" cm="1">
        <f t="array" ref="AQ694">_xlfn.IFS(CleanEmployeeData[[#This Row],[MonthlyIncome]]&lt;=3000,"0–3,000",CleanEmployeeData[[#This Row],[MonthlyIncome]]&lt;=6000,"3,001–6,000",CleanEmployeeData[[#This Row],[MonthlyIncome]]&lt;=10000,"6,001–10,000",TRUE,"10,001+")</f>
        <v>6,001–10,000</v>
      </c>
      <c r="AR694" t="str" cm="1">
        <f t="array" ref="AR694">_xlfn.IFS(CleanEmployeeData[[#This Row],[DistanceFromHome]]&lt;=5,"0–5 miles",CleanEmployeeData[[#This Row],[DistanceFromHome]]&lt;=10,"6–10 miles",CleanEmployeeData[[#This Row],[DistanceFromHome]]&lt;=15,"11–15 miles",TRUE,"16+ miles")</f>
        <v>0–5 miles</v>
      </c>
      <c r="AS694" t="str" cm="1">
        <f t="array" ref="AS694">_xlfn.IFS(CleanEmployeeData[[#This Row],[YearsAtCompany]]&lt;=1,"0–1 years",CleanEmployeeData[[#This Row],[YearsAtCompany]]&lt;=5,"2–5 years",CleanEmployeeData[[#This Row],[YearsAtCompany]]&lt;=10,"6–10 years",TRUE,"11+ years")</f>
        <v>6–10 years</v>
      </c>
    </row>
    <row r="695" spans="1:4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cm="1">
        <f t="array" ref="AJ695">_xlfn.SWITCH(CleanEmployeeData[[#This Row],[Education]],1,"Below College",2,"College",3,"Bachelor",4,"Master",5,"Doctor","Unknown")</f>
        <v>Below College</v>
      </c>
      <c r="AK695" t="str" cm="1">
        <f t="array" ref="AK695">_xlfn.SWITCH(CleanEmployeeData[[#This Row],[EnvironmentSatisfaction]],1,"Low",2,"Medium",3,"High",4,"Very High","Unknown")</f>
        <v>High</v>
      </c>
      <c r="AL695" t="str" cm="1">
        <f t="array" ref="AL695">_xlfn.SWITCH(CleanEmployeeData[[#This Row],[JobInvolvement]],1,"Low",2,"Medium",3,"High",4,"Very High","Unknown")</f>
        <v>Medium</v>
      </c>
      <c r="AM695" t="str" cm="1">
        <f t="array" ref="AM695">_xlfn.SWITCH(CleanEmployeeData[[#This Row],[JobSatisfaction]],1,"Low",2,"Medium",3,"High",4,"Very High","Unknown")</f>
        <v>Very High</v>
      </c>
      <c r="AN695" t="str" cm="1">
        <f t="array" ref="AN695">_xlfn.SWITCH(CleanEmployeeData[[#This Row],[PerformanceRating]],1,"Low",2,"Good",3,"Excellent",4,"Outstanding","Unknown")</f>
        <v>Excellent</v>
      </c>
      <c r="AO695" t="str" cm="1">
        <f t="array" ref="AO695">_xlfn.SWITCH(CleanEmployeeData[[#This Row],[WorkLifeBalance]],1,"Bad",2,"Good",3,"Better",4,"Best","Unknown")</f>
        <v>Better</v>
      </c>
      <c r="AP695">
        <f>IF(CleanEmployeeData[[#This Row],[Attrition]]="Yes",1,IF(CleanEmployeeData[[#This Row],[Attrition]]="No",0,""))</f>
        <v>1</v>
      </c>
      <c r="AQ695" t="str" cm="1">
        <f t="array" ref="AQ695">_xlfn.IFS(CleanEmployeeData[[#This Row],[MonthlyIncome]]&lt;=3000,"0–3,000",CleanEmployeeData[[#This Row],[MonthlyIncome]]&lt;=6000,"3,001–6,000",CleanEmployeeData[[#This Row],[MonthlyIncome]]&lt;=10000,"6,001–10,000",TRUE,"10,001+")</f>
        <v>10,001+</v>
      </c>
      <c r="AR695" t="str" cm="1">
        <f t="array" ref="AR695">_xlfn.IFS(CleanEmployeeData[[#This Row],[DistanceFromHome]]&lt;=5,"0–5 miles",CleanEmployeeData[[#This Row],[DistanceFromHome]]&lt;=10,"6–10 miles",CleanEmployeeData[[#This Row],[DistanceFromHome]]&lt;=15,"11–15 miles",TRUE,"16+ miles")</f>
        <v>0–5 miles</v>
      </c>
      <c r="AS695" t="str" cm="1">
        <f t="array" ref="AS695">_xlfn.IFS(CleanEmployeeData[[#This Row],[YearsAtCompany]]&lt;=1,"0–1 years",CleanEmployeeData[[#This Row],[YearsAtCompany]]&lt;=5,"2–5 years",CleanEmployeeData[[#This Row],[YearsAtCompany]]&lt;=10,"6–10 years",TRUE,"11+ years")</f>
        <v>11+ years</v>
      </c>
    </row>
    <row r="696" spans="1:4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cm="1">
        <f t="array" ref="AJ696">_xlfn.SWITCH(CleanEmployeeData[[#This Row],[Education]],1,"Below College",2,"College",3,"Bachelor",4,"Master",5,"Doctor","Unknown")</f>
        <v>Bachelor</v>
      </c>
      <c r="AK696" t="str" cm="1">
        <f t="array" ref="AK696">_xlfn.SWITCH(CleanEmployeeData[[#This Row],[EnvironmentSatisfaction]],1,"Low",2,"Medium",3,"High",4,"Very High","Unknown")</f>
        <v>Medium</v>
      </c>
      <c r="AL696" t="str" cm="1">
        <f t="array" ref="AL696">_xlfn.SWITCH(CleanEmployeeData[[#This Row],[JobInvolvement]],1,"Low",2,"Medium",3,"High",4,"Very High","Unknown")</f>
        <v>Medium</v>
      </c>
      <c r="AM696" t="str" cm="1">
        <f t="array" ref="AM696">_xlfn.SWITCH(CleanEmployeeData[[#This Row],[JobSatisfaction]],1,"Low",2,"Medium",3,"High",4,"Very High","Unknown")</f>
        <v>Very High</v>
      </c>
      <c r="AN696" t="str" cm="1">
        <f t="array" ref="AN696">_xlfn.SWITCH(CleanEmployeeData[[#This Row],[PerformanceRating]],1,"Low",2,"Good",3,"Excellent",4,"Outstanding","Unknown")</f>
        <v>Excellent</v>
      </c>
      <c r="AO696" t="str" cm="1">
        <f t="array" ref="AO696">_xlfn.SWITCH(CleanEmployeeData[[#This Row],[WorkLifeBalance]],1,"Bad",2,"Good",3,"Better",4,"Best","Unknown")</f>
        <v>Better</v>
      </c>
      <c r="AP696">
        <f>IF(CleanEmployeeData[[#This Row],[Attrition]]="Yes",1,IF(CleanEmployeeData[[#This Row],[Attrition]]="No",0,""))</f>
        <v>0</v>
      </c>
      <c r="AQ696" t="str" cm="1">
        <f t="array" ref="AQ696">_xlfn.IFS(CleanEmployeeData[[#This Row],[MonthlyIncome]]&lt;=3000,"0–3,000",CleanEmployeeData[[#This Row],[MonthlyIncome]]&lt;=6000,"3,001–6,000",CleanEmployeeData[[#This Row],[MonthlyIncome]]&lt;=10000,"6,001–10,000",TRUE,"10,001+")</f>
        <v>6,001–10,000</v>
      </c>
      <c r="AR696" t="str" cm="1">
        <f t="array" ref="AR696">_xlfn.IFS(CleanEmployeeData[[#This Row],[DistanceFromHome]]&lt;=5,"0–5 miles",CleanEmployeeData[[#This Row],[DistanceFromHome]]&lt;=10,"6–10 miles",CleanEmployeeData[[#This Row],[DistanceFromHome]]&lt;=15,"11–15 miles",TRUE,"16+ miles")</f>
        <v>0–5 miles</v>
      </c>
      <c r="AS696" t="str" cm="1">
        <f t="array" ref="AS696">_xlfn.IFS(CleanEmployeeData[[#This Row],[YearsAtCompany]]&lt;=1,"0–1 years",CleanEmployeeData[[#This Row],[YearsAtCompany]]&lt;=5,"2–5 years",CleanEmployeeData[[#This Row],[YearsAtCompany]]&lt;=10,"6–10 years",TRUE,"11+ years")</f>
        <v>2–5 years</v>
      </c>
    </row>
    <row r="697" spans="1:4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cm="1">
        <f t="array" ref="AJ697">_xlfn.SWITCH(CleanEmployeeData[[#This Row],[Education]],1,"Below College",2,"College",3,"Bachelor",4,"Master",5,"Doctor","Unknown")</f>
        <v>Master</v>
      </c>
      <c r="AK697" t="str" cm="1">
        <f t="array" ref="AK697">_xlfn.SWITCH(CleanEmployeeData[[#This Row],[EnvironmentSatisfaction]],1,"Low",2,"Medium",3,"High",4,"Very High","Unknown")</f>
        <v>Low</v>
      </c>
      <c r="AL697" t="str" cm="1">
        <f t="array" ref="AL697">_xlfn.SWITCH(CleanEmployeeData[[#This Row],[JobInvolvement]],1,"Low",2,"Medium",3,"High",4,"Very High","Unknown")</f>
        <v>Medium</v>
      </c>
      <c r="AM697" t="str" cm="1">
        <f t="array" ref="AM697">_xlfn.SWITCH(CleanEmployeeData[[#This Row],[JobSatisfaction]],1,"Low",2,"Medium",3,"High",4,"Very High","Unknown")</f>
        <v>High</v>
      </c>
      <c r="AN697" t="str" cm="1">
        <f t="array" ref="AN697">_xlfn.SWITCH(CleanEmployeeData[[#This Row],[PerformanceRating]],1,"Low",2,"Good",3,"Excellent",4,"Outstanding","Unknown")</f>
        <v>Excellent</v>
      </c>
      <c r="AO697" t="str" cm="1">
        <f t="array" ref="AO697">_xlfn.SWITCH(CleanEmployeeData[[#This Row],[WorkLifeBalance]],1,"Bad",2,"Good",3,"Better",4,"Best","Unknown")</f>
        <v>Bad</v>
      </c>
      <c r="AP697">
        <f>IF(CleanEmployeeData[[#This Row],[Attrition]]="Yes",1,IF(CleanEmployeeData[[#This Row],[Attrition]]="No",0,""))</f>
        <v>1</v>
      </c>
      <c r="AQ697" t="str" cm="1">
        <f t="array" ref="AQ697">_xlfn.IFS(CleanEmployeeData[[#This Row],[MonthlyIncome]]&lt;=3000,"0–3,000",CleanEmployeeData[[#This Row],[MonthlyIncome]]&lt;=6000,"3,001–6,000",CleanEmployeeData[[#This Row],[MonthlyIncome]]&lt;=10000,"6,001–10,000",TRUE,"10,001+")</f>
        <v>10,001+</v>
      </c>
      <c r="AR697" t="str" cm="1">
        <f t="array" ref="AR697">_xlfn.IFS(CleanEmployeeData[[#This Row],[DistanceFromHome]]&lt;=5,"0–5 miles",CleanEmployeeData[[#This Row],[DistanceFromHome]]&lt;=10,"6–10 miles",CleanEmployeeData[[#This Row],[DistanceFromHome]]&lt;=15,"11–15 miles",TRUE,"16+ miles")</f>
        <v>0–5 miles</v>
      </c>
      <c r="AS697" t="str" cm="1">
        <f t="array" ref="AS697">_xlfn.IFS(CleanEmployeeData[[#This Row],[YearsAtCompany]]&lt;=1,"0–1 years",CleanEmployeeData[[#This Row],[YearsAtCompany]]&lt;=5,"2–5 years",CleanEmployeeData[[#This Row],[YearsAtCompany]]&lt;=10,"6–10 years",TRUE,"11+ years")</f>
        <v>11+ years</v>
      </c>
    </row>
    <row r="698" spans="1:4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cm="1">
        <f t="array" ref="AJ698">_xlfn.SWITCH(CleanEmployeeData[[#This Row],[Education]],1,"Below College",2,"College",3,"Bachelor",4,"Master",5,"Doctor","Unknown")</f>
        <v>College</v>
      </c>
      <c r="AK698" t="str" cm="1">
        <f t="array" ref="AK698">_xlfn.SWITCH(CleanEmployeeData[[#This Row],[EnvironmentSatisfaction]],1,"Low",2,"Medium",3,"High",4,"Very High","Unknown")</f>
        <v>High</v>
      </c>
      <c r="AL698" t="str" cm="1">
        <f t="array" ref="AL698">_xlfn.SWITCH(CleanEmployeeData[[#This Row],[JobInvolvement]],1,"Low",2,"Medium",3,"High",4,"Very High","Unknown")</f>
        <v>High</v>
      </c>
      <c r="AM698" t="str" cm="1">
        <f t="array" ref="AM698">_xlfn.SWITCH(CleanEmployeeData[[#This Row],[JobSatisfaction]],1,"Low",2,"Medium",3,"High",4,"Very High","Unknown")</f>
        <v>Medium</v>
      </c>
      <c r="AN698" t="str" cm="1">
        <f t="array" ref="AN698">_xlfn.SWITCH(CleanEmployeeData[[#This Row],[PerformanceRating]],1,"Low",2,"Good",3,"Excellent",4,"Outstanding","Unknown")</f>
        <v>Excellent</v>
      </c>
      <c r="AO698" t="str" cm="1">
        <f t="array" ref="AO698">_xlfn.SWITCH(CleanEmployeeData[[#This Row],[WorkLifeBalance]],1,"Bad",2,"Good",3,"Better",4,"Best","Unknown")</f>
        <v>Good</v>
      </c>
      <c r="AP698">
        <f>IF(CleanEmployeeData[[#This Row],[Attrition]]="Yes",1,IF(CleanEmployeeData[[#This Row],[Attrition]]="No",0,""))</f>
        <v>0</v>
      </c>
      <c r="AQ698" t="str" cm="1">
        <f t="array" ref="AQ698">_xlfn.IFS(CleanEmployeeData[[#This Row],[MonthlyIncome]]&lt;=3000,"0–3,000",CleanEmployeeData[[#This Row],[MonthlyIncome]]&lt;=6000,"3,001–6,000",CleanEmployeeData[[#This Row],[MonthlyIncome]]&lt;=10000,"6,001–10,000",TRUE,"10,001+")</f>
        <v>3,001–6,000</v>
      </c>
      <c r="AR698" t="str" cm="1">
        <f t="array" ref="AR698">_xlfn.IFS(CleanEmployeeData[[#This Row],[DistanceFromHome]]&lt;=5,"0–5 miles",CleanEmployeeData[[#This Row],[DistanceFromHome]]&lt;=10,"6–10 miles",CleanEmployeeData[[#This Row],[DistanceFromHome]]&lt;=15,"11–15 miles",TRUE,"16+ miles")</f>
        <v>0–5 miles</v>
      </c>
      <c r="AS698" t="str" cm="1">
        <f t="array" ref="AS698">_xlfn.IFS(CleanEmployeeData[[#This Row],[YearsAtCompany]]&lt;=1,"0–1 years",CleanEmployeeData[[#This Row],[YearsAtCompany]]&lt;=5,"2–5 years",CleanEmployeeData[[#This Row],[YearsAtCompany]]&lt;=10,"6–10 years",TRUE,"11+ years")</f>
        <v>6–10 years</v>
      </c>
    </row>
    <row r="699" spans="1:4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cm="1">
        <f t="array" ref="AJ699">_xlfn.SWITCH(CleanEmployeeData[[#This Row],[Education]],1,"Below College",2,"College",3,"Bachelor",4,"Master",5,"Doctor","Unknown")</f>
        <v>Bachelor</v>
      </c>
      <c r="AK699" t="str" cm="1">
        <f t="array" ref="AK699">_xlfn.SWITCH(CleanEmployeeData[[#This Row],[EnvironmentSatisfaction]],1,"Low",2,"Medium",3,"High",4,"Very High","Unknown")</f>
        <v>High</v>
      </c>
      <c r="AL699" t="str" cm="1">
        <f t="array" ref="AL699">_xlfn.SWITCH(CleanEmployeeData[[#This Row],[JobInvolvement]],1,"Low",2,"Medium",3,"High",4,"Very High","Unknown")</f>
        <v>High</v>
      </c>
      <c r="AM699" t="str" cm="1">
        <f t="array" ref="AM699">_xlfn.SWITCH(CleanEmployeeData[[#This Row],[JobSatisfaction]],1,"Low",2,"Medium",3,"High",4,"Very High","Unknown")</f>
        <v>Very High</v>
      </c>
      <c r="AN699" t="str" cm="1">
        <f t="array" ref="AN699">_xlfn.SWITCH(CleanEmployeeData[[#This Row],[PerformanceRating]],1,"Low",2,"Good",3,"Excellent",4,"Outstanding","Unknown")</f>
        <v>Excellent</v>
      </c>
      <c r="AO699" t="str" cm="1">
        <f t="array" ref="AO699">_xlfn.SWITCH(CleanEmployeeData[[#This Row],[WorkLifeBalance]],1,"Bad",2,"Good",3,"Better",4,"Best","Unknown")</f>
        <v>Better</v>
      </c>
      <c r="AP699">
        <f>IF(CleanEmployeeData[[#This Row],[Attrition]]="Yes",1,IF(CleanEmployeeData[[#This Row],[Attrition]]="No",0,""))</f>
        <v>0</v>
      </c>
      <c r="AQ699" t="str" cm="1">
        <f t="array" ref="AQ699">_xlfn.IFS(CleanEmployeeData[[#This Row],[MonthlyIncome]]&lt;=3000,"0–3,000",CleanEmployeeData[[#This Row],[MonthlyIncome]]&lt;=6000,"3,001–6,000",CleanEmployeeData[[#This Row],[MonthlyIncome]]&lt;=10000,"6,001–10,000",TRUE,"10,001+")</f>
        <v>0–3,000</v>
      </c>
      <c r="AR699" t="str" cm="1">
        <f t="array" ref="AR699">_xlfn.IFS(CleanEmployeeData[[#This Row],[DistanceFromHome]]&lt;=5,"0–5 miles",CleanEmployeeData[[#This Row],[DistanceFromHome]]&lt;=10,"6–10 miles",CleanEmployeeData[[#This Row],[DistanceFromHome]]&lt;=15,"11–15 miles",TRUE,"16+ miles")</f>
        <v>16+ miles</v>
      </c>
      <c r="AS699" t="str" cm="1">
        <f t="array" ref="AS699">_xlfn.IFS(CleanEmployeeData[[#This Row],[YearsAtCompany]]&lt;=1,"0–1 years",CleanEmployeeData[[#This Row],[YearsAtCompany]]&lt;=5,"2–5 years",CleanEmployeeData[[#This Row],[YearsAtCompany]]&lt;=10,"6–10 years",TRUE,"11+ years")</f>
        <v>2–5 years</v>
      </c>
    </row>
    <row r="700" spans="1:4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cm="1">
        <f t="array" ref="AJ700">_xlfn.SWITCH(CleanEmployeeData[[#This Row],[Education]],1,"Below College",2,"College",3,"Bachelor",4,"Master",5,"Doctor","Unknown")</f>
        <v>Bachelor</v>
      </c>
      <c r="AK700" t="str" cm="1">
        <f t="array" ref="AK700">_xlfn.SWITCH(CleanEmployeeData[[#This Row],[EnvironmentSatisfaction]],1,"Low",2,"Medium",3,"High",4,"Very High","Unknown")</f>
        <v>High</v>
      </c>
      <c r="AL700" t="str" cm="1">
        <f t="array" ref="AL700">_xlfn.SWITCH(CleanEmployeeData[[#This Row],[JobInvolvement]],1,"Low",2,"Medium",3,"High",4,"Very High","Unknown")</f>
        <v>High</v>
      </c>
      <c r="AM700" t="str" cm="1">
        <f t="array" ref="AM700">_xlfn.SWITCH(CleanEmployeeData[[#This Row],[JobSatisfaction]],1,"Low",2,"Medium",3,"High",4,"Very High","Unknown")</f>
        <v>High</v>
      </c>
      <c r="AN700" t="str" cm="1">
        <f t="array" ref="AN700">_xlfn.SWITCH(CleanEmployeeData[[#This Row],[PerformanceRating]],1,"Low",2,"Good",3,"Excellent",4,"Outstanding","Unknown")</f>
        <v>Excellent</v>
      </c>
      <c r="AO700" t="str" cm="1">
        <f t="array" ref="AO700">_xlfn.SWITCH(CleanEmployeeData[[#This Row],[WorkLifeBalance]],1,"Bad",2,"Good",3,"Better",4,"Best","Unknown")</f>
        <v>Better</v>
      </c>
      <c r="AP700">
        <f>IF(CleanEmployeeData[[#This Row],[Attrition]]="Yes",1,IF(CleanEmployeeData[[#This Row],[Attrition]]="No",0,""))</f>
        <v>0</v>
      </c>
      <c r="AQ700" t="str" cm="1">
        <f t="array" ref="AQ700">_xlfn.IFS(CleanEmployeeData[[#This Row],[MonthlyIncome]]&lt;=3000,"0–3,000",CleanEmployeeData[[#This Row],[MonthlyIncome]]&lt;=6000,"3,001–6,000",CleanEmployeeData[[#This Row],[MonthlyIncome]]&lt;=10000,"6,001–10,000",TRUE,"10,001+")</f>
        <v>3,001–6,000</v>
      </c>
      <c r="AR700" t="str" cm="1">
        <f t="array" ref="AR700">_xlfn.IFS(CleanEmployeeData[[#This Row],[DistanceFromHome]]&lt;=5,"0–5 miles",CleanEmployeeData[[#This Row],[DistanceFromHome]]&lt;=10,"6–10 miles",CleanEmployeeData[[#This Row],[DistanceFromHome]]&lt;=15,"11–15 miles",TRUE,"16+ miles")</f>
        <v>16+ miles</v>
      </c>
      <c r="AS700" t="str" cm="1">
        <f t="array" ref="AS700">_xlfn.IFS(CleanEmployeeData[[#This Row],[YearsAtCompany]]&lt;=1,"0–1 years",CleanEmployeeData[[#This Row],[YearsAtCompany]]&lt;=5,"2–5 years",CleanEmployeeData[[#This Row],[YearsAtCompany]]&lt;=10,"6–10 years",TRUE,"11+ years")</f>
        <v>2–5 years</v>
      </c>
    </row>
    <row r="701" spans="1:4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cm="1">
        <f t="array" ref="AJ701">_xlfn.SWITCH(CleanEmployeeData[[#This Row],[Education]],1,"Below College",2,"College",3,"Bachelor",4,"Master",5,"Doctor","Unknown")</f>
        <v>College</v>
      </c>
      <c r="AK701" t="str" cm="1">
        <f t="array" ref="AK701">_xlfn.SWITCH(CleanEmployeeData[[#This Row],[EnvironmentSatisfaction]],1,"Low",2,"Medium",3,"High",4,"Very High","Unknown")</f>
        <v>Very High</v>
      </c>
      <c r="AL701" t="str" cm="1">
        <f t="array" ref="AL701">_xlfn.SWITCH(CleanEmployeeData[[#This Row],[JobInvolvement]],1,"Low",2,"Medium",3,"High",4,"Very High","Unknown")</f>
        <v>High</v>
      </c>
      <c r="AM701" t="str" cm="1">
        <f t="array" ref="AM701">_xlfn.SWITCH(CleanEmployeeData[[#This Row],[JobSatisfaction]],1,"Low",2,"Medium",3,"High",4,"Very High","Unknown")</f>
        <v>Very High</v>
      </c>
      <c r="AN701" t="str" cm="1">
        <f t="array" ref="AN701">_xlfn.SWITCH(CleanEmployeeData[[#This Row],[PerformanceRating]],1,"Low",2,"Good",3,"Excellent",4,"Outstanding","Unknown")</f>
        <v>Excellent</v>
      </c>
      <c r="AO701" t="str" cm="1">
        <f t="array" ref="AO701">_xlfn.SWITCH(CleanEmployeeData[[#This Row],[WorkLifeBalance]],1,"Bad",2,"Good",3,"Better",4,"Best","Unknown")</f>
        <v>Good</v>
      </c>
      <c r="AP701">
        <f>IF(CleanEmployeeData[[#This Row],[Attrition]]="Yes",1,IF(CleanEmployeeData[[#This Row],[Attrition]]="No",0,""))</f>
        <v>0</v>
      </c>
      <c r="AQ701" t="str" cm="1">
        <f t="array" ref="AQ701">_xlfn.IFS(CleanEmployeeData[[#This Row],[MonthlyIncome]]&lt;=3000,"0–3,000",CleanEmployeeData[[#This Row],[MonthlyIncome]]&lt;=6000,"3,001–6,000",CleanEmployeeData[[#This Row],[MonthlyIncome]]&lt;=10000,"6,001–10,000",TRUE,"10,001+")</f>
        <v>10,001+</v>
      </c>
      <c r="AR701" t="str" cm="1">
        <f t="array" ref="AR701">_xlfn.IFS(CleanEmployeeData[[#This Row],[DistanceFromHome]]&lt;=5,"0–5 miles",CleanEmployeeData[[#This Row],[DistanceFromHome]]&lt;=10,"6–10 miles",CleanEmployeeData[[#This Row],[DistanceFromHome]]&lt;=15,"11–15 miles",TRUE,"16+ miles")</f>
        <v>0–5 miles</v>
      </c>
      <c r="AS701" t="str" cm="1">
        <f t="array" ref="AS701">_xlfn.IFS(CleanEmployeeData[[#This Row],[YearsAtCompany]]&lt;=1,"0–1 years",CleanEmployeeData[[#This Row],[YearsAtCompany]]&lt;=5,"2–5 years",CleanEmployeeData[[#This Row],[YearsAtCompany]]&lt;=10,"6–10 years",TRUE,"11+ years")</f>
        <v>6–10 years</v>
      </c>
    </row>
    <row r="702" spans="1:4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cm="1">
        <f t="array" ref="AJ702">_xlfn.SWITCH(CleanEmployeeData[[#This Row],[Education]],1,"Below College",2,"College",3,"Bachelor",4,"Master",5,"Doctor","Unknown")</f>
        <v>Bachelor</v>
      </c>
      <c r="AK702" t="str" cm="1">
        <f t="array" ref="AK702">_xlfn.SWITCH(CleanEmployeeData[[#This Row],[EnvironmentSatisfaction]],1,"Low",2,"Medium",3,"High",4,"Very High","Unknown")</f>
        <v>Very High</v>
      </c>
      <c r="AL702" t="str" cm="1">
        <f t="array" ref="AL702">_xlfn.SWITCH(CleanEmployeeData[[#This Row],[JobInvolvement]],1,"Low",2,"Medium",3,"High",4,"Very High","Unknown")</f>
        <v>High</v>
      </c>
      <c r="AM702" t="str" cm="1">
        <f t="array" ref="AM702">_xlfn.SWITCH(CleanEmployeeData[[#This Row],[JobSatisfaction]],1,"Low",2,"Medium",3,"High",4,"Very High","Unknown")</f>
        <v>High</v>
      </c>
      <c r="AN702" t="str" cm="1">
        <f t="array" ref="AN702">_xlfn.SWITCH(CleanEmployeeData[[#This Row],[PerformanceRating]],1,"Low",2,"Good",3,"Excellent",4,"Outstanding","Unknown")</f>
        <v>Outstanding</v>
      </c>
      <c r="AO702" t="str" cm="1">
        <f t="array" ref="AO702">_xlfn.SWITCH(CleanEmployeeData[[#This Row],[WorkLifeBalance]],1,"Bad",2,"Good",3,"Better",4,"Best","Unknown")</f>
        <v>Better</v>
      </c>
      <c r="AP702">
        <f>IF(CleanEmployeeData[[#This Row],[Attrition]]="Yes",1,IF(CleanEmployeeData[[#This Row],[Attrition]]="No",0,""))</f>
        <v>1</v>
      </c>
      <c r="AQ702" t="str" cm="1">
        <f t="array" ref="AQ702">_xlfn.IFS(CleanEmployeeData[[#This Row],[MonthlyIncome]]&lt;=3000,"0–3,000",CleanEmployeeData[[#This Row],[MonthlyIncome]]&lt;=6000,"3,001–6,000",CleanEmployeeData[[#This Row],[MonthlyIncome]]&lt;=10000,"6,001–10,000",TRUE,"10,001+")</f>
        <v>0–3,000</v>
      </c>
      <c r="AR702" t="str" cm="1">
        <f t="array" ref="AR702">_xlfn.IFS(CleanEmployeeData[[#This Row],[DistanceFromHome]]&lt;=5,"0–5 miles",CleanEmployeeData[[#This Row],[DistanceFromHome]]&lt;=10,"6–10 miles",CleanEmployeeData[[#This Row],[DistanceFromHome]]&lt;=15,"11–15 miles",TRUE,"16+ miles")</f>
        <v>0–5 miles</v>
      </c>
      <c r="AS702" t="str" cm="1">
        <f t="array" ref="AS702">_xlfn.IFS(CleanEmployeeData[[#This Row],[YearsAtCompany]]&lt;=1,"0–1 years",CleanEmployeeData[[#This Row],[YearsAtCompany]]&lt;=5,"2–5 years",CleanEmployeeData[[#This Row],[YearsAtCompany]]&lt;=10,"6–10 years",TRUE,"11+ years")</f>
        <v>0–1 years</v>
      </c>
    </row>
    <row r="703" spans="1:4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cm="1">
        <f t="array" ref="AJ703">_xlfn.SWITCH(CleanEmployeeData[[#This Row],[Education]],1,"Below College",2,"College",3,"Bachelor",4,"Master",5,"Doctor","Unknown")</f>
        <v>College</v>
      </c>
      <c r="AK703" t="str" cm="1">
        <f t="array" ref="AK703">_xlfn.SWITCH(CleanEmployeeData[[#This Row],[EnvironmentSatisfaction]],1,"Low",2,"Medium",3,"High",4,"Very High","Unknown")</f>
        <v>High</v>
      </c>
      <c r="AL703" t="str" cm="1">
        <f t="array" ref="AL703">_xlfn.SWITCH(CleanEmployeeData[[#This Row],[JobInvolvement]],1,"Low",2,"Medium",3,"High",4,"Very High","Unknown")</f>
        <v>High</v>
      </c>
      <c r="AM703" t="str" cm="1">
        <f t="array" ref="AM703">_xlfn.SWITCH(CleanEmployeeData[[#This Row],[JobSatisfaction]],1,"Low",2,"Medium",3,"High",4,"Very High","Unknown")</f>
        <v>High</v>
      </c>
      <c r="AN703" t="str" cm="1">
        <f t="array" ref="AN703">_xlfn.SWITCH(CleanEmployeeData[[#This Row],[PerformanceRating]],1,"Low",2,"Good",3,"Excellent",4,"Outstanding","Unknown")</f>
        <v>Excellent</v>
      </c>
      <c r="AO703" t="str" cm="1">
        <f t="array" ref="AO703">_xlfn.SWITCH(CleanEmployeeData[[#This Row],[WorkLifeBalance]],1,"Bad",2,"Good",3,"Better",4,"Best","Unknown")</f>
        <v>Best</v>
      </c>
      <c r="AP703">
        <f>IF(CleanEmployeeData[[#This Row],[Attrition]]="Yes",1,IF(CleanEmployeeData[[#This Row],[Attrition]]="No",0,""))</f>
        <v>0</v>
      </c>
      <c r="AQ703" t="str" cm="1">
        <f t="array" ref="AQ703">_xlfn.IFS(CleanEmployeeData[[#This Row],[MonthlyIncome]]&lt;=3000,"0–3,000",CleanEmployeeData[[#This Row],[MonthlyIncome]]&lt;=6000,"3,001–6,000",CleanEmployeeData[[#This Row],[MonthlyIncome]]&lt;=10000,"6,001–10,000",TRUE,"10,001+")</f>
        <v>10,001+</v>
      </c>
      <c r="AR703" t="str" cm="1">
        <f t="array" ref="AR703">_xlfn.IFS(CleanEmployeeData[[#This Row],[DistanceFromHome]]&lt;=5,"0–5 miles",CleanEmployeeData[[#This Row],[DistanceFromHome]]&lt;=10,"6–10 miles",CleanEmployeeData[[#This Row],[DistanceFromHome]]&lt;=15,"11–15 miles",TRUE,"16+ miles")</f>
        <v>0–5 miles</v>
      </c>
      <c r="AS703" t="str" cm="1">
        <f t="array" ref="AS703">_xlfn.IFS(CleanEmployeeData[[#This Row],[YearsAtCompany]]&lt;=1,"0–1 years",CleanEmployeeData[[#This Row],[YearsAtCompany]]&lt;=5,"2–5 years",CleanEmployeeData[[#This Row],[YearsAtCompany]]&lt;=10,"6–10 years",TRUE,"11+ years")</f>
        <v>11+ years</v>
      </c>
    </row>
    <row r="704" spans="1:4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cm="1">
        <f t="array" ref="AJ704">_xlfn.SWITCH(CleanEmployeeData[[#This Row],[Education]],1,"Below College",2,"College",3,"Bachelor",4,"Master",5,"Doctor","Unknown")</f>
        <v>College</v>
      </c>
      <c r="AK704" t="str" cm="1">
        <f t="array" ref="AK704">_xlfn.SWITCH(CleanEmployeeData[[#This Row],[EnvironmentSatisfaction]],1,"Low",2,"Medium",3,"High",4,"Very High","Unknown")</f>
        <v>High</v>
      </c>
      <c r="AL704" t="str" cm="1">
        <f t="array" ref="AL704">_xlfn.SWITCH(CleanEmployeeData[[#This Row],[JobInvolvement]],1,"Low",2,"Medium",3,"High",4,"Very High","Unknown")</f>
        <v>High</v>
      </c>
      <c r="AM704" t="str" cm="1">
        <f t="array" ref="AM704">_xlfn.SWITCH(CleanEmployeeData[[#This Row],[JobSatisfaction]],1,"Low",2,"Medium",3,"High",4,"Very High","Unknown")</f>
        <v>High</v>
      </c>
      <c r="AN704" t="str" cm="1">
        <f t="array" ref="AN704">_xlfn.SWITCH(CleanEmployeeData[[#This Row],[PerformanceRating]],1,"Low",2,"Good",3,"Excellent",4,"Outstanding","Unknown")</f>
        <v>Excellent</v>
      </c>
      <c r="AO704" t="str" cm="1">
        <f t="array" ref="AO704">_xlfn.SWITCH(CleanEmployeeData[[#This Row],[WorkLifeBalance]],1,"Bad",2,"Good",3,"Better",4,"Best","Unknown")</f>
        <v>Best</v>
      </c>
      <c r="AP704">
        <f>IF(CleanEmployeeData[[#This Row],[Attrition]]="Yes",1,IF(CleanEmployeeData[[#This Row],[Attrition]]="No",0,""))</f>
        <v>0</v>
      </c>
      <c r="AQ704" t="str" cm="1">
        <f t="array" ref="AQ704">_xlfn.IFS(CleanEmployeeData[[#This Row],[MonthlyIncome]]&lt;=3000,"0–3,000",CleanEmployeeData[[#This Row],[MonthlyIncome]]&lt;=6000,"3,001–6,000",CleanEmployeeData[[#This Row],[MonthlyIncome]]&lt;=10000,"6,001–10,000",TRUE,"10,001+")</f>
        <v>6,001–10,000</v>
      </c>
      <c r="AR704" t="str" cm="1">
        <f t="array" ref="AR704">_xlfn.IFS(CleanEmployeeData[[#This Row],[DistanceFromHome]]&lt;=5,"0–5 miles",CleanEmployeeData[[#This Row],[DistanceFromHome]]&lt;=10,"6–10 miles",CleanEmployeeData[[#This Row],[DistanceFromHome]]&lt;=15,"11–15 miles",TRUE,"16+ miles")</f>
        <v>6–10 miles</v>
      </c>
      <c r="AS704" t="str" cm="1">
        <f t="array" ref="AS704">_xlfn.IFS(CleanEmployeeData[[#This Row],[YearsAtCompany]]&lt;=1,"0–1 years",CleanEmployeeData[[#This Row],[YearsAtCompany]]&lt;=5,"2–5 years",CleanEmployeeData[[#This Row],[YearsAtCompany]]&lt;=10,"6–10 years",TRUE,"11+ years")</f>
        <v>6–10 years</v>
      </c>
    </row>
    <row r="705" spans="1:4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cm="1">
        <f t="array" ref="AJ705">_xlfn.SWITCH(CleanEmployeeData[[#This Row],[Education]],1,"Below College",2,"College",3,"Bachelor",4,"Master",5,"Doctor","Unknown")</f>
        <v>Bachelor</v>
      </c>
      <c r="AK705" t="str" cm="1">
        <f t="array" ref="AK705">_xlfn.SWITCH(CleanEmployeeData[[#This Row],[EnvironmentSatisfaction]],1,"Low",2,"Medium",3,"High",4,"Very High","Unknown")</f>
        <v>High</v>
      </c>
      <c r="AL705" t="str" cm="1">
        <f t="array" ref="AL705">_xlfn.SWITCH(CleanEmployeeData[[#This Row],[JobInvolvement]],1,"Low",2,"Medium",3,"High",4,"Very High","Unknown")</f>
        <v>High</v>
      </c>
      <c r="AM705" t="str" cm="1">
        <f t="array" ref="AM705">_xlfn.SWITCH(CleanEmployeeData[[#This Row],[JobSatisfaction]],1,"Low",2,"Medium",3,"High",4,"Very High","Unknown")</f>
        <v>Very High</v>
      </c>
      <c r="AN705" t="str" cm="1">
        <f t="array" ref="AN705">_xlfn.SWITCH(CleanEmployeeData[[#This Row],[PerformanceRating]],1,"Low",2,"Good",3,"Excellent",4,"Outstanding","Unknown")</f>
        <v>Excellent</v>
      </c>
      <c r="AO705" t="str" cm="1">
        <f t="array" ref="AO705">_xlfn.SWITCH(CleanEmployeeData[[#This Row],[WorkLifeBalance]],1,"Bad",2,"Good",3,"Better",4,"Best","Unknown")</f>
        <v>Better</v>
      </c>
      <c r="AP705">
        <f>IF(CleanEmployeeData[[#This Row],[Attrition]]="Yes",1,IF(CleanEmployeeData[[#This Row],[Attrition]]="No",0,""))</f>
        <v>0</v>
      </c>
      <c r="AQ705" t="str" cm="1">
        <f t="array" ref="AQ705">_xlfn.IFS(CleanEmployeeData[[#This Row],[MonthlyIncome]]&lt;=3000,"0–3,000",CleanEmployeeData[[#This Row],[MonthlyIncome]]&lt;=6000,"3,001–6,000",CleanEmployeeData[[#This Row],[MonthlyIncome]]&lt;=10000,"6,001–10,000",TRUE,"10,001+")</f>
        <v>3,001–6,000</v>
      </c>
      <c r="AR705" t="str" cm="1">
        <f t="array" ref="AR705">_xlfn.IFS(CleanEmployeeData[[#This Row],[DistanceFromHome]]&lt;=5,"0–5 miles",CleanEmployeeData[[#This Row],[DistanceFromHome]]&lt;=10,"6–10 miles",CleanEmployeeData[[#This Row],[DistanceFromHome]]&lt;=15,"11–15 miles",TRUE,"16+ miles")</f>
        <v>6–10 miles</v>
      </c>
      <c r="AS705" t="str" cm="1">
        <f t="array" ref="AS705">_xlfn.IFS(CleanEmployeeData[[#This Row],[YearsAtCompany]]&lt;=1,"0–1 years",CleanEmployeeData[[#This Row],[YearsAtCompany]]&lt;=5,"2–5 years",CleanEmployeeData[[#This Row],[YearsAtCompany]]&lt;=10,"6–10 years",TRUE,"11+ years")</f>
        <v>2–5 years</v>
      </c>
    </row>
    <row r="706" spans="1:4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cm="1">
        <f t="array" ref="AJ706">_xlfn.SWITCH(CleanEmployeeData[[#This Row],[Education]],1,"Below College",2,"College",3,"Bachelor",4,"Master",5,"Doctor","Unknown")</f>
        <v>Master</v>
      </c>
      <c r="AK706" t="str" cm="1">
        <f t="array" ref="AK706">_xlfn.SWITCH(CleanEmployeeData[[#This Row],[EnvironmentSatisfaction]],1,"Low",2,"Medium",3,"High",4,"Very High","Unknown")</f>
        <v>Very High</v>
      </c>
      <c r="AL706" t="str" cm="1">
        <f t="array" ref="AL706">_xlfn.SWITCH(CleanEmployeeData[[#This Row],[JobInvolvement]],1,"Low",2,"Medium",3,"High",4,"Very High","Unknown")</f>
        <v>High</v>
      </c>
      <c r="AM706" t="str" cm="1">
        <f t="array" ref="AM706">_xlfn.SWITCH(CleanEmployeeData[[#This Row],[JobSatisfaction]],1,"Low",2,"Medium",3,"High",4,"Very High","Unknown")</f>
        <v>Very High</v>
      </c>
      <c r="AN706" t="str" cm="1">
        <f t="array" ref="AN706">_xlfn.SWITCH(CleanEmployeeData[[#This Row],[PerformanceRating]],1,"Low",2,"Good",3,"Excellent",4,"Outstanding","Unknown")</f>
        <v>Excellent</v>
      </c>
      <c r="AO706" t="str" cm="1">
        <f t="array" ref="AO706">_xlfn.SWITCH(CleanEmployeeData[[#This Row],[WorkLifeBalance]],1,"Bad",2,"Good",3,"Better",4,"Best","Unknown")</f>
        <v>Better</v>
      </c>
      <c r="AP706">
        <f>IF(CleanEmployeeData[[#This Row],[Attrition]]="Yes",1,IF(CleanEmployeeData[[#This Row],[Attrition]]="No",0,""))</f>
        <v>0</v>
      </c>
      <c r="AQ706" t="str" cm="1">
        <f t="array" ref="AQ706">_xlfn.IFS(CleanEmployeeData[[#This Row],[MonthlyIncome]]&lt;=3000,"0–3,000",CleanEmployeeData[[#This Row],[MonthlyIncome]]&lt;=6000,"3,001–6,000",CleanEmployeeData[[#This Row],[MonthlyIncome]]&lt;=10000,"6,001–10,000",TRUE,"10,001+")</f>
        <v>6,001–10,000</v>
      </c>
      <c r="AR706" t="str" cm="1">
        <f t="array" ref="AR706">_xlfn.IFS(CleanEmployeeData[[#This Row],[DistanceFromHome]]&lt;=5,"0–5 miles",CleanEmployeeData[[#This Row],[DistanceFromHome]]&lt;=10,"6–10 miles",CleanEmployeeData[[#This Row],[DistanceFromHome]]&lt;=15,"11–15 miles",TRUE,"16+ miles")</f>
        <v>0–5 miles</v>
      </c>
      <c r="AS706" t="str" cm="1">
        <f t="array" ref="AS706">_xlfn.IFS(CleanEmployeeData[[#This Row],[YearsAtCompany]]&lt;=1,"0–1 years",CleanEmployeeData[[#This Row],[YearsAtCompany]]&lt;=5,"2–5 years",CleanEmployeeData[[#This Row],[YearsAtCompany]]&lt;=10,"6–10 years",TRUE,"11+ years")</f>
        <v>6–10 years</v>
      </c>
    </row>
    <row r="707" spans="1:4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cm="1">
        <f t="array" ref="AJ707">_xlfn.SWITCH(CleanEmployeeData[[#This Row],[Education]],1,"Below College",2,"College",3,"Bachelor",4,"Master",5,"Doctor","Unknown")</f>
        <v>Doctor</v>
      </c>
      <c r="AK707" t="str" cm="1">
        <f t="array" ref="AK707">_xlfn.SWITCH(CleanEmployeeData[[#This Row],[EnvironmentSatisfaction]],1,"Low",2,"Medium",3,"High",4,"Very High","Unknown")</f>
        <v>Low</v>
      </c>
      <c r="AL707" t="str" cm="1">
        <f t="array" ref="AL707">_xlfn.SWITCH(CleanEmployeeData[[#This Row],[JobInvolvement]],1,"Low",2,"Medium",3,"High",4,"Very High","Unknown")</f>
        <v>Very High</v>
      </c>
      <c r="AM707" t="str" cm="1">
        <f t="array" ref="AM707">_xlfn.SWITCH(CleanEmployeeData[[#This Row],[JobSatisfaction]],1,"Low",2,"Medium",3,"High",4,"Very High","Unknown")</f>
        <v>High</v>
      </c>
      <c r="AN707" t="str" cm="1">
        <f t="array" ref="AN707">_xlfn.SWITCH(CleanEmployeeData[[#This Row],[PerformanceRating]],1,"Low",2,"Good",3,"Excellent",4,"Outstanding","Unknown")</f>
        <v>Excellent</v>
      </c>
      <c r="AO707" t="str" cm="1">
        <f t="array" ref="AO707">_xlfn.SWITCH(CleanEmployeeData[[#This Row],[WorkLifeBalance]],1,"Bad",2,"Good",3,"Better",4,"Best","Unknown")</f>
        <v>Better</v>
      </c>
      <c r="AP707">
        <f>IF(CleanEmployeeData[[#This Row],[Attrition]]="Yes",1,IF(CleanEmployeeData[[#This Row],[Attrition]]="No",0,""))</f>
        <v>0</v>
      </c>
      <c r="AQ707" t="str" cm="1">
        <f t="array" ref="AQ707">_xlfn.IFS(CleanEmployeeData[[#This Row],[MonthlyIncome]]&lt;=3000,"0–3,000",CleanEmployeeData[[#This Row],[MonthlyIncome]]&lt;=6000,"3,001–6,000",CleanEmployeeData[[#This Row],[MonthlyIncome]]&lt;=10000,"6,001–10,000",TRUE,"10,001+")</f>
        <v>6,001–10,000</v>
      </c>
      <c r="AR707" t="str" cm="1">
        <f t="array" ref="AR707">_xlfn.IFS(CleanEmployeeData[[#This Row],[DistanceFromHome]]&lt;=5,"0–5 miles",CleanEmployeeData[[#This Row],[DistanceFromHome]]&lt;=10,"6–10 miles",CleanEmployeeData[[#This Row],[DistanceFromHome]]&lt;=15,"11–15 miles",TRUE,"16+ miles")</f>
        <v>0–5 miles</v>
      </c>
      <c r="AS707" t="str" cm="1">
        <f t="array" ref="AS707">_xlfn.IFS(CleanEmployeeData[[#This Row],[YearsAtCompany]]&lt;=1,"0–1 years",CleanEmployeeData[[#This Row],[YearsAtCompany]]&lt;=5,"2–5 years",CleanEmployeeData[[#This Row],[YearsAtCompany]]&lt;=10,"6–10 years",TRUE,"11+ years")</f>
        <v>6–10 years</v>
      </c>
    </row>
    <row r="708" spans="1:4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cm="1">
        <f t="array" ref="AJ708">_xlfn.SWITCH(CleanEmployeeData[[#This Row],[Education]],1,"Below College",2,"College",3,"Bachelor",4,"Master",5,"Doctor","Unknown")</f>
        <v>Bachelor</v>
      </c>
      <c r="AK708" t="str" cm="1">
        <f t="array" ref="AK708">_xlfn.SWITCH(CleanEmployeeData[[#This Row],[EnvironmentSatisfaction]],1,"Low",2,"Medium",3,"High",4,"Very High","Unknown")</f>
        <v>Medium</v>
      </c>
      <c r="AL708" t="str" cm="1">
        <f t="array" ref="AL708">_xlfn.SWITCH(CleanEmployeeData[[#This Row],[JobInvolvement]],1,"Low",2,"Medium",3,"High",4,"Very High","Unknown")</f>
        <v>Very High</v>
      </c>
      <c r="AM708" t="str" cm="1">
        <f t="array" ref="AM708">_xlfn.SWITCH(CleanEmployeeData[[#This Row],[JobSatisfaction]],1,"Low",2,"Medium",3,"High",4,"Very High","Unknown")</f>
        <v>Medium</v>
      </c>
      <c r="AN708" t="str" cm="1">
        <f t="array" ref="AN708">_xlfn.SWITCH(CleanEmployeeData[[#This Row],[PerformanceRating]],1,"Low",2,"Good",3,"Excellent",4,"Outstanding","Unknown")</f>
        <v>Excellent</v>
      </c>
      <c r="AO708" t="str" cm="1">
        <f t="array" ref="AO708">_xlfn.SWITCH(CleanEmployeeData[[#This Row],[WorkLifeBalance]],1,"Bad",2,"Good",3,"Better",4,"Best","Unknown")</f>
        <v>Good</v>
      </c>
      <c r="AP708">
        <f>IF(CleanEmployeeData[[#This Row],[Attrition]]="Yes",1,IF(CleanEmployeeData[[#This Row],[Attrition]]="No",0,""))</f>
        <v>1</v>
      </c>
      <c r="AQ708" t="str" cm="1">
        <f t="array" ref="AQ708">_xlfn.IFS(CleanEmployeeData[[#This Row],[MonthlyIncome]]&lt;=3000,"0–3,000",CleanEmployeeData[[#This Row],[MonthlyIncome]]&lt;=6000,"3,001–6,000",CleanEmployeeData[[#This Row],[MonthlyIncome]]&lt;=10000,"6,001–10,000",TRUE,"10,001+")</f>
        <v>10,001+</v>
      </c>
      <c r="AR708" t="str" cm="1">
        <f t="array" ref="AR708">_xlfn.IFS(CleanEmployeeData[[#This Row],[DistanceFromHome]]&lt;=5,"0–5 miles",CleanEmployeeData[[#This Row],[DistanceFromHome]]&lt;=10,"6–10 miles",CleanEmployeeData[[#This Row],[DistanceFromHome]]&lt;=15,"11–15 miles",TRUE,"16+ miles")</f>
        <v>16+ miles</v>
      </c>
      <c r="AS708" t="str" cm="1">
        <f t="array" ref="AS708">_xlfn.IFS(CleanEmployeeData[[#This Row],[YearsAtCompany]]&lt;=1,"0–1 years",CleanEmployeeData[[#This Row],[YearsAtCompany]]&lt;=5,"2–5 years",CleanEmployeeData[[#This Row],[YearsAtCompany]]&lt;=10,"6–10 years",TRUE,"11+ years")</f>
        <v>0–1 years</v>
      </c>
    </row>
    <row r="709" spans="1:4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cm="1">
        <f t="array" ref="AJ709">_xlfn.SWITCH(CleanEmployeeData[[#This Row],[Education]],1,"Below College",2,"College",3,"Bachelor",4,"Master",5,"Doctor","Unknown")</f>
        <v>Master</v>
      </c>
      <c r="AK709" t="str" cm="1">
        <f t="array" ref="AK709">_xlfn.SWITCH(CleanEmployeeData[[#This Row],[EnvironmentSatisfaction]],1,"Low",2,"Medium",3,"High",4,"Very High","Unknown")</f>
        <v>High</v>
      </c>
      <c r="AL709" t="str" cm="1">
        <f t="array" ref="AL709">_xlfn.SWITCH(CleanEmployeeData[[#This Row],[JobInvolvement]],1,"Low",2,"Medium",3,"High",4,"Very High","Unknown")</f>
        <v>Very High</v>
      </c>
      <c r="AM709" t="str" cm="1">
        <f t="array" ref="AM709">_xlfn.SWITCH(CleanEmployeeData[[#This Row],[JobSatisfaction]],1,"Low",2,"Medium",3,"High",4,"Very High","Unknown")</f>
        <v>High</v>
      </c>
      <c r="AN709" t="str" cm="1">
        <f t="array" ref="AN709">_xlfn.SWITCH(CleanEmployeeData[[#This Row],[PerformanceRating]],1,"Low",2,"Good",3,"Excellent",4,"Outstanding","Unknown")</f>
        <v>Excellent</v>
      </c>
      <c r="AO709" t="str" cm="1">
        <f t="array" ref="AO709">_xlfn.SWITCH(CleanEmployeeData[[#This Row],[WorkLifeBalance]],1,"Bad",2,"Good",3,"Better",4,"Best","Unknown")</f>
        <v>Best</v>
      </c>
      <c r="AP709">
        <f>IF(CleanEmployeeData[[#This Row],[Attrition]]="Yes",1,IF(CleanEmployeeData[[#This Row],[Attrition]]="No",0,""))</f>
        <v>0</v>
      </c>
      <c r="AQ709" t="str" cm="1">
        <f t="array" ref="AQ709">_xlfn.IFS(CleanEmployeeData[[#This Row],[MonthlyIncome]]&lt;=3000,"0–3,000",CleanEmployeeData[[#This Row],[MonthlyIncome]]&lt;=6000,"3,001–6,000",CleanEmployeeData[[#This Row],[MonthlyIncome]]&lt;=10000,"6,001–10,000",TRUE,"10,001+")</f>
        <v>3,001–6,000</v>
      </c>
      <c r="AR709" t="str" cm="1">
        <f t="array" ref="AR709">_xlfn.IFS(CleanEmployeeData[[#This Row],[DistanceFromHome]]&lt;=5,"0–5 miles",CleanEmployeeData[[#This Row],[DistanceFromHome]]&lt;=10,"6–10 miles",CleanEmployeeData[[#This Row],[DistanceFromHome]]&lt;=15,"11–15 miles",TRUE,"16+ miles")</f>
        <v>16+ miles</v>
      </c>
      <c r="AS709" t="str" cm="1">
        <f t="array" ref="AS709">_xlfn.IFS(CleanEmployeeData[[#This Row],[YearsAtCompany]]&lt;=1,"0–1 years",CleanEmployeeData[[#This Row],[YearsAtCompany]]&lt;=5,"2–5 years",CleanEmployeeData[[#This Row],[YearsAtCompany]]&lt;=10,"6–10 years",TRUE,"11+ years")</f>
        <v>11+ years</v>
      </c>
    </row>
    <row r="710" spans="1:4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cm="1">
        <f t="array" ref="AJ710">_xlfn.SWITCH(CleanEmployeeData[[#This Row],[Education]],1,"Below College",2,"College",3,"Bachelor",4,"Master",5,"Doctor","Unknown")</f>
        <v>Master</v>
      </c>
      <c r="AK710" t="str" cm="1">
        <f t="array" ref="AK710">_xlfn.SWITCH(CleanEmployeeData[[#This Row],[EnvironmentSatisfaction]],1,"Low",2,"Medium",3,"High",4,"Very High","Unknown")</f>
        <v>Low</v>
      </c>
      <c r="AL710" t="str" cm="1">
        <f t="array" ref="AL710">_xlfn.SWITCH(CleanEmployeeData[[#This Row],[JobInvolvement]],1,"Low",2,"Medium",3,"High",4,"Very High","Unknown")</f>
        <v>High</v>
      </c>
      <c r="AM710" t="str" cm="1">
        <f t="array" ref="AM710">_xlfn.SWITCH(CleanEmployeeData[[#This Row],[JobSatisfaction]],1,"Low",2,"Medium",3,"High",4,"Very High","Unknown")</f>
        <v>Very High</v>
      </c>
      <c r="AN710" t="str" cm="1">
        <f t="array" ref="AN710">_xlfn.SWITCH(CleanEmployeeData[[#This Row],[PerformanceRating]],1,"Low",2,"Good",3,"Excellent",4,"Outstanding","Unknown")</f>
        <v>Excellent</v>
      </c>
      <c r="AO710" t="str" cm="1">
        <f t="array" ref="AO710">_xlfn.SWITCH(CleanEmployeeData[[#This Row],[WorkLifeBalance]],1,"Bad",2,"Good",3,"Better",4,"Best","Unknown")</f>
        <v>Better</v>
      </c>
      <c r="AP710">
        <f>IF(CleanEmployeeData[[#This Row],[Attrition]]="Yes",1,IF(CleanEmployeeData[[#This Row],[Attrition]]="No",0,""))</f>
        <v>0</v>
      </c>
      <c r="AQ710" t="str" cm="1">
        <f t="array" ref="AQ710">_xlfn.IFS(CleanEmployeeData[[#This Row],[MonthlyIncome]]&lt;=3000,"0–3,000",CleanEmployeeData[[#This Row],[MonthlyIncome]]&lt;=6000,"3,001–6,000",CleanEmployeeData[[#This Row],[MonthlyIncome]]&lt;=10000,"6,001–10,000",TRUE,"10,001+")</f>
        <v>3,001–6,000</v>
      </c>
      <c r="AR710" t="str" cm="1">
        <f t="array" ref="AR710">_xlfn.IFS(CleanEmployeeData[[#This Row],[DistanceFromHome]]&lt;=5,"0–5 miles",CleanEmployeeData[[#This Row],[DistanceFromHome]]&lt;=10,"6–10 miles",CleanEmployeeData[[#This Row],[DistanceFromHome]]&lt;=15,"11–15 miles",TRUE,"16+ miles")</f>
        <v>6–10 miles</v>
      </c>
      <c r="AS710" t="str" cm="1">
        <f t="array" ref="AS710">_xlfn.IFS(CleanEmployeeData[[#This Row],[YearsAtCompany]]&lt;=1,"0–1 years",CleanEmployeeData[[#This Row],[YearsAtCompany]]&lt;=5,"2–5 years",CleanEmployeeData[[#This Row],[YearsAtCompany]]&lt;=10,"6–10 years",TRUE,"11+ years")</f>
        <v>6–10 years</v>
      </c>
    </row>
    <row r="711" spans="1:4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cm="1">
        <f t="array" ref="AJ711">_xlfn.SWITCH(CleanEmployeeData[[#This Row],[Education]],1,"Below College",2,"College",3,"Bachelor",4,"Master",5,"Doctor","Unknown")</f>
        <v>College</v>
      </c>
      <c r="AK711" t="str" cm="1">
        <f t="array" ref="AK711">_xlfn.SWITCH(CleanEmployeeData[[#This Row],[EnvironmentSatisfaction]],1,"Low",2,"Medium",3,"High",4,"Very High","Unknown")</f>
        <v>High</v>
      </c>
      <c r="AL711" t="str" cm="1">
        <f t="array" ref="AL711">_xlfn.SWITCH(CleanEmployeeData[[#This Row],[JobInvolvement]],1,"Low",2,"Medium",3,"High",4,"Very High","Unknown")</f>
        <v>Medium</v>
      </c>
      <c r="AM711" t="str" cm="1">
        <f t="array" ref="AM711">_xlfn.SWITCH(CleanEmployeeData[[#This Row],[JobSatisfaction]],1,"Low",2,"Medium",3,"High",4,"Very High","Unknown")</f>
        <v>Low</v>
      </c>
      <c r="AN711" t="str" cm="1">
        <f t="array" ref="AN711">_xlfn.SWITCH(CleanEmployeeData[[#This Row],[PerformanceRating]],1,"Low",2,"Good",3,"Excellent",4,"Outstanding","Unknown")</f>
        <v>Outstanding</v>
      </c>
      <c r="AO711" t="str" cm="1">
        <f t="array" ref="AO711">_xlfn.SWITCH(CleanEmployeeData[[#This Row],[WorkLifeBalance]],1,"Bad",2,"Good",3,"Better",4,"Best","Unknown")</f>
        <v>Better</v>
      </c>
      <c r="AP711">
        <f>IF(CleanEmployeeData[[#This Row],[Attrition]]="Yes",1,IF(CleanEmployeeData[[#This Row],[Attrition]]="No",0,""))</f>
        <v>1</v>
      </c>
      <c r="AQ711" t="str" cm="1">
        <f t="array" ref="AQ711">_xlfn.IFS(CleanEmployeeData[[#This Row],[MonthlyIncome]]&lt;=3000,"0–3,000",CleanEmployeeData[[#This Row],[MonthlyIncome]]&lt;=6000,"3,001–6,000",CleanEmployeeData[[#This Row],[MonthlyIncome]]&lt;=10000,"6,001–10,000",TRUE,"10,001+")</f>
        <v>0–3,000</v>
      </c>
      <c r="AR711" t="str" cm="1">
        <f t="array" ref="AR711">_xlfn.IFS(CleanEmployeeData[[#This Row],[DistanceFromHome]]&lt;=5,"0–5 miles",CleanEmployeeData[[#This Row],[DistanceFromHome]]&lt;=10,"6–10 miles",CleanEmployeeData[[#This Row],[DistanceFromHome]]&lt;=15,"11–15 miles",TRUE,"16+ miles")</f>
        <v>6–10 miles</v>
      </c>
      <c r="AS711" t="str" cm="1">
        <f t="array" ref="AS711">_xlfn.IFS(CleanEmployeeData[[#This Row],[YearsAtCompany]]&lt;=1,"0–1 years",CleanEmployeeData[[#This Row],[YearsAtCompany]]&lt;=5,"2–5 years",CleanEmployeeData[[#This Row],[YearsAtCompany]]&lt;=10,"6–10 years",TRUE,"11+ years")</f>
        <v>2–5 years</v>
      </c>
    </row>
    <row r="712" spans="1:4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cm="1">
        <f t="array" ref="AJ712">_xlfn.SWITCH(CleanEmployeeData[[#This Row],[Education]],1,"Below College",2,"College",3,"Bachelor",4,"Master",5,"Doctor","Unknown")</f>
        <v>Bachelor</v>
      </c>
      <c r="AK712" t="str" cm="1">
        <f t="array" ref="AK712">_xlfn.SWITCH(CleanEmployeeData[[#This Row],[EnvironmentSatisfaction]],1,"Low",2,"Medium",3,"High",4,"Very High","Unknown")</f>
        <v>Very High</v>
      </c>
      <c r="AL712" t="str" cm="1">
        <f t="array" ref="AL712">_xlfn.SWITCH(CleanEmployeeData[[#This Row],[JobInvolvement]],1,"Low",2,"Medium",3,"High",4,"Very High","Unknown")</f>
        <v>High</v>
      </c>
      <c r="AM712" t="str" cm="1">
        <f t="array" ref="AM712">_xlfn.SWITCH(CleanEmployeeData[[#This Row],[JobSatisfaction]],1,"Low",2,"Medium",3,"High",4,"Very High","Unknown")</f>
        <v>High</v>
      </c>
      <c r="AN712" t="str" cm="1">
        <f t="array" ref="AN712">_xlfn.SWITCH(CleanEmployeeData[[#This Row],[PerformanceRating]],1,"Low",2,"Good",3,"Excellent",4,"Outstanding","Unknown")</f>
        <v>Excellent</v>
      </c>
      <c r="AO712" t="str" cm="1">
        <f t="array" ref="AO712">_xlfn.SWITCH(CleanEmployeeData[[#This Row],[WorkLifeBalance]],1,"Bad",2,"Good",3,"Better",4,"Best","Unknown")</f>
        <v>Better</v>
      </c>
      <c r="AP712">
        <f>IF(CleanEmployeeData[[#This Row],[Attrition]]="Yes",1,IF(CleanEmployeeData[[#This Row],[Attrition]]="No",0,""))</f>
        <v>0</v>
      </c>
      <c r="AQ712" t="str" cm="1">
        <f t="array" ref="AQ712">_xlfn.IFS(CleanEmployeeData[[#This Row],[MonthlyIncome]]&lt;=3000,"0–3,000",CleanEmployeeData[[#This Row],[MonthlyIncome]]&lt;=6000,"3,001–6,000",CleanEmployeeData[[#This Row],[MonthlyIncome]]&lt;=10000,"6,001–10,000",TRUE,"10,001+")</f>
        <v>10,001+</v>
      </c>
      <c r="AR712" t="str" cm="1">
        <f t="array" ref="AR712">_xlfn.IFS(CleanEmployeeData[[#This Row],[DistanceFromHome]]&lt;=5,"0–5 miles",CleanEmployeeData[[#This Row],[DistanceFromHome]]&lt;=10,"6–10 miles",CleanEmployeeData[[#This Row],[DistanceFromHome]]&lt;=15,"11–15 miles",TRUE,"16+ miles")</f>
        <v>16+ miles</v>
      </c>
      <c r="AS712" t="str" cm="1">
        <f t="array" ref="AS712">_xlfn.IFS(CleanEmployeeData[[#This Row],[YearsAtCompany]]&lt;=1,"0–1 years",CleanEmployeeData[[#This Row],[YearsAtCompany]]&lt;=5,"2–5 years",CleanEmployeeData[[#This Row],[YearsAtCompany]]&lt;=10,"6–10 years",TRUE,"11+ years")</f>
        <v>6–10 years</v>
      </c>
    </row>
    <row r="713" spans="1:4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cm="1">
        <f t="array" ref="AJ713">_xlfn.SWITCH(CleanEmployeeData[[#This Row],[Education]],1,"Below College",2,"College",3,"Bachelor",4,"Master",5,"Doctor","Unknown")</f>
        <v>Bachelor</v>
      </c>
      <c r="AK713" t="str" cm="1">
        <f t="array" ref="AK713">_xlfn.SWITCH(CleanEmployeeData[[#This Row],[EnvironmentSatisfaction]],1,"Low",2,"Medium",3,"High",4,"Very High","Unknown")</f>
        <v>Very High</v>
      </c>
      <c r="AL713" t="str" cm="1">
        <f t="array" ref="AL713">_xlfn.SWITCH(CleanEmployeeData[[#This Row],[JobInvolvement]],1,"Low",2,"Medium",3,"High",4,"Very High","Unknown")</f>
        <v>Medium</v>
      </c>
      <c r="AM713" t="str" cm="1">
        <f t="array" ref="AM713">_xlfn.SWITCH(CleanEmployeeData[[#This Row],[JobSatisfaction]],1,"Low",2,"Medium",3,"High",4,"Very High","Unknown")</f>
        <v>Low</v>
      </c>
      <c r="AN713" t="str" cm="1">
        <f t="array" ref="AN713">_xlfn.SWITCH(CleanEmployeeData[[#This Row],[PerformanceRating]],1,"Low",2,"Good",3,"Excellent",4,"Outstanding","Unknown")</f>
        <v>Outstanding</v>
      </c>
      <c r="AO713" t="str" cm="1">
        <f t="array" ref="AO713">_xlfn.SWITCH(CleanEmployeeData[[#This Row],[WorkLifeBalance]],1,"Bad",2,"Good",3,"Better",4,"Best","Unknown")</f>
        <v>Better</v>
      </c>
      <c r="AP713">
        <f>IF(CleanEmployeeData[[#This Row],[Attrition]]="Yes",1,IF(CleanEmployeeData[[#This Row],[Attrition]]="No",0,""))</f>
        <v>1</v>
      </c>
      <c r="AQ713" t="str" cm="1">
        <f t="array" ref="AQ713">_xlfn.IFS(CleanEmployeeData[[#This Row],[MonthlyIncome]]&lt;=3000,"0–3,000",CleanEmployeeData[[#This Row],[MonthlyIncome]]&lt;=6000,"3,001–6,000",CleanEmployeeData[[#This Row],[MonthlyIncome]]&lt;=10000,"6,001–10,000",TRUE,"10,001+")</f>
        <v>0–3,000</v>
      </c>
      <c r="AR713" t="str" cm="1">
        <f t="array" ref="AR713">_xlfn.IFS(CleanEmployeeData[[#This Row],[DistanceFromHome]]&lt;=5,"0–5 miles",CleanEmployeeData[[#This Row],[DistanceFromHome]]&lt;=10,"6–10 miles",CleanEmployeeData[[#This Row],[DistanceFromHome]]&lt;=15,"11–15 miles",TRUE,"16+ miles")</f>
        <v>6–10 miles</v>
      </c>
      <c r="AS713" t="str" cm="1">
        <f t="array" ref="AS713">_xlfn.IFS(CleanEmployeeData[[#This Row],[YearsAtCompany]]&lt;=1,"0–1 years",CleanEmployeeData[[#This Row],[YearsAtCompany]]&lt;=5,"2–5 years",CleanEmployeeData[[#This Row],[YearsAtCompany]]&lt;=10,"6–10 years",TRUE,"11+ years")</f>
        <v>0–1 years</v>
      </c>
    </row>
    <row r="714" spans="1:4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cm="1">
        <f t="array" ref="AJ714">_xlfn.SWITCH(CleanEmployeeData[[#This Row],[Education]],1,"Below College",2,"College",3,"Bachelor",4,"Master",5,"Doctor","Unknown")</f>
        <v>Below College</v>
      </c>
      <c r="AK714" t="str" cm="1">
        <f t="array" ref="AK714">_xlfn.SWITCH(CleanEmployeeData[[#This Row],[EnvironmentSatisfaction]],1,"Low",2,"Medium",3,"High",4,"Very High","Unknown")</f>
        <v>Medium</v>
      </c>
      <c r="AL714" t="str" cm="1">
        <f t="array" ref="AL714">_xlfn.SWITCH(CleanEmployeeData[[#This Row],[JobInvolvement]],1,"Low",2,"Medium",3,"High",4,"Very High","Unknown")</f>
        <v>High</v>
      </c>
      <c r="AM714" t="str" cm="1">
        <f t="array" ref="AM714">_xlfn.SWITCH(CleanEmployeeData[[#This Row],[JobSatisfaction]],1,"Low",2,"Medium",3,"High",4,"Very High","Unknown")</f>
        <v>Very High</v>
      </c>
      <c r="AN714" t="str" cm="1">
        <f t="array" ref="AN714">_xlfn.SWITCH(CleanEmployeeData[[#This Row],[PerformanceRating]],1,"Low",2,"Good",3,"Excellent",4,"Outstanding","Unknown")</f>
        <v>Excellent</v>
      </c>
      <c r="AO714" t="str" cm="1">
        <f t="array" ref="AO714">_xlfn.SWITCH(CleanEmployeeData[[#This Row],[WorkLifeBalance]],1,"Bad",2,"Good",3,"Better",4,"Best","Unknown")</f>
        <v>Better</v>
      </c>
      <c r="AP714">
        <f>IF(CleanEmployeeData[[#This Row],[Attrition]]="Yes",1,IF(CleanEmployeeData[[#This Row],[Attrition]]="No",0,""))</f>
        <v>0</v>
      </c>
      <c r="AQ714" t="str" cm="1">
        <f t="array" ref="AQ714">_xlfn.IFS(CleanEmployeeData[[#This Row],[MonthlyIncome]]&lt;=3000,"0–3,000",CleanEmployeeData[[#This Row],[MonthlyIncome]]&lt;=6000,"3,001–6,000",CleanEmployeeData[[#This Row],[MonthlyIncome]]&lt;=10000,"6,001–10,000",TRUE,"10,001+")</f>
        <v>3,001–6,000</v>
      </c>
      <c r="AR714" t="str" cm="1">
        <f t="array" ref="AR714">_xlfn.IFS(CleanEmployeeData[[#This Row],[DistanceFromHome]]&lt;=5,"0–5 miles",CleanEmployeeData[[#This Row],[DistanceFromHome]]&lt;=10,"6–10 miles",CleanEmployeeData[[#This Row],[DistanceFromHome]]&lt;=15,"11–15 miles",TRUE,"16+ miles")</f>
        <v>11–15 miles</v>
      </c>
      <c r="AS714" t="str" cm="1">
        <f t="array" ref="AS714">_xlfn.IFS(CleanEmployeeData[[#This Row],[YearsAtCompany]]&lt;=1,"0–1 years",CleanEmployeeData[[#This Row],[YearsAtCompany]]&lt;=5,"2–5 years",CleanEmployeeData[[#This Row],[YearsAtCompany]]&lt;=10,"6–10 years",TRUE,"11+ years")</f>
        <v>2–5 years</v>
      </c>
    </row>
    <row r="715" spans="1:4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cm="1">
        <f t="array" ref="AJ715">_xlfn.SWITCH(CleanEmployeeData[[#This Row],[Education]],1,"Below College",2,"College",3,"Bachelor",4,"Master",5,"Doctor","Unknown")</f>
        <v>Master</v>
      </c>
      <c r="AK715" t="str" cm="1">
        <f t="array" ref="AK715">_xlfn.SWITCH(CleanEmployeeData[[#This Row],[EnvironmentSatisfaction]],1,"Low",2,"Medium",3,"High",4,"Very High","Unknown")</f>
        <v>Very High</v>
      </c>
      <c r="AL715" t="str" cm="1">
        <f t="array" ref="AL715">_xlfn.SWITCH(CleanEmployeeData[[#This Row],[JobInvolvement]],1,"Low",2,"Medium",3,"High",4,"Very High","Unknown")</f>
        <v>High</v>
      </c>
      <c r="AM715" t="str" cm="1">
        <f t="array" ref="AM715">_xlfn.SWITCH(CleanEmployeeData[[#This Row],[JobSatisfaction]],1,"Low",2,"Medium",3,"High",4,"Very High","Unknown")</f>
        <v>Very High</v>
      </c>
      <c r="AN715" t="str" cm="1">
        <f t="array" ref="AN715">_xlfn.SWITCH(CleanEmployeeData[[#This Row],[PerformanceRating]],1,"Low",2,"Good",3,"Excellent",4,"Outstanding","Unknown")</f>
        <v>Excellent</v>
      </c>
      <c r="AO715" t="str" cm="1">
        <f t="array" ref="AO715">_xlfn.SWITCH(CleanEmployeeData[[#This Row],[WorkLifeBalance]],1,"Bad",2,"Good",3,"Better",4,"Best","Unknown")</f>
        <v>Better</v>
      </c>
      <c r="AP715">
        <f>IF(CleanEmployeeData[[#This Row],[Attrition]]="Yes",1,IF(CleanEmployeeData[[#This Row],[Attrition]]="No",0,""))</f>
        <v>0</v>
      </c>
      <c r="AQ715" t="str" cm="1">
        <f t="array" ref="AQ715">_xlfn.IFS(CleanEmployeeData[[#This Row],[MonthlyIncome]]&lt;=3000,"0–3,000",CleanEmployeeData[[#This Row],[MonthlyIncome]]&lt;=6000,"3,001–6,000",CleanEmployeeData[[#This Row],[MonthlyIncome]]&lt;=10000,"6,001–10,000",TRUE,"10,001+")</f>
        <v>0–3,000</v>
      </c>
      <c r="AR715" t="str" cm="1">
        <f t="array" ref="AR715">_xlfn.IFS(CleanEmployeeData[[#This Row],[DistanceFromHome]]&lt;=5,"0–5 miles",CleanEmployeeData[[#This Row],[DistanceFromHome]]&lt;=10,"6–10 miles",CleanEmployeeData[[#This Row],[DistanceFromHome]]&lt;=15,"11–15 miles",TRUE,"16+ miles")</f>
        <v>0–5 miles</v>
      </c>
      <c r="AS715" t="str" cm="1">
        <f t="array" ref="AS715">_xlfn.IFS(CleanEmployeeData[[#This Row],[YearsAtCompany]]&lt;=1,"0–1 years",CleanEmployeeData[[#This Row],[YearsAtCompany]]&lt;=5,"2–5 years",CleanEmployeeData[[#This Row],[YearsAtCompany]]&lt;=10,"6–10 years",TRUE,"11+ years")</f>
        <v>2–5 years</v>
      </c>
    </row>
    <row r="716" spans="1:4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cm="1">
        <f t="array" ref="AJ716">_xlfn.SWITCH(CleanEmployeeData[[#This Row],[Education]],1,"Below College",2,"College",3,"Bachelor",4,"Master",5,"Doctor","Unknown")</f>
        <v>College</v>
      </c>
      <c r="AK716" t="str" cm="1">
        <f t="array" ref="AK716">_xlfn.SWITCH(CleanEmployeeData[[#This Row],[EnvironmentSatisfaction]],1,"Low",2,"Medium",3,"High",4,"Very High","Unknown")</f>
        <v>Very High</v>
      </c>
      <c r="AL716" t="str" cm="1">
        <f t="array" ref="AL716">_xlfn.SWITCH(CleanEmployeeData[[#This Row],[JobInvolvement]],1,"Low",2,"Medium",3,"High",4,"Very High","Unknown")</f>
        <v>High</v>
      </c>
      <c r="AM716" t="str" cm="1">
        <f t="array" ref="AM716">_xlfn.SWITCH(CleanEmployeeData[[#This Row],[JobSatisfaction]],1,"Low",2,"Medium",3,"High",4,"Very High","Unknown")</f>
        <v>Very High</v>
      </c>
      <c r="AN716" t="str" cm="1">
        <f t="array" ref="AN716">_xlfn.SWITCH(CleanEmployeeData[[#This Row],[PerformanceRating]],1,"Low",2,"Good",3,"Excellent",4,"Outstanding","Unknown")</f>
        <v>Outstanding</v>
      </c>
      <c r="AO716" t="str" cm="1">
        <f t="array" ref="AO716">_xlfn.SWITCH(CleanEmployeeData[[#This Row],[WorkLifeBalance]],1,"Bad",2,"Good",3,"Better",4,"Best","Unknown")</f>
        <v>Good</v>
      </c>
      <c r="AP716">
        <f>IF(CleanEmployeeData[[#This Row],[Attrition]]="Yes",1,IF(CleanEmployeeData[[#This Row],[Attrition]]="No",0,""))</f>
        <v>0</v>
      </c>
      <c r="AQ716" t="str" cm="1">
        <f t="array" ref="AQ716">_xlfn.IFS(CleanEmployeeData[[#This Row],[MonthlyIncome]]&lt;=3000,"0–3,000",CleanEmployeeData[[#This Row],[MonthlyIncome]]&lt;=6000,"3,001–6,000",CleanEmployeeData[[#This Row],[MonthlyIncome]]&lt;=10000,"6,001–10,000",TRUE,"10,001+")</f>
        <v>10,001+</v>
      </c>
      <c r="AR716" t="str" cm="1">
        <f t="array" ref="AR716">_xlfn.IFS(CleanEmployeeData[[#This Row],[DistanceFromHome]]&lt;=5,"0–5 miles",CleanEmployeeData[[#This Row],[DistanceFromHome]]&lt;=10,"6–10 miles",CleanEmployeeData[[#This Row],[DistanceFromHome]]&lt;=15,"11–15 miles",TRUE,"16+ miles")</f>
        <v>0–5 miles</v>
      </c>
      <c r="AS716" t="str" cm="1">
        <f t="array" ref="AS716">_xlfn.IFS(CleanEmployeeData[[#This Row],[YearsAtCompany]]&lt;=1,"0–1 years",CleanEmployeeData[[#This Row],[YearsAtCompany]]&lt;=5,"2–5 years",CleanEmployeeData[[#This Row],[YearsAtCompany]]&lt;=10,"6–10 years",TRUE,"11+ years")</f>
        <v>2–5 years</v>
      </c>
    </row>
    <row r="717" spans="1:4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cm="1">
        <f t="array" ref="AJ717">_xlfn.SWITCH(CleanEmployeeData[[#This Row],[Education]],1,"Below College",2,"College",3,"Bachelor",4,"Master",5,"Doctor","Unknown")</f>
        <v>Master</v>
      </c>
      <c r="AK717" t="str" cm="1">
        <f t="array" ref="AK717">_xlfn.SWITCH(CleanEmployeeData[[#This Row],[EnvironmentSatisfaction]],1,"Low",2,"Medium",3,"High",4,"Very High","Unknown")</f>
        <v>High</v>
      </c>
      <c r="AL717" t="str" cm="1">
        <f t="array" ref="AL717">_xlfn.SWITCH(CleanEmployeeData[[#This Row],[JobInvolvement]],1,"Low",2,"Medium",3,"High",4,"Very High","Unknown")</f>
        <v>Very High</v>
      </c>
      <c r="AM717" t="str" cm="1">
        <f t="array" ref="AM717">_xlfn.SWITCH(CleanEmployeeData[[#This Row],[JobSatisfaction]],1,"Low",2,"Medium",3,"High",4,"Very High","Unknown")</f>
        <v>Medium</v>
      </c>
      <c r="AN717" t="str" cm="1">
        <f t="array" ref="AN717">_xlfn.SWITCH(CleanEmployeeData[[#This Row],[PerformanceRating]],1,"Low",2,"Good",3,"Excellent",4,"Outstanding","Unknown")</f>
        <v>Excellent</v>
      </c>
      <c r="AO717" t="str" cm="1">
        <f t="array" ref="AO717">_xlfn.SWITCH(CleanEmployeeData[[#This Row],[WorkLifeBalance]],1,"Bad",2,"Good",3,"Better",4,"Best","Unknown")</f>
        <v>Better</v>
      </c>
      <c r="AP717">
        <f>IF(CleanEmployeeData[[#This Row],[Attrition]]="Yes",1,IF(CleanEmployeeData[[#This Row],[Attrition]]="No",0,""))</f>
        <v>0</v>
      </c>
      <c r="AQ717" t="str" cm="1">
        <f t="array" ref="AQ717">_xlfn.IFS(CleanEmployeeData[[#This Row],[MonthlyIncome]]&lt;=3000,"0–3,000",CleanEmployeeData[[#This Row],[MonthlyIncome]]&lt;=6000,"3,001–6,000",CleanEmployeeData[[#This Row],[MonthlyIncome]]&lt;=10000,"6,001–10,000",TRUE,"10,001+")</f>
        <v>3,001–6,000</v>
      </c>
      <c r="AR717" t="str" cm="1">
        <f t="array" ref="AR717">_xlfn.IFS(CleanEmployeeData[[#This Row],[DistanceFromHome]]&lt;=5,"0–5 miles",CleanEmployeeData[[#This Row],[DistanceFromHome]]&lt;=10,"6–10 miles",CleanEmployeeData[[#This Row],[DistanceFromHome]]&lt;=15,"11–15 miles",TRUE,"16+ miles")</f>
        <v>0–5 miles</v>
      </c>
      <c r="AS717" t="str" cm="1">
        <f t="array" ref="AS717">_xlfn.IFS(CleanEmployeeData[[#This Row],[YearsAtCompany]]&lt;=1,"0–1 years",CleanEmployeeData[[#This Row],[YearsAtCompany]]&lt;=5,"2–5 years",CleanEmployeeData[[#This Row],[YearsAtCompany]]&lt;=10,"6–10 years",TRUE,"11+ years")</f>
        <v>6–10 years</v>
      </c>
    </row>
    <row r="718" spans="1:4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cm="1">
        <f t="array" ref="AJ718">_xlfn.SWITCH(CleanEmployeeData[[#This Row],[Education]],1,"Below College",2,"College",3,"Bachelor",4,"Master",5,"Doctor","Unknown")</f>
        <v>Bachelor</v>
      </c>
      <c r="AK718" t="str" cm="1">
        <f t="array" ref="AK718">_xlfn.SWITCH(CleanEmployeeData[[#This Row],[EnvironmentSatisfaction]],1,"Low",2,"Medium",3,"High",4,"Very High","Unknown")</f>
        <v>Low</v>
      </c>
      <c r="AL718" t="str" cm="1">
        <f t="array" ref="AL718">_xlfn.SWITCH(CleanEmployeeData[[#This Row],[JobInvolvement]],1,"Low",2,"Medium",3,"High",4,"Very High","Unknown")</f>
        <v>High</v>
      </c>
      <c r="AM718" t="str" cm="1">
        <f t="array" ref="AM718">_xlfn.SWITCH(CleanEmployeeData[[#This Row],[JobSatisfaction]],1,"Low",2,"Medium",3,"High",4,"Very High","Unknown")</f>
        <v>High</v>
      </c>
      <c r="AN718" t="str" cm="1">
        <f t="array" ref="AN718">_xlfn.SWITCH(CleanEmployeeData[[#This Row],[PerformanceRating]],1,"Low",2,"Good",3,"Excellent",4,"Outstanding","Unknown")</f>
        <v>Excellent</v>
      </c>
      <c r="AO718" t="str" cm="1">
        <f t="array" ref="AO718">_xlfn.SWITCH(CleanEmployeeData[[#This Row],[WorkLifeBalance]],1,"Bad",2,"Good",3,"Better",4,"Best","Unknown")</f>
        <v>Best</v>
      </c>
      <c r="AP718">
        <f>IF(CleanEmployeeData[[#This Row],[Attrition]]="Yes",1,IF(CleanEmployeeData[[#This Row],[Attrition]]="No",0,""))</f>
        <v>0</v>
      </c>
      <c r="AQ718" t="str" cm="1">
        <f t="array" ref="AQ718">_xlfn.IFS(CleanEmployeeData[[#This Row],[MonthlyIncome]]&lt;=3000,"0–3,000",CleanEmployeeData[[#This Row],[MonthlyIncome]]&lt;=6000,"3,001–6,000",CleanEmployeeData[[#This Row],[MonthlyIncome]]&lt;=10000,"6,001–10,000",TRUE,"10,001+")</f>
        <v>10,001+</v>
      </c>
      <c r="AR718" t="str" cm="1">
        <f t="array" ref="AR718">_xlfn.IFS(CleanEmployeeData[[#This Row],[DistanceFromHome]]&lt;=5,"0–5 miles",CleanEmployeeData[[#This Row],[DistanceFromHome]]&lt;=10,"6–10 miles",CleanEmployeeData[[#This Row],[DistanceFromHome]]&lt;=15,"11–15 miles",TRUE,"16+ miles")</f>
        <v>6–10 miles</v>
      </c>
      <c r="AS718" t="str" cm="1">
        <f t="array" ref="AS718">_xlfn.IFS(CleanEmployeeData[[#This Row],[YearsAtCompany]]&lt;=1,"0–1 years",CleanEmployeeData[[#This Row],[YearsAtCompany]]&lt;=5,"2–5 years",CleanEmployeeData[[#This Row],[YearsAtCompany]]&lt;=10,"6–10 years",TRUE,"11+ years")</f>
        <v>11+ years</v>
      </c>
    </row>
    <row r="719" spans="1:4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cm="1">
        <f t="array" ref="AJ719">_xlfn.SWITCH(CleanEmployeeData[[#This Row],[Education]],1,"Below College",2,"College",3,"Bachelor",4,"Master",5,"Doctor","Unknown")</f>
        <v>Master</v>
      </c>
      <c r="AK719" t="str" cm="1">
        <f t="array" ref="AK719">_xlfn.SWITCH(CleanEmployeeData[[#This Row],[EnvironmentSatisfaction]],1,"Low",2,"Medium",3,"High",4,"Very High","Unknown")</f>
        <v>High</v>
      </c>
      <c r="AL719" t="str" cm="1">
        <f t="array" ref="AL719">_xlfn.SWITCH(CleanEmployeeData[[#This Row],[JobInvolvement]],1,"Low",2,"Medium",3,"High",4,"Very High","Unknown")</f>
        <v>High</v>
      </c>
      <c r="AM719" t="str" cm="1">
        <f t="array" ref="AM719">_xlfn.SWITCH(CleanEmployeeData[[#This Row],[JobSatisfaction]],1,"Low",2,"Medium",3,"High",4,"Very High","Unknown")</f>
        <v>Medium</v>
      </c>
      <c r="AN719" t="str" cm="1">
        <f t="array" ref="AN719">_xlfn.SWITCH(CleanEmployeeData[[#This Row],[PerformanceRating]],1,"Low",2,"Good",3,"Excellent",4,"Outstanding","Unknown")</f>
        <v>Excellent</v>
      </c>
      <c r="AO719" t="str" cm="1">
        <f t="array" ref="AO719">_xlfn.SWITCH(CleanEmployeeData[[#This Row],[WorkLifeBalance]],1,"Bad",2,"Good",3,"Better",4,"Best","Unknown")</f>
        <v>Better</v>
      </c>
      <c r="AP719">
        <f>IF(CleanEmployeeData[[#This Row],[Attrition]]="Yes",1,IF(CleanEmployeeData[[#This Row],[Attrition]]="No",0,""))</f>
        <v>0</v>
      </c>
      <c r="AQ719" t="str" cm="1">
        <f t="array" ref="AQ719">_xlfn.IFS(CleanEmployeeData[[#This Row],[MonthlyIncome]]&lt;=3000,"0–3,000",CleanEmployeeData[[#This Row],[MonthlyIncome]]&lt;=6000,"3,001–6,000",CleanEmployeeData[[#This Row],[MonthlyIncome]]&lt;=10000,"6,001–10,000",TRUE,"10,001+")</f>
        <v>0–3,000</v>
      </c>
      <c r="AR719" t="str" cm="1">
        <f t="array" ref="AR719">_xlfn.IFS(CleanEmployeeData[[#This Row],[DistanceFromHome]]&lt;=5,"0–5 miles",CleanEmployeeData[[#This Row],[DistanceFromHome]]&lt;=10,"6–10 miles",CleanEmployeeData[[#This Row],[DistanceFromHome]]&lt;=15,"11–15 miles",TRUE,"16+ miles")</f>
        <v>16+ miles</v>
      </c>
      <c r="AS719" t="str" cm="1">
        <f t="array" ref="AS719">_xlfn.IFS(CleanEmployeeData[[#This Row],[YearsAtCompany]]&lt;=1,"0–1 years",CleanEmployeeData[[#This Row],[YearsAtCompany]]&lt;=5,"2–5 years",CleanEmployeeData[[#This Row],[YearsAtCompany]]&lt;=10,"6–10 years",TRUE,"11+ years")</f>
        <v>2–5 years</v>
      </c>
    </row>
    <row r="720" spans="1:4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cm="1">
        <f t="array" ref="AJ720">_xlfn.SWITCH(CleanEmployeeData[[#This Row],[Education]],1,"Below College",2,"College",3,"Bachelor",4,"Master",5,"Doctor","Unknown")</f>
        <v>College</v>
      </c>
      <c r="AK720" t="str" cm="1">
        <f t="array" ref="AK720">_xlfn.SWITCH(CleanEmployeeData[[#This Row],[EnvironmentSatisfaction]],1,"Low",2,"Medium",3,"High",4,"Very High","Unknown")</f>
        <v>Very High</v>
      </c>
      <c r="AL720" t="str" cm="1">
        <f t="array" ref="AL720">_xlfn.SWITCH(CleanEmployeeData[[#This Row],[JobInvolvement]],1,"Low",2,"Medium",3,"High",4,"Very High","Unknown")</f>
        <v>High</v>
      </c>
      <c r="AM720" t="str" cm="1">
        <f t="array" ref="AM720">_xlfn.SWITCH(CleanEmployeeData[[#This Row],[JobSatisfaction]],1,"Low",2,"Medium",3,"High",4,"Very High","Unknown")</f>
        <v>Low</v>
      </c>
      <c r="AN720" t="str" cm="1">
        <f t="array" ref="AN720">_xlfn.SWITCH(CleanEmployeeData[[#This Row],[PerformanceRating]],1,"Low",2,"Good",3,"Excellent",4,"Outstanding","Unknown")</f>
        <v>Excellent</v>
      </c>
      <c r="AO720" t="str" cm="1">
        <f t="array" ref="AO720">_xlfn.SWITCH(CleanEmployeeData[[#This Row],[WorkLifeBalance]],1,"Bad",2,"Good",3,"Better",4,"Best","Unknown")</f>
        <v>Better</v>
      </c>
      <c r="AP720">
        <f>IF(CleanEmployeeData[[#This Row],[Attrition]]="Yes",1,IF(CleanEmployeeData[[#This Row],[Attrition]]="No",0,""))</f>
        <v>0</v>
      </c>
      <c r="AQ720" t="str" cm="1">
        <f t="array" ref="AQ720">_xlfn.IFS(CleanEmployeeData[[#This Row],[MonthlyIncome]]&lt;=3000,"0–3,000",CleanEmployeeData[[#This Row],[MonthlyIncome]]&lt;=6000,"3,001–6,000",CleanEmployeeData[[#This Row],[MonthlyIncome]]&lt;=10000,"6,001–10,000",TRUE,"10,001+")</f>
        <v>3,001–6,000</v>
      </c>
      <c r="AR720" t="str" cm="1">
        <f t="array" ref="AR720">_xlfn.IFS(CleanEmployeeData[[#This Row],[DistanceFromHome]]&lt;=5,"0–5 miles",CleanEmployeeData[[#This Row],[DistanceFromHome]]&lt;=10,"6–10 miles",CleanEmployeeData[[#This Row],[DistanceFromHome]]&lt;=15,"11–15 miles",TRUE,"16+ miles")</f>
        <v>16+ miles</v>
      </c>
      <c r="AS720" t="str" cm="1">
        <f t="array" ref="AS720">_xlfn.IFS(CleanEmployeeData[[#This Row],[YearsAtCompany]]&lt;=1,"0–1 years",CleanEmployeeData[[#This Row],[YearsAtCompany]]&lt;=5,"2–5 years",CleanEmployeeData[[#This Row],[YearsAtCompany]]&lt;=10,"6–10 years",TRUE,"11+ years")</f>
        <v>6–10 years</v>
      </c>
    </row>
    <row r="721" spans="1:4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cm="1">
        <f t="array" ref="AJ721">_xlfn.SWITCH(CleanEmployeeData[[#This Row],[Education]],1,"Below College",2,"College",3,"Bachelor",4,"Master",5,"Doctor","Unknown")</f>
        <v>College</v>
      </c>
      <c r="AK721" t="str" cm="1">
        <f t="array" ref="AK721">_xlfn.SWITCH(CleanEmployeeData[[#This Row],[EnvironmentSatisfaction]],1,"Low",2,"Medium",3,"High",4,"Very High","Unknown")</f>
        <v>Very High</v>
      </c>
      <c r="AL721" t="str" cm="1">
        <f t="array" ref="AL721">_xlfn.SWITCH(CleanEmployeeData[[#This Row],[JobInvolvement]],1,"Low",2,"Medium",3,"High",4,"Very High","Unknown")</f>
        <v>High</v>
      </c>
      <c r="AM721" t="str" cm="1">
        <f t="array" ref="AM721">_xlfn.SWITCH(CleanEmployeeData[[#This Row],[JobSatisfaction]],1,"Low",2,"Medium",3,"High",4,"Very High","Unknown")</f>
        <v>Very High</v>
      </c>
      <c r="AN721" t="str" cm="1">
        <f t="array" ref="AN721">_xlfn.SWITCH(CleanEmployeeData[[#This Row],[PerformanceRating]],1,"Low",2,"Good",3,"Excellent",4,"Outstanding","Unknown")</f>
        <v>Excellent</v>
      </c>
      <c r="AO721" t="str" cm="1">
        <f t="array" ref="AO721">_xlfn.SWITCH(CleanEmployeeData[[#This Row],[WorkLifeBalance]],1,"Bad",2,"Good",3,"Better",4,"Best","Unknown")</f>
        <v>Better</v>
      </c>
      <c r="AP721">
        <f>IF(CleanEmployeeData[[#This Row],[Attrition]]="Yes",1,IF(CleanEmployeeData[[#This Row],[Attrition]]="No",0,""))</f>
        <v>0</v>
      </c>
      <c r="AQ721" t="str" cm="1">
        <f t="array" ref="AQ721">_xlfn.IFS(CleanEmployeeData[[#This Row],[MonthlyIncome]]&lt;=3000,"0–3,000",CleanEmployeeData[[#This Row],[MonthlyIncome]]&lt;=6000,"3,001–6,000",CleanEmployeeData[[#This Row],[MonthlyIncome]]&lt;=10000,"6,001–10,000",TRUE,"10,001+")</f>
        <v>3,001–6,000</v>
      </c>
      <c r="AR721" t="str" cm="1">
        <f t="array" ref="AR721">_xlfn.IFS(CleanEmployeeData[[#This Row],[DistanceFromHome]]&lt;=5,"0–5 miles",CleanEmployeeData[[#This Row],[DistanceFromHome]]&lt;=10,"6–10 miles",CleanEmployeeData[[#This Row],[DistanceFromHome]]&lt;=15,"11–15 miles",TRUE,"16+ miles")</f>
        <v>0–5 miles</v>
      </c>
      <c r="AS721" t="str" cm="1">
        <f t="array" ref="AS721">_xlfn.IFS(CleanEmployeeData[[#This Row],[YearsAtCompany]]&lt;=1,"0–1 years",CleanEmployeeData[[#This Row],[YearsAtCompany]]&lt;=5,"2–5 years",CleanEmployeeData[[#This Row],[YearsAtCompany]]&lt;=10,"6–10 years",TRUE,"11+ years")</f>
        <v>6–10 years</v>
      </c>
    </row>
    <row r="722" spans="1:4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cm="1">
        <f t="array" ref="AJ722">_xlfn.SWITCH(CleanEmployeeData[[#This Row],[Education]],1,"Below College",2,"College",3,"Bachelor",4,"Master",5,"Doctor","Unknown")</f>
        <v>Bachelor</v>
      </c>
      <c r="AK722" t="str" cm="1">
        <f t="array" ref="AK722">_xlfn.SWITCH(CleanEmployeeData[[#This Row],[EnvironmentSatisfaction]],1,"Low",2,"Medium",3,"High",4,"Very High","Unknown")</f>
        <v>Low</v>
      </c>
      <c r="AL722" t="str" cm="1">
        <f t="array" ref="AL722">_xlfn.SWITCH(CleanEmployeeData[[#This Row],[JobInvolvement]],1,"Low",2,"Medium",3,"High",4,"Very High","Unknown")</f>
        <v>High</v>
      </c>
      <c r="AM722" t="str" cm="1">
        <f t="array" ref="AM722">_xlfn.SWITCH(CleanEmployeeData[[#This Row],[JobSatisfaction]],1,"Low",2,"Medium",3,"High",4,"Very High","Unknown")</f>
        <v>High</v>
      </c>
      <c r="AN722" t="str" cm="1">
        <f t="array" ref="AN722">_xlfn.SWITCH(CleanEmployeeData[[#This Row],[PerformanceRating]],1,"Low",2,"Good",3,"Excellent",4,"Outstanding","Unknown")</f>
        <v>Excellent</v>
      </c>
      <c r="AO722" t="str" cm="1">
        <f t="array" ref="AO722">_xlfn.SWITCH(CleanEmployeeData[[#This Row],[WorkLifeBalance]],1,"Bad",2,"Good",3,"Better",4,"Best","Unknown")</f>
        <v>Better</v>
      </c>
      <c r="AP722">
        <f>IF(CleanEmployeeData[[#This Row],[Attrition]]="Yes",1,IF(CleanEmployeeData[[#This Row],[Attrition]]="No",0,""))</f>
        <v>1</v>
      </c>
      <c r="AQ722" t="str" cm="1">
        <f t="array" ref="AQ722">_xlfn.IFS(CleanEmployeeData[[#This Row],[MonthlyIncome]]&lt;=3000,"0–3,000",CleanEmployeeData[[#This Row],[MonthlyIncome]]&lt;=6000,"3,001–6,000",CleanEmployeeData[[#This Row],[MonthlyIncome]]&lt;=10000,"6,001–10,000",TRUE,"10,001+")</f>
        <v>0–3,000</v>
      </c>
      <c r="AR722" t="str" cm="1">
        <f t="array" ref="AR722">_xlfn.IFS(CleanEmployeeData[[#This Row],[DistanceFromHome]]&lt;=5,"0–5 miles",CleanEmployeeData[[#This Row],[DistanceFromHome]]&lt;=10,"6–10 miles",CleanEmployeeData[[#This Row],[DistanceFromHome]]&lt;=15,"11–15 miles",TRUE,"16+ miles")</f>
        <v>16+ miles</v>
      </c>
      <c r="AS722" t="str" cm="1">
        <f t="array" ref="AS722">_xlfn.IFS(CleanEmployeeData[[#This Row],[YearsAtCompany]]&lt;=1,"0–1 years",CleanEmployeeData[[#This Row],[YearsAtCompany]]&lt;=5,"2–5 years",CleanEmployeeData[[#This Row],[YearsAtCompany]]&lt;=10,"6–10 years",TRUE,"11+ years")</f>
        <v>2–5 years</v>
      </c>
    </row>
    <row r="723" spans="1:4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cm="1">
        <f t="array" ref="AJ723">_xlfn.SWITCH(CleanEmployeeData[[#This Row],[Education]],1,"Below College",2,"College",3,"Bachelor",4,"Master",5,"Doctor","Unknown")</f>
        <v>Bachelor</v>
      </c>
      <c r="AK723" t="str" cm="1">
        <f t="array" ref="AK723">_xlfn.SWITCH(CleanEmployeeData[[#This Row],[EnvironmentSatisfaction]],1,"Low",2,"Medium",3,"High",4,"Very High","Unknown")</f>
        <v>Very High</v>
      </c>
      <c r="AL723" t="str" cm="1">
        <f t="array" ref="AL723">_xlfn.SWITCH(CleanEmployeeData[[#This Row],[JobInvolvement]],1,"Low",2,"Medium",3,"High",4,"Very High","Unknown")</f>
        <v>High</v>
      </c>
      <c r="AM723" t="str" cm="1">
        <f t="array" ref="AM723">_xlfn.SWITCH(CleanEmployeeData[[#This Row],[JobSatisfaction]],1,"Low",2,"Medium",3,"High",4,"Very High","Unknown")</f>
        <v>High</v>
      </c>
      <c r="AN723" t="str" cm="1">
        <f t="array" ref="AN723">_xlfn.SWITCH(CleanEmployeeData[[#This Row],[PerformanceRating]],1,"Low",2,"Good",3,"Excellent",4,"Outstanding","Unknown")</f>
        <v>Excellent</v>
      </c>
      <c r="AO723" t="str" cm="1">
        <f t="array" ref="AO723">_xlfn.SWITCH(CleanEmployeeData[[#This Row],[WorkLifeBalance]],1,"Bad",2,"Good",3,"Better",4,"Best","Unknown")</f>
        <v>Better</v>
      </c>
      <c r="AP723">
        <f>IF(CleanEmployeeData[[#This Row],[Attrition]]="Yes",1,IF(CleanEmployeeData[[#This Row],[Attrition]]="No",0,""))</f>
        <v>0</v>
      </c>
      <c r="AQ723" t="str" cm="1">
        <f t="array" ref="AQ723">_xlfn.IFS(CleanEmployeeData[[#This Row],[MonthlyIncome]]&lt;=3000,"0–3,000",CleanEmployeeData[[#This Row],[MonthlyIncome]]&lt;=6000,"3,001–6,000",CleanEmployeeData[[#This Row],[MonthlyIncome]]&lt;=10000,"6,001–10,000",TRUE,"10,001+")</f>
        <v>10,001+</v>
      </c>
      <c r="AR723" t="str" cm="1">
        <f t="array" ref="AR723">_xlfn.IFS(CleanEmployeeData[[#This Row],[DistanceFromHome]]&lt;=5,"0–5 miles",CleanEmployeeData[[#This Row],[DistanceFromHome]]&lt;=10,"6–10 miles",CleanEmployeeData[[#This Row],[DistanceFromHome]]&lt;=15,"11–15 miles",TRUE,"16+ miles")</f>
        <v>16+ miles</v>
      </c>
      <c r="AS723" t="str" cm="1">
        <f t="array" ref="AS723">_xlfn.IFS(CleanEmployeeData[[#This Row],[YearsAtCompany]]&lt;=1,"0–1 years",CleanEmployeeData[[#This Row],[YearsAtCompany]]&lt;=5,"2–5 years",CleanEmployeeData[[#This Row],[YearsAtCompany]]&lt;=10,"6–10 years",TRUE,"11+ years")</f>
        <v>11+ years</v>
      </c>
    </row>
    <row r="724" spans="1:4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cm="1">
        <f t="array" ref="AJ724">_xlfn.SWITCH(CleanEmployeeData[[#This Row],[Education]],1,"Below College",2,"College",3,"Bachelor",4,"Master",5,"Doctor","Unknown")</f>
        <v>Below College</v>
      </c>
      <c r="AK724" t="str" cm="1">
        <f t="array" ref="AK724">_xlfn.SWITCH(CleanEmployeeData[[#This Row],[EnvironmentSatisfaction]],1,"Low",2,"Medium",3,"High",4,"Very High","Unknown")</f>
        <v>High</v>
      </c>
      <c r="AL724" t="str" cm="1">
        <f t="array" ref="AL724">_xlfn.SWITCH(CleanEmployeeData[[#This Row],[JobInvolvement]],1,"Low",2,"Medium",3,"High",4,"Very High","Unknown")</f>
        <v>High</v>
      </c>
      <c r="AM724" t="str" cm="1">
        <f t="array" ref="AM724">_xlfn.SWITCH(CleanEmployeeData[[#This Row],[JobSatisfaction]],1,"Low",2,"Medium",3,"High",4,"Very High","Unknown")</f>
        <v>High</v>
      </c>
      <c r="AN724" t="str" cm="1">
        <f t="array" ref="AN724">_xlfn.SWITCH(CleanEmployeeData[[#This Row],[PerformanceRating]],1,"Low",2,"Good",3,"Excellent",4,"Outstanding","Unknown")</f>
        <v>Excellent</v>
      </c>
      <c r="AO724" t="str" cm="1">
        <f t="array" ref="AO724">_xlfn.SWITCH(CleanEmployeeData[[#This Row],[WorkLifeBalance]],1,"Bad",2,"Good",3,"Better",4,"Best","Unknown")</f>
        <v>Good</v>
      </c>
      <c r="AP724">
        <f>IF(CleanEmployeeData[[#This Row],[Attrition]]="Yes",1,IF(CleanEmployeeData[[#This Row],[Attrition]]="No",0,""))</f>
        <v>0</v>
      </c>
      <c r="AQ724" t="str" cm="1">
        <f t="array" ref="AQ724">_xlfn.IFS(CleanEmployeeData[[#This Row],[MonthlyIncome]]&lt;=3000,"0–3,000",CleanEmployeeData[[#This Row],[MonthlyIncome]]&lt;=6000,"3,001–6,000",CleanEmployeeData[[#This Row],[MonthlyIncome]]&lt;=10000,"6,001–10,000",TRUE,"10,001+")</f>
        <v>0–3,000</v>
      </c>
      <c r="AR724" t="str" cm="1">
        <f t="array" ref="AR724">_xlfn.IFS(CleanEmployeeData[[#This Row],[DistanceFromHome]]&lt;=5,"0–5 miles",CleanEmployeeData[[#This Row],[DistanceFromHome]]&lt;=10,"6–10 miles",CleanEmployeeData[[#This Row],[DistanceFromHome]]&lt;=15,"11–15 miles",TRUE,"16+ miles")</f>
        <v>6–10 miles</v>
      </c>
      <c r="AS724" t="str" cm="1">
        <f t="array" ref="AS724">_xlfn.IFS(CleanEmployeeData[[#This Row],[YearsAtCompany]]&lt;=1,"0–1 years",CleanEmployeeData[[#This Row],[YearsAtCompany]]&lt;=5,"2–5 years",CleanEmployeeData[[#This Row],[YearsAtCompany]]&lt;=10,"6–10 years",TRUE,"11+ years")</f>
        <v>2–5 years</v>
      </c>
    </row>
    <row r="725" spans="1:4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cm="1">
        <f t="array" ref="AJ725">_xlfn.SWITCH(CleanEmployeeData[[#This Row],[Education]],1,"Below College",2,"College",3,"Bachelor",4,"Master",5,"Doctor","Unknown")</f>
        <v>College</v>
      </c>
      <c r="AK725" t="str" cm="1">
        <f t="array" ref="AK725">_xlfn.SWITCH(CleanEmployeeData[[#This Row],[EnvironmentSatisfaction]],1,"Low",2,"Medium",3,"High",4,"Very High","Unknown")</f>
        <v>Very High</v>
      </c>
      <c r="AL725" t="str" cm="1">
        <f t="array" ref="AL725">_xlfn.SWITCH(CleanEmployeeData[[#This Row],[JobInvolvement]],1,"Low",2,"Medium",3,"High",4,"Very High","Unknown")</f>
        <v>High</v>
      </c>
      <c r="AM725" t="str" cm="1">
        <f t="array" ref="AM725">_xlfn.SWITCH(CleanEmployeeData[[#This Row],[JobSatisfaction]],1,"Low",2,"Medium",3,"High",4,"Very High","Unknown")</f>
        <v>High</v>
      </c>
      <c r="AN725" t="str" cm="1">
        <f t="array" ref="AN725">_xlfn.SWITCH(CleanEmployeeData[[#This Row],[PerformanceRating]],1,"Low",2,"Good",3,"Excellent",4,"Outstanding","Unknown")</f>
        <v>Excellent</v>
      </c>
      <c r="AO725" t="str" cm="1">
        <f t="array" ref="AO725">_xlfn.SWITCH(CleanEmployeeData[[#This Row],[WorkLifeBalance]],1,"Bad",2,"Good",3,"Better",4,"Best","Unknown")</f>
        <v>Better</v>
      </c>
      <c r="AP725">
        <f>IF(CleanEmployeeData[[#This Row],[Attrition]]="Yes",1,IF(CleanEmployeeData[[#This Row],[Attrition]]="No",0,""))</f>
        <v>0</v>
      </c>
      <c r="AQ725" t="str" cm="1">
        <f t="array" ref="AQ725">_xlfn.IFS(CleanEmployeeData[[#This Row],[MonthlyIncome]]&lt;=3000,"0–3,000",CleanEmployeeData[[#This Row],[MonthlyIncome]]&lt;=6000,"3,001–6,000",CleanEmployeeData[[#This Row],[MonthlyIncome]]&lt;=10000,"6,001–10,000",TRUE,"10,001+")</f>
        <v>10,001+</v>
      </c>
      <c r="AR725" t="str" cm="1">
        <f t="array" ref="AR725">_xlfn.IFS(CleanEmployeeData[[#This Row],[DistanceFromHome]]&lt;=5,"0–5 miles",CleanEmployeeData[[#This Row],[DistanceFromHome]]&lt;=10,"6–10 miles",CleanEmployeeData[[#This Row],[DistanceFromHome]]&lt;=15,"11–15 miles",TRUE,"16+ miles")</f>
        <v>6–10 miles</v>
      </c>
      <c r="AS725" t="str" cm="1">
        <f t="array" ref="AS725">_xlfn.IFS(CleanEmployeeData[[#This Row],[YearsAtCompany]]&lt;=1,"0–1 years",CleanEmployeeData[[#This Row],[YearsAtCompany]]&lt;=5,"2–5 years",CleanEmployeeData[[#This Row],[YearsAtCompany]]&lt;=10,"6–10 years",TRUE,"11+ years")</f>
        <v>6–10 years</v>
      </c>
    </row>
    <row r="726" spans="1:4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cm="1">
        <f t="array" ref="AJ726">_xlfn.SWITCH(CleanEmployeeData[[#This Row],[Education]],1,"Below College",2,"College",3,"Bachelor",4,"Master",5,"Doctor","Unknown")</f>
        <v>Below College</v>
      </c>
      <c r="AK726" t="str" cm="1">
        <f t="array" ref="AK726">_xlfn.SWITCH(CleanEmployeeData[[#This Row],[EnvironmentSatisfaction]],1,"Low",2,"Medium",3,"High",4,"Very High","Unknown")</f>
        <v>Very High</v>
      </c>
      <c r="AL726" t="str" cm="1">
        <f t="array" ref="AL726">_xlfn.SWITCH(CleanEmployeeData[[#This Row],[JobInvolvement]],1,"Low",2,"Medium",3,"High",4,"Very High","Unknown")</f>
        <v>Medium</v>
      </c>
      <c r="AM726" t="str" cm="1">
        <f t="array" ref="AM726">_xlfn.SWITCH(CleanEmployeeData[[#This Row],[JobSatisfaction]],1,"Low",2,"Medium",3,"High",4,"Very High","Unknown")</f>
        <v>High</v>
      </c>
      <c r="AN726" t="str" cm="1">
        <f t="array" ref="AN726">_xlfn.SWITCH(CleanEmployeeData[[#This Row],[PerformanceRating]],1,"Low",2,"Good",3,"Excellent",4,"Outstanding","Unknown")</f>
        <v>Excellent</v>
      </c>
      <c r="AO726" t="str" cm="1">
        <f t="array" ref="AO726">_xlfn.SWITCH(CleanEmployeeData[[#This Row],[WorkLifeBalance]],1,"Bad",2,"Good",3,"Better",4,"Best","Unknown")</f>
        <v>Better</v>
      </c>
      <c r="AP726">
        <f>IF(CleanEmployeeData[[#This Row],[Attrition]]="Yes",1,IF(CleanEmployeeData[[#This Row],[Attrition]]="No",0,""))</f>
        <v>0</v>
      </c>
      <c r="AQ726" t="str" cm="1">
        <f t="array" ref="AQ726">_xlfn.IFS(CleanEmployeeData[[#This Row],[MonthlyIncome]]&lt;=3000,"0–3,000",CleanEmployeeData[[#This Row],[MonthlyIncome]]&lt;=6000,"3,001–6,000",CleanEmployeeData[[#This Row],[MonthlyIncome]]&lt;=10000,"6,001–10,000",TRUE,"10,001+")</f>
        <v>3,001–6,000</v>
      </c>
      <c r="AR726" t="str" cm="1">
        <f t="array" ref="AR726">_xlfn.IFS(CleanEmployeeData[[#This Row],[DistanceFromHome]]&lt;=5,"0–5 miles",CleanEmployeeData[[#This Row],[DistanceFromHome]]&lt;=10,"6–10 miles",CleanEmployeeData[[#This Row],[DistanceFromHome]]&lt;=15,"11–15 miles",TRUE,"16+ miles")</f>
        <v>16+ miles</v>
      </c>
      <c r="AS726" t="str" cm="1">
        <f t="array" ref="AS726">_xlfn.IFS(CleanEmployeeData[[#This Row],[YearsAtCompany]]&lt;=1,"0–1 years",CleanEmployeeData[[#This Row],[YearsAtCompany]]&lt;=5,"2–5 years",CleanEmployeeData[[#This Row],[YearsAtCompany]]&lt;=10,"6–10 years",TRUE,"11+ years")</f>
        <v>2–5 years</v>
      </c>
    </row>
    <row r="727" spans="1:4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cm="1">
        <f t="array" ref="AJ727">_xlfn.SWITCH(CleanEmployeeData[[#This Row],[Education]],1,"Below College",2,"College",3,"Bachelor",4,"Master",5,"Doctor","Unknown")</f>
        <v>Master</v>
      </c>
      <c r="AK727" t="str" cm="1">
        <f t="array" ref="AK727">_xlfn.SWITCH(CleanEmployeeData[[#This Row],[EnvironmentSatisfaction]],1,"Low",2,"Medium",3,"High",4,"Very High","Unknown")</f>
        <v>High</v>
      </c>
      <c r="AL727" t="str" cm="1">
        <f t="array" ref="AL727">_xlfn.SWITCH(CleanEmployeeData[[#This Row],[JobInvolvement]],1,"Low",2,"Medium",3,"High",4,"Very High","Unknown")</f>
        <v>Medium</v>
      </c>
      <c r="AM727" t="str" cm="1">
        <f t="array" ref="AM727">_xlfn.SWITCH(CleanEmployeeData[[#This Row],[JobSatisfaction]],1,"Low",2,"Medium",3,"High",4,"Very High","Unknown")</f>
        <v>Medium</v>
      </c>
      <c r="AN727" t="str" cm="1">
        <f t="array" ref="AN727">_xlfn.SWITCH(CleanEmployeeData[[#This Row],[PerformanceRating]],1,"Low",2,"Good",3,"Excellent",4,"Outstanding","Unknown")</f>
        <v>Outstanding</v>
      </c>
      <c r="AO727" t="str" cm="1">
        <f t="array" ref="AO727">_xlfn.SWITCH(CleanEmployeeData[[#This Row],[WorkLifeBalance]],1,"Bad",2,"Good",3,"Better",4,"Best","Unknown")</f>
        <v>Bad</v>
      </c>
      <c r="AP727">
        <f>IF(CleanEmployeeData[[#This Row],[Attrition]]="Yes",1,IF(CleanEmployeeData[[#This Row],[Attrition]]="No",0,""))</f>
        <v>1</v>
      </c>
      <c r="AQ727" t="str" cm="1">
        <f t="array" ref="AQ727">_xlfn.IFS(CleanEmployeeData[[#This Row],[MonthlyIncome]]&lt;=3000,"0–3,000",CleanEmployeeData[[#This Row],[MonthlyIncome]]&lt;=6000,"3,001–6,000",CleanEmployeeData[[#This Row],[MonthlyIncome]]&lt;=10000,"6,001–10,000",TRUE,"10,001+")</f>
        <v>3,001–6,000</v>
      </c>
      <c r="AR727" t="str" cm="1">
        <f t="array" ref="AR727">_xlfn.IFS(CleanEmployeeData[[#This Row],[DistanceFromHome]]&lt;=5,"0–5 miles",CleanEmployeeData[[#This Row],[DistanceFromHome]]&lt;=10,"6–10 miles",CleanEmployeeData[[#This Row],[DistanceFromHome]]&lt;=15,"11–15 miles",TRUE,"16+ miles")</f>
        <v>11–15 miles</v>
      </c>
      <c r="AS727" t="str" cm="1">
        <f t="array" ref="AS727">_xlfn.IFS(CleanEmployeeData[[#This Row],[YearsAtCompany]]&lt;=1,"0–1 years",CleanEmployeeData[[#This Row],[YearsAtCompany]]&lt;=5,"2–5 years",CleanEmployeeData[[#This Row],[YearsAtCompany]]&lt;=10,"6–10 years",TRUE,"11+ years")</f>
        <v>2–5 years</v>
      </c>
    </row>
    <row r="728" spans="1:4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cm="1">
        <f t="array" ref="AJ728">_xlfn.SWITCH(CleanEmployeeData[[#This Row],[Education]],1,"Below College",2,"College",3,"Bachelor",4,"Master",5,"Doctor","Unknown")</f>
        <v>Below College</v>
      </c>
      <c r="AK728" t="str" cm="1">
        <f t="array" ref="AK728">_xlfn.SWITCH(CleanEmployeeData[[#This Row],[EnvironmentSatisfaction]],1,"Low",2,"Medium",3,"High",4,"Very High","Unknown")</f>
        <v>High</v>
      </c>
      <c r="AL728" t="str" cm="1">
        <f t="array" ref="AL728">_xlfn.SWITCH(CleanEmployeeData[[#This Row],[JobInvolvement]],1,"Low",2,"Medium",3,"High",4,"Very High","Unknown")</f>
        <v>High</v>
      </c>
      <c r="AM728" t="str" cm="1">
        <f t="array" ref="AM728">_xlfn.SWITCH(CleanEmployeeData[[#This Row],[JobSatisfaction]],1,"Low",2,"Medium",3,"High",4,"Very High","Unknown")</f>
        <v>Low</v>
      </c>
      <c r="AN728" t="str" cm="1">
        <f t="array" ref="AN728">_xlfn.SWITCH(CleanEmployeeData[[#This Row],[PerformanceRating]],1,"Low",2,"Good",3,"Excellent",4,"Outstanding","Unknown")</f>
        <v>Excellent</v>
      </c>
      <c r="AO728" t="str" cm="1">
        <f t="array" ref="AO728">_xlfn.SWITCH(CleanEmployeeData[[#This Row],[WorkLifeBalance]],1,"Bad",2,"Good",3,"Better",4,"Best","Unknown")</f>
        <v>Better</v>
      </c>
      <c r="AP728">
        <f>IF(CleanEmployeeData[[#This Row],[Attrition]]="Yes",1,IF(CleanEmployeeData[[#This Row],[Attrition]]="No",0,""))</f>
        <v>0</v>
      </c>
      <c r="AQ728" t="str" cm="1">
        <f t="array" ref="AQ728">_xlfn.IFS(CleanEmployeeData[[#This Row],[MonthlyIncome]]&lt;=3000,"0–3,000",CleanEmployeeData[[#This Row],[MonthlyIncome]]&lt;=6000,"3,001–6,000",CleanEmployeeData[[#This Row],[MonthlyIncome]]&lt;=10000,"6,001–10,000",TRUE,"10,001+")</f>
        <v>3,001–6,000</v>
      </c>
      <c r="AR728" t="str" cm="1">
        <f t="array" ref="AR728">_xlfn.IFS(CleanEmployeeData[[#This Row],[DistanceFromHome]]&lt;=5,"0–5 miles",CleanEmployeeData[[#This Row],[DistanceFromHome]]&lt;=10,"6–10 miles",CleanEmployeeData[[#This Row],[DistanceFromHome]]&lt;=15,"11–15 miles",TRUE,"16+ miles")</f>
        <v>0–5 miles</v>
      </c>
      <c r="AS728" t="str" cm="1">
        <f t="array" ref="AS728">_xlfn.IFS(CleanEmployeeData[[#This Row],[YearsAtCompany]]&lt;=1,"0–1 years",CleanEmployeeData[[#This Row],[YearsAtCompany]]&lt;=5,"2–5 years",CleanEmployeeData[[#This Row],[YearsAtCompany]]&lt;=10,"6–10 years",TRUE,"11+ years")</f>
        <v>2–5 years</v>
      </c>
    </row>
    <row r="729" spans="1:4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cm="1">
        <f t="array" ref="AJ729">_xlfn.SWITCH(CleanEmployeeData[[#This Row],[Education]],1,"Below College",2,"College",3,"Bachelor",4,"Master",5,"Doctor","Unknown")</f>
        <v>College</v>
      </c>
      <c r="AK729" t="str" cm="1">
        <f t="array" ref="AK729">_xlfn.SWITCH(CleanEmployeeData[[#This Row],[EnvironmentSatisfaction]],1,"Low",2,"Medium",3,"High",4,"Very High","Unknown")</f>
        <v>Medium</v>
      </c>
      <c r="AL729" t="str" cm="1">
        <f t="array" ref="AL729">_xlfn.SWITCH(CleanEmployeeData[[#This Row],[JobInvolvement]],1,"Low",2,"Medium",3,"High",4,"Very High","Unknown")</f>
        <v>High</v>
      </c>
      <c r="AM729" t="str" cm="1">
        <f t="array" ref="AM729">_xlfn.SWITCH(CleanEmployeeData[[#This Row],[JobSatisfaction]],1,"Low",2,"Medium",3,"High",4,"Very High","Unknown")</f>
        <v>Very High</v>
      </c>
      <c r="AN729" t="str" cm="1">
        <f t="array" ref="AN729">_xlfn.SWITCH(CleanEmployeeData[[#This Row],[PerformanceRating]],1,"Low",2,"Good",3,"Excellent",4,"Outstanding","Unknown")</f>
        <v>Excellent</v>
      </c>
      <c r="AO729" t="str" cm="1">
        <f t="array" ref="AO729">_xlfn.SWITCH(CleanEmployeeData[[#This Row],[WorkLifeBalance]],1,"Bad",2,"Good",3,"Better",4,"Best","Unknown")</f>
        <v>Better</v>
      </c>
      <c r="AP729">
        <f>IF(CleanEmployeeData[[#This Row],[Attrition]]="Yes",1,IF(CleanEmployeeData[[#This Row],[Attrition]]="No",0,""))</f>
        <v>0</v>
      </c>
      <c r="AQ729" t="str" cm="1">
        <f t="array" ref="AQ729">_xlfn.IFS(CleanEmployeeData[[#This Row],[MonthlyIncome]]&lt;=3000,"0–3,000",CleanEmployeeData[[#This Row],[MonthlyIncome]]&lt;=6000,"3,001–6,000",CleanEmployeeData[[#This Row],[MonthlyIncome]]&lt;=10000,"6,001–10,000",TRUE,"10,001+")</f>
        <v>0–3,000</v>
      </c>
      <c r="AR729" t="str" cm="1">
        <f t="array" ref="AR729">_xlfn.IFS(CleanEmployeeData[[#This Row],[DistanceFromHome]]&lt;=5,"0–5 miles",CleanEmployeeData[[#This Row],[DistanceFromHome]]&lt;=10,"6–10 miles",CleanEmployeeData[[#This Row],[DistanceFromHome]]&lt;=15,"11–15 miles",TRUE,"16+ miles")</f>
        <v>0–5 miles</v>
      </c>
      <c r="AS729" t="str" cm="1">
        <f t="array" ref="AS729">_xlfn.IFS(CleanEmployeeData[[#This Row],[YearsAtCompany]]&lt;=1,"0–1 years",CleanEmployeeData[[#This Row],[YearsAtCompany]]&lt;=5,"2–5 years",CleanEmployeeData[[#This Row],[YearsAtCompany]]&lt;=10,"6–10 years",TRUE,"11+ years")</f>
        <v>0–1 years</v>
      </c>
    </row>
    <row r="730" spans="1:4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cm="1">
        <f t="array" ref="AJ730">_xlfn.SWITCH(CleanEmployeeData[[#This Row],[Education]],1,"Below College",2,"College",3,"Bachelor",4,"Master",5,"Doctor","Unknown")</f>
        <v>Bachelor</v>
      </c>
      <c r="AK730" t="str" cm="1">
        <f t="array" ref="AK730">_xlfn.SWITCH(CleanEmployeeData[[#This Row],[EnvironmentSatisfaction]],1,"Low",2,"Medium",3,"High",4,"Very High","Unknown")</f>
        <v>High</v>
      </c>
      <c r="AL730" t="str" cm="1">
        <f t="array" ref="AL730">_xlfn.SWITCH(CleanEmployeeData[[#This Row],[JobInvolvement]],1,"Low",2,"Medium",3,"High",4,"Very High","Unknown")</f>
        <v>High</v>
      </c>
      <c r="AM730" t="str" cm="1">
        <f t="array" ref="AM730">_xlfn.SWITCH(CleanEmployeeData[[#This Row],[JobSatisfaction]],1,"Low",2,"Medium",3,"High",4,"Very High","Unknown")</f>
        <v>High</v>
      </c>
      <c r="AN730" t="str" cm="1">
        <f t="array" ref="AN730">_xlfn.SWITCH(CleanEmployeeData[[#This Row],[PerformanceRating]],1,"Low",2,"Good",3,"Excellent",4,"Outstanding","Unknown")</f>
        <v>Excellent</v>
      </c>
      <c r="AO730" t="str" cm="1">
        <f t="array" ref="AO730">_xlfn.SWITCH(CleanEmployeeData[[#This Row],[WorkLifeBalance]],1,"Bad",2,"Good",3,"Better",4,"Best","Unknown")</f>
        <v>Better</v>
      </c>
      <c r="AP730">
        <f>IF(CleanEmployeeData[[#This Row],[Attrition]]="Yes",1,IF(CleanEmployeeData[[#This Row],[Attrition]]="No",0,""))</f>
        <v>0</v>
      </c>
      <c r="AQ730" t="str" cm="1">
        <f t="array" ref="AQ730">_xlfn.IFS(CleanEmployeeData[[#This Row],[MonthlyIncome]]&lt;=3000,"0–3,000",CleanEmployeeData[[#This Row],[MonthlyIncome]]&lt;=6000,"3,001–6,000",CleanEmployeeData[[#This Row],[MonthlyIncome]]&lt;=10000,"6,001–10,000",TRUE,"10,001+")</f>
        <v>10,001+</v>
      </c>
      <c r="AR730" t="str" cm="1">
        <f t="array" ref="AR730">_xlfn.IFS(CleanEmployeeData[[#This Row],[DistanceFromHome]]&lt;=5,"0–5 miles",CleanEmployeeData[[#This Row],[DistanceFromHome]]&lt;=10,"6–10 miles",CleanEmployeeData[[#This Row],[DistanceFromHome]]&lt;=15,"11–15 miles",TRUE,"16+ miles")</f>
        <v>16+ miles</v>
      </c>
      <c r="AS730" t="str" cm="1">
        <f t="array" ref="AS730">_xlfn.IFS(CleanEmployeeData[[#This Row],[YearsAtCompany]]&lt;=1,"0–1 years",CleanEmployeeData[[#This Row],[YearsAtCompany]]&lt;=5,"2–5 years",CleanEmployeeData[[#This Row],[YearsAtCompany]]&lt;=10,"6–10 years",TRUE,"11+ years")</f>
        <v>6–10 years</v>
      </c>
    </row>
    <row r="731" spans="1:4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cm="1">
        <f t="array" ref="AJ731">_xlfn.SWITCH(CleanEmployeeData[[#This Row],[Education]],1,"Below College",2,"College",3,"Bachelor",4,"Master",5,"Doctor","Unknown")</f>
        <v>Master</v>
      </c>
      <c r="AK731" t="str" cm="1">
        <f t="array" ref="AK731">_xlfn.SWITCH(CleanEmployeeData[[#This Row],[EnvironmentSatisfaction]],1,"Low",2,"Medium",3,"High",4,"Very High","Unknown")</f>
        <v>High</v>
      </c>
      <c r="AL731" t="str" cm="1">
        <f t="array" ref="AL731">_xlfn.SWITCH(CleanEmployeeData[[#This Row],[JobInvolvement]],1,"Low",2,"Medium",3,"High",4,"Very High","Unknown")</f>
        <v>High</v>
      </c>
      <c r="AM731" t="str" cm="1">
        <f t="array" ref="AM731">_xlfn.SWITCH(CleanEmployeeData[[#This Row],[JobSatisfaction]],1,"Low",2,"Medium",3,"High",4,"Very High","Unknown")</f>
        <v>High</v>
      </c>
      <c r="AN731" t="str" cm="1">
        <f t="array" ref="AN731">_xlfn.SWITCH(CleanEmployeeData[[#This Row],[PerformanceRating]],1,"Low",2,"Good",3,"Excellent",4,"Outstanding","Unknown")</f>
        <v>Excellent</v>
      </c>
      <c r="AO731" t="str" cm="1">
        <f t="array" ref="AO731">_xlfn.SWITCH(CleanEmployeeData[[#This Row],[WorkLifeBalance]],1,"Bad",2,"Good",3,"Better",4,"Best","Unknown")</f>
        <v>Good</v>
      </c>
      <c r="AP731">
        <f>IF(CleanEmployeeData[[#This Row],[Attrition]]="Yes",1,IF(CleanEmployeeData[[#This Row],[Attrition]]="No",0,""))</f>
        <v>0</v>
      </c>
      <c r="AQ731" t="str" cm="1">
        <f t="array" ref="AQ731">_xlfn.IFS(CleanEmployeeData[[#This Row],[MonthlyIncome]]&lt;=3000,"0–3,000",CleanEmployeeData[[#This Row],[MonthlyIncome]]&lt;=6000,"3,001–6,000",CleanEmployeeData[[#This Row],[MonthlyIncome]]&lt;=10000,"6,001–10,000",TRUE,"10,001+")</f>
        <v>10,001+</v>
      </c>
      <c r="AR731" t="str" cm="1">
        <f t="array" ref="AR731">_xlfn.IFS(CleanEmployeeData[[#This Row],[DistanceFromHome]]&lt;=5,"0–5 miles",CleanEmployeeData[[#This Row],[DistanceFromHome]]&lt;=10,"6–10 miles",CleanEmployeeData[[#This Row],[DistanceFromHome]]&lt;=15,"11–15 miles",TRUE,"16+ miles")</f>
        <v>16+ miles</v>
      </c>
      <c r="AS731" t="str" cm="1">
        <f t="array" ref="AS731">_xlfn.IFS(CleanEmployeeData[[#This Row],[YearsAtCompany]]&lt;=1,"0–1 years",CleanEmployeeData[[#This Row],[YearsAtCompany]]&lt;=5,"2–5 years",CleanEmployeeData[[#This Row],[YearsAtCompany]]&lt;=10,"6–10 years",TRUE,"11+ years")</f>
        <v>11+ years</v>
      </c>
    </row>
    <row r="732" spans="1:4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cm="1">
        <f t="array" ref="AJ732">_xlfn.SWITCH(CleanEmployeeData[[#This Row],[Education]],1,"Below College",2,"College",3,"Bachelor",4,"Master",5,"Doctor","Unknown")</f>
        <v>College</v>
      </c>
      <c r="AK732" t="str" cm="1">
        <f t="array" ref="AK732">_xlfn.SWITCH(CleanEmployeeData[[#This Row],[EnvironmentSatisfaction]],1,"Low",2,"Medium",3,"High",4,"Very High","Unknown")</f>
        <v>Medium</v>
      </c>
      <c r="AL732" t="str" cm="1">
        <f t="array" ref="AL732">_xlfn.SWITCH(CleanEmployeeData[[#This Row],[JobInvolvement]],1,"Low",2,"Medium",3,"High",4,"Very High","Unknown")</f>
        <v>Very High</v>
      </c>
      <c r="AM732" t="str" cm="1">
        <f t="array" ref="AM732">_xlfn.SWITCH(CleanEmployeeData[[#This Row],[JobSatisfaction]],1,"Low",2,"Medium",3,"High",4,"Very High","Unknown")</f>
        <v>Low</v>
      </c>
      <c r="AN732" t="str" cm="1">
        <f t="array" ref="AN732">_xlfn.SWITCH(CleanEmployeeData[[#This Row],[PerformanceRating]],1,"Low",2,"Good",3,"Excellent",4,"Outstanding","Unknown")</f>
        <v>Excellent</v>
      </c>
      <c r="AO732" t="str" cm="1">
        <f t="array" ref="AO732">_xlfn.SWITCH(CleanEmployeeData[[#This Row],[WorkLifeBalance]],1,"Bad",2,"Good",3,"Better",4,"Best","Unknown")</f>
        <v>Good</v>
      </c>
      <c r="AP732">
        <f>IF(CleanEmployeeData[[#This Row],[Attrition]]="Yes",1,IF(CleanEmployeeData[[#This Row],[Attrition]]="No",0,""))</f>
        <v>0</v>
      </c>
      <c r="AQ732" t="str" cm="1">
        <f t="array" ref="AQ732">_xlfn.IFS(CleanEmployeeData[[#This Row],[MonthlyIncome]]&lt;=3000,"0–3,000",CleanEmployeeData[[#This Row],[MonthlyIncome]]&lt;=6000,"3,001–6,000",CleanEmployeeData[[#This Row],[MonthlyIncome]]&lt;=10000,"6,001–10,000",TRUE,"10,001+")</f>
        <v>10,001+</v>
      </c>
      <c r="AR732" t="str" cm="1">
        <f t="array" ref="AR732">_xlfn.IFS(CleanEmployeeData[[#This Row],[DistanceFromHome]]&lt;=5,"0–5 miles",CleanEmployeeData[[#This Row],[DistanceFromHome]]&lt;=10,"6–10 miles",CleanEmployeeData[[#This Row],[DistanceFromHome]]&lt;=15,"11–15 miles",TRUE,"16+ miles")</f>
        <v>6–10 miles</v>
      </c>
      <c r="AS732" t="str" cm="1">
        <f t="array" ref="AS732">_xlfn.IFS(CleanEmployeeData[[#This Row],[YearsAtCompany]]&lt;=1,"0–1 years",CleanEmployeeData[[#This Row],[YearsAtCompany]]&lt;=5,"2–5 years",CleanEmployeeData[[#This Row],[YearsAtCompany]]&lt;=10,"6–10 years",TRUE,"11+ years")</f>
        <v>6–10 years</v>
      </c>
    </row>
    <row r="733" spans="1:4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cm="1">
        <f t="array" ref="AJ733">_xlfn.SWITCH(CleanEmployeeData[[#This Row],[Education]],1,"Below College",2,"College",3,"Bachelor",4,"Master",5,"Doctor","Unknown")</f>
        <v>Bachelor</v>
      </c>
      <c r="AK733" t="str" cm="1">
        <f t="array" ref="AK733">_xlfn.SWITCH(CleanEmployeeData[[#This Row],[EnvironmentSatisfaction]],1,"Low",2,"Medium",3,"High",4,"Very High","Unknown")</f>
        <v>Very High</v>
      </c>
      <c r="AL733" t="str" cm="1">
        <f t="array" ref="AL733">_xlfn.SWITCH(CleanEmployeeData[[#This Row],[JobInvolvement]],1,"Low",2,"Medium",3,"High",4,"Very High","Unknown")</f>
        <v>Medium</v>
      </c>
      <c r="AM733" t="str" cm="1">
        <f t="array" ref="AM733">_xlfn.SWITCH(CleanEmployeeData[[#This Row],[JobSatisfaction]],1,"Low",2,"Medium",3,"High",4,"Very High","Unknown")</f>
        <v>Low</v>
      </c>
      <c r="AN733" t="str" cm="1">
        <f t="array" ref="AN733">_xlfn.SWITCH(CleanEmployeeData[[#This Row],[PerformanceRating]],1,"Low",2,"Good",3,"Excellent",4,"Outstanding","Unknown")</f>
        <v>Excellent</v>
      </c>
      <c r="AO733" t="str" cm="1">
        <f t="array" ref="AO733">_xlfn.SWITCH(CleanEmployeeData[[#This Row],[WorkLifeBalance]],1,"Bad",2,"Good",3,"Better",4,"Best","Unknown")</f>
        <v>Better</v>
      </c>
      <c r="AP733">
        <f>IF(CleanEmployeeData[[#This Row],[Attrition]]="Yes",1,IF(CleanEmployeeData[[#This Row],[Attrition]]="No",0,""))</f>
        <v>1</v>
      </c>
      <c r="AQ733" t="str" cm="1">
        <f t="array" ref="AQ733">_xlfn.IFS(CleanEmployeeData[[#This Row],[MonthlyIncome]]&lt;=3000,"0–3,000",CleanEmployeeData[[#This Row],[MonthlyIncome]]&lt;=6000,"3,001–6,000",CleanEmployeeData[[#This Row],[MonthlyIncome]]&lt;=10000,"6,001–10,000",TRUE,"10,001+")</f>
        <v>0–3,000</v>
      </c>
      <c r="AR733" t="str" cm="1">
        <f t="array" ref="AR733">_xlfn.IFS(CleanEmployeeData[[#This Row],[DistanceFromHome]]&lt;=5,"0–5 miles",CleanEmployeeData[[#This Row],[DistanceFromHome]]&lt;=10,"6–10 miles",CleanEmployeeData[[#This Row],[DistanceFromHome]]&lt;=15,"11–15 miles",TRUE,"16+ miles")</f>
        <v>11–15 miles</v>
      </c>
      <c r="AS733" t="str" cm="1">
        <f t="array" ref="AS733">_xlfn.IFS(CleanEmployeeData[[#This Row],[YearsAtCompany]]&lt;=1,"0–1 years",CleanEmployeeData[[#This Row],[YearsAtCompany]]&lt;=5,"2–5 years",CleanEmployeeData[[#This Row],[YearsAtCompany]]&lt;=10,"6–10 years",TRUE,"11+ years")</f>
        <v>0–1 years</v>
      </c>
    </row>
    <row r="734" spans="1:4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cm="1">
        <f t="array" ref="AJ734">_xlfn.SWITCH(CleanEmployeeData[[#This Row],[Education]],1,"Below College",2,"College",3,"Bachelor",4,"Master",5,"Doctor","Unknown")</f>
        <v>Bachelor</v>
      </c>
      <c r="AK734" t="str" cm="1">
        <f t="array" ref="AK734">_xlfn.SWITCH(CleanEmployeeData[[#This Row],[EnvironmentSatisfaction]],1,"Low",2,"Medium",3,"High",4,"Very High","Unknown")</f>
        <v>Medium</v>
      </c>
      <c r="AL734" t="str" cm="1">
        <f t="array" ref="AL734">_xlfn.SWITCH(CleanEmployeeData[[#This Row],[JobInvolvement]],1,"Low",2,"Medium",3,"High",4,"Very High","Unknown")</f>
        <v>High</v>
      </c>
      <c r="AM734" t="str" cm="1">
        <f t="array" ref="AM734">_xlfn.SWITCH(CleanEmployeeData[[#This Row],[JobSatisfaction]],1,"Low",2,"Medium",3,"High",4,"Very High","Unknown")</f>
        <v>Medium</v>
      </c>
      <c r="AN734" t="str" cm="1">
        <f t="array" ref="AN734">_xlfn.SWITCH(CleanEmployeeData[[#This Row],[PerformanceRating]],1,"Low",2,"Good",3,"Excellent",4,"Outstanding","Unknown")</f>
        <v>Excellent</v>
      </c>
      <c r="AO734" t="str" cm="1">
        <f t="array" ref="AO734">_xlfn.SWITCH(CleanEmployeeData[[#This Row],[WorkLifeBalance]],1,"Bad",2,"Good",3,"Better",4,"Best","Unknown")</f>
        <v>Better</v>
      </c>
      <c r="AP734">
        <f>IF(CleanEmployeeData[[#This Row],[Attrition]]="Yes",1,IF(CleanEmployeeData[[#This Row],[Attrition]]="No",0,""))</f>
        <v>1</v>
      </c>
      <c r="AQ734" t="str" cm="1">
        <f t="array" ref="AQ734">_xlfn.IFS(CleanEmployeeData[[#This Row],[MonthlyIncome]]&lt;=3000,"0–3,000",CleanEmployeeData[[#This Row],[MonthlyIncome]]&lt;=6000,"3,001–6,000",CleanEmployeeData[[#This Row],[MonthlyIncome]]&lt;=10000,"6,001–10,000",TRUE,"10,001+")</f>
        <v>0–3,000</v>
      </c>
      <c r="AR734" t="str" cm="1">
        <f t="array" ref="AR734">_xlfn.IFS(CleanEmployeeData[[#This Row],[DistanceFromHome]]&lt;=5,"0–5 miles",CleanEmployeeData[[#This Row],[DistanceFromHome]]&lt;=10,"6–10 miles",CleanEmployeeData[[#This Row],[DistanceFromHome]]&lt;=15,"11–15 miles",TRUE,"16+ miles")</f>
        <v>0–5 miles</v>
      </c>
      <c r="AS734" t="str" cm="1">
        <f t="array" ref="AS734">_xlfn.IFS(CleanEmployeeData[[#This Row],[YearsAtCompany]]&lt;=1,"0–1 years",CleanEmployeeData[[#This Row],[YearsAtCompany]]&lt;=5,"2–5 years",CleanEmployeeData[[#This Row],[YearsAtCompany]]&lt;=10,"6–10 years",TRUE,"11+ years")</f>
        <v>2–5 years</v>
      </c>
    </row>
    <row r="735" spans="1:4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cm="1">
        <f t="array" ref="AJ735">_xlfn.SWITCH(CleanEmployeeData[[#This Row],[Education]],1,"Below College",2,"College",3,"Bachelor",4,"Master",5,"Doctor","Unknown")</f>
        <v>College</v>
      </c>
      <c r="AK735" t="str" cm="1">
        <f t="array" ref="AK735">_xlfn.SWITCH(CleanEmployeeData[[#This Row],[EnvironmentSatisfaction]],1,"Low",2,"Medium",3,"High",4,"Very High","Unknown")</f>
        <v>Very High</v>
      </c>
      <c r="AL735" t="str" cm="1">
        <f t="array" ref="AL735">_xlfn.SWITCH(CleanEmployeeData[[#This Row],[JobInvolvement]],1,"Low",2,"Medium",3,"High",4,"Very High","Unknown")</f>
        <v>Very High</v>
      </c>
      <c r="AM735" t="str" cm="1">
        <f t="array" ref="AM735">_xlfn.SWITCH(CleanEmployeeData[[#This Row],[JobSatisfaction]],1,"Low",2,"Medium",3,"High",4,"Very High","Unknown")</f>
        <v>Very High</v>
      </c>
      <c r="AN735" t="str" cm="1">
        <f t="array" ref="AN735">_xlfn.SWITCH(CleanEmployeeData[[#This Row],[PerformanceRating]],1,"Low",2,"Good",3,"Excellent",4,"Outstanding","Unknown")</f>
        <v>Excellent</v>
      </c>
      <c r="AO735" t="str" cm="1">
        <f t="array" ref="AO735">_xlfn.SWITCH(CleanEmployeeData[[#This Row],[WorkLifeBalance]],1,"Bad",2,"Good",3,"Better",4,"Best","Unknown")</f>
        <v>Better</v>
      </c>
      <c r="AP735">
        <f>IF(CleanEmployeeData[[#This Row],[Attrition]]="Yes",1,IF(CleanEmployeeData[[#This Row],[Attrition]]="No",0,""))</f>
        <v>0</v>
      </c>
      <c r="AQ735" t="str" cm="1">
        <f t="array" ref="AQ735">_xlfn.IFS(CleanEmployeeData[[#This Row],[MonthlyIncome]]&lt;=3000,"0–3,000",CleanEmployeeData[[#This Row],[MonthlyIncome]]&lt;=6000,"3,001–6,000",CleanEmployeeData[[#This Row],[MonthlyIncome]]&lt;=10000,"6,001–10,000",TRUE,"10,001+")</f>
        <v>3,001–6,000</v>
      </c>
      <c r="AR735" t="str" cm="1">
        <f t="array" ref="AR735">_xlfn.IFS(CleanEmployeeData[[#This Row],[DistanceFromHome]]&lt;=5,"0–5 miles",CleanEmployeeData[[#This Row],[DistanceFromHome]]&lt;=10,"6–10 miles",CleanEmployeeData[[#This Row],[DistanceFromHome]]&lt;=15,"11–15 miles",TRUE,"16+ miles")</f>
        <v>0–5 miles</v>
      </c>
      <c r="AS735" t="str" cm="1">
        <f t="array" ref="AS735">_xlfn.IFS(CleanEmployeeData[[#This Row],[YearsAtCompany]]&lt;=1,"0–1 years",CleanEmployeeData[[#This Row],[YearsAtCompany]]&lt;=5,"2–5 years",CleanEmployeeData[[#This Row],[YearsAtCompany]]&lt;=10,"6–10 years",TRUE,"11+ years")</f>
        <v>6–10 years</v>
      </c>
    </row>
    <row r="736" spans="1:4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cm="1">
        <f t="array" ref="AJ736">_xlfn.SWITCH(CleanEmployeeData[[#This Row],[Education]],1,"Below College",2,"College",3,"Bachelor",4,"Master",5,"Doctor","Unknown")</f>
        <v>Below College</v>
      </c>
      <c r="AK736" t="str" cm="1">
        <f t="array" ref="AK736">_xlfn.SWITCH(CleanEmployeeData[[#This Row],[EnvironmentSatisfaction]],1,"Low",2,"Medium",3,"High",4,"Very High","Unknown")</f>
        <v>Medium</v>
      </c>
      <c r="AL736" t="str" cm="1">
        <f t="array" ref="AL736">_xlfn.SWITCH(CleanEmployeeData[[#This Row],[JobInvolvement]],1,"Low",2,"Medium",3,"High",4,"Very High","Unknown")</f>
        <v>Low</v>
      </c>
      <c r="AM736" t="str" cm="1">
        <f t="array" ref="AM736">_xlfn.SWITCH(CleanEmployeeData[[#This Row],[JobSatisfaction]],1,"Low",2,"Medium",3,"High",4,"Very High","Unknown")</f>
        <v>Low</v>
      </c>
      <c r="AN736" t="str" cm="1">
        <f t="array" ref="AN736">_xlfn.SWITCH(CleanEmployeeData[[#This Row],[PerformanceRating]],1,"Low",2,"Good",3,"Excellent",4,"Outstanding","Unknown")</f>
        <v>Excellent</v>
      </c>
      <c r="AO736" t="str" cm="1">
        <f t="array" ref="AO736">_xlfn.SWITCH(CleanEmployeeData[[#This Row],[WorkLifeBalance]],1,"Bad",2,"Good",3,"Better",4,"Best","Unknown")</f>
        <v>Good</v>
      </c>
      <c r="AP736">
        <f>IF(CleanEmployeeData[[#This Row],[Attrition]]="Yes",1,IF(CleanEmployeeData[[#This Row],[Attrition]]="No",0,""))</f>
        <v>0</v>
      </c>
      <c r="AQ736" t="str" cm="1">
        <f t="array" ref="AQ736">_xlfn.IFS(CleanEmployeeData[[#This Row],[MonthlyIncome]]&lt;=3000,"0–3,000",CleanEmployeeData[[#This Row],[MonthlyIncome]]&lt;=6000,"3,001–6,000",CleanEmployeeData[[#This Row],[MonthlyIncome]]&lt;=10000,"6,001–10,000",TRUE,"10,001+")</f>
        <v>0–3,000</v>
      </c>
      <c r="AR736" t="str" cm="1">
        <f t="array" ref="AR736">_xlfn.IFS(CleanEmployeeData[[#This Row],[DistanceFromHome]]&lt;=5,"0–5 miles",CleanEmployeeData[[#This Row],[DistanceFromHome]]&lt;=10,"6–10 miles",CleanEmployeeData[[#This Row],[DistanceFromHome]]&lt;=15,"11–15 miles",TRUE,"16+ miles")</f>
        <v>6–10 miles</v>
      </c>
      <c r="AS736" t="str" cm="1">
        <f t="array" ref="AS736">_xlfn.IFS(CleanEmployeeData[[#This Row],[YearsAtCompany]]&lt;=1,"0–1 years",CleanEmployeeData[[#This Row],[YearsAtCompany]]&lt;=5,"2–5 years",CleanEmployeeData[[#This Row],[YearsAtCompany]]&lt;=10,"6–10 years",TRUE,"11+ years")</f>
        <v>2–5 years</v>
      </c>
    </row>
    <row r="737" spans="1:4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cm="1">
        <f t="array" ref="AJ737">_xlfn.SWITCH(CleanEmployeeData[[#This Row],[Education]],1,"Below College",2,"College",3,"Bachelor",4,"Master",5,"Doctor","Unknown")</f>
        <v>Bachelor</v>
      </c>
      <c r="AK737" t="str" cm="1">
        <f t="array" ref="AK737">_xlfn.SWITCH(CleanEmployeeData[[#This Row],[EnvironmentSatisfaction]],1,"Low",2,"Medium",3,"High",4,"Very High","Unknown")</f>
        <v>Low</v>
      </c>
      <c r="AL737" t="str" cm="1">
        <f t="array" ref="AL737">_xlfn.SWITCH(CleanEmployeeData[[#This Row],[JobInvolvement]],1,"Low",2,"Medium",3,"High",4,"Very High","Unknown")</f>
        <v>Medium</v>
      </c>
      <c r="AM737" t="str" cm="1">
        <f t="array" ref="AM737">_xlfn.SWITCH(CleanEmployeeData[[#This Row],[JobSatisfaction]],1,"Low",2,"Medium",3,"High",4,"Very High","Unknown")</f>
        <v>High</v>
      </c>
      <c r="AN737" t="str" cm="1">
        <f t="array" ref="AN737">_xlfn.SWITCH(CleanEmployeeData[[#This Row],[PerformanceRating]],1,"Low",2,"Good",3,"Excellent",4,"Outstanding","Unknown")</f>
        <v>Excellent</v>
      </c>
      <c r="AO737" t="str" cm="1">
        <f t="array" ref="AO737">_xlfn.SWITCH(CleanEmployeeData[[#This Row],[WorkLifeBalance]],1,"Bad",2,"Good",3,"Better",4,"Best","Unknown")</f>
        <v>Better</v>
      </c>
      <c r="AP737">
        <f>IF(CleanEmployeeData[[#This Row],[Attrition]]="Yes",1,IF(CleanEmployeeData[[#This Row],[Attrition]]="No",0,""))</f>
        <v>0</v>
      </c>
      <c r="AQ737" t="str" cm="1">
        <f t="array" ref="AQ737">_xlfn.IFS(CleanEmployeeData[[#This Row],[MonthlyIncome]]&lt;=3000,"0–3,000",CleanEmployeeData[[#This Row],[MonthlyIncome]]&lt;=6000,"3,001–6,000",CleanEmployeeData[[#This Row],[MonthlyIncome]]&lt;=10000,"6,001–10,000",TRUE,"10,001+")</f>
        <v>3,001–6,000</v>
      </c>
      <c r="AR737" t="str" cm="1">
        <f t="array" ref="AR737">_xlfn.IFS(CleanEmployeeData[[#This Row],[DistanceFromHome]]&lt;=5,"0–5 miles",CleanEmployeeData[[#This Row],[DistanceFromHome]]&lt;=10,"6–10 miles",CleanEmployeeData[[#This Row],[DistanceFromHome]]&lt;=15,"11–15 miles",TRUE,"16+ miles")</f>
        <v>6–10 miles</v>
      </c>
      <c r="AS737" t="str" cm="1">
        <f t="array" ref="AS737">_xlfn.IFS(CleanEmployeeData[[#This Row],[YearsAtCompany]]&lt;=1,"0–1 years",CleanEmployeeData[[#This Row],[YearsAtCompany]]&lt;=5,"2–5 years",CleanEmployeeData[[#This Row],[YearsAtCompany]]&lt;=10,"6–10 years",TRUE,"11+ years")</f>
        <v>2–5 years</v>
      </c>
    </row>
    <row r="738" spans="1:4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cm="1">
        <f t="array" ref="AJ738">_xlfn.SWITCH(CleanEmployeeData[[#This Row],[Education]],1,"Below College",2,"College",3,"Bachelor",4,"Master",5,"Doctor","Unknown")</f>
        <v>Master</v>
      </c>
      <c r="AK738" t="str" cm="1">
        <f t="array" ref="AK738">_xlfn.SWITCH(CleanEmployeeData[[#This Row],[EnvironmentSatisfaction]],1,"Low",2,"Medium",3,"High",4,"Very High","Unknown")</f>
        <v>High</v>
      </c>
      <c r="AL738" t="str" cm="1">
        <f t="array" ref="AL738">_xlfn.SWITCH(CleanEmployeeData[[#This Row],[JobInvolvement]],1,"Low",2,"Medium",3,"High",4,"Very High","Unknown")</f>
        <v>Medium</v>
      </c>
      <c r="AM738" t="str" cm="1">
        <f t="array" ref="AM738">_xlfn.SWITCH(CleanEmployeeData[[#This Row],[JobSatisfaction]],1,"Low",2,"Medium",3,"High",4,"Very High","Unknown")</f>
        <v>High</v>
      </c>
      <c r="AN738" t="str" cm="1">
        <f t="array" ref="AN738">_xlfn.SWITCH(CleanEmployeeData[[#This Row],[PerformanceRating]],1,"Low",2,"Good",3,"Excellent",4,"Outstanding","Unknown")</f>
        <v>Excellent</v>
      </c>
      <c r="AO738" t="str" cm="1">
        <f t="array" ref="AO738">_xlfn.SWITCH(CleanEmployeeData[[#This Row],[WorkLifeBalance]],1,"Bad",2,"Good",3,"Better",4,"Best","Unknown")</f>
        <v>Better</v>
      </c>
      <c r="AP738">
        <f>IF(CleanEmployeeData[[#This Row],[Attrition]]="Yes",1,IF(CleanEmployeeData[[#This Row],[Attrition]]="No",0,""))</f>
        <v>0</v>
      </c>
      <c r="AQ738" t="str" cm="1">
        <f t="array" ref="AQ738">_xlfn.IFS(CleanEmployeeData[[#This Row],[MonthlyIncome]]&lt;=3000,"0–3,000",CleanEmployeeData[[#This Row],[MonthlyIncome]]&lt;=6000,"3,001–6,000",CleanEmployeeData[[#This Row],[MonthlyIncome]]&lt;=10000,"6,001–10,000",TRUE,"10,001+")</f>
        <v>10,001+</v>
      </c>
      <c r="AR738" t="str" cm="1">
        <f t="array" ref="AR738">_xlfn.IFS(CleanEmployeeData[[#This Row],[DistanceFromHome]]&lt;=5,"0–5 miles",CleanEmployeeData[[#This Row],[DistanceFromHome]]&lt;=10,"6–10 miles",CleanEmployeeData[[#This Row],[DistanceFromHome]]&lt;=15,"11–15 miles",TRUE,"16+ miles")</f>
        <v>0–5 miles</v>
      </c>
      <c r="AS738" t="str" cm="1">
        <f t="array" ref="AS738">_xlfn.IFS(CleanEmployeeData[[#This Row],[YearsAtCompany]]&lt;=1,"0–1 years",CleanEmployeeData[[#This Row],[YearsAtCompany]]&lt;=5,"2–5 years",CleanEmployeeData[[#This Row],[YearsAtCompany]]&lt;=10,"6–10 years",TRUE,"11+ years")</f>
        <v>11+ years</v>
      </c>
    </row>
    <row r="739" spans="1:4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cm="1">
        <f t="array" ref="AJ739">_xlfn.SWITCH(CleanEmployeeData[[#This Row],[Education]],1,"Below College",2,"College",3,"Bachelor",4,"Master",5,"Doctor","Unknown")</f>
        <v>College</v>
      </c>
      <c r="AK739" t="str" cm="1">
        <f t="array" ref="AK739">_xlfn.SWITCH(CleanEmployeeData[[#This Row],[EnvironmentSatisfaction]],1,"Low",2,"Medium",3,"High",4,"Very High","Unknown")</f>
        <v>Very High</v>
      </c>
      <c r="AL739" t="str" cm="1">
        <f t="array" ref="AL739">_xlfn.SWITCH(CleanEmployeeData[[#This Row],[JobInvolvement]],1,"Low",2,"Medium",3,"High",4,"Very High","Unknown")</f>
        <v>High</v>
      </c>
      <c r="AM739" t="str" cm="1">
        <f t="array" ref="AM739">_xlfn.SWITCH(CleanEmployeeData[[#This Row],[JobSatisfaction]],1,"Low",2,"Medium",3,"High",4,"Very High","Unknown")</f>
        <v>High</v>
      </c>
      <c r="AN739" t="str" cm="1">
        <f t="array" ref="AN739">_xlfn.SWITCH(CleanEmployeeData[[#This Row],[PerformanceRating]],1,"Low",2,"Good",3,"Excellent",4,"Outstanding","Unknown")</f>
        <v>Excellent</v>
      </c>
      <c r="AO739" t="str" cm="1">
        <f t="array" ref="AO739">_xlfn.SWITCH(CleanEmployeeData[[#This Row],[WorkLifeBalance]],1,"Bad",2,"Good",3,"Better",4,"Best","Unknown")</f>
        <v>Better</v>
      </c>
      <c r="AP739">
        <f>IF(CleanEmployeeData[[#This Row],[Attrition]]="Yes",1,IF(CleanEmployeeData[[#This Row],[Attrition]]="No",0,""))</f>
        <v>0</v>
      </c>
      <c r="AQ739" t="str" cm="1">
        <f t="array" ref="AQ739">_xlfn.IFS(CleanEmployeeData[[#This Row],[MonthlyIncome]]&lt;=3000,"0–3,000",CleanEmployeeData[[#This Row],[MonthlyIncome]]&lt;=6000,"3,001–6,000",CleanEmployeeData[[#This Row],[MonthlyIncome]]&lt;=10000,"6,001–10,000",TRUE,"10,001+")</f>
        <v>3,001–6,000</v>
      </c>
      <c r="AR739" t="str" cm="1">
        <f t="array" ref="AR739">_xlfn.IFS(CleanEmployeeData[[#This Row],[DistanceFromHome]]&lt;=5,"0–5 miles",CleanEmployeeData[[#This Row],[DistanceFromHome]]&lt;=10,"6–10 miles",CleanEmployeeData[[#This Row],[DistanceFromHome]]&lt;=15,"11–15 miles",TRUE,"16+ miles")</f>
        <v>6–10 miles</v>
      </c>
      <c r="AS739" t="str" cm="1">
        <f t="array" ref="AS739">_xlfn.IFS(CleanEmployeeData[[#This Row],[YearsAtCompany]]&lt;=1,"0–1 years",CleanEmployeeData[[#This Row],[YearsAtCompany]]&lt;=5,"2–5 years",CleanEmployeeData[[#This Row],[YearsAtCompany]]&lt;=10,"6–10 years",TRUE,"11+ years")</f>
        <v>2–5 years</v>
      </c>
    </row>
    <row r="740" spans="1:4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cm="1">
        <f t="array" ref="AJ740">_xlfn.SWITCH(CleanEmployeeData[[#This Row],[Education]],1,"Below College",2,"College",3,"Bachelor",4,"Master",5,"Doctor","Unknown")</f>
        <v>Below College</v>
      </c>
      <c r="AK740" t="str" cm="1">
        <f t="array" ref="AK740">_xlfn.SWITCH(CleanEmployeeData[[#This Row],[EnvironmentSatisfaction]],1,"Low",2,"Medium",3,"High",4,"Very High","Unknown")</f>
        <v>Very High</v>
      </c>
      <c r="AL740" t="str" cm="1">
        <f t="array" ref="AL740">_xlfn.SWITCH(CleanEmployeeData[[#This Row],[JobInvolvement]],1,"Low",2,"Medium",3,"High",4,"Very High","Unknown")</f>
        <v>Medium</v>
      </c>
      <c r="AM740" t="str" cm="1">
        <f t="array" ref="AM740">_xlfn.SWITCH(CleanEmployeeData[[#This Row],[JobSatisfaction]],1,"Low",2,"Medium",3,"High",4,"Very High","Unknown")</f>
        <v>Very High</v>
      </c>
      <c r="AN740" t="str" cm="1">
        <f t="array" ref="AN740">_xlfn.SWITCH(CleanEmployeeData[[#This Row],[PerformanceRating]],1,"Low",2,"Good",3,"Excellent",4,"Outstanding","Unknown")</f>
        <v>Excellent</v>
      </c>
      <c r="AO740" t="str" cm="1">
        <f t="array" ref="AO740">_xlfn.SWITCH(CleanEmployeeData[[#This Row],[WorkLifeBalance]],1,"Bad",2,"Good",3,"Better",4,"Best","Unknown")</f>
        <v>Better</v>
      </c>
      <c r="AP740">
        <f>IF(CleanEmployeeData[[#This Row],[Attrition]]="Yes",1,IF(CleanEmployeeData[[#This Row],[Attrition]]="No",0,""))</f>
        <v>0</v>
      </c>
      <c r="AQ740" t="str" cm="1">
        <f t="array" ref="AQ740">_xlfn.IFS(CleanEmployeeData[[#This Row],[MonthlyIncome]]&lt;=3000,"0–3,000",CleanEmployeeData[[#This Row],[MonthlyIncome]]&lt;=6000,"3,001–6,000",CleanEmployeeData[[#This Row],[MonthlyIncome]]&lt;=10000,"6,001–10,000",TRUE,"10,001+")</f>
        <v>10,001+</v>
      </c>
      <c r="AR740" t="str" cm="1">
        <f t="array" ref="AR740">_xlfn.IFS(CleanEmployeeData[[#This Row],[DistanceFromHome]]&lt;=5,"0–5 miles",CleanEmployeeData[[#This Row],[DistanceFromHome]]&lt;=10,"6–10 miles",CleanEmployeeData[[#This Row],[DistanceFromHome]]&lt;=15,"11–15 miles",TRUE,"16+ miles")</f>
        <v>0–5 miles</v>
      </c>
      <c r="AS740" t="str" cm="1">
        <f t="array" ref="AS740">_xlfn.IFS(CleanEmployeeData[[#This Row],[YearsAtCompany]]&lt;=1,"0–1 years",CleanEmployeeData[[#This Row],[YearsAtCompany]]&lt;=5,"2–5 years",CleanEmployeeData[[#This Row],[YearsAtCompany]]&lt;=10,"6–10 years",TRUE,"11+ years")</f>
        <v>11+ years</v>
      </c>
    </row>
    <row r="741" spans="1:4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cm="1">
        <f t="array" ref="AJ741">_xlfn.SWITCH(CleanEmployeeData[[#This Row],[Education]],1,"Below College",2,"College",3,"Bachelor",4,"Master",5,"Doctor","Unknown")</f>
        <v>Master</v>
      </c>
      <c r="AK741" t="str" cm="1">
        <f t="array" ref="AK741">_xlfn.SWITCH(CleanEmployeeData[[#This Row],[EnvironmentSatisfaction]],1,"Low",2,"Medium",3,"High",4,"Very High","Unknown")</f>
        <v>Low</v>
      </c>
      <c r="AL741" t="str" cm="1">
        <f t="array" ref="AL741">_xlfn.SWITCH(CleanEmployeeData[[#This Row],[JobInvolvement]],1,"Low",2,"Medium",3,"High",4,"Very High","Unknown")</f>
        <v>High</v>
      </c>
      <c r="AM741" t="str" cm="1">
        <f t="array" ref="AM741">_xlfn.SWITCH(CleanEmployeeData[[#This Row],[JobSatisfaction]],1,"Low",2,"Medium",3,"High",4,"Very High","Unknown")</f>
        <v>Very High</v>
      </c>
      <c r="AN741" t="str" cm="1">
        <f t="array" ref="AN741">_xlfn.SWITCH(CleanEmployeeData[[#This Row],[PerformanceRating]],1,"Low",2,"Good",3,"Excellent",4,"Outstanding","Unknown")</f>
        <v>Excellent</v>
      </c>
      <c r="AO741" t="str" cm="1">
        <f t="array" ref="AO741">_xlfn.SWITCH(CleanEmployeeData[[#This Row],[WorkLifeBalance]],1,"Bad",2,"Good",3,"Better",4,"Best","Unknown")</f>
        <v>Better</v>
      </c>
      <c r="AP741">
        <f>IF(CleanEmployeeData[[#This Row],[Attrition]]="Yes",1,IF(CleanEmployeeData[[#This Row],[Attrition]]="No",0,""))</f>
        <v>0</v>
      </c>
      <c r="AQ741" t="str" cm="1">
        <f t="array" ref="AQ741">_xlfn.IFS(CleanEmployeeData[[#This Row],[MonthlyIncome]]&lt;=3000,"0–3,000",CleanEmployeeData[[#This Row],[MonthlyIncome]]&lt;=6000,"3,001–6,000",CleanEmployeeData[[#This Row],[MonthlyIncome]]&lt;=10000,"6,001–10,000",TRUE,"10,001+")</f>
        <v>3,001–6,000</v>
      </c>
      <c r="AR741" t="str" cm="1">
        <f t="array" ref="AR741">_xlfn.IFS(CleanEmployeeData[[#This Row],[DistanceFromHome]]&lt;=5,"0–5 miles",CleanEmployeeData[[#This Row],[DistanceFromHome]]&lt;=10,"6–10 miles",CleanEmployeeData[[#This Row],[DistanceFromHome]]&lt;=15,"11–15 miles",TRUE,"16+ miles")</f>
        <v>0–5 miles</v>
      </c>
      <c r="AS741" t="str" cm="1">
        <f t="array" ref="AS741">_xlfn.IFS(CleanEmployeeData[[#This Row],[YearsAtCompany]]&lt;=1,"0–1 years",CleanEmployeeData[[#This Row],[YearsAtCompany]]&lt;=5,"2–5 years",CleanEmployeeData[[#This Row],[YearsAtCompany]]&lt;=10,"6–10 years",TRUE,"11+ years")</f>
        <v>2–5 years</v>
      </c>
    </row>
    <row r="742" spans="1:4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cm="1">
        <f t="array" ref="AJ742">_xlfn.SWITCH(CleanEmployeeData[[#This Row],[Education]],1,"Below College",2,"College",3,"Bachelor",4,"Master",5,"Doctor","Unknown")</f>
        <v>Bachelor</v>
      </c>
      <c r="AK742" t="str" cm="1">
        <f t="array" ref="AK742">_xlfn.SWITCH(CleanEmployeeData[[#This Row],[EnvironmentSatisfaction]],1,"Low",2,"Medium",3,"High",4,"Very High","Unknown")</f>
        <v>Medium</v>
      </c>
      <c r="AL742" t="str" cm="1">
        <f t="array" ref="AL742">_xlfn.SWITCH(CleanEmployeeData[[#This Row],[JobInvolvement]],1,"Low",2,"Medium",3,"High",4,"Very High","Unknown")</f>
        <v>High</v>
      </c>
      <c r="AM742" t="str" cm="1">
        <f t="array" ref="AM742">_xlfn.SWITCH(CleanEmployeeData[[#This Row],[JobSatisfaction]],1,"Low",2,"Medium",3,"High",4,"Very High","Unknown")</f>
        <v>Very High</v>
      </c>
      <c r="AN742" t="str" cm="1">
        <f t="array" ref="AN742">_xlfn.SWITCH(CleanEmployeeData[[#This Row],[PerformanceRating]],1,"Low",2,"Good",3,"Excellent",4,"Outstanding","Unknown")</f>
        <v>Outstanding</v>
      </c>
      <c r="AO742" t="str" cm="1">
        <f t="array" ref="AO742">_xlfn.SWITCH(CleanEmployeeData[[#This Row],[WorkLifeBalance]],1,"Bad",2,"Good",3,"Better",4,"Best","Unknown")</f>
        <v>Good</v>
      </c>
      <c r="AP742">
        <f>IF(CleanEmployeeData[[#This Row],[Attrition]]="Yes",1,IF(CleanEmployeeData[[#This Row],[Attrition]]="No",0,""))</f>
        <v>0</v>
      </c>
      <c r="AQ742" t="str" cm="1">
        <f t="array" ref="AQ742">_xlfn.IFS(CleanEmployeeData[[#This Row],[MonthlyIncome]]&lt;=3000,"0–3,000",CleanEmployeeData[[#This Row],[MonthlyIncome]]&lt;=6000,"3,001–6,000",CleanEmployeeData[[#This Row],[MonthlyIncome]]&lt;=10000,"6,001–10,000",TRUE,"10,001+")</f>
        <v>3,001–6,000</v>
      </c>
      <c r="AR742" t="str" cm="1">
        <f t="array" ref="AR742">_xlfn.IFS(CleanEmployeeData[[#This Row],[DistanceFromHome]]&lt;=5,"0–5 miles",CleanEmployeeData[[#This Row],[DistanceFromHome]]&lt;=10,"6–10 miles",CleanEmployeeData[[#This Row],[DistanceFromHome]]&lt;=15,"11–15 miles",TRUE,"16+ miles")</f>
        <v>6–10 miles</v>
      </c>
      <c r="AS742" t="str" cm="1">
        <f t="array" ref="AS742">_xlfn.IFS(CleanEmployeeData[[#This Row],[YearsAtCompany]]&lt;=1,"0–1 years",CleanEmployeeData[[#This Row],[YearsAtCompany]]&lt;=5,"2–5 years",CleanEmployeeData[[#This Row],[YearsAtCompany]]&lt;=10,"6–10 years",TRUE,"11+ years")</f>
        <v>2–5 years</v>
      </c>
    </row>
    <row r="743" spans="1:4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cm="1">
        <f t="array" ref="AJ743">_xlfn.SWITCH(CleanEmployeeData[[#This Row],[Education]],1,"Below College",2,"College",3,"Bachelor",4,"Master",5,"Doctor","Unknown")</f>
        <v>College</v>
      </c>
      <c r="AK743" t="str" cm="1">
        <f t="array" ref="AK743">_xlfn.SWITCH(CleanEmployeeData[[#This Row],[EnvironmentSatisfaction]],1,"Low",2,"Medium",3,"High",4,"Very High","Unknown")</f>
        <v>Very High</v>
      </c>
      <c r="AL743" t="str" cm="1">
        <f t="array" ref="AL743">_xlfn.SWITCH(CleanEmployeeData[[#This Row],[JobInvolvement]],1,"Low",2,"Medium",3,"High",4,"Very High","Unknown")</f>
        <v>High</v>
      </c>
      <c r="AM743" t="str" cm="1">
        <f t="array" ref="AM743">_xlfn.SWITCH(CleanEmployeeData[[#This Row],[JobSatisfaction]],1,"Low",2,"Medium",3,"High",4,"Very High","Unknown")</f>
        <v>High</v>
      </c>
      <c r="AN743" t="str" cm="1">
        <f t="array" ref="AN743">_xlfn.SWITCH(CleanEmployeeData[[#This Row],[PerformanceRating]],1,"Low",2,"Good",3,"Excellent",4,"Outstanding","Unknown")</f>
        <v>Excellent</v>
      </c>
      <c r="AO743" t="str" cm="1">
        <f t="array" ref="AO743">_xlfn.SWITCH(CleanEmployeeData[[#This Row],[WorkLifeBalance]],1,"Bad",2,"Good",3,"Better",4,"Best","Unknown")</f>
        <v>Best</v>
      </c>
      <c r="AP743">
        <f>IF(CleanEmployeeData[[#This Row],[Attrition]]="Yes",1,IF(CleanEmployeeData[[#This Row],[Attrition]]="No",0,""))</f>
        <v>0</v>
      </c>
      <c r="AQ743" t="str" cm="1">
        <f t="array" ref="AQ743">_xlfn.IFS(CleanEmployeeData[[#This Row],[MonthlyIncome]]&lt;=3000,"0–3,000",CleanEmployeeData[[#This Row],[MonthlyIncome]]&lt;=6000,"3,001–6,000",CleanEmployeeData[[#This Row],[MonthlyIncome]]&lt;=10000,"6,001–10,000",TRUE,"10,001+")</f>
        <v>10,001+</v>
      </c>
      <c r="AR743" t="str" cm="1">
        <f t="array" ref="AR743">_xlfn.IFS(CleanEmployeeData[[#This Row],[DistanceFromHome]]&lt;=5,"0–5 miles",CleanEmployeeData[[#This Row],[DistanceFromHome]]&lt;=10,"6–10 miles",CleanEmployeeData[[#This Row],[DistanceFromHome]]&lt;=15,"11–15 miles",TRUE,"16+ miles")</f>
        <v>0–5 miles</v>
      </c>
      <c r="AS743" t="str" cm="1">
        <f t="array" ref="AS743">_xlfn.IFS(CleanEmployeeData[[#This Row],[YearsAtCompany]]&lt;=1,"0–1 years",CleanEmployeeData[[#This Row],[YearsAtCompany]]&lt;=5,"2–5 years",CleanEmployeeData[[#This Row],[YearsAtCompany]]&lt;=10,"6–10 years",TRUE,"11+ years")</f>
        <v>0–1 years</v>
      </c>
    </row>
    <row r="744" spans="1:4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cm="1">
        <f t="array" ref="AJ744">_xlfn.SWITCH(CleanEmployeeData[[#This Row],[Education]],1,"Below College",2,"College",3,"Bachelor",4,"Master",5,"Doctor","Unknown")</f>
        <v>Bachelor</v>
      </c>
      <c r="AK744" t="str" cm="1">
        <f t="array" ref="AK744">_xlfn.SWITCH(CleanEmployeeData[[#This Row],[EnvironmentSatisfaction]],1,"Low",2,"Medium",3,"High",4,"Very High","Unknown")</f>
        <v>Low</v>
      </c>
      <c r="AL744" t="str" cm="1">
        <f t="array" ref="AL744">_xlfn.SWITCH(CleanEmployeeData[[#This Row],[JobInvolvement]],1,"Low",2,"Medium",3,"High",4,"Very High","Unknown")</f>
        <v>High</v>
      </c>
      <c r="AM744" t="str" cm="1">
        <f t="array" ref="AM744">_xlfn.SWITCH(CleanEmployeeData[[#This Row],[JobSatisfaction]],1,"Low",2,"Medium",3,"High",4,"Very High","Unknown")</f>
        <v>Very High</v>
      </c>
      <c r="AN744" t="str" cm="1">
        <f t="array" ref="AN744">_xlfn.SWITCH(CleanEmployeeData[[#This Row],[PerformanceRating]],1,"Low",2,"Good",3,"Excellent",4,"Outstanding","Unknown")</f>
        <v>Excellent</v>
      </c>
      <c r="AO744" t="str" cm="1">
        <f t="array" ref="AO744">_xlfn.SWITCH(CleanEmployeeData[[#This Row],[WorkLifeBalance]],1,"Bad",2,"Good",3,"Better",4,"Best","Unknown")</f>
        <v>Better</v>
      </c>
      <c r="AP744">
        <f>IF(CleanEmployeeData[[#This Row],[Attrition]]="Yes",1,IF(CleanEmployeeData[[#This Row],[Attrition]]="No",0,""))</f>
        <v>0</v>
      </c>
      <c r="AQ744" t="str" cm="1">
        <f t="array" ref="AQ744">_xlfn.IFS(CleanEmployeeData[[#This Row],[MonthlyIncome]]&lt;=3000,"0–3,000",CleanEmployeeData[[#This Row],[MonthlyIncome]]&lt;=6000,"3,001–6,000",CleanEmployeeData[[#This Row],[MonthlyIncome]]&lt;=10000,"6,001–10,000",TRUE,"10,001+")</f>
        <v>0–3,000</v>
      </c>
      <c r="AR744" t="str" cm="1">
        <f t="array" ref="AR744">_xlfn.IFS(CleanEmployeeData[[#This Row],[DistanceFromHome]]&lt;=5,"0–5 miles",CleanEmployeeData[[#This Row],[DistanceFromHome]]&lt;=10,"6–10 miles",CleanEmployeeData[[#This Row],[DistanceFromHome]]&lt;=15,"11–15 miles",TRUE,"16+ miles")</f>
        <v>6–10 miles</v>
      </c>
      <c r="AS744" t="str" cm="1">
        <f t="array" ref="AS744">_xlfn.IFS(CleanEmployeeData[[#This Row],[YearsAtCompany]]&lt;=1,"0–1 years",CleanEmployeeData[[#This Row],[YearsAtCompany]]&lt;=5,"2–5 years",CleanEmployeeData[[#This Row],[YearsAtCompany]]&lt;=10,"6–10 years",TRUE,"11+ years")</f>
        <v>0–1 years</v>
      </c>
    </row>
    <row r="745" spans="1:4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cm="1">
        <f t="array" ref="AJ745">_xlfn.SWITCH(CleanEmployeeData[[#This Row],[Education]],1,"Below College",2,"College",3,"Bachelor",4,"Master",5,"Doctor","Unknown")</f>
        <v>Bachelor</v>
      </c>
      <c r="AK745" t="str" cm="1">
        <f t="array" ref="AK745">_xlfn.SWITCH(CleanEmployeeData[[#This Row],[EnvironmentSatisfaction]],1,"Low",2,"Medium",3,"High",4,"Very High","Unknown")</f>
        <v>High</v>
      </c>
      <c r="AL745" t="str" cm="1">
        <f t="array" ref="AL745">_xlfn.SWITCH(CleanEmployeeData[[#This Row],[JobInvolvement]],1,"Low",2,"Medium",3,"High",4,"Very High","Unknown")</f>
        <v>Medium</v>
      </c>
      <c r="AM745" t="str" cm="1">
        <f t="array" ref="AM745">_xlfn.SWITCH(CleanEmployeeData[[#This Row],[JobSatisfaction]],1,"Low",2,"Medium",3,"High",4,"Very High","Unknown")</f>
        <v>Very High</v>
      </c>
      <c r="AN745" t="str" cm="1">
        <f t="array" ref="AN745">_xlfn.SWITCH(CleanEmployeeData[[#This Row],[PerformanceRating]],1,"Low",2,"Good",3,"Excellent",4,"Outstanding","Unknown")</f>
        <v>Excellent</v>
      </c>
      <c r="AO745" t="str" cm="1">
        <f t="array" ref="AO745">_xlfn.SWITCH(CleanEmployeeData[[#This Row],[WorkLifeBalance]],1,"Bad",2,"Good",3,"Better",4,"Best","Unknown")</f>
        <v>Better</v>
      </c>
      <c r="AP745">
        <f>IF(CleanEmployeeData[[#This Row],[Attrition]]="Yes",1,IF(CleanEmployeeData[[#This Row],[Attrition]]="No",0,""))</f>
        <v>0</v>
      </c>
      <c r="AQ745" t="str" cm="1">
        <f t="array" ref="AQ745">_xlfn.IFS(CleanEmployeeData[[#This Row],[MonthlyIncome]]&lt;=3000,"0–3,000",CleanEmployeeData[[#This Row],[MonthlyIncome]]&lt;=6000,"3,001–6,000",CleanEmployeeData[[#This Row],[MonthlyIncome]]&lt;=10000,"6,001–10,000",TRUE,"10,001+")</f>
        <v>10,001+</v>
      </c>
      <c r="AR745" t="str" cm="1">
        <f t="array" ref="AR745">_xlfn.IFS(CleanEmployeeData[[#This Row],[DistanceFromHome]]&lt;=5,"0–5 miles",CleanEmployeeData[[#This Row],[DistanceFromHome]]&lt;=10,"6–10 miles",CleanEmployeeData[[#This Row],[DistanceFromHome]]&lt;=15,"11–15 miles",TRUE,"16+ miles")</f>
        <v>0–5 miles</v>
      </c>
      <c r="AS745" t="str" cm="1">
        <f t="array" ref="AS745">_xlfn.IFS(CleanEmployeeData[[#This Row],[YearsAtCompany]]&lt;=1,"0–1 years",CleanEmployeeData[[#This Row],[YearsAtCompany]]&lt;=5,"2–5 years",CleanEmployeeData[[#This Row],[YearsAtCompany]]&lt;=10,"6–10 years",TRUE,"11+ years")</f>
        <v>2–5 years</v>
      </c>
    </row>
    <row r="746" spans="1:4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cm="1">
        <f t="array" ref="AJ746">_xlfn.SWITCH(CleanEmployeeData[[#This Row],[Education]],1,"Below College",2,"College",3,"Bachelor",4,"Master",5,"Doctor","Unknown")</f>
        <v>College</v>
      </c>
      <c r="AK746" t="str" cm="1">
        <f t="array" ref="AK746">_xlfn.SWITCH(CleanEmployeeData[[#This Row],[EnvironmentSatisfaction]],1,"Low",2,"Medium",3,"High",4,"Very High","Unknown")</f>
        <v>Low</v>
      </c>
      <c r="AL746" t="str" cm="1">
        <f t="array" ref="AL746">_xlfn.SWITCH(CleanEmployeeData[[#This Row],[JobInvolvement]],1,"Low",2,"Medium",3,"High",4,"Very High","Unknown")</f>
        <v>Low</v>
      </c>
      <c r="AM746" t="str" cm="1">
        <f t="array" ref="AM746">_xlfn.SWITCH(CleanEmployeeData[[#This Row],[JobSatisfaction]],1,"Low",2,"Medium",3,"High",4,"Very High","Unknown")</f>
        <v>Medium</v>
      </c>
      <c r="AN746" t="str" cm="1">
        <f t="array" ref="AN746">_xlfn.SWITCH(CleanEmployeeData[[#This Row],[PerformanceRating]],1,"Low",2,"Good",3,"Excellent",4,"Outstanding","Unknown")</f>
        <v>Excellent</v>
      </c>
      <c r="AO746" t="str" cm="1">
        <f t="array" ref="AO746">_xlfn.SWITCH(CleanEmployeeData[[#This Row],[WorkLifeBalance]],1,"Bad",2,"Good",3,"Better",4,"Best","Unknown")</f>
        <v>Bad</v>
      </c>
      <c r="AP746">
        <f>IF(CleanEmployeeData[[#This Row],[Attrition]]="Yes",1,IF(CleanEmployeeData[[#This Row],[Attrition]]="No",0,""))</f>
        <v>1</v>
      </c>
      <c r="AQ746" t="str" cm="1">
        <f t="array" ref="AQ746">_xlfn.IFS(CleanEmployeeData[[#This Row],[MonthlyIncome]]&lt;=3000,"0–3,000",CleanEmployeeData[[#This Row],[MonthlyIncome]]&lt;=6000,"3,001–6,000",CleanEmployeeData[[#This Row],[MonthlyIncome]]&lt;=10000,"6,001–10,000",TRUE,"10,001+")</f>
        <v>3,001–6,000</v>
      </c>
      <c r="AR746" t="str" cm="1">
        <f t="array" ref="AR746">_xlfn.IFS(CleanEmployeeData[[#This Row],[DistanceFromHome]]&lt;=5,"0–5 miles",CleanEmployeeData[[#This Row],[DistanceFromHome]]&lt;=10,"6–10 miles",CleanEmployeeData[[#This Row],[DistanceFromHome]]&lt;=15,"11–15 miles",TRUE,"16+ miles")</f>
        <v>11–15 miles</v>
      </c>
      <c r="AS746" t="str" cm="1">
        <f t="array" ref="AS746">_xlfn.IFS(CleanEmployeeData[[#This Row],[YearsAtCompany]]&lt;=1,"0–1 years",CleanEmployeeData[[#This Row],[YearsAtCompany]]&lt;=5,"2–5 years",CleanEmployeeData[[#This Row],[YearsAtCompany]]&lt;=10,"6–10 years",TRUE,"11+ years")</f>
        <v>0–1 years</v>
      </c>
    </row>
    <row r="747" spans="1:4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cm="1">
        <f t="array" ref="AJ747">_xlfn.SWITCH(CleanEmployeeData[[#This Row],[Education]],1,"Below College",2,"College",3,"Bachelor",4,"Master",5,"Doctor","Unknown")</f>
        <v>Master</v>
      </c>
      <c r="AK747" t="str" cm="1">
        <f t="array" ref="AK747">_xlfn.SWITCH(CleanEmployeeData[[#This Row],[EnvironmentSatisfaction]],1,"Low",2,"Medium",3,"High",4,"Very High","Unknown")</f>
        <v>High</v>
      </c>
      <c r="AL747" t="str" cm="1">
        <f t="array" ref="AL747">_xlfn.SWITCH(CleanEmployeeData[[#This Row],[JobInvolvement]],1,"Low",2,"Medium",3,"High",4,"Very High","Unknown")</f>
        <v>High</v>
      </c>
      <c r="AM747" t="str" cm="1">
        <f t="array" ref="AM747">_xlfn.SWITCH(CleanEmployeeData[[#This Row],[JobSatisfaction]],1,"Low",2,"Medium",3,"High",4,"Very High","Unknown")</f>
        <v>Medium</v>
      </c>
      <c r="AN747" t="str" cm="1">
        <f t="array" ref="AN747">_xlfn.SWITCH(CleanEmployeeData[[#This Row],[PerformanceRating]],1,"Low",2,"Good",3,"Excellent",4,"Outstanding","Unknown")</f>
        <v>Excellent</v>
      </c>
      <c r="AO747" t="str" cm="1">
        <f t="array" ref="AO747">_xlfn.SWITCH(CleanEmployeeData[[#This Row],[WorkLifeBalance]],1,"Bad",2,"Good",3,"Better",4,"Best","Unknown")</f>
        <v>Better</v>
      </c>
      <c r="AP747">
        <f>IF(CleanEmployeeData[[#This Row],[Attrition]]="Yes",1,IF(CleanEmployeeData[[#This Row],[Attrition]]="No",0,""))</f>
        <v>0</v>
      </c>
      <c r="AQ747" t="str" cm="1">
        <f t="array" ref="AQ747">_xlfn.IFS(CleanEmployeeData[[#This Row],[MonthlyIncome]]&lt;=3000,"0–3,000",CleanEmployeeData[[#This Row],[MonthlyIncome]]&lt;=6000,"3,001–6,000",CleanEmployeeData[[#This Row],[MonthlyIncome]]&lt;=10000,"6,001–10,000",TRUE,"10,001+")</f>
        <v>6,001–10,000</v>
      </c>
      <c r="AR747" t="str" cm="1">
        <f t="array" ref="AR747">_xlfn.IFS(CleanEmployeeData[[#This Row],[DistanceFromHome]]&lt;=5,"0–5 miles",CleanEmployeeData[[#This Row],[DistanceFromHome]]&lt;=10,"6–10 miles",CleanEmployeeData[[#This Row],[DistanceFromHome]]&lt;=15,"11–15 miles",TRUE,"16+ miles")</f>
        <v>16+ miles</v>
      </c>
      <c r="AS747" t="str" cm="1">
        <f t="array" ref="AS747">_xlfn.IFS(CleanEmployeeData[[#This Row],[YearsAtCompany]]&lt;=1,"0–1 years",CleanEmployeeData[[#This Row],[YearsAtCompany]]&lt;=5,"2–5 years",CleanEmployeeData[[#This Row],[YearsAtCompany]]&lt;=10,"6–10 years",TRUE,"11+ years")</f>
        <v>6–10 years</v>
      </c>
    </row>
    <row r="748" spans="1:4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cm="1">
        <f t="array" ref="AJ748">_xlfn.SWITCH(CleanEmployeeData[[#This Row],[Education]],1,"Below College",2,"College",3,"Bachelor",4,"Master",5,"Doctor","Unknown")</f>
        <v>Below College</v>
      </c>
      <c r="AK748" t="str" cm="1">
        <f t="array" ref="AK748">_xlfn.SWITCH(CleanEmployeeData[[#This Row],[EnvironmentSatisfaction]],1,"Low",2,"Medium",3,"High",4,"Very High","Unknown")</f>
        <v>Medium</v>
      </c>
      <c r="AL748" t="str" cm="1">
        <f t="array" ref="AL748">_xlfn.SWITCH(CleanEmployeeData[[#This Row],[JobInvolvement]],1,"Low",2,"Medium",3,"High",4,"Very High","Unknown")</f>
        <v>Low</v>
      </c>
      <c r="AM748" t="str" cm="1">
        <f t="array" ref="AM748">_xlfn.SWITCH(CleanEmployeeData[[#This Row],[JobSatisfaction]],1,"Low",2,"Medium",3,"High",4,"Very High","Unknown")</f>
        <v>High</v>
      </c>
      <c r="AN748" t="str" cm="1">
        <f t="array" ref="AN748">_xlfn.SWITCH(CleanEmployeeData[[#This Row],[PerformanceRating]],1,"Low",2,"Good",3,"Excellent",4,"Outstanding","Unknown")</f>
        <v>Outstanding</v>
      </c>
      <c r="AO748" t="str" cm="1">
        <f t="array" ref="AO748">_xlfn.SWITCH(CleanEmployeeData[[#This Row],[WorkLifeBalance]],1,"Bad",2,"Good",3,"Better",4,"Best","Unknown")</f>
        <v>Better</v>
      </c>
      <c r="AP748">
        <f>IF(CleanEmployeeData[[#This Row],[Attrition]]="Yes",1,IF(CleanEmployeeData[[#This Row],[Attrition]]="No",0,""))</f>
        <v>0</v>
      </c>
      <c r="AQ748" t="str" cm="1">
        <f t="array" ref="AQ748">_xlfn.IFS(CleanEmployeeData[[#This Row],[MonthlyIncome]]&lt;=3000,"0–3,000",CleanEmployeeData[[#This Row],[MonthlyIncome]]&lt;=6000,"3,001–6,000",CleanEmployeeData[[#This Row],[MonthlyIncome]]&lt;=10000,"6,001–10,000",TRUE,"10,001+")</f>
        <v>10,001+</v>
      </c>
      <c r="AR748" t="str" cm="1">
        <f t="array" ref="AR748">_xlfn.IFS(CleanEmployeeData[[#This Row],[DistanceFromHome]]&lt;=5,"0–5 miles",CleanEmployeeData[[#This Row],[DistanceFromHome]]&lt;=10,"6–10 miles",CleanEmployeeData[[#This Row],[DistanceFromHome]]&lt;=15,"11–15 miles",TRUE,"16+ miles")</f>
        <v>6–10 miles</v>
      </c>
      <c r="AS748" t="str" cm="1">
        <f t="array" ref="AS748">_xlfn.IFS(CleanEmployeeData[[#This Row],[YearsAtCompany]]&lt;=1,"0–1 years",CleanEmployeeData[[#This Row],[YearsAtCompany]]&lt;=5,"2–5 years",CleanEmployeeData[[#This Row],[YearsAtCompany]]&lt;=10,"6–10 years",TRUE,"11+ years")</f>
        <v>11+ years</v>
      </c>
    </row>
    <row r="749" spans="1:4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cm="1">
        <f t="array" ref="AJ749">_xlfn.SWITCH(CleanEmployeeData[[#This Row],[Education]],1,"Below College",2,"College",3,"Bachelor",4,"Master",5,"Doctor","Unknown")</f>
        <v>Master</v>
      </c>
      <c r="AK749" t="str" cm="1">
        <f t="array" ref="AK749">_xlfn.SWITCH(CleanEmployeeData[[#This Row],[EnvironmentSatisfaction]],1,"Low",2,"Medium",3,"High",4,"Very High","Unknown")</f>
        <v>Medium</v>
      </c>
      <c r="AL749" t="str" cm="1">
        <f t="array" ref="AL749">_xlfn.SWITCH(CleanEmployeeData[[#This Row],[JobInvolvement]],1,"Low",2,"Medium",3,"High",4,"Very High","Unknown")</f>
        <v>High</v>
      </c>
      <c r="AM749" t="str" cm="1">
        <f t="array" ref="AM749">_xlfn.SWITCH(CleanEmployeeData[[#This Row],[JobSatisfaction]],1,"Low",2,"Medium",3,"High",4,"Very High","Unknown")</f>
        <v>Very High</v>
      </c>
      <c r="AN749" t="str" cm="1">
        <f t="array" ref="AN749">_xlfn.SWITCH(CleanEmployeeData[[#This Row],[PerformanceRating]],1,"Low",2,"Good",3,"Excellent",4,"Outstanding","Unknown")</f>
        <v>Excellent</v>
      </c>
      <c r="AO749" t="str" cm="1">
        <f t="array" ref="AO749">_xlfn.SWITCH(CleanEmployeeData[[#This Row],[WorkLifeBalance]],1,"Bad",2,"Good",3,"Better",4,"Best","Unknown")</f>
        <v>Better</v>
      </c>
      <c r="AP749">
        <f>IF(CleanEmployeeData[[#This Row],[Attrition]]="Yes",1,IF(CleanEmployeeData[[#This Row],[Attrition]]="No",0,""))</f>
        <v>0</v>
      </c>
      <c r="AQ749" t="str" cm="1">
        <f t="array" ref="AQ749">_xlfn.IFS(CleanEmployeeData[[#This Row],[MonthlyIncome]]&lt;=3000,"0–3,000",CleanEmployeeData[[#This Row],[MonthlyIncome]]&lt;=6000,"3,001–6,000",CleanEmployeeData[[#This Row],[MonthlyIncome]]&lt;=10000,"6,001–10,000",TRUE,"10,001+")</f>
        <v>6,001–10,000</v>
      </c>
      <c r="AR749" t="str" cm="1">
        <f t="array" ref="AR749">_xlfn.IFS(CleanEmployeeData[[#This Row],[DistanceFromHome]]&lt;=5,"0–5 miles",CleanEmployeeData[[#This Row],[DistanceFromHome]]&lt;=10,"6–10 miles",CleanEmployeeData[[#This Row],[DistanceFromHome]]&lt;=15,"11–15 miles",TRUE,"16+ miles")</f>
        <v>0–5 miles</v>
      </c>
      <c r="AS749" t="str" cm="1">
        <f t="array" ref="AS749">_xlfn.IFS(CleanEmployeeData[[#This Row],[YearsAtCompany]]&lt;=1,"0–1 years",CleanEmployeeData[[#This Row],[YearsAtCompany]]&lt;=5,"2–5 years",CleanEmployeeData[[#This Row],[YearsAtCompany]]&lt;=10,"6–10 years",TRUE,"11+ years")</f>
        <v>0–1 years</v>
      </c>
    </row>
    <row r="750" spans="1:4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cm="1">
        <f t="array" ref="AJ750">_xlfn.SWITCH(CleanEmployeeData[[#This Row],[Education]],1,"Below College",2,"College",3,"Bachelor",4,"Master",5,"Doctor","Unknown")</f>
        <v>College</v>
      </c>
      <c r="AK750" t="str" cm="1">
        <f t="array" ref="AK750">_xlfn.SWITCH(CleanEmployeeData[[#This Row],[EnvironmentSatisfaction]],1,"Low",2,"Medium",3,"High",4,"Very High","Unknown")</f>
        <v>Medium</v>
      </c>
      <c r="AL750" t="str" cm="1">
        <f t="array" ref="AL750">_xlfn.SWITCH(CleanEmployeeData[[#This Row],[JobInvolvement]],1,"Low",2,"Medium",3,"High",4,"Very High","Unknown")</f>
        <v>Low</v>
      </c>
      <c r="AM750" t="str" cm="1">
        <f t="array" ref="AM750">_xlfn.SWITCH(CleanEmployeeData[[#This Row],[JobSatisfaction]],1,"Low",2,"Medium",3,"High",4,"Very High","Unknown")</f>
        <v>Low</v>
      </c>
      <c r="AN750" t="str" cm="1">
        <f t="array" ref="AN750">_xlfn.SWITCH(CleanEmployeeData[[#This Row],[PerformanceRating]],1,"Low",2,"Good",3,"Excellent",4,"Outstanding","Unknown")</f>
        <v>Excellent</v>
      </c>
      <c r="AO750" t="str" cm="1">
        <f t="array" ref="AO750">_xlfn.SWITCH(CleanEmployeeData[[#This Row],[WorkLifeBalance]],1,"Bad",2,"Good",3,"Better",4,"Best","Unknown")</f>
        <v>Better</v>
      </c>
      <c r="AP750">
        <f>IF(CleanEmployeeData[[#This Row],[Attrition]]="Yes",1,IF(CleanEmployeeData[[#This Row],[Attrition]]="No",0,""))</f>
        <v>1</v>
      </c>
      <c r="AQ750" t="str" cm="1">
        <f t="array" ref="AQ750">_xlfn.IFS(CleanEmployeeData[[#This Row],[MonthlyIncome]]&lt;=3000,"0–3,000",CleanEmployeeData[[#This Row],[MonthlyIncome]]&lt;=6000,"3,001–6,000",CleanEmployeeData[[#This Row],[MonthlyIncome]]&lt;=10000,"6,001–10,000",TRUE,"10,001+")</f>
        <v>3,001–6,000</v>
      </c>
      <c r="AR750" t="str" cm="1">
        <f t="array" ref="AR750">_xlfn.IFS(CleanEmployeeData[[#This Row],[DistanceFromHome]]&lt;=5,"0–5 miles",CleanEmployeeData[[#This Row],[DistanceFromHome]]&lt;=10,"6–10 miles",CleanEmployeeData[[#This Row],[DistanceFromHome]]&lt;=15,"11–15 miles",TRUE,"16+ miles")</f>
        <v>16+ miles</v>
      </c>
      <c r="AS750" t="str" cm="1">
        <f t="array" ref="AS750">_xlfn.IFS(CleanEmployeeData[[#This Row],[YearsAtCompany]]&lt;=1,"0–1 years",CleanEmployeeData[[#This Row],[YearsAtCompany]]&lt;=5,"2–5 years",CleanEmployeeData[[#This Row],[YearsAtCompany]]&lt;=10,"6–10 years",TRUE,"11+ years")</f>
        <v>2–5 years</v>
      </c>
    </row>
    <row r="751" spans="1:4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cm="1">
        <f t="array" ref="AJ751">_xlfn.SWITCH(CleanEmployeeData[[#This Row],[Education]],1,"Below College",2,"College",3,"Bachelor",4,"Master",5,"Doctor","Unknown")</f>
        <v>Below College</v>
      </c>
      <c r="AK751" t="str" cm="1">
        <f t="array" ref="AK751">_xlfn.SWITCH(CleanEmployeeData[[#This Row],[EnvironmentSatisfaction]],1,"Low",2,"Medium",3,"High",4,"Very High","Unknown")</f>
        <v>Low</v>
      </c>
      <c r="AL751" t="str" cm="1">
        <f t="array" ref="AL751">_xlfn.SWITCH(CleanEmployeeData[[#This Row],[JobInvolvement]],1,"Low",2,"Medium",3,"High",4,"Very High","Unknown")</f>
        <v>Low</v>
      </c>
      <c r="AM751" t="str" cm="1">
        <f t="array" ref="AM751">_xlfn.SWITCH(CleanEmployeeData[[#This Row],[JobSatisfaction]],1,"Low",2,"Medium",3,"High",4,"Very High","Unknown")</f>
        <v>Very High</v>
      </c>
      <c r="AN751" t="str" cm="1">
        <f t="array" ref="AN751">_xlfn.SWITCH(CleanEmployeeData[[#This Row],[PerformanceRating]],1,"Low",2,"Good",3,"Excellent",4,"Outstanding","Unknown")</f>
        <v>Excellent</v>
      </c>
      <c r="AO751" t="str" cm="1">
        <f t="array" ref="AO751">_xlfn.SWITCH(CleanEmployeeData[[#This Row],[WorkLifeBalance]],1,"Bad",2,"Good",3,"Better",4,"Best","Unknown")</f>
        <v>Better</v>
      </c>
      <c r="AP751">
        <f>IF(CleanEmployeeData[[#This Row],[Attrition]]="Yes",1,IF(CleanEmployeeData[[#This Row],[Attrition]]="No",0,""))</f>
        <v>1</v>
      </c>
      <c r="AQ751" t="str" cm="1">
        <f t="array" ref="AQ751">_xlfn.IFS(CleanEmployeeData[[#This Row],[MonthlyIncome]]&lt;=3000,"0–3,000",CleanEmployeeData[[#This Row],[MonthlyIncome]]&lt;=6000,"3,001–6,000",CleanEmployeeData[[#This Row],[MonthlyIncome]]&lt;=10000,"6,001–10,000",TRUE,"10,001+")</f>
        <v>10,001+</v>
      </c>
      <c r="AR751" t="str" cm="1">
        <f t="array" ref="AR751">_xlfn.IFS(CleanEmployeeData[[#This Row],[DistanceFromHome]]&lt;=5,"0–5 miles",CleanEmployeeData[[#This Row],[DistanceFromHome]]&lt;=10,"6–10 miles",CleanEmployeeData[[#This Row],[DistanceFromHome]]&lt;=15,"11–15 miles",TRUE,"16+ miles")</f>
        <v>0–5 miles</v>
      </c>
      <c r="AS751" t="str" cm="1">
        <f t="array" ref="AS751">_xlfn.IFS(CleanEmployeeData[[#This Row],[YearsAtCompany]]&lt;=1,"0–1 years",CleanEmployeeData[[#This Row],[YearsAtCompany]]&lt;=5,"2–5 years",CleanEmployeeData[[#This Row],[YearsAtCompany]]&lt;=10,"6–10 years",TRUE,"11+ years")</f>
        <v>11+ years</v>
      </c>
    </row>
    <row r="752" spans="1:4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cm="1">
        <f t="array" ref="AJ752">_xlfn.SWITCH(CleanEmployeeData[[#This Row],[Education]],1,"Below College",2,"College",3,"Bachelor",4,"Master",5,"Doctor","Unknown")</f>
        <v>Bachelor</v>
      </c>
      <c r="AK752" t="str" cm="1">
        <f t="array" ref="AK752">_xlfn.SWITCH(CleanEmployeeData[[#This Row],[EnvironmentSatisfaction]],1,"Low",2,"Medium",3,"High",4,"Very High","Unknown")</f>
        <v>Very High</v>
      </c>
      <c r="AL752" t="str" cm="1">
        <f t="array" ref="AL752">_xlfn.SWITCH(CleanEmployeeData[[#This Row],[JobInvolvement]],1,"Low",2,"Medium",3,"High",4,"Very High","Unknown")</f>
        <v>Very High</v>
      </c>
      <c r="AM752" t="str" cm="1">
        <f t="array" ref="AM752">_xlfn.SWITCH(CleanEmployeeData[[#This Row],[JobSatisfaction]],1,"Low",2,"Medium",3,"High",4,"Very High","Unknown")</f>
        <v>Very High</v>
      </c>
      <c r="AN752" t="str" cm="1">
        <f t="array" ref="AN752">_xlfn.SWITCH(CleanEmployeeData[[#This Row],[PerformanceRating]],1,"Low",2,"Good",3,"Excellent",4,"Outstanding","Unknown")</f>
        <v>Excellent</v>
      </c>
      <c r="AO752" t="str" cm="1">
        <f t="array" ref="AO752">_xlfn.SWITCH(CleanEmployeeData[[#This Row],[WorkLifeBalance]],1,"Bad",2,"Good",3,"Better",4,"Best","Unknown")</f>
        <v>Better</v>
      </c>
      <c r="AP752">
        <f>IF(CleanEmployeeData[[#This Row],[Attrition]]="Yes",1,IF(CleanEmployeeData[[#This Row],[Attrition]]="No",0,""))</f>
        <v>0</v>
      </c>
      <c r="AQ752" t="str" cm="1">
        <f t="array" ref="AQ752">_xlfn.IFS(CleanEmployeeData[[#This Row],[MonthlyIncome]]&lt;=3000,"0–3,000",CleanEmployeeData[[#This Row],[MonthlyIncome]]&lt;=6000,"3,001–6,000",CleanEmployeeData[[#This Row],[MonthlyIncome]]&lt;=10000,"6,001–10,000",TRUE,"10,001+")</f>
        <v>10,001+</v>
      </c>
      <c r="AR752" t="str" cm="1">
        <f t="array" ref="AR752">_xlfn.IFS(CleanEmployeeData[[#This Row],[DistanceFromHome]]&lt;=5,"0–5 miles",CleanEmployeeData[[#This Row],[DistanceFromHome]]&lt;=10,"6–10 miles",CleanEmployeeData[[#This Row],[DistanceFromHome]]&lt;=15,"11–15 miles",TRUE,"16+ miles")</f>
        <v>16+ miles</v>
      </c>
      <c r="AS752" t="str" cm="1">
        <f t="array" ref="AS752">_xlfn.IFS(CleanEmployeeData[[#This Row],[YearsAtCompany]]&lt;=1,"0–1 years",CleanEmployeeData[[#This Row],[YearsAtCompany]]&lt;=5,"2–5 years",CleanEmployeeData[[#This Row],[YearsAtCompany]]&lt;=10,"6–10 years",TRUE,"11+ years")</f>
        <v>11+ years</v>
      </c>
    </row>
    <row r="753" spans="1:4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cm="1">
        <f t="array" ref="AJ753">_xlfn.SWITCH(CleanEmployeeData[[#This Row],[Education]],1,"Below College",2,"College",3,"Bachelor",4,"Master",5,"Doctor","Unknown")</f>
        <v>Bachelor</v>
      </c>
      <c r="AK753" t="str" cm="1">
        <f t="array" ref="AK753">_xlfn.SWITCH(CleanEmployeeData[[#This Row],[EnvironmentSatisfaction]],1,"Low",2,"Medium",3,"High",4,"Very High","Unknown")</f>
        <v>Very High</v>
      </c>
      <c r="AL753" t="str" cm="1">
        <f t="array" ref="AL753">_xlfn.SWITCH(CleanEmployeeData[[#This Row],[JobInvolvement]],1,"Low",2,"Medium",3,"High",4,"Very High","Unknown")</f>
        <v>High</v>
      </c>
      <c r="AM753" t="str" cm="1">
        <f t="array" ref="AM753">_xlfn.SWITCH(CleanEmployeeData[[#This Row],[JobSatisfaction]],1,"Low",2,"Medium",3,"High",4,"Very High","Unknown")</f>
        <v>High</v>
      </c>
      <c r="AN753" t="str" cm="1">
        <f t="array" ref="AN753">_xlfn.SWITCH(CleanEmployeeData[[#This Row],[PerformanceRating]],1,"Low",2,"Good",3,"Excellent",4,"Outstanding","Unknown")</f>
        <v>Excellent</v>
      </c>
      <c r="AO753" t="str" cm="1">
        <f t="array" ref="AO753">_xlfn.SWITCH(CleanEmployeeData[[#This Row],[WorkLifeBalance]],1,"Bad",2,"Good",3,"Better",4,"Best","Unknown")</f>
        <v>Better</v>
      </c>
      <c r="AP753">
        <f>IF(CleanEmployeeData[[#This Row],[Attrition]]="Yes",1,IF(CleanEmployeeData[[#This Row],[Attrition]]="No",0,""))</f>
        <v>0</v>
      </c>
      <c r="AQ753" t="str" cm="1">
        <f t="array" ref="AQ753">_xlfn.IFS(CleanEmployeeData[[#This Row],[MonthlyIncome]]&lt;=3000,"0–3,000",CleanEmployeeData[[#This Row],[MonthlyIncome]]&lt;=6000,"3,001–6,000",CleanEmployeeData[[#This Row],[MonthlyIncome]]&lt;=10000,"6,001–10,000",TRUE,"10,001+")</f>
        <v>6,001–10,000</v>
      </c>
      <c r="AR753" t="str" cm="1">
        <f t="array" ref="AR753">_xlfn.IFS(CleanEmployeeData[[#This Row],[DistanceFromHome]]&lt;=5,"0–5 miles",CleanEmployeeData[[#This Row],[DistanceFromHome]]&lt;=10,"6–10 miles",CleanEmployeeData[[#This Row],[DistanceFromHome]]&lt;=15,"11–15 miles",TRUE,"16+ miles")</f>
        <v>0–5 miles</v>
      </c>
      <c r="AS753" t="str" cm="1">
        <f t="array" ref="AS753">_xlfn.IFS(CleanEmployeeData[[#This Row],[YearsAtCompany]]&lt;=1,"0–1 years",CleanEmployeeData[[#This Row],[YearsAtCompany]]&lt;=5,"2–5 years",CleanEmployeeData[[#This Row],[YearsAtCompany]]&lt;=10,"6–10 years",TRUE,"11+ years")</f>
        <v>11+ years</v>
      </c>
    </row>
    <row r="754" spans="1:4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cm="1">
        <f t="array" ref="AJ754">_xlfn.SWITCH(CleanEmployeeData[[#This Row],[Education]],1,"Below College",2,"College",3,"Bachelor",4,"Master",5,"Doctor","Unknown")</f>
        <v>Master</v>
      </c>
      <c r="AK754" t="str" cm="1">
        <f t="array" ref="AK754">_xlfn.SWITCH(CleanEmployeeData[[#This Row],[EnvironmentSatisfaction]],1,"Low",2,"Medium",3,"High",4,"Very High","Unknown")</f>
        <v>High</v>
      </c>
      <c r="AL754" t="str" cm="1">
        <f t="array" ref="AL754">_xlfn.SWITCH(CleanEmployeeData[[#This Row],[JobInvolvement]],1,"Low",2,"Medium",3,"High",4,"Very High","Unknown")</f>
        <v>Very High</v>
      </c>
      <c r="AM754" t="str" cm="1">
        <f t="array" ref="AM754">_xlfn.SWITCH(CleanEmployeeData[[#This Row],[JobSatisfaction]],1,"Low",2,"Medium",3,"High",4,"Very High","Unknown")</f>
        <v>Low</v>
      </c>
      <c r="AN754" t="str" cm="1">
        <f t="array" ref="AN754">_xlfn.SWITCH(CleanEmployeeData[[#This Row],[PerformanceRating]],1,"Low",2,"Good",3,"Excellent",4,"Outstanding","Unknown")</f>
        <v>Excellent</v>
      </c>
      <c r="AO754" t="str" cm="1">
        <f t="array" ref="AO754">_xlfn.SWITCH(CleanEmployeeData[[#This Row],[WorkLifeBalance]],1,"Bad",2,"Good",3,"Better",4,"Best","Unknown")</f>
        <v>Better</v>
      </c>
      <c r="AP754">
        <f>IF(CleanEmployeeData[[#This Row],[Attrition]]="Yes",1,IF(CleanEmployeeData[[#This Row],[Attrition]]="No",0,""))</f>
        <v>1</v>
      </c>
      <c r="AQ754" t="str" cm="1">
        <f t="array" ref="AQ754">_xlfn.IFS(CleanEmployeeData[[#This Row],[MonthlyIncome]]&lt;=3000,"0–3,000",CleanEmployeeData[[#This Row],[MonthlyIncome]]&lt;=6000,"3,001–6,000",CleanEmployeeData[[#This Row],[MonthlyIncome]]&lt;=10000,"6,001–10,000",TRUE,"10,001+")</f>
        <v>0–3,000</v>
      </c>
      <c r="AR754" t="str" cm="1">
        <f t="array" ref="AR754">_xlfn.IFS(CleanEmployeeData[[#This Row],[DistanceFromHome]]&lt;=5,"0–5 miles",CleanEmployeeData[[#This Row],[DistanceFromHome]]&lt;=10,"6–10 miles",CleanEmployeeData[[#This Row],[DistanceFromHome]]&lt;=15,"11–15 miles",TRUE,"16+ miles")</f>
        <v>16+ miles</v>
      </c>
      <c r="AS754" t="str" cm="1">
        <f t="array" ref="AS754">_xlfn.IFS(CleanEmployeeData[[#This Row],[YearsAtCompany]]&lt;=1,"0–1 years",CleanEmployeeData[[#This Row],[YearsAtCompany]]&lt;=5,"2–5 years",CleanEmployeeData[[#This Row],[YearsAtCompany]]&lt;=10,"6–10 years",TRUE,"11+ years")</f>
        <v>11+ years</v>
      </c>
    </row>
    <row r="755" spans="1:4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cm="1">
        <f t="array" ref="AJ755">_xlfn.SWITCH(CleanEmployeeData[[#This Row],[Education]],1,"Below College",2,"College",3,"Bachelor",4,"Master",5,"Doctor","Unknown")</f>
        <v>Bachelor</v>
      </c>
      <c r="AK755" t="str" cm="1">
        <f t="array" ref="AK755">_xlfn.SWITCH(CleanEmployeeData[[#This Row],[EnvironmentSatisfaction]],1,"Low",2,"Medium",3,"High",4,"Very High","Unknown")</f>
        <v>Very High</v>
      </c>
      <c r="AL755" t="str" cm="1">
        <f t="array" ref="AL755">_xlfn.SWITCH(CleanEmployeeData[[#This Row],[JobInvolvement]],1,"Low",2,"Medium",3,"High",4,"Very High","Unknown")</f>
        <v>High</v>
      </c>
      <c r="AM755" t="str" cm="1">
        <f t="array" ref="AM755">_xlfn.SWITCH(CleanEmployeeData[[#This Row],[JobSatisfaction]],1,"Low",2,"Medium",3,"High",4,"Very High","Unknown")</f>
        <v>Low</v>
      </c>
      <c r="AN755" t="str" cm="1">
        <f t="array" ref="AN755">_xlfn.SWITCH(CleanEmployeeData[[#This Row],[PerformanceRating]],1,"Low",2,"Good",3,"Excellent",4,"Outstanding","Unknown")</f>
        <v>Excellent</v>
      </c>
      <c r="AO755" t="str" cm="1">
        <f t="array" ref="AO755">_xlfn.SWITCH(CleanEmployeeData[[#This Row],[WorkLifeBalance]],1,"Bad",2,"Good",3,"Better",4,"Best","Unknown")</f>
        <v>Better</v>
      </c>
      <c r="AP755">
        <f>IF(CleanEmployeeData[[#This Row],[Attrition]]="Yes",1,IF(CleanEmployeeData[[#This Row],[Attrition]]="No",0,""))</f>
        <v>0</v>
      </c>
      <c r="AQ755" t="str" cm="1">
        <f t="array" ref="AQ755">_xlfn.IFS(CleanEmployeeData[[#This Row],[MonthlyIncome]]&lt;=3000,"0–3,000",CleanEmployeeData[[#This Row],[MonthlyIncome]]&lt;=6000,"3,001–6,000",CleanEmployeeData[[#This Row],[MonthlyIncome]]&lt;=10000,"6,001–10,000",TRUE,"10,001+")</f>
        <v>10,001+</v>
      </c>
      <c r="AR755" t="str" cm="1">
        <f t="array" ref="AR755">_xlfn.IFS(CleanEmployeeData[[#This Row],[DistanceFromHome]]&lt;=5,"0–5 miles",CleanEmployeeData[[#This Row],[DistanceFromHome]]&lt;=10,"6–10 miles",CleanEmployeeData[[#This Row],[DistanceFromHome]]&lt;=15,"11–15 miles",TRUE,"16+ miles")</f>
        <v>16+ miles</v>
      </c>
      <c r="AS755" t="str" cm="1">
        <f t="array" ref="AS755">_xlfn.IFS(CleanEmployeeData[[#This Row],[YearsAtCompany]]&lt;=1,"0–1 years",CleanEmployeeData[[#This Row],[YearsAtCompany]]&lt;=5,"2–5 years",CleanEmployeeData[[#This Row],[YearsAtCompany]]&lt;=10,"6–10 years",TRUE,"11+ years")</f>
        <v>11+ years</v>
      </c>
    </row>
    <row r="756" spans="1:4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cm="1">
        <f t="array" ref="AJ756">_xlfn.SWITCH(CleanEmployeeData[[#This Row],[Education]],1,"Below College",2,"College",3,"Bachelor",4,"Master",5,"Doctor","Unknown")</f>
        <v>Below College</v>
      </c>
      <c r="AK756" t="str" cm="1">
        <f t="array" ref="AK756">_xlfn.SWITCH(CleanEmployeeData[[#This Row],[EnvironmentSatisfaction]],1,"Low",2,"Medium",3,"High",4,"Very High","Unknown")</f>
        <v>Medium</v>
      </c>
      <c r="AL756" t="str" cm="1">
        <f t="array" ref="AL756">_xlfn.SWITCH(CleanEmployeeData[[#This Row],[JobInvolvement]],1,"Low",2,"Medium",3,"High",4,"Very High","Unknown")</f>
        <v>Medium</v>
      </c>
      <c r="AM756" t="str" cm="1">
        <f t="array" ref="AM756">_xlfn.SWITCH(CleanEmployeeData[[#This Row],[JobSatisfaction]],1,"Low",2,"Medium",3,"High",4,"Very High","Unknown")</f>
        <v>Very High</v>
      </c>
      <c r="AN756" t="str" cm="1">
        <f t="array" ref="AN756">_xlfn.SWITCH(CleanEmployeeData[[#This Row],[PerformanceRating]],1,"Low",2,"Good",3,"Excellent",4,"Outstanding","Unknown")</f>
        <v>Excellent</v>
      </c>
      <c r="AO756" t="str" cm="1">
        <f t="array" ref="AO756">_xlfn.SWITCH(CleanEmployeeData[[#This Row],[WorkLifeBalance]],1,"Bad",2,"Good",3,"Better",4,"Best","Unknown")</f>
        <v>Good</v>
      </c>
      <c r="AP756">
        <f>IF(CleanEmployeeData[[#This Row],[Attrition]]="Yes",1,IF(CleanEmployeeData[[#This Row],[Attrition]]="No",0,""))</f>
        <v>0</v>
      </c>
      <c r="AQ756" t="str" cm="1">
        <f t="array" ref="AQ756">_xlfn.IFS(CleanEmployeeData[[#This Row],[MonthlyIncome]]&lt;=3000,"0–3,000",CleanEmployeeData[[#This Row],[MonthlyIncome]]&lt;=6000,"3,001–6,000",CleanEmployeeData[[#This Row],[MonthlyIncome]]&lt;=10000,"6,001–10,000",TRUE,"10,001+")</f>
        <v>0–3,000</v>
      </c>
      <c r="AR756" t="str" cm="1">
        <f t="array" ref="AR756">_xlfn.IFS(CleanEmployeeData[[#This Row],[DistanceFromHome]]&lt;=5,"0–5 miles",CleanEmployeeData[[#This Row],[DistanceFromHome]]&lt;=10,"6–10 miles",CleanEmployeeData[[#This Row],[DistanceFromHome]]&lt;=15,"11–15 miles",TRUE,"16+ miles")</f>
        <v>6–10 miles</v>
      </c>
      <c r="AS756" t="str" cm="1">
        <f t="array" ref="AS756">_xlfn.IFS(CleanEmployeeData[[#This Row],[YearsAtCompany]]&lt;=1,"0–1 years",CleanEmployeeData[[#This Row],[YearsAtCompany]]&lt;=5,"2–5 years",CleanEmployeeData[[#This Row],[YearsAtCompany]]&lt;=10,"6–10 years",TRUE,"11+ years")</f>
        <v>2–5 years</v>
      </c>
    </row>
    <row r="757" spans="1:4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cm="1">
        <f t="array" ref="AJ757">_xlfn.SWITCH(CleanEmployeeData[[#This Row],[Education]],1,"Below College",2,"College",3,"Bachelor",4,"Master",5,"Doctor","Unknown")</f>
        <v>College</v>
      </c>
      <c r="AK757" t="str" cm="1">
        <f t="array" ref="AK757">_xlfn.SWITCH(CleanEmployeeData[[#This Row],[EnvironmentSatisfaction]],1,"Low",2,"Medium",3,"High",4,"Very High","Unknown")</f>
        <v>Very High</v>
      </c>
      <c r="AL757" t="str" cm="1">
        <f t="array" ref="AL757">_xlfn.SWITCH(CleanEmployeeData[[#This Row],[JobInvolvement]],1,"Low",2,"Medium",3,"High",4,"Very High","Unknown")</f>
        <v>High</v>
      </c>
      <c r="AM757" t="str" cm="1">
        <f t="array" ref="AM757">_xlfn.SWITCH(CleanEmployeeData[[#This Row],[JobSatisfaction]],1,"Low",2,"Medium",3,"High",4,"Very High","Unknown")</f>
        <v>Very High</v>
      </c>
      <c r="AN757" t="str" cm="1">
        <f t="array" ref="AN757">_xlfn.SWITCH(CleanEmployeeData[[#This Row],[PerformanceRating]],1,"Low",2,"Good",3,"Excellent",4,"Outstanding","Unknown")</f>
        <v>Excellent</v>
      </c>
      <c r="AO757" t="str" cm="1">
        <f t="array" ref="AO757">_xlfn.SWITCH(CleanEmployeeData[[#This Row],[WorkLifeBalance]],1,"Bad",2,"Good",3,"Better",4,"Best","Unknown")</f>
        <v>Best</v>
      </c>
      <c r="AP757">
        <f>IF(CleanEmployeeData[[#This Row],[Attrition]]="Yes",1,IF(CleanEmployeeData[[#This Row],[Attrition]]="No",0,""))</f>
        <v>0</v>
      </c>
      <c r="AQ757" t="str" cm="1">
        <f t="array" ref="AQ757">_xlfn.IFS(CleanEmployeeData[[#This Row],[MonthlyIncome]]&lt;=3000,"0–3,000",CleanEmployeeData[[#This Row],[MonthlyIncome]]&lt;=6000,"3,001–6,000",CleanEmployeeData[[#This Row],[MonthlyIncome]]&lt;=10000,"6,001–10,000",TRUE,"10,001+")</f>
        <v>10,001+</v>
      </c>
      <c r="AR757" t="str" cm="1">
        <f t="array" ref="AR757">_xlfn.IFS(CleanEmployeeData[[#This Row],[DistanceFromHome]]&lt;=5,"0–5 miles",CleanEmployeeData[[#This Row],[DistanceFromHome]]&lt;=10,"6–10 miles",CleanEmployeeData[[#This Row],[DistanceFromHome]]&lt;=15,"11–15 miles",TRUE,"16+ miles")</f>
        <v>11–15 miles</v>
      </c>
      <c r="AS757" t="str" cm="1">
        <f t="array" ref="AS757">_xlfn.IFS(CleanEmployeeData[[#This Row],[YearsAtCompany]]&lt;=1,"0–1 years",CleanEmployeeData[[#This Row],[YearsAtCompany]]&lt;=5,"2–5 years",CleanEmployeeData[[#This Row],[YearsAtCompany]]&lt;=10,"6–10 years",TRUE,"11+ years")</f>
        <v>6–10 years</v>
      </c>
    </row>
    <row r="758" spans="1:4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cm="1">
        <f t="array" ref="AJ758">_xlfn.SWITCH(CleanEmployeeData[[#This Row],[Education]],1,"Below College",2,"College",3,"Bachelor",4,"Master",5,"Doctor","Unknown")</f>
        <v>Master</v>
      </c>
      <c r="AK758" t="str" cm="1">
        <f t="array" ref="AK758">_xlfn.SWITCH(CleanEmployeeData[[#This Row],[EnvironmentSatisfaction]],1,"Low",2,"Medium",3,"High",4,"Very High","Unknown")</f>
        <v>Very High</v>
      </c>
      <c r="AL758" t="str" cm="1">
        <f t="array" ref="AL758">_xlfn.SWITCH(CleanEmployeeData[[#This Row],[JobInvolvement]],1,"Low",2,"Medium",3,"High",4,"Very High","Unknown")</f>
        <v>High</v>
      </c>
      <c r="AM758" t="str" cm="1">
        <f t="array" ref="AM758">_xlfn.SWITCH(CleanEmployeeData[[#This Row],[JobSatisfaction]],1,"Low",2,"Medium",3,"High",4,"Very High","Unknown")</f>
        <v>High</v>
      </c>
      <c r="AN758" t="str" cm="1">
        <f t="array" ref="AN758">_xlfn.SWITCH(CleanEmployeeData[[#This Row],[PerformanceRating]],1,"Low",2,"Good",3,"Excellent",4,"Outstanding","Unknown")</f>
        <v>Excellent</v>
      </c>
      <c r="AO758" t="str" cm="1">
        <f t="array" ref="AO758">_xlfn.SWITCH(CleanEmployeeData[[#This Row],[WorkLifeBalance]],1,"Bad",2,"Good",3,"Better",4,"Best","Unknown")</f>
        <v>Better</v>
      </c>
      <c r="AP758">
        <f>IF(CleanEmployeeData[[#This Row],[Attrition]]="Yes",1,IF(CleanEmployeeData[[#This Row],[Attrition]]="No",0,""))</f>
        <v>0</v>
      </c>
      <c r="AQ758" t="str" cm="1">
        <f t="array" ref="AQ758">_xlfn.IFS(CleanEmployeeData[[#This Row],[MonthlyIncome]]&lt;=3000,"0–3,000",CleanEmployeeData[[#This Row],[MonthlyIncome]]&lt;=6000,"3,001–6,000",CleanEmployeeData[[#This Row],[MonthlyIncome]]&lt;=10000,"6,001–10,000",TRUE,"10,001+")</f>
        <v>3,001–6,000</v>
      </c>
      <c r="AR758" t="str" cm="1">
        <f t="array" ref="AR758">_xlfn.IFS(CleanEmployeeData[[#This Row],[DistanceFromHome]]&lt;=5,"0–5 miles",CleanEmployeeData[[#This Row],[DistanceFromHome]]&lt;=10,"6–10 miles",CleanEmployeeData[[#This Row],[DistanceFromHome]]&lt;=15,"11–15 miles",TRUE,"16+ miles")</f>
        <v>16+ miles</v>
      </c>
      <c r="AS758" t="str" cm="1">
        <f t="array" ref="AS758">_xlfn.IFS(CleanEmployeeData[[#This Row],[YearsAtCompany]]&lt;=1,"0–1 years",CleanEmployeeData[[#This Row],[YearsAtCompany]]&lt;=5,"2–5 years",CleanEmployeeData[[#This Row],[YearsAtCompany]]&lt;=10,"6–10 years",TRUE,"11+ years")</f>
        <v>6–10 years</v>
      </c>
    </row>
    <row r="759" spans="1:4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cm="1">
        <f t="array" ref="AJ759">_xlfn.SWITCH(CleanEmployeeData[[#This Row],[Education]],1,"Below College",2,"College",3,"Bachelor",4,"Master",5,"Doctor","Unknown")</f>
        <v>Master</v>
      </c>
      <c r="AK759" t="str" cm="1">
        <f t="array" ref="AK759">_xlfn.SWITCH(CleanEmployeeData[[#This Row],[EnvironmentSatisfaction]],1,"Low",2,"Medium",3,"High",4,"Very High","Unknown")</f>
        <v>Medium</v>
      </c>
      <c r="AL759" t="str" cm="1">
        <f t="array" ref="AL759">_xlfn.SWITCH(CleanEmployeeData[[#This Row],[JobInvolvement]],1,"Low",2,"Medium",3,"High",4,"Very High","Unknown")</f>
        <v>Very High</v>
      </c>
      <c r="AM759" t="str" cm="1">
        <f t="array" ref="AM759">_xlfn.SWITCH(CleanEmployeeData[[#This Row],[JobSatisfaction]],1,"Low",2,"Medium",3,"High",4,"Very High","Unknown")</f>
        <v>Very High</v>
      </c>
      <c r="AN759" t="str" cm="1">
        <f t="array" ref="AN759">_xlfn.SWITCH(CleanEmployeeData[[#This Row],[PerformanceRating]],1,"Low",2,"Good",3,"Excellent",4,"Outstanding","Unknown")</f>
        <v>Excellent</v>
      </c>
      <c r="AO759" t="str" cm="1">
        <f t="array" ref="AO759">_xlfn.SWITCH(CleanEmployeeData[[#This Row],[WorkLifeBalance]],1,"Bad",2,"Good",3,"Better",4,"Best","Unknown")</f>
        <v>Good</v>
      </c>
      <c r="AP759">
        <f>IF(CleanEmployeeData[[#This Row],[Attrition]]="Yes",1,IF(CleanEmployeeData[[#This Row],[Attrition]]="No",0,""))</f>
        <v>0</v>
      </c>
      <c r="AQ759" t="str" cm="1">
        <f t="array" ref="AQ759">_xlfn.IFS(CleanEmployeeData[[#This Row],[MonthlyIncome]]&lt;=3000,"0–3,000",CleanEmployeeData[[#This Row],[MonthlyIncome]]&lt;=6000,"3,001–6,000",CleanEmployeeData[[#This Row],[MonthlyIncome]]&lt;=10000,"6,001–10,000",TRUE,"10,001+")</f>
        <v>6,001–10,000</v>
      </c>
      <c r="AR759" t="str" cm="1">
        <f t="array" ref="AR759">_xlfn.IFS(CleanEmployeeData[[#This Row],[DistanceFromHome]]&lt;=5,"0–5 miles",CleanEmployeeData[[#This Row],[DistanceFromHome]]&lt;=10,"6–10 miles",CleanEmployeeData[[#This Row],[DistanceFromHome]]&lt;=15,"11–15 miles",TRUE,"16+ miles")</f>
        <v>0–5 miles</v>
      </c>
      <c r="AS759" t="str" cm="1">
        <f t="array" ref="AS759">_xlfn.IFS(CleanEmployeeData[[#This Row],[YearsAtCompany]]&lt;=1,"0–1 years",CleanEmployeeData[[#This Row],[YearsAtCompany]]&lt;=5,"2–5 years",CleanEmployeeData[[#This Row],[YearsAtCompany]]&lt;=10,"6–10 years",TRUE,"11+ years")</f>
        <v>11+ years</v>
      </c>
    </row>
    <row r="760" spans="1:4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cm="1">
        <f t="array" ref="AJ760">_xlfn.SWITCH(CleanEmployeeData[[#This Row],[Education]],1,"Below College",2,"College",3,"Bachelor",4,"Master",5,"Doctor","Unknown")</f>
        <v>College</v>
      </c>
      <c r="AK760" t="str" cm="1">
        <f t="array" ref="AK760">_xlfn.SWITCH(CleanEmployeeData[[#This Row],[EnvironmentSatisfaction]],1,"Low",2,"Medium",3,"High",4,"Very High","Unknown")</f>
        <v>Medium</v>
      </c>
      <c r="AL760" t="str" cm="1">
        <f t="array" ref="AL760">_xlfn.SWITCH(CleanEmployeeData[[#This Row],[JobInvolvement]],1,"Low",2,"Medium",3,"High",4,"Very High","Unknown")</f>
        <v>High</v>
      </c>
      <c r="AM760" t="str" cm="1">
        <f t="array" ref="AM760">_xlfn.SWITCH(CleanEmployeeData[[#This Row],[JobSatisfaction]],1,"Low",2,"Medium",3,"High",4,"Very High","Unknown")</f>
        <v>Very High</v>
      </c>
      <c r="AN760" t="str" cm="1">
        <f t="array" ref="AN760">_xlfn.SWITCH(CleanEmployeeData[[#This Row],[PerformanceRating]],1,"Low",2,"Good",3,"Excellent",4,"Outstanding","Unknown")</f>
        <v>Excellent</v>
      </c>
      <c r="AO760" t="str" cm="1">
        <f t="array" ref="AO760">_xlfn.SWITCH(CleanEmployeeData[[#This Row],[WorkLifeBalance]],1,"Bad",2,"Good",3,"Better",4,"Best","Unknown")</f>
        <v>Bad</v>
      </c>
      <c r="AP760">
        <f>IF(CleanEmployeeData[[#This Row],[Attrition]]="Yes",1,IF(CleanEmployeeData[[#This Row],[Attrition]]="No",0,""))</f>
        <v>0</v>
      </c>
      <c r="AQ760" t="str" cm="1">
        <f t="array" ref="AQ760">_xlfn.IFS(CleanEmployeeData[[#This Row],[MonthlyIncome]]&lt;=3000,"0–3,000",CleanEmployeeData[[#This Row],[MonthlyIncome]]&lt;=6000,"3,001–6,000",CleanEmployeeData[[#This Row],[MonthlyIncome]]&lt;=10000,"6,001–10,000",TRUE,"10,001+")</f>
        <v>10,001+</v>
      </c>
      <c r="AR760" t="str" cm="1">
        <f t="array" ref="AR760">_xlfn.IFS(CleanEmployeeData[[#This Row],[DistanceFromHome]]&lt;=5,"0–5 miles",CleanEmployeeData[[#This Row],[DistanceFromHome]]&lt;=10,"6–10 miles",CleanEmployeeData[[#This Row],[DistanceFromHome]]&lt;=15,"11–15 miles",TRUE,"16+ miles")</f>
        <v>0–5 miles</v>
      </c>
      <c r="AS760" t="str" cm="1">
        <f t="array" ref="AS760">_xlfn.IFS(CleanEmployeeData[[#This Row],[YearsAtCompany]]&lt;=1,"0–1 years",CleanEmployeeData[[#This Row],[YearsAtCompany]]&lt;=5,"2–5 years",CleanEmployeeData[[#This Row],[YearsAtCompany]]&lt;=10,"6–10 years",TRUE,"11+ years")</f>
        <v>6–10 years</v>
      </c>
    </row>
    <row r="761" spans="1:4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cm="1">
        <f t="array" ref="AJ761">_xlfn.SWITCH(CleanEmployeeData[[#This Row],[Education]],1,"Below College",2,"College",3,"Bachelor",4,"Master",5,"Doctor","Unknown")</f>
        <v>Master</v>
      </c>
      <c r="AK761" t="str" cm="1">
        <f t="array" ref="AK761">_xlfn.SWITCH(CleanEmployeeData[[#This Row],[EnvironmentSatisfaction]],1,"Low",2,"Medium",3,"High",4,"Very High","Unknown")</f>
        <v>Medium</v>
      </c>
      <c r="AL761" t="str" cm="1">
        <f t="array" ref="AL761">_xlfn.SWITCH(CleanEmployeeData[[#This Row],[JobInvolvement]],1,"Low",2,"Medium",3,"High",4,"Very High","Unknown")</f>
        <v>High</v>
      </c>
      <c r="AM761" t="str" cm="1">
        <f t="array" ref="AM761">_xlfn.SWITCH(CleanEmployeeData[[#This Row],[JobSatisfaction]],1,"Low",2,"Medium",3,"High",4,"Very High","Unknown")</f>
        <v>Medium</v>
      </c>
      <c r="AN761" t="str" cm="1">
        <f t="array" ref="AN761">_xlfn.SWITCH(CleanEmployeeData[[#This Row],[PerformanceRating]],1,"Low",2,"Good",3,"Excellent",4,"Outstanding","Unknown")</f>
        <v>Excellent</v>
      </c>
      <c r="AO761" t="str" cm="1">
        <f t="array" ref="AO761">_xlfn.SWITCH(CleanEmployeeData[[#This Row],[WorkLifeBalance]],1,"Bad",2,"Good",3,"Better",4,"Best","Unknown")</f>
        <v>Better</v>
      </c>
      <c r="AP761">
        <f>IF(CleanEmployeeData[[#This Row],[Attrition]]="Yes",1,IF(CleanEmployeeData[[#This Row],[Attrition]]="No",0,""))</f>
        <v>0</v>
      </c>
      <c r="AQ761" t="str" cm="1">
        <f t="array" ref="AQ761">_xlfn.IFS(CleanEmployeeData[[#This Row],[MonthlyIncome]]&lt;=3000,"0–3,000",CleanEmployeeData[[#This Row],[MonthlyIncome]]&lt;=6000,"3,001–6,000",CleanEmployeeData[[#This Row],[MonthlyIncome]]&lt;=10000,"6,001–10,000",TRUE,"10,001+")</f>
        <v>0–3,000</v>
      </c>
      <c r="AR761" t="str" cm="1">
        <f t="array" ref="AR761">_xlfn.IFS(CleanEmployeeData[[#This Row],[DistanceFromHome]]&lt;=5,"0–5 miles",CleanEmployeeData[[#This Row],[DistanceFromHome]]&lt;=10,"6–10 miles",CleanEmployeeData[[#This Row],[DistanceFromHome]]&lt;=15,"11–15 miles",TRUE,"16+ miles")</f>
        <v>16+ miles</v>
      </c>
      <c r="AS761" t="str" cm="1">
        <f t="array" ref="AS761">_xlfn.IFS(CleanEmployeeData[[#This Row],[YearsAtCompany]]&lt;=1,"0–1 years",CleanEmployeeData[[#This Row],[YearsAtCompany]]&lt;=5,"2–5 years",CleanEmployeeData[[#This Row],[YearsAtCompany]]&lt;=10,"6–10 years",TRUE,"11+ years")</f>
        <v>6–10 years</v>
      </c>
    </row>
    <row r="762" spans="1:4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cm="1">
        <f t="array" ref="AJ762">_xlfn.SWITCH(CleanEmployeeData[[#This Row],[Education]],1,"Below College",2,"College",3,"Bachelor",4,"Master",5,"Doctor","Unknown")</f>
        <v>Bachelor</v>
      </c>
      <c r="AK762" t="str" cm="1">
        <f t="array" ref="AK762">_xlfn.SWITCH(CleanEmployeeData[[#This Row],[EnvironmentSatisfaction]],1,"Low",2,"Medium",3,"High",4,"Very High","Unknown")</f>
        <v>High</v>
      </c>
      <c r="AL762" t="str" cm="1">
        <f t="array" ref="AL762">_xlfn.SWITCH(CleanEmployeeData[[#This Row],[JobInvolvement]],1,"Low",2,"Medium",3,"High",4,"Very High","Unknown")</f>
        <v>Medium</v>
      </c>
      <c r="AM762" t="str" cm="1">
        <f t="array" ref="AM762">_xlfn.SWITCH(CleanEmployeeData[[#This Row],[JobSatisfaction]],1,"Low",2,"Medium",3,"High",4,"Very High","Unknown")</f>
        <v>Medium</v>
      </c>
      <c r="AN762" t="str" cm="1">
        <f t="array" ref="AN762">_xlfn.SWITCH(CleanEmployeeData[[#This Row],[PerformanceRating]],1,"Low",2,"Good",3,"Excellent",4,"Outstanding","Unknown")</f>
        <v>Excellent</v>
      </c>
      <c r="AO762" t="str" cm="1">
        <f t="array" ref="AO762">_xlfn.SWITCH(CleanEmployeeData[[#This Row],[WorkLifeBalance]],1,"Bad",2,"Good",3,"Better",4,"Best","Unknown")</f>
        <v>Better</v>
      </c>
      <c r="AP762">
        <f>IF(CleanEmployeeData[[#This Row],[Attrition]]="Yes",1,IF(CleanEmployeeData[[#This Row],[Attrition]]="No",0,""))</f>
        <v>0</v>
      </c>
      <c r="AQ762" t="str" cm="1">
        <f t="array" ref="AQ762">_xlfn.IFS(CleanEmployeeData[[#This Row],[MonthlyIncome]]&lt;=3000,"0–3,000",CleanEmployeeData[[#This Row],[MonthlyIncome]]&lt;=6000,"3,001–6,000",CleanEmployeeData[[#This Row],[MonthlyIncome]]&lt;=10000,"6,001–10,000",TRUE,"10,001+")</f>
        <v>6,001–10,000</v>
      </c>
      <c r="AR762" t="str" cm="1">
        <f t="array" ref="AR762">_xlfn.IFS(CleanEmployeeData[[#This Row],[DistanceFromHome]]&lt;=5,"0–5 miles",CleanEmployeeData[[#This Row],[DistanceFromHome]]&lt;=10,"6–10 miles",CleanEmployeeData[[#This Row],[DistanceFromHome]]&lt;=15,"11–15 miles",TRUE,"16+ miles")</f>
        <v>0–5 miles</v>
      </c>
      <c r="AS762" t="str" cm="1">
        <f t="array" ref="AS762">_xlfn.IFS(CleanEmployeeData[[#This Row],[YearsAtCompany]]&lt;=1,"0–1 years",CleanEmployeeData[[#This Row],[YearsAtCompany]]&lt;=5,"2–5 years",CleanEmployeeData[[#This Row],[YearsAtCompany]]&lt;=10,"6–10 years",TRUE,"11+ years")</f>
        <v>11+ years</v>
      </c>
    </row>
    <row r="763" spans="1:4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cm="1">
        <f t="array" ref="AJ763">_xlfn.SWITCH(CleanEmployeeData[[#This Row],[Education]],1,"Below College",2,"College",3,"Bachelor",4,"Master",5,"Doctor","Unknown")</f>
        <v>Bachelor</v>
      </c>
      <c r="AK763" t="str" cm="1">
        <f t="array" ref="AK763">_xlfn.SWITCH(CleanEmployeeData[[#This Row],[EnvironmentSatisfaction]],1,"Low",2,"Medium",3,"High",4,"Very High","Unknown")</f>
        <v>Low</v>
      </c>
      <c r="AL763" t="str" cm="1">
        <f t="array" ref="AL763">_xlfn.SWITCH(CleanEmployeeData[[#This Row],[JobInvolvement]],1,"Low",2,"Medium",3,"High",4,"Very High","Unknown")</f>
        <v>High</v>
      </c>
      <c r="AM763" t="str" cm="1">
        <f t="array" ref="AM763">_xlfn.SWITCH(CleanEmployeeData[[#This Row],[JobSatisfaction]],1,"Low",2,"Medium",3,"High",4,"Very High","Unknown")</f>
        <v>High</v>
      </c>
      <c r="AN763" t="str" cm="1">
        <f t="array" ref="AN763">_xlfn.SWITCH(CleanEmployeeData[[#This Row],[PerformanceRating]],1,"Low",2,"Good",3,"Excellent",4,"Outstanding","Unknown")</f>
        <v>Excellent</v>
      </c>
      <c r="AO763" t="str" cm="1">
        <f t="array" ref="AO763">_xlfn.SWITCH(CleanEmployeeData[[#This Row],[WorkLifeBalance]],1,"Bad",2,"Good",3,"Better",4,"Best","Unknown")</f>
        <v>Good</v>
      </c>
      <c r="AP763">
        <f>IF(CleanEmployeeData[[#This Row],[Attrition]]="Yes",1,IF(CleanEmployeeData[[#This Row],[Attrition]]="No",0,""))</f>
        <v>1</v>
      </c>
      <c r="AQ763" t="str" cm="1">
        <f t="array" ref="AQ763">_xlfn.IFS(CleanEmployeeData[[#This Row],[MonthlyIncome]]&lt;=3000,"0–3,000",CleanEmployeeData[[#This Row],[MonthlyIncome]]&lt;=6000,"3,001–6,000",CleanEmployeeData[[#This Row],[MonthlyIncome]]&lt;=10000,"6,001–10,000",TRUE,"10,001+")</f>
        <v>3,001–6,000</v>
      </c>
      <c r="AR763" t="str" cm="1">
        <f t="array" ref="AR763">_xlfn.IFS(CleanEmployeeData[[#This Row],[DistanceFromHome]]&lt;=5,"0–5 miles",CleanEmployeeData[[#This Row],[DistanceFromHome]]&lt;=10,"6–10 miles",CleanEmployeeData[[#This Row],[DistanceFromHome]]&lt;=15,"11–15 miles",TRUE,"16+ miles")</f>
        <v>11–15 miles</v>
      </c>
      <c r="AS763" t="str" cm="1">
        <f t="array" ref="AS763">_xlfn.IFS(CleanEmployeeData[[#This Row],[YearsAtCompany]]&lt;=1,"0–1 years",CleanEmployeeData[[#This Row],[YearsAtCompany]]&lt;=5,"2–5 years",CleanEmployeeData[[#This Row],[YearsAtCompany]]&lt;=10,"6–10 years",TRUE,"11+ years")</f>
        <v>0–1 years</v>
      </c>
    </row>
    <row r="764" spans="1:4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cm="1">
        <f t="array" ref="AJ764">_xlfn.SWITCH(CleanEmployeeData[[#This Row],[Education]],1,"Below College",2,"College",3,"Bachelor",4,"Master",5,"Doctor","Unknown")</f>
        <v>Bachelor</v>
      </c>
      <c r="AK764" t="str" cm="1">
        <f t="array" ref="AK764">_xlfn.SWITCH(CleanEmployeeData[[#This Row],[EnvironmentSatisfaction]],1,"Low",2,"Medium",3,"High",4,"Very High","Unknown")</f>
        <v>Low</v>
      </c>
      <c r="AL764" t="str" cm="1">
        <f t="array" ref="AL764">_xlfn.SWITCH(CleanEmployeeData[[#This Row],[JobInvolvement]],1,"Low",2,"Medium",3,"High",4,"Very High","Unknown")</f>
        <v>High</v>
      </c>
      <c r="AM764" t="str" cm="1">
        <f t="array" ref="AM764">_xlfn.SWITCH(CleanEmployeeData[[#This Row],[JobSatisfaction]],1,"Low",2,"Medium",3,"High",4,"Very High","Unknown")</f>
        <v>Low</v>
      </c>
      <c r="AN764" t="str" cm="1">
        <f t="array" ref="AN764">_xlfn.SWITCH(CleanEmployeeData[[#This Row],[PerformanceRating]],1,"Low",2,"Good",3,"Excellent",4,"Outstanding","Unknown")</f>
        <v>Excellent</v>
      </c>
      <c r="AO764" t="str" cm="1">
        <f t="array" ref="AO764">_xlfn.SWITCH(CleanEmployeeData[[#This Row],[WorkLifeBalance]],1,"Bad",2,"Good",3,"Better",4,"Best","Unknown")</f>
        <v>Better</v>
      </c>
      <c r="AP764">
        <f>IF(CleanEmployeeData[[#This Row],[Attrition]]="Yes",1,IF(CleanEmployeeData[[#This Row],[Attrition]]="No",0,""))</f>
        <v>1</v>
      </c>
      <c r="AQ764" t="str" cm="1">
        <f t="array" ref="AQ764">_xlfn.IFS(CleanEmployeeData[[#This Row],[MonthlyIncome]]&lt;=3000,"0–3,000",CleanEmployeeData[[#This Row],[MonthlyIncome]]&lt;=6000,"3,001–6,000",CleanEmployeeData[[#This Row],[MonthlyIncome]]&lt;=10000,"6,001–10,000",TRUE,"10,001+")</f>
        <v>0–3,000</v>
      </c>
      <c r="AR764" t="str" cm="1">
        <f t="array" ref="AR764">_xlfn.IFS(CleanEmployeeData[[#This Row],[DistanceFromHome]]&lt;=5,"0–5 miles",CleanEmployeeData[[#This Row],[DistanceFromHome]]&lt;=10,"6–10 miles",CleanEmployeeData[[#This Row],[DistanceFromHome]]&lt;=15,"11–15 miles",TRUE,"16+ miles")</f>
        <v>0–5 miles</v>
      </c>
      <c r="AS764" t="str" cm="1">
        <f t="array" ref="AS764">_xlfn.IFS(CleanEmployeeData[[#This Row],[YearsAtCompany]]&lt;=1,"0–1 years",CleanEmployeeData[[#This Row],[YearsAtCompany]]&lt;=5,"2–5 years",CleanEmployeeData[[#This Row],[YearsAtCompany]]&lt;=10,"6–10 years",TRUE,"11+ years")</f>
        <v>2–5 years</v>
      </c>
    </row>
    <row r="765" spans="1:4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cm="1">
        <f t="array" ref="AJ765">_xlfn.SWITCH(CleanEmployeeData[[#This Row],[Education]],1,"Below College",2,"College",3,"Bachelor",4,"Master",5,"Doctor","Unknown")</f>
        <v>Master</v>
      </c>
      <c r="AK765" t="str" cm="1">
        <f t="array" ref="AK765">_xlfn.SWITCH(CleanEmployeeData[[#This Row],[EnvironmentSatisfaction]],1,"Low",2,"Medium",3,"High",4,"Very High","Unknown")</f>
        <v>High</v>
      </c>
      <c r="AL765" t="str" cm="1">
        <f t="array" ref="AL765">_xlfn.SWITCH(CleanEmployeeData[[#This Row],[JobInvolvement]],1,"Low",2,"Medium",3,"High",4,"Very High","Unknown")</f>
        <v>High</v>
      </c>
      <c r="AM765" t="str" cm="1">
        <f t="array" ref="AM765">_xlfn.SWITCH(CleanEmployeeData[[#This Row],[JobSatisfaction]],1,"Low",2,"Medium",3,"High",4,"Very High","Unknown")</f>
        <v>High</v>
      </c>
      <c r="AN765" t="str" cm="1">
        <f t="array" ref="AN765">_xlfn.SWITCH(CleanEmployeeData[[#This Row],[PerformanceRating]],1,"Low",2,"Good",3,"Excellent",4,"Outstanding","Unknown")</f>
        <v>Excellent</v>
      </c>
      <c r="AO765" t="str" cm="1">
        <f t="array" ref="AO765">_xlfn.SWITCH(CleanEmployeeData[[#This Row],[WorkLifeBalance]],1,"Bad",2,"Good",3,"Better",4,"Best","Unknown")</f>
        <v>Better</v>
      </c>
      <c r="AP765">
        <f>IF(CleanEmployeeData[[#This Row],[Attrition]]="Yes",1,IF(CleanEmployeeData[[#This Row],[Attrition]]="No",0,""))</f>
        <v>0</v>
      </c>
      <c r="AQ765" t="str" cm="1">
        <f t="array" ref="AQ765">_xlfn.IFS(CleanEmployeeData[[#This Row],[MonthlyIncome]]&lt;=3000,"0–3,000",CleanEmployeeData[[#This Row],[MonthlyIncome]]&lt;=6000,"3,001–6,000",CleanEmployeeData[[#This Row],[MonthlyIncome]]&lt;=10000,"6,001–10,000",TRUE,"10,001+")</f>
        <v>0–3,000</v>
      </c>
      <c r="AR765" t="str" cm="1">
        <f t="array" ref="AR765">_xlfn.IFS(CleanEmployeeData[[#This Row],[DistanceFromHome]]&lt;=5,"0–5 miles",CleanEmployeeData[[#This Row],[DistanceFromHome]]&lt;=10,"6–10 miles",CleanEmployeeData[[#This Row],[DistanceFromHome]]&lt;=15,"11–15 miles",TRUE,"16+ miles")</f>
        <v>6–10 miles</v>
      </c>
      <c r="AS765" t="str" cm="1">
        <f t="array" ref="AS765">_xlfn.IFS(CleanEmployeeData[[#This Row],[YearsAtCompany]]&lt;=1,"0–1 years",CleanEmployeeData[[#This Row],[YearsAtCompany]]&lt;=5,"2–5 years",CleanEmployeeData[[#This Row],[YearsAtCompany]]&lt;=10,"6–10 years",TRUE,"11+ years")</f>
        <v>0–1 years</v>
      </c>
    </row>
    <row r="766" spans="1:4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cm="1">
        <f t="array" ref="AJ766">_xlfn.SWITCH(CleanEmployeeData[[#This Row],[Education]],1,"Below College",2,"College",3,"Bachelor",4,"Master",5,"Doctor","Unknown")</f>
        <v>Below College</v>
      </c>
      <c r="AK766" t="str" cm="1">
        <f t="array" ref="AK766">_xlfn.SWITCH(CleanEmployeeData[[#This Row],[EnvironmentSatisfaction]],1,"Low",2,"Medium",3,"High",4,"Very High","Unknown")</f>
        <v>Very High</v>
      </c>
      <c r="AL766" t="str" cm="1">
        <f t="array" ref="AL766">_xlfn.SWITCH(CleanEmployeeData[[#This Row],[JobInvolvement]],1,"Low",2,"Medium",3,"High",4,"Very High","Unknown")</f>
        <v>High</v>
      </c>
      <c r="AM766" t="str" cm="1">
        <f t="array" ref="AM766">_xlfn.SWITCH(CleanEmployeeData[[#This Row],[JobSatisfaction]],1,"Low",2,"Medium",3,"High",4,"Very High","Unknown")</f>
        <v>Medium</v>
      </c>
      <c r="AN766" t="str" cm="1">
        <f t="array" ref="AN766">_xlfn.SWITCH(CleanEmployeeData[[#This Row],[PerformanceRating]],1,"Low",2,"Good",3,"Excellent",4,"Outstanding","Unknown")</f>
        <v>Outstanding</v>
      </c>
      <c r="AO766" t="str" cm="1">
        <f t="array" ref="AO766">_xlfn.SWITCH(CleanEmployeeData[[#This Row],[WorkLifeBalance]],1,"Bad",2,"Good",3,"Better",4,"Best","Unknown")</f>
        <v>Better</v>
      </c>
      <c r="AP766">
        <f>IF(CleanEmployeeData[[#This Row],[Attrition]]="Yes",1,IF(CleanEmployeeData[[#This Row],[Attrition]]="No",0,""))</f>
        <v>0</v>
      </c>
      <c r="AQ766" t="str" cm="1">
        <f t="array" ref="AQ766">_xlfn.IFS(CleanEmployeeData[[#This Row],[MonthlyIncome]]&lt;=3000,"0–3,000",CleanEmployeeData[[#This Row],[MonthlyIncome]]&lt;=6000,"3,001–6,000",CleanEmployeeData[[#This Row],[MonthlyIncome]]&lt;=10000,"6,001–10,000",TRUE,"10,001+")</f>
        <v>0–3,000</v>
      </c>
      <c r="AR766" t="str" cm="1">
        <f t="array" ref="AR766">_xlfn.IFS(CleanEmployeeData[[#This Row],[DistanceFromHome]]&lt;=5,"0–5 miles",CleanEmployeeData[[#This Row],[DistanceFromHome]]&lt;=10,"6–10 miles",CleanEmployeeData[[#This Row],[DistanceFromHome]]&lt;=15,"11–15 miles",TRUE,"16+ miles")</f>
        <v>6–10 miles</v>
      </c>
      <c r="AS766" t="str" cm="1">
        <f t="array" ref="AS766">_xlfn.IFS(CleanEmployeeData[[#This Row],[YearsAtCompany]]&lt;=1,"0–1 years",CleanEmployeeData[[#This Row],[YearsAtCompany]]&lt;=5,"2–5 years",CleanEmployeeData[[#This Row],[YearsAtCompany]]&lt;=10,"6–10 years",TRUE,"11+ years")</f>
        <v>0–1 years</v>
      </c>
    </row>
    <row r="767" spans="1:4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cm="1">
        <f t="array" ref="AJ767">_xlfn.SWITCH(CleanEmployeeData[[#This Row],[Education]],1,"Below College",2,"College",3,"Bachelor",4,"Master",5,"Doctor","Unknown")</f>
        <v>Master</v>
      </c>
      <c r="AK767" t="str" cm="1">
        <f t="array" ref="AK767">_xlfn.SWITCH(CleanEmployeeData[[#This Row],[EnvironmentSatisfaction]],1,"Low",2,"Medium",3,"High",4,"Very High","Unknown")</f>
        <v>High</v>
      </c>
      <c r="AL767" t="str" cm="1">
        <f t="array" ref="AL767">_xlfn.SWITCH(CleanEmployeeData[[#This Row],[JobInvolvement]],1,"Low",2,"Medium",3,"High",4,"Very High","Unknown")</f>
        <v>High</v>
      </c>
      <c r="AM767" t="str" cm="1">
        <f t="array" ref="AM767">_xlfn.SWITCH(CleanEmployeeData[[#This Row],[JobSatisfaction]],1,"Low",2,"Medium",3,"High",4,"Very High","Unknown")</f>
        <v>High</v>
      </c>
      <c r="AN767" t="str" cm="1">
        <f t="array" ref="AN767">_xlfn.SWITCH(CleanEmployeeData[[#This Row],[PerformanceRating]],1,"Low",2,"Good",3,"Excellent",4,"Outstanding","Unknown")</f>
        <v>Excellent</v>
      </c>
      <c r="AO767" t="str" cm="1">
        <f t="array" ref="AO767">_xlfn.SWITCH(CleanEmployeeData[[#This Row],[WorkLifeBalance]],1,"Bad",2,"Good",3,"Better",4,"Best","Unknown")</f>
        <v>Better</v>
      </c>
      <c r="AP767">
        <f>IF(CleanEmployeeData[[#This Row],[Attrition]]="Yes",1,IF(CleanEmployeeData[[#This Row],[Attrition]]="No",0,""))</f>
        <v>0</v>
      </c>
      <c r="AQ767" t="str" cm="1">
        <f t="array" ref="AQ767">_xlfn.IFS(CleanEmployeeData[[#This Row],[MonthlyIncome]]&lt;=3000,"0–3,000",CleanEmployeeData[[#This Row],[MonthlyIncome]]&lt;=6000,"3,001–6,000",CleanEmployeeData[[#This Row],[MonthlyIncome]]&lt;=10000,"6,001–10,000",TRUE,"10,001+")</f>
        <v>0–3,000</v>
      </c>
      <c r="AR767" t="str" cm="1">
        <f t="array" ref="AR767">_xlfn.IFS(CleanEmployeeData[[#This Row],[DistanceFromHome]]&lt;=5,"0–5 miles",CleanEmployeeData[[#This Row],[DistanceFromHome]]&lt;=10,"6–10 miles",CleanEmployeeData[[#This Row],[DistanceFromHome]]&lt;=15,"11–15 miles",TRUE,"16+ miles")</f>
        <v>0–5 miles</v>
      </c>
      <c r="AS767" t="str" cm="1">
        <f t="array" ref="AS767">_xlfn.IFS(CleanEmployeeData[[#This Row],[YearsAtCompany]]&lt;=1,"0–1 years",CleanEmployeeData[[#This Row],[YearsAtCompany]]&lt;=5,"2–5 years",CleanEmployeeData[[#This Row],[YearsAtCompany]]&lt;=10,"6–10 years",TRUE,"11+ years")</f>
        <v>2–5 years</v>
      </c>
    </row>
    <row r="768" spans="1:4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cm="1">
        <f t="array" ref="AJ768">_xlfn.SWITCH(CleanEmployeeData[[#This Row],[Education]],1,"Below College",2,"College",3,"Bachelor",4,"Master",5,"Doctor","Unknown")</f>
        <v>Master</v>
      </c>
      <c r="AK768" t="str" cm="1">
        <f t="array" ref="AK768">_xlfn.SWITCH(CleanEmployeeData[[#This Row],[EnvironmentSatisfaction]],1,"Low",2,"Medium",3,"High",4,"Very High","Unknown")</f>
        <v>Medium</v>
      </c>
      <c r="AL768" t="str" cm="1">
        <f t="array" ref="AL768">_xlfn.SWITCH(CleanEmployeeData[[#This Row],[JobInvolvement]],1,"Low",2,"Medium",3,"High",4,"Very High","Unknown")</f>
        <v>High</v>
      </c>
      <c r="AM768" t="str" cm="1">
        <f t="array" ref="AM768">_xlfn.SWITCH(CleanEmployeeData[[#This Row],[JobSatisfaction]],1,"Low",2,"Medium",3,"High",4,"Very High","Unknown")</f>
        <v>High</v>
      </c>
      <c r="AN768" t="str" cm="1">
        <f t="array" ref="AN768">_xlfn.SWITCH(CleanEmployeeData[[#This Row],[PerformanceRating]],1,"Low",2,"Good",3,"Excellent",4,"Outstanding","Unknown")</f>
        <v>Excellent</v>
      </c>
      <c r="AO768" t="str" cm="1">
        <f t="array" ref="AO768">_xlfn.SWITCH(CleanEmployeeData[[#This Row],[WorkLifeBalance]],1,"Bad",2,"Good",3,"Better",4,"Best","Unknown")</f>
        <v>Good</v>
      </c>
      <c r="AP768">
        <f>IF(CleanEmployeeData[[#This Row],[Attrition]]="Yes",1,IF(CleanEmployeeData[[#This Row],[Attrition]]="No",0,""))</f>
        <v>0</v>
      </c>
      <c r="AQ768" t="str" cm="1">
        <f t="array" ref="AQ768">_xlfn.IFS(CleanEmployeeData[[#This Row],[MonthlyIncome]]&lt;=3000,"0–3,000",CleanEmployeeData[[#This Row],[MonthlyIncome]]&lt;=6000,"3,001–6,000",CleanEmployeeData[[#This Row],[MonthlyIncome]]&lt;=10000,"6,001–10,000",TRUE,"10,001+")</f>
        <v>10,001+</v>
      </c>
      <c r="AR768" t="str" cm="1">
        <f t="array" ref="AR768">_xlfn.IFS(CleanEmployeeData[[#This Row],[DistanceFromHome]]&lt;=5,"0–5 miles",CleanEmployeeData[[#This Row],[DistanceFromHome]]&lt;=10,"6–10 miles",CleanEmployeeData[[#This Row],[DistanceFromHome]]&lt;=15,"11–15 miles",TRUE,"16+ miles")</f>
        <v>0–5 miles</v>
      </c>
      <c r="AS768" t="str" cm="1">
        <f t="array" ref="AS768">_xlfn.IFS(CleanEmployeeData[[#This Row],[YearsAtCompany]]&lt;=1,"0–1 years",CleanEmployeeData[[#This Row],[YearsAtCompany]]&lt;=5,"2–5 years",CleanEmployeeData[[#This Row],[YearsAtCompany]]&lt;=10,"6–10 years",TRUE,"11+ years")</f>
        <v>6–10 years</v>
      </c>
    </row>
    <row r="769" spans="1:4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cm="1">
        <f t="array" ref="AJ769">_xlfn.SWITCH(CleanEmployeeData[[#This Row],[Education]],1,"Below College",2,"College",3,"Bachelor",4,"Master",5,"Doctor","Unknown")</f>
        <v>Bachelor</v>
      </c>
      <c r="AK769" t="str" cm="1">
        <f t="array" ref="AK769">_xlfn.SWITCH(CleanEmployeeData[[#This Row],[EnvironmentSatisfaction]],1,"Low",2,"Medium",3,"High",4,"Very High","Unknown")</f>
        <v>Very High</v>
      </c>
      <c r="AL769" t="str" cm="1">
        <f t="array" ref="AL769">_xlfn.SWITCH(CleanEmployeeData[[#This Row],[JobInvolvement]],1,"Low",2,"Medium",3,"High",4,"Very High","Unknown")</f>
        <v>High</v>
      </c>
      <c r="AM769" t="str" cm="1">
        <f t="array" ref="AM769">_xlfn.SWITCH(CleanEmployeeData[[#This Row],[JobSatisfaction]],1,"Low",2,"Medium",3,"High",4,"Very High","Unknown")</f>
        <v>Medium</v>
      </c>
      <c r="AN769" t="str" cm="1">
        <f t="array" ref="AN769">_xlfn.SWITCH(CleanEmployeeData[[#This Row],[PerformanceRating]],1,"Low",2,"Good",3,"Excellent",4,"Outstanding","Unknown")</f>
        <v>Excellent</v>
      </c>
      <c r="AO769" t="str" cm="1">
        <f t="array" ref="AO769">_xlfn.SWITCH(CleanEmployeeData[[#This Row],[WorkLifeBalance]],1,"Bad",2,"Good",3,"Better",4,"Best","Unknown")</f>
        <v>Good</v>
      </c>
      <c r="AP769">
        <f>IF(CleanEmployeeData[[#This Row],[Attrition]]="Yes",1,IF(CleanEmployeeData[[#This Row],[Attrition]]="No",0,""))</f>
        <v>0</v>
      </c>
      <c r="AQ769" t="str" cm="1">
        <f t="array" ref="AQ769">_xlfn.IFS(CleanEmployeeData[[#This Row],[MonthlyIncome]]&lt;=3000,"0–3,000",CleanEmployeeData[[#This Row],[MonthlyIncome]]&lt;=6000,"3,001–6,000",CleanEmployeeData[[#This Row],[MonthlyIncome]]&lt;=10000,"6,001–10,000",TRUE,"10,001+")</f>
        <v>3,001–6,000</v>
      </c>
      <c r="AR769" t="str" cm="1">
        <f t="array" ref="AR769">_xlfn.IFS(CleanEmployeeData[[#This Row],[DistanceFromHome]]&lt;=5,"0–5 miles",CleanEmployeeData[[#This Row],[DistanceFromHome]]&lt;=10,"6–10 miles",CleanEmployeeData[[#This Row],[DistanceFromHome]]&lt;=15,"11–15 miles",TRUE,"16+ miles")</f>
        <v>0–5 miles</v>
      </c>
      <c r="AS769" t="str" cm="1">
        <f t="array" ref="AS769">_xlfn.IFS(CleanEmployeeData[[#This Row],[YearsAtCompany]]&lt;=1,"0–1 years",CleanEmployeeData[[#This Row],[YearsAtCompany]]&lt;=5,"2–5 years",CleanEmployeeData[[#This Row],[YearsAtCompany]]&lt;=10,"6–10 years",TRUE,"11+ years")</f>
        <v>2–5 years</v>
      </c>
    </row>
    <row r="770" spans="1:4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cm="1">
        <f t="array" ref="AJ770">_xlfn.SWITCH(CleanEmployeeData[[#This Row],[Education]],1,"Below College",2,"College",3,"Bachelor",4,"Master",5,"Doctor","Unknown")</f>
        <v>Bachelor</v>
      </c>
      <c r="AK770" t="str" cm="1">
        <f t="array" ref="AK770">_xlfn.SWITCH(CleanEmployeeData[[#This Row],[EnvironmentSatisfaction]],1,"Low",2,"Medium",3,"High",4,"Very High","Unknown")</f>
        <v>High</v>
      </c>
      <c r="AL770" t="str" cm="1">
        <f t="array" ref="AL770">_xlfn.SWITCH(CleanEmployeeData[[#This Row],[JobInvolvement]],1,"Low",2,"Medium",3,"High",4,"Very High","Unknown")</f>
        <v>High</v>
      </c>
      <c r="AM770" t="str" cm="1">
        <f t="array" ref="AM770">_xlfn.SWITCH(CleanEmployeeData[[#This Row],[JobSatisfaction]],1,"Low",2,"Medium",3,"High",4,"Very High","Unknown")</f>
        <v>Low</v>
      </c>
      <c r="AN770" t="str" cm="1">
        <f t="array" ref="AN770">_xlfn.SWITCH(CleanEmployeeData[[#This Row],[PerformanceRating]],1,"Low",2,"Good",3,"Excellent",4,"Outstanding","Unknown")</f>
        <v>Excellent</v>
      </c>
      <c r="AO770" t="str" cm="1">
        <f t="array" ref="AO770">_xlfn.SWITCH(CleanEmployeeData[[#This Row],[WorkLifeBalance]],1,"Bad",2,"Good",3,"Better",4,"Best","Unknown")</f>
        <v>Good</v>
      </c>
      <c r="AP770">
        <f>IF(CleanEmployeeData[[#This Row],[Attrition]]="Yes",1,IF(CleanEmployeeData[[#This Row],[Attrition]]="No",0,""))</f>
        <v>0</v>
      </c>
      <c r="AQ770" t="str" cm="1">
        <f t="array" ref="AQ770">_xlfn.IFS(CleanEmployeeData[[#This Row],[MonthlyIncome]]&lt;=3000,"0–3,000",CleanEmployeeData[[#This Row],[MonthlyIncome]]&lt;=6000,"3,001–6,000",CleanEmployeeData[[#This Row],[MonthlyIncome]]&lt;=10000,"6,001–10,000",TRUE,"10,001+")</f>
        <v>6,001–10,000</v>
      </c>
      <c r="AR770" t="str" cm="1">
        <f t="array" ref="AR770">_xlfn.IFS(CleanEmployeeData[[#This Row],[DistanceFromHome]]&lt;=5,"0–5 miles",CleanEmployeeData[[#This Row],[DistanceFromHome]]&lt;=10,"6–10 miles",CleanEmployeeData[[#This Row],[DistanceFromHome]]&lt;=15,"11–15 miles",TRUE,"16+ miles")</f>
        <v>16+ miles</v>
      </c>
      <c r="AS770" t="str" cm="1">
        <f t="array" ref="AS770">_xlfn.IFS(CleanEmployeeData[[#This Row],[YearsAtCompany]]&lt;=1,"0–1 years",CleanEmployeeData[[#This Row],[YearsAtCompany]]&lt;=5,"2–5 years",CleanEmployeeData[[#This Row],[YearsAtCompany]]&lt;=10,"6–10 years",TRUE,"11+ years")</f>
        <v>6–10 years</v>
      </c>
    </row>
    <row r="771" spans="1:4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cm="1">
        <f t="array" ref="AJ771">_xlfn.SWITCH(CleanEmployeeData[[#This Row],[Education]],1,"Below College",2,"College",3,"Bachelor",4,"Master",5,"Doctor","Unknown")</f>
        <v>Below College</v>
      </c>
      <c r="AK771" t="str" cm="1">
        <f t="array" ref="AK771">_xlfn.SWITCH(CleanEmployeeData[[#This Row],[EnvironmentSatisfaction]],1,"Low",2,"Medium",3,"High",4,"Very High","Unknown")</f>
        <v>Low</v>
      </c>
      <c r="AL771" t="str" cm="1">
        <f t="array" ref="AL771">_xlfn.SWITCH(CleanEmployeeData[[#This Row],[JobInvolvement]],1,"Low",2,"Medium",3,"High",4,"Very High","Unknown")</f>
        <v>Medium</v>
      </c>
      <c r="AM771" t="str" cm="1">
        <f t="array" ref="AM771">_xlfn.SWITCH(CleanEmployeeData[[#This Row],[JobSatisfaction]],1,"Low",2,"Medium",3,"High",4,"Very High","Unknown")</f>
        <v>High</v>
      </c>
      <c r="AN771" t="str" cm="1">
        <f t="array" ref="AN771">_xlfn.SWITCH(CleanEmployeeData[[#This Row],[PerformanceRating]],1,"Low",2,"Good",3,"Excellent",4,"Outstanding","Unknown")</f>
        <v>Excellent</v>
      </c>
      <c r="AO771" t="str" cm="1">
        <f t="array" ref="AO771">_xlfn.SWITCH(CleanEmployeeData[[#This Row],[WorkLifeBalance]],1,"Bad",2,"Good",3,"Better",4,"Best","Unknown")</f>
        <v>Better</v>
      </c>
      <c r="AP771">
        <f>IF(CleanEmployeeData[[#This Row],[Attrition]]="Yes",1,IF(CleanEmployeeData[[#This Row],[Attrition]]="No",0,""))</f>
        <v>0</v>
      </c>
      <c r="AQ771" t="str" cm="1">
        <f t="array" ref="AQ771">_xlfn.IFS(CleanEmployeeData[[#This Row],[MonthlyIncome]]&lt;=3000,"0–3,000",CleanEmployeeData[[#This Row],[MonthlyIncome]]&lt;=6000,"3,001–6,000",CleanEmployeeData[[#This Row],[MonthlyIncome]]&lt;=10000,"6,001–10,000",TRUE,"10,001+")</f>
        <v>0–3,000</v>
      </c>
      <c r="AR771" t="str" cm="1">
        <f t="array" ref="AR771">_xlfn.IFS(CleanEmployeeData[[#This Row],[DistanceFromHome]]&lt;=5,"0–5 miles",CleanEmployeeData[[#This Row],[DistanceFromHome]]&lt;=10,"6–10 miles",CleanEmployeeData[[#This Row],[DistanceFromHome]]&lt;=15,"11–15 miles",TRUE,"16+ miles")</f>
        <v>0–5 miles</v>
      </c>
      <c r="AS771" t="str" cm="1">
        <f t="array" ref="AS771">_xlfn.IFS(CleanEmployeeData[[#This Row],[YearsAtCompany]]&lt;=1,"0–1 years",CleanEmployeeData[[#This Row],[YearsAtCompany]]&lt;=5,"2–5 years",CleanEmployeeData[[#This Row],[YearsAtCompany]]&lt;=10,"6–10 years",TRUE,"11+ years")</f>
        <v>2–5 years</v>
      </c>
    </row>
    <row r="772" spans="1:4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cm="1">
        <f t="array" ref="AJ772">_xlfn.SWITCH(CleanEmployeeData[[#This Row],[Education]],1,"Below College",2,"College",3,"Bachelor",4,"Master",5,"Doctor","Unknown")</f>
        <v>Master</v>
      </c>
      <c r="AK772" t="str" cm="1">
        <f t="array" ref="AK772">_xlfn.SWITCH(CleanEmployeeData[[#This Row],[EnvironmentSatisfaction]],1,"Low",2,"Medium",3,"High",4,"Very High","Unknown")</f>
        <v>Very High</v>
      </c>
      <c r="AL772" t="str" cm="1">
        <f t="array" ref="AL772">_xlfn.SWITCH(CleanEmployeeData[[#This Row],[JobInvolvement]],1,"Low",2,"Medium",3,"High",4,"Very High","Unknown")</f>
        <v>High</v>
      </c>
      <c r="AM772" t="str" cm="1">
        <f t="array" ref="AM772">_xlfn.SWITCH(CleanEmployeeData[[#This Row],[JobSatisfaction]],1,"Low",2,"Medium",3,"High",4,"Very High","Unknown")</f>
        <v>Very High</v>
      </c>
      <c r="AN772" t="str" cm="1">
        <f t="array" ref="AN772">_xlfn.SWITCH(CleanEmployeeData[[#This Row],[PerformanceRating]],1,"Low",2,"Good",3,"Excellent",4,"Outstanding","Unknown")</f>
        <v>Excellent</v>
      </c>
      <c r="AO772" t="str" cm="1">
        <f t="array" ref="AO772">_xlfn.SWITCH(CleanEmployeeData[[#This Row],[WorkLifeBalance]],1,"Bad",2,"Good",3,"Better",4,"Best","Unknown")</f>
        <v>Better</v>
      </c>
      <c r="AP772">
        <f>IF(CleanEmployeeData[[#This Row],[Attrition]]="Yes",1,IF(CleanEmployeeData[[#This Row],[Attrition]]="No",0,""))</f>
        <v>0</v>
      </c>
      <c r="AQ772" t="str" cm="1">
        <f t="array" ref="AQ772">_xlfn.IFS(CleanEmployeeData[[#This Row],[MonthlyIncome]]&lt;=3000,"0–3,000",CleanEmployeeData[[#This Row],[MonthlyIncome]]&lt;=6000,"3,001–6,000",CleanEmployeeData[[#This Row],[MonthlyIncome]]&lt;=10000,"6,001–10,000",TRUE,"10,001+")</f>
        <v>10,001+</v>
      </c>
      <c r="AR772" t="str" cm="1">
        <f t="array" ref="AR772">_xlfn.IFS(CleanEmployeeData[[#This Row],[DistanceFromHome]]&lt;=5,"0–5 miles",CleanEmployeeData[[#This Row],[DistanceFromHome]]&lt;=10,"6–10 miles",CleanEmployeeData[[#This Row],[DistanceFromHome]]&lt;=15,"11–15 miles",TRUE,"16+ miles")</f>
        <v>0–5 miles</v>
      </c>
      <c r="AS772" t="str" cm="1">
        <f t="array" ref="AS772">_xlfn.IFS(CleanEmployeeData[[#This Row],[YearsAtCompany]]&lt;=1,"0–1 years",CleanEmployeeData[[#This Row],[YearsAtCompany]]&lt;=5,"2–5 years",CleanEmployeeData[[#This Row],[YearsAtCompany]]&lt;=10,"6–10 years",TRUE,"11+ years")</f>
        <v>2–5 years</v>
      </c>
    </row>
    <row r="773" spans="1:4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cm="1">
        <f t="array" ref="AJ773">_xlfn.SWITCH(CleanEmployeeData[[#This Row],[Education]],1,"Below College",2,"College",3,"Bachelor",4,"Master",5,"Doctor","Unknown")</f>
        <v>Master</v>
      </c>
      <c r="AK773" t="str" cm="1">
        <f t="array" ref="AK773">_xlfn.SWITCH(CleanEmployeeData[[#This Row],[EnvironmentSatisfaction]],1,"Low",2,"Medium",3,"High",4,"Very High","Unknown")</f>
        <v>High</v>
      </c>
      <c r="AL773" t="str" cm="1">
        <f t="array" ref="AL773">_xlfn.SWITCH(CleanEmployeeData[[#This Row],[JobInvolvement]],1,"Low",2,"Medium",3,"High",4,"Very High","Unknown")</f>
        <v>Medium</v>
      </c>
      <c r="AM773" t="str" cm="1">
        <f t="array" ref="AM773">_xlfn.SWITCH(CleanEmployeeData[[#This Row],[JobSatisfaction]],1,"Low",2,"Medium",3,"High",4,"Very High","Unknown")</f>
        <v>High</v>
      </c>
      <c r="AN773" t="str" cm="1">
        <f t="array" ref="AN773">_xlfn.SWITCH(CleanEmployeeData[[#This Row],[PerformanceRating]],1,"Low",2,"Good",3,"Excellent",4,"Outstanding","Unknown")</f>
        <v>Excellent</v>
      </c>
      <c r="AO773" t="str" cm="1">
        <f t="array" ref="AO773">_xlfn.SWITCH(CleanEmployeeData[[#This Row],[WorkLifeBalance]],1,"Bad",2,"Good",3,"Better",4,"Best","Unknown")</f>
        <v>Better</v>
      </c>
      <c r="AP773">
        <f>IF(CleanEmployeeData[[#This Row],[Attrition]]="Yes",1,IF(CleanEmployeeData[[#This Row],[Attrition]]="No",0,""))</f>
        <v>0</v>
      </c>
      <c r="AQ773" t="str" cm="1">
        <f t="array" ref="AQ773">_xlfn.IFS(CleanEmployeeData[[#This Row],[MonthlyIncome]]&lt;=3000,"0–3,000",CleanEmployeeData[[#This Row],[MonthlyIncome]]&lt;=6000,"3,001–6,000",CleanEmployeeData[[#This Row],[MonthlyIncome]]&lt;=10000,"6,001–10,000",TRUE,"10,001+")</f>
        <v>10,001+</v>
      </c>
      <c r="AR773" t="str" cm="1">
        <f t="array" ref="AR773">_xlfn.IFS(CleanEmployeeData[[#This Row],[DistanceFromHome]]&lt;=5,"0–5 miles",CleanEmployeeData[[#This Row],[DistanceFromHome]]&lt;=10,"6–10 miles",CleanEmployeeData[[#This Row],[DistanceFromHome]]&lt;=15,"11–15 miles",TRUE,"16+ miles")</f>
        <v>0–5 miles</v>
      </c>
      <c r="AS773" t="str" cm="1">
        <f t="array" ref="AS773">_xlfn.IFS(CleanEmployeeData[[#This Row],[YearsAtCompany]]&lt;=1,"0–1 years",CleanEmployeeData[[#This Row],[YearsAtCompany]]&lt;=5,"2–5 years",CleanEmployeeData[[#This Row],[YearsAtCompany]]&lt;=10,"6–10 years",TRUE,"11+ years")</f>
        <v>6–10 years</v>
      </c>
    </row>
    <row r="774" spans="1:4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cm="1">
        <f t="array" ref="AJ774">_xlfn.SWITCH(CleanEmployeeData[[#This Row],[Education]],1,"Below College",2,"College",3,"Bachelor",4,"Master",5,"Doctor","Unknown")</f>
        <v>Bachelor</v>
      </c>
      <c r="AK774" t="str" cm="1">
        <f t="array" ref="AK774">_xlfn.SWITCH(CleanEmployeeData[[#This Row],[EnvironmentSatisfaction]],1,"Low",2,"Medium",3,"High",4,"Very High","Unknown")</f>
        <v>Low</v>
      </c>
      <c r="AL774" t="str" cm="1">
        <f t="array" ref="AL774">_xlfn.SWITCH(CleanEmployeeData[[#This Row],[JobInvolvement]],1,"Low",2,"Medium",3,"High",4,"Very High","Unknown")</f>
        <v>High</v>
      </c>
      <c r="AM774" t="str" cm="1">
        <f t="array" ref="AM774">_xlfn.SWITCH(CleanEmployeeData[[#This Row],[JobSatisfaction]],1,"Low",2,"Medium",3,"High",4,"Very High","Unknown")</f>
        <v>High</v>
      </c>
      <c r="AN774" t="str" cm="1">
        <f t="array" ref="AN774">_xlfn.SWITCH(CleanEmployeeData[[#This Row],[PerformanceRating]],1,"Low",2,"Good",3,"Excellent",4,"Outstanding","Unknown")</f>
        <v>Excellent</v>
      </c>
      <c r="AO774" t="str" cm="1">
        <f t="array" ref="AO774">_xlfn.SWITCH(CleanEmployeeData[[#This Row],[WorkLifeBalance]],1,"Bad",2,"Good",3,"Better",4,"Best","Unknown")</f>
        <v>Better</v>
      </c>
      <c r="AP774">
        <f>IF(CleanEmployeeData[[#This Row],[Attrition]]="Yes",1,IF(CleanEmployeeData[[#This Row],[Attrition]]="No",0,""))</f>
        <v>0</v>
      </c>
      <c r="AQ774" t="str" cm="1">
        <f t="array" ref="AQ774">_xlfn.IFS(CleanEmployeeData[[#This Row],[MonthlyIncome]]&lt;=3000,"0–3,000",CleanEmployeeData[[#This Row],[MonthlyIncome]]&lt;=6000,"3,001–6,000",CleanEmployeeData[[#This Row],[MonthlyIncome]]&lt;=10000,"6,001–10,000",TRUE,"10,001+")</f>
        <v>0–3,000</v>
      </c>
      <c r="AR774" t="str" cm="1">
        <f t="array" ref="AR774">_xlfn.IFS(CleanEmployeeData[[#This Row],[DistanceFromHome]]&lt;=5,"0–5 miles",CleanEmployeeData[[#This Row],[DistanceFromHome]]&lt;=10,"6–10 miles",CleanEmployeeData[[#This Row],[DistanceFromHome]]&lt;=15,"11–15 miles",TRUE,"16+ miles")</f>
        <v>6–10 miles</v>
      </c>
      <c r="AS774" t="str" cm="1">
        <f t="array" ref="AS774">_xlfn.IFS(CleanEmployeeData[[#This Row],[YearsAtCompany]]&lt;=1,"0–1 years",CleanEmployeeData[[#This Row],[YearsAtCompany]]&lt;=5,"2–5 years",CleanEmployeeData[[#This Row],[YearsAtCompany]]&lt;=10,"6–10 years",TRUE,"11+ years")</f>
        <v>2–5 years</v>
      </c>
    </row>
    <row r="775" spans="1:4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cm="1">
        <f t="array" ref="AJ775">_xlfn.SWITCH(CleanEmployeeData[[#This Row],[Education]],1,"Below College",2,"College",3,"Bachelor",4,"Master",5,"Doctor","Unknown")</f>
        <v>Doctor</v>
      </c>
      <c r="AK775" t="str" cm="1">
        <f t="array" ref="AK775">_xlfn.SWITCH(CleanEmployeeData[[#This Row],[EnvironmentSatisfaction]],1,"Low",2,"Medium",3,"High",4,"Very High","Unknown")</f>
        <v>Very High</v>
      </c>
      <c r="AL775" t="str" cm="1">
        <f t="array" ref="AL775">_xlfn.SWITCH(CleanEmployeeData[[#This Row],[JobInvolvement]],1,"Low",2,"Medium",3,"High",4,"Very High","Unknown")</f>
        <v>Medium</v>
      </c>
      <c r="AM775" t="str" cm="1">
        <f t="array" ref="AM775">_xlfn.SWITCH(CleanEmployeeData[[#This Row],[JobSatisfaction]],1,"Low",2,"Medium",3,"High",4,"Very High","Unknown")</f>
        <v>Very High</v>
      </c>
      <c r="AN775" t="str" cm="1">
        <f t="array" ref="AN775">_xlfn.SWITCH(CleanEmployeeData[[#This Row],[PerformanceRating]],1,"Low",2,"Good",3,"Excellent",4,"Outstanding","Unknown")</f>
        <v>Excellent</v>
      </c>
      <c r="AO775" t="str" cm="1">
        <f t="array" ref="AO775">_xlfn.SWITCH(CleanEmployeeData[[#This Row],[WorkLifeBalance]],1,"Bad",2,"Good",3,"Better",4,"Best","Unknown")</f>
        <v>Good</v>
      </c>
      <c r="AP775">
        <f>IF(CleanEmployeeData[[#This Row],[Attrition]]="Yes",1,IF(CleanEmployeeData[[#This Row],[Attrition]]="No",0,""))</f>
        <v>0</v>
      </c>
      <c r="AQ775" t="str" cm="1">
        <f t="array" ref="AQ775">_xlfn.IFS(CleanEmployeeData[[#This Row],[MonthlyIncome]]&lt;=3000,"0–3,000",CleanEmployeeData[[#This Row],[MonthlyIncome]]&lt;=6000,"3,001–6,000",CleanEmployeeData[[#This Row],[MonthlyIncome]]&lt;=10000,"6,001–10,000",TRUE,"10,001+")</f>
        <v>6,001–10,000</v>
      </c>
      <c r="AR775" t="str" cm="1">
        <f t="array" ref="AR775">_xlfn.IFS(CleanEmployeeData[[#This Row],[DistanceFromHome]]&lt;=5,"0–5 miles",CleanEmployeeData[[#This Row],[DistanceFromHome]]&lt;=10,"6–10 miles",CleanEmployeeData[[#This Row],[DistanceFromHome]]&lt;=15,"11–15 miles",TRUE,"16+ miles")</f>
        <v>11–15 miles</v>
      </c>
      <c r="AS775" t="str" cm="1">
        <f t="array" ref="AS775">_xlfn.IFS(CleanEmployeeData[[#This Row],[YearsAtCompany]]&lt;=1,"0–1 years",CleanEmployeeData[[#This Row],[YearsAtCompany]]&lt;=5,"2–5 years",CleanEmployeeData[[#This Row],[YearsAtCompany]]&lt;=10,"6–10 years",TRUE,"11+ years")</f>
        <v>11+ years</v>
      </c>
    </row>
    <row r="776" spans="1:4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cm="1">
        <f t="array" ref="AJ776">_xlfn.SWITCH(CleanEmployeeData[[#This Row],[Education]],1,"Below College",2,"College",3,"Bachelor",4,"Master",5,"Doctor","Unknown")</f>
        <v>Below College</v>
      </c>
      <c r="AK776" t="str" cm="1">
        <f t="array" ref="AK776">_xlfn.SWITCH(CleanEmployeeData[[#This Row],[EnvironmentSatisfaction]],1,"Low",2,"Medium",3,"High",4,"Very High","Unknown")</f>
        <v>High</v>
      </c>
      <c r="AL776" t="str" cm="1">
        <f t="array" ref="AL776">_xlfn.SWITCH(CleanEmployeeData[[#This Row],[JobInvolvement]],1,"Low",2,"Medium",3,"High",4,"Very High","Unknown")</f>
        <v>Medium</v>
      </c>
      <c r="AM776" t="str" cm="1">
        <f t="array" ref="AM776">_xlfn.SWITCH(CleanEmployeeData[[#This Row],[JobSatisfaction]],1,"Low",2,"Medium",3,"High",4,"Very High","Unknown")</f>
        <v>Low</v>
      </c>
      <c r="AN776" t="str" cm="1">
        <f t="array" ref="AN776">_xlfn.SWITCH(CleanEmployeeData[[#This Row],[PerformanceRating]],1,"Low",2,"Good",3,"Excellent",4,"Outstanding","Unknown")</f>
        <v>Excellent</v>
      </c>
      <c r="AO776" t="str" cm="1">
        <f t="array" ref="AO776">_xlfn.SWITCH(CleanEmployeeData[[#This Row],[WorkLifeBalance]],1,"Bad",2,"Good",3,"Better",4,"Best","Unknown")</f>
        <v>Best</v>
      </c>
      <c r="AP776">
        <f>IF(CleanEmployeeData[[#This Row],[Attrition]]="Yes",1,IF(CleanEmployeeData[[#This Row],[Attrition]]="No",0,""))</f>
        <v>0</v>
      </c>
      <c r="AQ776" t="str" cm="1">
        <f t="array" ref="AQ776">_xlfn.IFS(CleanEmployeeData[[#This Row],[MonthlyIncome]]&lt;=3000,"0–3,000",CleanEmployeeData[[#This Row],[MonthlyIncome]]&lt;=6000,"3,001–6,000",CleanEmployeeData[[#This Row],[MonthlyIncome]]&lt;=10000,"6,001–10,000",TRUE,"10,001+")</f>
        <v>10,001+</v>
      </c>
      <c r="AR776" t="str" cm="1">
        <f t="array" ref="AR776">_xlfn.IFS(CleanEmployeeData[[#This Row],[DistanceFromHome]]&lt;=5,"0–5 miles",CleanEmployeeData[[#This Row],[DistanceFromHome]]&lt;=10,"6–10 miles",CleanEmployeeData[[#This Row],[DistanceFromHome]]&lt;=15,"11–15 miles",TRUE,"16+ miles")</f>
        <v>0–5 miles</v>
      </c>
      <c r="AS776" t="str" cm="1">
        <f t="array" ref="AS776">_xlfn.IFS(CleanEmployeeData[[#This Row],[YearsAtCompany]]&lt;=1,"0–1 years",CleanEmployeeData[[#This Row],[YearsAtCompany]]&lt;=5,"2–5 years",CleanEmployeeData[[#This Row],[YearsAtCompany]]&lt;=10,"6–10 years",TRUE,"11+ years")</f>
        <v>6–10 years</v>
      </c>
    </row>
    <row r="777" spans="1:4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cm="1">
        <f t="array" ref="AJ777">_xlfn.SWITCH(CleanEmployeeData[[#This Row],[Education]],1,"Below College",2,"College",3,"Bachelor",4,"Master",5,"Doctor","Unknown")</f>
        <v>Bachelor</v>
      </c>
      <c r="AK777" t="str" cm="1">
        <f t="array" ref="AK777">_xlfn.SWITCH(CleanEmployeeData[[#This Row],[EnvironmentSatisfaction]],1,"Low",2,"Medium",3,"High",4,"Very High","Unknown")</f>
        <v>High</v>
      </c>
      <c r="AL777" t="str" cm="1">
        <f t="array" ref="AL777">_xlfn.SWITCH(CleanEmployeeData[[#This Row],[JobInvolvement]],1,"Low",2,"Medium",3,"High",4,"Very High","Unknown")</f>
        <v>Medium</v>
      </c>
      <c r="AM777" t="str" cm="1">
        <f t="array" ref="AM777">_xlfn.SWITCH(CleanEmployeeData[[#This Row],[JobSatisfaction]],1,"Low",2,"Medium",3,"High",4,"Very High","Unknown")</f>
        <v>Very High</v>
      </c>
      <c r="AN777" t="str" cm="1">
        <f t="array" ref="AN777">_xlfn.SWITCH(CleanEmployeeData[[#This Row],[PerformanceRating]],1,"Low",2,"Good",3,"Excellent",4,"Outstanding","Unknown")</f>
        <v>Excellent</v>
      </c>
      <c r="AO777" t="str" cm="1">
        <f t="array" ref="AO777">_xlfn.SWITCH(CleanEmployeeData[[#This Row],[WorkLifeBalance]],1,"Bad",2,"Good",3,"Better",4,"Best","Unknown")</f>
        <v>Better</v>
      </c>
      <c r="AP777">
        <f>IF(CleanEmployeeData[[#This Row],[Attrition]]="Yes",1,IF(CleanEmployeeData[[#This Row],[Attrition]]="No",0,""))</f>
        <v>0</v>
      </c>
      <c r="AQ777" t="str" cm="1">
        <f t="array" ref="AQ777">_xlfn.IFS(CleanEmployeeData[[#This Row],[MonthlyIncome]]&lt;=3000,"0–3,000",CleanEmployeeData[[#This Row],[MonthlyIncome]]&lt;=6000,"3,001–6,000",CleanEmployeeData[[#This Row],[MonthlyIncome]]&lt;=10000,"6,001–10,000",TRUE,"10,001+")</f>
        <v>10,001+</v>
      </c>
      <c r="AR777" t="str" cm="1">
        <f t="array" ref="AR777">_xlfn.IFS(CleanEmployeeData[[#This Row],[DistanceFromHome]]&lt;=5,"0–5 miles",CleanEmployeeData[[#This Row],[DistanceFromHome]]&lt;=10,"6–10 miles",CleanEmployeeData[[#This Row],[DistanceFromHome]]&lt;=15,"11–15 miles",TRUE,"16+ miles")</f>
        <v>16+ miles</v>
      </c>
      <c r="AS777" t="str" cm="1">
        <f t="array" ref="AS777">_xlfn.IFS(CleanEmployeeData[[#This Row],[YearsAtCompany]]&lt;=1,"0–1 years",CleanEmployeeData[[#This Row],[YearsAtCompany]]&lt;=5,"2–5 years",CleanEmployeeData[[#This Row],[YearsAtCompany]]&lt;=10,"6–10 years",TRUE,"11+ years")</f>
        <v>0–1 years</v>
      </c>
    </row>
    <row r="778" spans="1:4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cm="1">
        <f t="array" ref="AJ778">_xlfn.SWITCH(CleanEmployeeData[[#This Row],[Education]],1,"Below College",2,"College",3,"Bachelor",4,"Master",5,"Doctor","Unknown")</f>
        <v>Bachelor</v>
      </c>
      <c r="AK778" t="str" cm="1">
        <f t="array" ref="AK778">_xlfn.SWITCH(CleanEmployeeData[[#This Row],[EnvironmentSatisfaction]],1,"Low",2,"Medium",3,"High",4,"Very High","Unknown")</f>
        <v>Very High</v>
      </c>
      <c r="AL778" t="str" cm="1">
        <f t="array" ref="AL778">_xlfn.SWITCH(CleanEmployeeData[[#This Row],[JobInvolvement]],1,"Low",2,"Medium",3,"High",4,"Very High","Unknown")</f>
        <v>High</v>
      </c>
      <c r="AM778" t="str" cm="1">
        <f t="array" ref="AM778">_xlfn.SWITCH(CleanEmployeeData[[#This Row],[JobSatisfaction]],1,"Low",2,"Medium",3,"High",4,"Very High","Unknown")</f>
        <v>Very High</v>
      </c>
      <c r="AN778" t="str" cm="1">
        <f t="array" ref="AN778">_xlfn.SWITCH(CleanEmployeeData[[#This Row],[PerformanceRating]],1,"Low",2,"Good",3,"Excellent",4,"Outstanding","Unknown")</f>
        <v>Excellent</v>
      </c>
      <c r="AO778" t="str" cm="1">
        <f t="array" ref="AO778">_xlfn.SWITCH(CleanEmployeeData[[#This Row],[WorkLifeBalance]],1,"Bad",2,"Good",3,"Better",4,"Best","Unknown")</f>
        <v>Better</v>
      </c>
      <c r="AP778">
        <f>IF(CleanEmployeeData[[#This Row],[Attrition]]="Yes",1,IF(CleanEmployeeData[[#This Row],[Attrition]]="No",0,""))</f>
        <v>1</v>
      </c>
      <c r="AQ778" t="str" cm="1">
        <f t="array" ref="AQ778">_xlfn.IFS(CleanEmployeeData[[#This Row],[MonthlyIncome]]&lt;=3000,"0–3,000",CleanEmployeeData[[#This Row],[MonthlyIncome]]&lt;=6000,"3,001–6,000",CleanEmployeeData[[#This Row],[MonthlyIncome]]&lt;=10000,"6,001–10,000",TRUE,"10,001+")</f>
        <v>0–3,000</v>
      </c>
      <c r="AR778" t="str" cm="1">
        <f t="array" ref="AR778">_xlfn.IFS(CleanEmployeeData[[#This Row],[DistanceFromHome]]&lt;=5,"0–5 miles",CleanEmployeeData[[#This Row],[DistanceFromHome]]&lt;=10,"6–10 miles",CleanEmployeeData[[#This Row],[DistanceFromHome]]&lt;=15,"11–15 miles",TRUE,"16+ miles")</f>
        <v>6–10 miles</v>
      </c>
      <c r="AS778" t="str" cm="1">
        <f t="array" ref="AS778">_xlfn.IFS(CleanEmployeeData[[#This Row],[YearsAtCompany]]&lt;=1,"0–1 years",CleanEmployeeData[[#This Row],[YearsAtCompany]]&lt;=5,"2–5 years",CleanEmployeeData[[#This Row],[YearsAtCompany]]&lt;=10,"6–10 years",TRUE,"11+ years")</f>
        <v>2–5 years</v>
      </c>
    </row>
    <row r="779" spans="1:4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cm="1">
        <f t="array" ref="AJ779">_xlfn.SWITCH(CleanEmployeeData[[#This Row],[Education]],1,"Below College",2,"College",3,"Bachelor",4,"Master",5,"Doctor","Unknown")</f>
        <v>Bachelor</v>
      </c>
      <c r="AK779" t="str" cm="1">
        <f t="array" ref="AK779">_xlfn.SWITCH(CleanEmployeeData[[#This Row],[EnvironmentSatisfaction]],1,"Low",2,"Medium",3,"High",4,"Very High","Unknown")</f>
        <v>High</v>
      </c>
      <c r="AL779" t="str" cm="1">
        <f t="array" ref="AL779">_xlfn.SWITCH(CleanEmployeeData[[#This Row],[JobInvolvement]],1,"Low",2,"Medium",3,"High",4,"Very High","Unknown")</f>
        <v>Medium</v>
      </c>
      <c r="AM779" t="str" cm="1">
        <f t="array" ref="AM779">_xlfn.SWITCH(CleanEmployeeData[[#This Row],[JobSatisfaction]],1,"Low",2,"Medium",3,"High",4,"Very High","Unknown")</f>
        <v>Low</v>
      </c>
      <c r="AN779" t="str" cm="1">
        <f t="array" ref="AN779">_xlfn.SWITCH(CleanEmployeeData[[#This Row],[PerformanceRating]],1,"Low",2,"Good",3,"Excellent",4,"Outstanding","Unknown")</f>
        <v>Excellent</v>
      </c>
      <c r="AO779" t="str" cm="1">
        <f t="array" ref="AO779">_xlfn.SWITCH(CleanEmployeeData[[#This Row],[WorkLifeBalance]],1,"Bad",2,"Good",3,"Better",4,"Best","Unknown")</f>
        <v>Good</v>
      </c>
      <c r="AP779">
        <f>IF(CleanEmployeeData[[#This Row],[Attrition]]="Yes",1,IF(CleanEmployeeData[[#This Row],[Attrition]]="No",0,""))</f>
        <v>1</v>
      </c>
      <c r="AQ779" t="str" cm="1">
        <f t="array" ref="AQ779">_xlfn.IFS(CleanEmployeeData[[#This Row],[MonthlyIncome]]&lt;=3000,"0–3,000",CleanEmployeeData[[#This Row],[MonthlyIncome]]&lt;=6000,"3,001–6,000",CleanEmployeeData[[#This Row],[MonthlyIncome]]&lt;=10000,"6,001–10,000",TRUE,"10,001+")</f>
        <v>0–3,000</v>
      </c>
      <c r="AR779" t="str" cm="1">
        <f t="array" ref="AR779">_xlfn.IFS(CleanEmployeeData[[#This Row],[DistanceFromHome]]&lt;=5,"0–5 miles",CleanEmployeeData[[#This Row],[DistanceFromHome]]&lt;=10,"6–10 miles",CleanEmployeeData[[#This Row],[DistanceFromHome]]&lt;=15,"11–15 miles",TRUE,"16+ miles")</f>
        <v>6–10 miles</v>
      </c>
      <c r="AS779" t="str" cm="1">
        <f t="array" ref="AS779">_xlfn.IFS(CleanEmployeeData[[#This Row],[YearsAtCompany]]&lt;=1,"0–1 years",CleanEmployeeData[[#This Row],[YearsAtCompany]]&lt;=5,"2–5 years",CleanEmployeeData[[#This Row],[YearsAtCompany]]&lt;=10,"6–10 years",TRUE,"11+ years")</f>
        <v>0–1 years</v>
      </c>
    </row>
    <row r="780" spans="1:4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cm="1">
        <f t="array" ref="AJ780">_xlfn.SWITCH(CleanEmployeeData[[#This Row],[Education]],1,"Below College",2,"College",3,"Bachelor",4,"Master",5,"Doctor","Unknown")</f>
        <v>Master</v>
      </c>
      <c r="AK780" t="str" cm="1">
        <f t="array" ref="AK780">_xlfn.SWITCH(CleanEmployeeData[[#This Row],[EnvironmentSatisfaction]],1,"Low",2,"Medium",3,"High",4,"Very High","Unknown")</f>
        <v>Very High</v>
      </c>
      <c r="AL780" t="str" cm="1">
        <f t="array" ref="AL780">_xlfn.SWITCH(CleanEmployeeData[[#This Row],[JobInvolvement]],1,"Low",2,"Medium",3,"High",4,"Very High","Unknown")</f>
        <v>Medium</v>
      </c>
      <c r="AM780" t="str" cm="1">
        <f t="array" ref="AM780">_xlfn.SWITCH(CleanEmployeeData[[#This Row],[JobSatisfaction]],1,"Low",2,"Medium",3,"High",4,"Very High","Unknown")</f>
        <v>Low</v>
      </c>
      <c r="AN780" t="str" cm="1">
        <f t="array" ref="AN780">_xlfn.SWITCH(CleanEmployeeData[[#This Row],[PerformanceRating]],1,"Low",2,"Good",3,"Excellent",4,"Outstanding","Unknown")</f>
        <v>Outstanding</v>
      </c>
      <c r="AO780" t="str" cm="1">
        <f t="array" ref="AO780">_xlfn.SWITCH(CleanEmployeeData[[#This Row],[WorkLifeBalance]],1,"Bad",2,"Good",3,"Better",4,"Best","Unknown")</f>
        <v>Better</v>
      </c>
      <c r="AP780">
        <f>IF(CleanEmployeeData[[#This Row],[Attrition]]="Yes",1,IF(CleanEmployeeData[[#This Row],[Attrition]]="No",0,""))</f>
        <v>0</v>
      </c>
      <c r="AQ780" t="str" cm="1">
        <f t="array" ref="AQ780">_xlfn.IFS(CleanEmployeeData[[#This Row],[MonthlyIncome]]&lt;=3000,"0–3,000",CleanEmployeeData[[#This Row],[MonthlyIncome]]&lt;=6000,"3,001–6,000",CleanEmployeeData[[#This Row],[MonthlyIncome]]&lt;=10000,"6,001–10,000",TRUE,"10,001+")</f>
        <v>3,001–6,000</v>
      </c>
      <c r="AR780" t="str" cm="1">
        <f t="array" ref="AR780">_xlfn.IFS(CleanEmployeeData[[#This Row],[DistanceFromHome]]&lt;=5,"0–5 miles",CleanEmployeeData[[#This Row],[DistanceFromHome]]&lt;=10,"6–10 miles",CleanEmployeeData[[#This Row],[DistanceFromHome]]&lt;=15,"11–15 miles",TRUE,"16+ miles")</f>
        <v>6–10 miles</v>
      </c>
      <c r="AS780" t="str" cm="1">
        <f t="array" ref="AS780">_xlfn.IFS(CleanEmployeeData[[#This Row],[YearsAtCompany]]&lt;=1,"0–1 years",CleanEmployeeData[[#This Row],[YearsAtCompany]]&lt;=5,"2–5 years",CleanEmployeeData[[#This Row],[YearsAtCompany]]&lt;=10,"6–10 years",TRUE,"11+ years")</f>
        <v>11+ years</v>
      </c>
    </row>
    <row r="781" spans="1:4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cm="1">
        <f t="array" ref="AJ781">_xlfn.SWITCH(CleanEmployeeData[[#This Row],[Education]],1,"Below College",2,"College",3,"Bachelor",4,"Master",5,"Doctor","Unknown")</f>
        <v>Master</v>
      </c>
      <c r="AK781" t="str" cm="1">
        <f t="array" ref="AK781">_xlfn.SWITCH(CleanEmployeeData[[#This Row],[EnvironmentSatisfaction]],1,"Low",2,"Medium",3,"High",4,"Very High","Unknown")</f>
        <v>Low</v>
      </c>
      <c r="AL781" t="str" cm="1">
        <f t="array" ref="AL781">_xlfn.SWITCH(CleanEmployeeData[[#This Row],[JobInvolvement]],1,"Low",2,"Medium",3,"High",4,"Very High","Unknown")</f>
        <v>High</v>
      </c>
      <c r="AM781" t="str" cm="1">
        <f t="array" ref="AM781">_xlfn.SWITCH(CleanEmployeeData[[#This Row],[JobSatisfaction]],1,"Low",2,"Medium",3,"High",4,"Very High","Unknown")</f>
        <v>High</v>
      </c>
      <c r="AN781" t="str" cm="1">
        <f t="array" ref="AN781">_xlfn.SWITCH(CleanEmployeeData[[#This Row],[PerformanceRating]],1,"Low",2,"Good",3,"Excellent",4,"Outstanding","Unknown")</f>
        <v>Excellent</v>
      </c>
      <c r="AO781" t="str" cm="1">
        <f t="array" ref="AO781">_xlfn.SWITCH(CleanEmployeeData[[#This Row],[WorkLifeBalance]],1,"Bad",2,"Good",3,"Better",4,"Best","Unknown")</f>
        <v>Best</v>
      </c>
      <c r="AP781">
        <f>IF(CleanEmployeeData[[#This Row],[Attrition]]="Yes",1,IF(CleanEmployeeData[[#This Row],[Attrition]]="No",0,""))</f>
        <v>1</v>
      </c>
      <c r="AQ781" t="str" cm="1">
        <f t="array" ref="AQ781">_xlfn.IFS(CleanEmployeeData[[#This Row],[MonthlyIncome]]&lt;=3000,"0–3,000",CleanEmployeeData[[#This Row],[MonthlyIncome]]&lt;=6000,"3,001–6,000",CleanEmployeeData[[#This Row],[MonthlyIncome]]&lt;=10000,"6,001–10,000",TRUE,"10,001+")</f>
        <v>0–3,000</v>
      </c>
      <c r="AR781" t="str" cm="1">
        <f t="array" ref="AR781">_xlfn.IFS(CleanEmployeeData[[#This Row],[DistanceFromHome]]&lt;=5,"0–5 miles",CleanEmployeeData[[#This Row],[DistanceFromHome]]&lt;=10,"6–10 miles",CleanEmployeeData[[#This Row],[DistanceFromHome]]&lt;=15,"11–15 miles",TRUE,"16+ miles")</f>
        <v>0–5 miles</v>
      </c>
      <c r="AS781" t="str" cm="1">
        <f t="array" ref="AS781">_xlfn.IFS(CleanEmployeeData[[#This Row],[YearsAtCompany]]&lt;=1,"0–1 years",CleanEmployeeData[[#This Row],[YearsAtCompany]]&lt;=5,"2–5 years",CleanEmployeeData[[#This Row],[YearsAtCompany]]&lt;=10,"6–10 years",TRUE,"11+ years")</f>
        <v>6–10 years</v>
      </c>
    </row>
    <row r="782" spans="1:4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cm="1">
        <f t="array" ref="AJ782">_xlfn.SWITCH(CleanEmployeeData[[#This Row],[Education]],1,"Below College",2,"College",3,"Bachelor",4,"Master",5,"Doctor","Unknown")</f>
        <v>College</v>
      </c>
      <c r="AK782" t="str" cm="1">
        <f t="array" ref="AK782">_xlfn.SWITCH(CleanEmployeeData[[#This Row],[EnvironmentSatisfaction]],1,"Low",2,"Medium",3,"High",4,"Very High","Unknown")</f>
        <v>Medium</v>
      </c>
      <c r="AL782" t="str" cm="1">
        <f t="array" ref="AL782">_xlfn.SWITCH(CleanEmployeeData[[#This Row],[JobInvolvement]],1,"Low",2,"Medium",3,"High",4,"Very High","Unknown")</f>
        <v>Medium</v>
      </c>
      <c r="AM782" t="str" cm="1">
        <f t="array" ref="AM782">_xlfn.SWITCH(CleanEmployeeData[[#This Row],[JobSatisfaction]],1,"Low",2,"Medium",3,"High",4,"Very High","Unknown")</f>
        <v>Low</v>
      </c>
      <c r="AN782" t="str" cm="1">
        <f t="array" ref="AN782">_xlfn.SWITCH(CleanEmployeeData[[#This Row],[PerformanceRating]],1,"Low",2,"Good",3,"Excellent",4,"Outstanding","Unknown")</f>
        <v>Excellent</v>
      </c>
      <c r="AO782" t="str" cm="1">
        <f t="array" ref="AO782">_xlfn.SWITCH(CleanEmployeeData[[#This Row],[WorkLifeBalance]],1,"Bad",2,"Good",3,"Better",4,"Best","Unknown")</f>
        <v>Good</v>
      </c>
      <c r="AP782">
        <f>IF(CleanEmployeeData[[#This Row],[Attrition]]="Yes",1,IF(CleanEmployeeData[[#This Row],[Attrition]]="No",0,""))</f>
        <v>1</v>
      </c>
      <c r="AQ782" t="str" cm="1">
        <f t="array" ref="AQ782">_xlfn.IFS(CleanEmployeeData[[#This Row],[MonthlyIncome]]&lt;=3000,"0–3,000",CleanEmployeeData[[#This Row],[MonthlyIncome]]&lt;=6000,"3,001–6,000",CleanEmployeeData[[#This Row],[MonthlyIncome]]&lt;=10000,"6,001–10,000",TRUE,"10,001+")</f>
        <v>6,001–10,000</v>
      </c>
      <c r="AR782" t="str" cm="1">
        <f t="array" ref="AR782">_xlfn.IFS(CleanEmployeeData[[#This Row],[DistanceFromHome]]&lt;=5,"0–5 miles",CleanEmployeeData[[#This Row],[DistanceFromHome]]&lt;=10,"6–10 miles",CleanEmployeeData[[#This Row],[DistanceFromHome]]&lt;=15,"11–15 miles",TRUE,"16+ miles")</f>
        <v>16+ miles</v>
      </c>
      <c r="AS782" t="str" cm="1">
        <f t="array" ref="AS782">_xlfn.IFS(CleanEmployeeData[[#This Row],[YearsAtCompany]]&lt;=1,"0–1 years",CleanEmployeeData[[#This Row],[YearsAtCompany]]&lt;=5,"2–5 years",CleanEmployeeData[[#This Row],[YearsAtCompany]]&lt;=10,"6–10 years",TRUE,"11+ years")</f>
        <v>6–10 years</v>
      </c>
    </row>
    <row r="783" spans="1:4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cm="1">
        <f t="array" ref="AJ783">_xlfn.SWITCH(CleanEmployeeData[[#This Row],[Education]],1,"Below College",2,"College",3,"Bachelor",4,"Master",5,"Doctor","Unknown")</f>
        <v>College</v>
      </c>
      <c r="AK783" t="str" cm="1">
        <f t="array" ref="AK783">_xlfn.SWITCH(CleanEmployeeData[[#This Row],[EnvironmentSatisfaction]],1,"Low",2,"Medium",3,"High",4,"Very High","Unknown")</f>
        <v>Low</v>
      </c>
      <c r="AL783" t="str" cm="1">
        <f t="array" ref="AL783">_xlfn.SWITCH(CleanEmployeeData[[#This Row],[JobInvolvement]],1,"Low",2,"Medium",3,"High",4,"Very High","Unknown")</f>
        <v>Medium</v>
      </c>
      <c r="AM783" t="str" cm="1">
        <f t="array" ref="AM783">_xlfn.SWITCH(CleanEmployeeData[[#This Row],[JobSatisfaction]],1,"Low",2,"Medium",3,"High",4,"Very High","Unknown")</f>
        <v>Low</v>
      </c>
      <c r="AN783" t="str" cm="1">
        <f t="array" ref="AN783">_xlfn.SWITCH(CleanEmployeeData[[#This Row],[PerformanceRating]],1,"Low",2,"Good",3,"Excellent",4,"Outstanding","Unknown")</f>
        <v>Excellent</v>
      </c>
      <c r="AO783" t="str" cm="1">
        <f t="array" ref="AO783">_xlfn.SWITCH(CleanEmployeeData[[#This Row],[WorkLifeBalance]],1,"Bad",2,"Good",3,"Better",4,"Best","Unknown")</f>
        <v>Better</v>
      </c>
      <c r="AP783">
        <f>IF(CleanEmployeeData[[#This Row],[Attrition]]="Yes",1,IF(CleanEmployeeData[[#This Row],[Attrition]]="No",0,""))</f>
        <v>0</v>
      </c>
      <c r="AQ783" t="str" cm="1">
        <f t="array" ref="AQ783">_xlfn.IFS(CleanEmployeeData[[#This Row],[MonthlyIncome]]&lt;=3000,"0–3,000",CleanEmployeeData[[#This Row],[MonthlyIncome]]&lt;=6000,"3,001–6,000",CleanEmployeeData[[#This Row],[MonthlyIncome]]&lt;=10000,"6,001–10,000",TRUE,"10,001+")</f>
        <v>3,001–6,000</v>
      </c>
      <c r="AR783" t="str" cm="1">
        <f t="array" ref="AR783">_xlfn.IFS(CleanEmployeeData[[#This Row],[DistanceFromHome]]&lt;=5,"0–5 miles",CleanEmployeeData[[#This Row],[DistanceFromHome]]&lt;=10,"6–10 miles",CleanEmployeeData[[#This Row],[DistanceFromHome]]&lt;=15,"11–15 miles",TRUE,"16+ miles")</f>
        <v>0–5 miles</v>
      </c>
      <c r="AS783" t="str" cm="1">
        <f t="array" ref="AS783">_xlfn.IFS(CleanEmployeeData[[#This Row],[YearsAtCompany]]&lt;=1,"0–1 years",CleanEmployeeData[[#This Row],[YearsAtCompany]]&lt;=5,"2–5 years",CleanEmployeeData[[#This Row],[YearsAtCompany]]&lt;=10,"6–10 years",TRUE,"11+ years")</f>
        <v>2–5 years</v>
      </c>
    </row>
    <row r="784" spans="1:4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cm="1">
        <f t="array" ref="AJ784">_xlfn.SWITCH(CleanEmployeeData[[#This Row],[Education]],1,"Below College",2,"College",3,"Bachelor",4,"Master",5,"Doctor","Unknown")</f>
        <v>Bachelor</v>
      </c>
      <c r="AK784" t="str" cm="1">
        <f t="array" ref="AK784">_xlfn.SWITCH(CleanEmployeeData[[#This Row],[EnvironmentSatisfaction]],1,"Low",2,"Medium",3,"High",4,"Very High","Unknown")</f>
        <v>High</v>
      </c>
      <c r="AL784" t="str" cm="1">
        <f t="array" ref="AL784">_xlfn.SWITCH(CleanEmployeeData[[#This Row],[JobInvolvement]],1,"Low",2,"Medium",3,"High",4,"Very High","Unknown")</f>
        <v>High</v>
      </c>
      <c r="AM784" t="str" cm="1">
        <f t="array" ref="AM784">_xlfn.SWITCH(CleanEmployeeData[[#This Row],[JobSatisfaction]],1,"Low",2,"Medium",3,"High",4,"Very High","Unknown")</f>
        <v>Low</v>
      </c>
      <c r="AN784" t="str" cm="1">
        <f t="array" ref="AN784">_xlfn.SWITCH(CleanEmployeeData[[#This Row],[PerformanceRating]],1,"Low",2,"Good",3,"Excellent",4,"Outstanding","Unknown")</f>
        <v>Excellent</v>
      </c>
      <c r="AO784" t="str" cm="1">
        <f t="array" ref="AO784">_xlfn.SWITCH(CleanEmployeeData[[#This Row],[WorkLifeBalance]],1,"Bad",2,"Good",3,"Better",4,"Best","Unknown")</f>
        <v>Good</v>
      </c>
      <c r="AP784">
        <f>IF(CleanEmployeeData[[#This Row],[Attrition]]="Yes",1,IF(CleanEmployeeData[[#This Row],[Attrition]]="No",0,""))</f>
        <v>0</v>
      </c>
      <c r="AQ784" t="str" cm="1">
        <f t="array" ref="AQ784">_xlfn.IFS(CleanEmployeeData[[#This Row],[MonthlyIncome]]&lt;=3000,"0–3,000",CleanEmployeeData[[#This Row],[MonthlyIncome]]&lt;=6000,"3,001–6,000",CleanEmployeeData[[#This Row],[MonthlyIncome]]&lt;=10000,"6,001–10,000",TRUE,"10,001+")</f>
        <v>6,001–10,000</v>
      </c>
      <c r="AR784" t="str" cm="1">
        <f t="array" ref="AR784">_xlfn.IFS(CleanEmployeeData[[#This Row],[DistanceFromHome]]&lt;=5,"0–5 miles",CleanEmployeeData[[#This Row],[DistanceFromHome]]&lt;=10,"6–10 miles",CleanEmployeeData[[#This Row],[DistanceFromHome]]&lt;=15,"11–15 miles",TRUE,"16+ miles")</f>
        <v>16+ miles</v>
      </c>
      <c r="AS784" t="str" cm="1">
        <f t="array" ref="AS784">_xlfn.IFS(CleanEmployeeData[[#This Row],[YearsAtCompany]]&lt;=1,"0–1 years",CleanEmployeeData[[#This Row],[YearsAtCompany]]&lt;=5,"2–5 years",CleanEmployeeData[[#This Row],[YearsAtCompany]]&lt;=10,"6–10 years",TRUE,"11+ years")</f>
        <v>6–10 years</v>
      </c>
    </row>
    <row r="785" spans="1:4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cm="1">
        <f t="array" ref="AJ785">_xlfn.SWITCH(CleanEmployeeData[[#This Row],[Education]],1,"Below College",2,"College",3,"Bachelor",4,"Master",5,"Doctor","Unknown")</f>
        <v>College</v>
      </c>
      <c r="AK785" t="str" cm="1">
        <f t="array" ref="AK785">_xlfn.SWITCH(CleanEmployeeData[[#This Row],[EnvironmentSatisfaction]],1,"Low",2,"Medium",3,"High",4,"Very High","Unknown")</f>
        <v>Medium</v>
      </c>
      <c r="AL785" t="str" cm="1">
        <f t="array" ref="AL785">_xlfn.SWITCH(CleanEmployeeData[[#This Row],[JobInvolvement]],1,"Low",2,"Medium",3,"High",4,"Very High","Unknown")</f>
        <v>Very High</v>
      </c>
      <c r="AM785" t="str" cm="1">
        <f t="array" ref="AM785">_xlfn.SWITCH(CleanEmployeeData[[#This Row],[JobSatisfaction]],1,"Low",2,"Medium",3,"High",4,"Very High","Unknown")</f>
        <v>High</v>
      </c>
      <c r="AN785" t="str" cm="1">
        <f t="array" ref="AN785">_xlfn.SWITCH(CleanEmployeeData[[#This Row],[PerformanceRating]],1,"Low",2,"Good",3,"Excellent",4,"Outstanding","Unknown")</f>
        <v>Excellent</v>
      </c>
      <c r="AO785" t="str" cm="1">
        <f t="array" ref="AO785">_xlfn.SWITCH(CleanEmployeeData[[#This Row],[WorkLifeBalance]],1,"Bad",2,"Good",3,"Better",4,"Best","Unknown")</f>
        <v>Better</v>
      </c>
      <c r="AP785">
        <f>IF(CleanEmployeeData[[#This Row],[Attrition]]="Yes",1,IF(CleanEmployeeData[[#This Row],[Attrition]]="No",0,""))</f>
        <v>0</v>
      </c>
      <c r="AQ785" t="str" cm="1">
        <f t="array" ref="AQ785">_xlfn.IFS(CleanEmployeeData[[#This Row],[MonthlyIncome]]&lt;=3000,"0–3,000",CleanEmployeeData[[#This Row],[MonthlyIncome]]&lt;=6000,"3,001–6,000",CleanEmployeeData[[#This Row],[MonthlyIncome]]&lt;=10000,"6,001–10,000",TRUE,"10,001+")</f>
        <v>3,001–6,000</v>
      </c>
      <c r="AR785" t="str" cm="1">
        <f t="array" ref="AR785">_xlfn.IFS(CleanEmployeeData[[#This Row],[DistanceFromHome]]&lt;=5,"0–5 miles",CleanEmployeeData[[#This Row],[DistanceFromHome]]&lt;=10,"6–10 miles",CleanEmployeeData[[#This Row],[DistanceFromHome]]&lt;=15,"11–15 miles",TRUE,"16+ miles")</f>
        <v>6–10 miles</v>
      </c>
      <c r="AS785" t="str" cm="1">
        <f t="array" ref="AS785">_xlfn.IFS(CleanEmployeeData[[#This Row],[YearsAtCompany]]&lt;=1,"0–1 years",CleanEmployeeData[[#This Row],[YearsAtCompany]]&lt;=5,"2–5 years",CleanEmployeeData[[#This Row],[YearsAtCompany]]&lt;=10,"6–10 years",TRUE,"11+ years")</f>
        <v>6–10 years</v>
      </c>
    </row>
    <row r="786" spans="1:4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cm="1">
        <f t="array" ref="AJ786">_xlfn.SWITCH(CleanEmployeeData[[#This Row],[Education]],1,"Below College",2,"College",3,"Bachelor",4,"Master",5,"Doctor","Unknown")</f>
        <v>Below College</v>
      </c>
      <c r="AK786" t="str" cm="1">
        <f t="array" ref="AK786">_xlfn.SWITCH(CleanEmployeeData[[#This Row],[EnvironmentSatisfaction]],1,"Low",2,"Medium",3,"High",4,"Very High","Unknown")</f>
        <v>High</v>
      </c>
      <c r="AL786" t="str" cm="1">
        <f t="array" ref="AL786">_xlfn.SWITCH(CleanEmployeeData[[#This Row],[JobInvolvement]],1,"Low",2,"Medium",3,"High",4,"Very High","Unknown")</f>
        <v>Medium</v>
      </c>
      <c r="AM786" t="str" cm="1">
        <f t="array" ref="AM786">_xlfn.SWITCH(CleanEmployeeData[[#This Row],[JobSatisfaction]],1,"Low",2,"Medium",3,"High",4,"Very High","Unknown")</f>
        <v>High</v>
      </c>
      <c r="AN786" t="str" cm="1">
        <f t="array" ref="AN786">_xlfn.SWITCH(CleanEmployeeData[[#This Row],[PerformanceRating]],1,"Low",2,"Good",3,"Excellent",4,"Outstanding","Unknown")</f>
        <v>Excellent</v>
      </c>
      <c r="AO786" t="str" cm="1">
        <f t="array" ref="AO786">_xlfn.SWITCH(CleanEmployeeData[[#This Row],[WorkLifeBalance]],1,"Bad",2,"Good",3,"Better",4,"Best","Unknown")</f>
        <v>Good</v>
      </c>
      <c r="AP786">
        <f>IF(CleanEmployeeData[[#This Row],[Attrition]]="Yes",1,IF(CleanEmployeeData[[#This Row],[Attrition]]="No",0,""))</f>
        <v>0</v>
      </c>
      <c r="AQ786" t="str" cm="1">
        <f t="array" ref="AQ786">_xlfn.IFS(CleanEmployeeData[[#This Row],[MonthlyIncome]]&lt;=3000,"0–3,000",CleanEmployeeData[[#This Row],[MonthlyIncome]]&lt;=6000,"3,001–6,000",CleanEmployeeData[[#This Row],[MonthlyIncome]]&lt;=10000,"6,001–10,000",TRUE,"10,001+")</f>
        <v>6,001–10,000</v>
      </c>
      <c r="AR786" t="str" cm="1">
        <f t="array" ref="AR786">_xlfn.IFS(CleanEmployeeData[[#This Row],[DistanceFromHome]]&lt;=5,"0–5 miles",CleanEmployeeData[[#This Row],[DistanceFromHome]]&lt;=10,"6–10 miles",CleanEmployeeData[[#This Row],[DistanceFromHome]]&lt;=15,"11–15 miles",TRUE,"16+ miles")</f>
        <v>16+ miles</v>
      </c>
      <c r="AS786" t="str" cm="1">
        <f t="array" ref="AS786">_xlfn.IFS(CleanEmployeeData[[#This Row],[YearsAtCompany]]&lt;=1,"0–1 years",CleanEmployeeData[[#This Row],[YearsAtCompany]]&lt;=5,"2–5 years",CleanEmployeeData[[#This Row],[YearsAtCompany]]&lt;=10,"6–10 years",TRUE,"11+ years")</f>
        <v>11+ years</v>
      </c>
    </row>
    <row r="787" spans="1:4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cm="1">
        <f t="array" ref="AJ787">_xlfn.SWITCH(CleanEmployeeData[[#This Row],[Education]],1,"Below College",2,"College",3,"Bachelor",4,"Master",5,"Doctor","Unknown")</f>
        <v>Master</v>
      </c>
      <c r="AK787" t="str" cm="1">
        <f t="array" ref="AK787">_xlfn.SWITCH(CleanEmployeeData[[#This Row],[EnvironmentSatisfaction]],1,"Low",2,"Medium",3,"High",4,"Very High","Unknown")</f>
        <v>Low</v>
      </c>
      <c r="AL787" t="str" cm="1">
        <f t="array" ref="AL787">_xlfn.SWITCH(CleanEmployeeData[[#This Row],[JobInvolvement]],1,"Low",2,"Medium",3,"High",4,"Very High","Unknown")</f>
        <v>High</v>
      </c>
      <c r="AM787" t="str" cm="1">
        <f t="array" ref="AM787">_xlfn.SWITCH(CleanEmployeeData[[#This Row],[JobSatisfaction]],1,"Low",2,"Medium",3,"High",4,"Very High","Unknown")</f>
        <v>Very High</v>
      </c>
      <c r="AN787" t="str" cm="1">
        <f t="array" ref="AN787">_xlfn.SWITCH(CleanEmployeeData[[#This Row],[PerformanceRating]],1,"Low",2,"Good",3,"Excellent",4,"Outstanding","Unknown")</f>
        <v>Outstanding</v>
      </c>
      <c r="AO787" t="str" cm="1">
        <f t="array" ref="AO787">_xlfn.SWITCH(CleanEmployeeData[[#This Row],[WorkLifeBalance]],1,"Bad",2,"Good",3,"Better",4,"Best","Unknown")</f>
        <v>Better</v>
      </c>
      <c r="AP787">
        <f>IF(CleanEmployeeData[[#This Row],[Attrition]]="Yes",1,IF(CleanEmployeeData[[#This Row],[Attrition]]="No",0,""))</f>
        <v>0</v>
      </c>
      <c r="AQ787" t="str" cm="1">
        <f t="array" ref="AQ787">_xlfn.IFS(CleanEmployeeData[[#This Row],[MonthlyIncome]]&lt;=3000,"0–3,000",CleanEmployeeData[[#This Row],[MonthlyIncome]]&lt;=6000,"3,001–6,000",CleanEmployeeData[[#This Row],[MonthlyIncome]]&lt;=10000,"6,001–10,000",TRUE,"10,001+")</f>
        <v>10,001+</v>
      </c>
      <c r="AR787" t="str" cm="1">
        <f t="array" ref="AR787">_xlfn.IFS(CleanEmployeeData[[#This Row],[DistanceFromHome]]&lt;=5,"0–5 miles",CleanEmployeeData[[#This Row],[DistanceFromHome]]&lt;=10,"6–10 miles",CleanEmployeeData[[#This Row],[DistanceFromHome]]&lt;=15,"11–15 miles",TRUE,"16+ miles")</f>
        <v>16+ miles</v>
      </c>
      <c r="AS787" t="str" cm="1">
        <f t="array" ref="AS787">_xlfn.IFS(CleanEmployeeData[[#This Row],[YearsAtCompany]]&lt;=1,"0–1 years",CleanEmployeeData[[#This Row],[YearsAtCompany]]&lt;=5,"2–5 years",CleanEmployeeData[[#This Row],[YearsAtCompany]]&lt;=10,"6–10 years",TRUE,"11+ years")</f>
        <v>11+ years</v>
      </c>
    </row>
    <row r="788" spans="1:4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cm="1">
        <f t="array" ref="AJ788">_xlfn.SWITCH(CleanEmployeeData[[#This Row],[Education]],1,"Below College",2,"College",3,"Bachelor",4,"Master",5,"Doctor","Unknown")</f>
        <v>Doctor</v>
      </c>
      <c r="AK788" t="str" cm="1">
        <f t="array" ref="AK788">_xlfn.SWITCH(CleanEmployeeData[[#This Row],[EnvironmentSatisfaction]],1,"Low",2,"Medium",3,"High",4,"Very High","Unknown")</f>
        <v>Low</v>
      </c>
      <c r="AL788" t="str" cm="1">
        <f t="array" ref="AL788">_xlfn.SWITCH(CleanEmployeeData[[#This Row],[JobInvolvement]],1,"Low",2,"Medium",3,"High",4,"Very High","Unknown")</f>
        <v>Low</v>
      </c>
      <c r="AM788" t="str" cm="1">
        <f t="array" ref="AM788">_xlfn.SWITCH(CleanEmployeeData[[#This Row],[JobSatisfaction]],1,"Low",2,"Medium",3,"High",4,"Very High","Unknown")</f>
        <v>High</v>
      </c>
      <c r="AN788" t="str" cm="1">
        <f t="array" ref="AN788">_xlfn.SWITCH(CleanEmployeeData[[#This Row],[PerformanceRating]],1,"Low",2,"Good",3,"Excellent",4,"Outstanding","Unknown")</f>
        <v>Excellent</v>
      </c>
      <c r="AO788" t="str" cm="1">
        <f t="array" ref="AO788">_xlfn.SWITCH(CleanEmployeeData[[#This Row],[WorkLifeBalance]],1,"Bad",2,"Good",3,"Better",4,"Best","Unknown")</f>
        <v>Better</v>
      </c>
      <c r="AP788">
        <f>IF(CleanEmployeeData[[#This Row],[Attrition]]="Yes",1,IF(CleanEmployeeData[[#This Row],[Attrition]]="No",0,""))</f>
        <v>0</v>
      </c>
      <c r="AQ788" t="str" cm="1">
        <f t="array" ref="AQ788">_xlfn.IFS(CleanEmployeeData[[#This Row],[MonthlyIncome]]&lt;=3000,"0–3,000",CleanEmployeeData[[#This Row],[MonthlyIncome]]&lt;=6000,"3,001–6,000",CleanEmployeeData[[#This Row],[MonthlyIncome]]&lt;=10000,"6,001–10,000",TRUE,"10,001+")</f>
        <v>3,001–6,000</v>
      </c>
      <c r="AR788" t="str" cm="1">
        <f t="array" ref="AR788">_xlfn.IFS(CleanEmployeeData[[#This Row],[DistanceFromHome]]&lt;=5,"0–5 miles",CleanEmployeeData[[#This Row],[DistanceFromHome]]&lt;=10,"6–10 miles",CleanEmployeeData[[#This Row],[DistanceFromHome]]&lt;=15,"11–15 miles",TRUE,"16+ miles")</f>
        <v>6–10 miles</v>
      </c>
      <c r="AS788" t="str" cm="1">
        <f t="array" ref="AS788">_xlfn.IFS(CleanEmployeeData[[#This Row],[YearsAtCompany]]&lt;=1,"0–1 years",CleanEmployeeData[[#This Row],[YearsAtCompany]]&lt;=5,"2–5 years",CleanEmployeeData[[#This Row],[YearsAtCompany]]&lt;=10,"6–10 years",TRUE,"11+ years")</f>
        <v>2–5 years</v>
      </c>
    </row>
    <row r="789" spans="1:4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cm="1">
        <f t="array" ref="AJ789">_xlfn.SWITCH(CleanEmployeeData[[#This Row],[Education]],1,"Below College",2,"College",3,"Bachelor",4,"Master",5,"Doctor","Unknown")</f>
        <v>Below College</v>
      </c>
      <c r="AK789" t="str" cm="1">
        <f t="array" ref="AK789">_xlfn.SWITCH(CleanEmployeeData[[#This Row],[EnvironmentSatisfaction]],1,"Low",2,"Medium",3,"High",4,"Very High","Unknown")</f>
        <v>Very High</v>
      </c>
      <c r="AL789" t="str" cm="1">
        <f t="array" ref="AL789">_xlfn.SWITCH(CleanEmployeeData[[#This Row],[JobInvolvement]],1,"Low",2,"Medium",3,"High",4,"Very High","Unknown")</f>
        <v>High</v>
      </c>
      <c r="AM789" t="str" cm="1">
        <f t="array" ref="AM789">_xlfn.SWITCH(CleanEmployeeData[[#This Row],[JobSatisfaction]],1,"Low",2,"Medium",3,"High",4,"Very High","Unknown")</f>
        <v>Medium</v>
      </c>
      <c r="AN789" t="str" cm="1">
        <f t="array" ref="AN789">_xlfn.SWITCH(CleanEmployeeData[[#This Row],[PerformanceRating]],1,"Low",2,"Good",3,"Excellent",4,"Outstanding","Unknown")</f>
        <v>Excellent</v>
      </c>
      <c r="AO789" t="str" cm="1">
        <f t="array" ref="AO789">_xlfn.SWITCH(CleanEmployeeData[[#This Row],[WorkLifeBalance]],1,"Bad",2,"Good",3,"Better",4,"Best","Unknown")</f>
        <v>Better</v>
      </c>
      <c r="AP789">
        <f>IF(CleanEmployeeData[[#This Row],[Attrition]]="Yes",1,IF(CleanEmployeeData[[#This Row],[Attrition]]="No",0,""))</f>
        <v>0</v>
      </c>
      <c r="AQ789" t="str" cm="1">
        <f t="array" ref="AQ789">_xlfn.IFS(CleanEmployeeData[[#This Row],[MonthlyIncome]]&lt;=3000,"0–3,000",CleanEmployeeData[[#This Row],[MonthlyIncome]]&lt;=6000,"3,001–6,000",CleanEmployeeData[[#This Row],[MonthlyIncome]]&lt;=10000,"6,001–10,000",TRUE,"10,001+")</f>
        <v>10,001+</v>
      </c>
      <c r="AR789" t="str" cm="1">
        <f t="array" ref="AR789">_xlfn.IFS(CleanEmployeeData[[#This Row],[DistanceFromHome]]&lt;=5,"0–5 miles",CleanEmployeeData[[#This Row],[DistanceFromHome]]&lt;=10,"6–10 miles",CleanEmployeeData[[#This Row],[DistanceFromHome]]&lt;=15,"11–15 miles",TRUE,"16+ miles")</f>
        <v>0–5 miles</v>
      </c>
      <c r="AS789" t="str" cm="1">
        <f t="array" ref="AS789">_xlfn.IFS(CleanEmployeeData[[#This Row],[YearsAtCompany]]&lt;=1,"0–1 years",CleanEmployeeData[[#This Row],[YearsAtCompany]]&lt;=5,"2–5 years",CleanEmployeeData[[#This Row],[YearsAtCompany]]&lt;=10,"6–10 years",TRUE,"11+ years")</f>
        <v>2–5 years</v>
      </c>
    </row>
    <row r="790" spans="1:4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cm="1">
        <f t="array" ref="AJ790">_xlfn.SWITCH(CleanEmployeeData[[#This Row],[Education]],1,"Below College",2,"College",3,"Bachelor",4,"Master",5,"Doctor","Unknown")</f>
        <v>Bachelor</v>
      </c>
      <c r="AK790" t="str" cm="1">
        <f t="array" ref="AK790">_xlfn.SWITCH(CleanEmployeeData[[#This Row],[EnvironmentSatisfaction]],1,"Low",2,"Medium",3,"High",4,"Very High","Unknown")</f>
        <v>High</v>
      </c>
      <c r="AL790" t="str" cm="1">
        <f t="array" ref="AL790">_xlfn.SWITCH(CleanEmployeeData[[#This Row],[JobInvolvement]],1,"Low",2,"Medium",3,"High",4,"Very High","Unknown")</f>
        <v>High</v>
      </c>
      <c r="AM790" t="str" cm="1">
        <f t="array" ref="AM790">_xlfn.SWITCH(CleanEmployeeData[[#This Row],[JobSatisfaction]],1,"Low",2,"Medium",3,"High",4,"Very High","Unknown")</f>
        <v>High</v>
      </c>
      <c r="AN790" t="str" cm="1">
        <f t="array" ref="AN790">_xlfn.SWITCH(CleanEmployeeData[[#This Row],[PerformanceRating]],1,"Low",2,"Good",3,"Excellent",4,"Outstanding","Unknown")</f>
        <v>Excellent</v>
      </c>
      <c r="AO790" t="str" cm="1">
        <f t="array" ref="AO790">_xlfn.SWITCH(CleanEmployeeData[[#This Row],[WorkLifeBalance]],1,"Bad",2,"Good",3,"Better",4,"Best","Unknown")</f>
        <v>Best</v>
      </c>
      <c r="AP790">
        <f>IF(CleanEmployeeData[[#This Row],[Attrition]]="Yes",1,IF(CleanEmployeeData[[#This Row],[Attrition]]="No",0,""))</f>
        <v>0</v>
      </c>
      <c r="AQ790" t="str" cm="1">
        <f t="array" ref="AQ790">_xlfn.IFS(CleanEmployeeData[[#This Row],[MonthlyIncome]]&lt;=3000,"0–3,000",CleanEmployeeData[[#This Row],[MonthlyIncome]]&lt;=6000,"3,001–6,000",CleanEmployeeData[[#This Row],[MonthlyIncome]]&lt;=10000,"6,001–10,000",TRUE,"10,001+")</f>
        <v>3,001–6,000</v>
      </c>
      <c r="AR790" t="str" cm="1">
        <f t="array" ref="AR790">_xlfn.IFS(CleanEmployeeData[[#This Row],[DistanceFromHome]]&lt;=5,"0–5 miles",CleanEmployeeData[[#This Row],[DistanceFromHome]]&lt;=10,"6–10 miles",CleanEmployeeData[[#This Row],[DistanceFromHome]]&lt;=15,"11–15 miles",TRUE,"16+ miles")</f>
        <v>6–10 miles</v>
      </c>
      <c r="AS790" t="str" cm="1">
        <f t="array" ref="AS790">_xlfn.IFS(CleanEmployeeData[[#This Row],[YearsAtCompany]]&lt;=1,"0–1 years",CleanEmployeeData[[#This Row],[YearsAtCompany]]&lt;=5,"2–5 years",CleanEmployeeData[[#This Row],[YearsAtCompany]]&lt;=10,"6–10 years",TRUE,"11+ years")</f>
        <v>6–10 years</v>
      </c>
    </row>
    <row r="791" spans="1:4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cm="1">
        <f t="array" ref="AJ791">_xlfn.SWITCH(CleanEmployeeData[[#This Row],[Education]],1,"Below College",2,"College",3,"Bachelor",4,"Master",5,"Doctor","Unknown")</f>
        <v>College</v>
      </c>
      <c r="AK791" t="str" cm="1">
        <f t="array" ref="AK791">_xlfn.SWITCH(CleanEmployeeData[[#This Row],[EnvironmentSatisfaction]],1,"Low",2,"Medium",3,"High",4,"Very High","Unknown")</f>
        <v>Medium</v>
      </c>
      <c r="AL791" t="str" cm="1">
        <f t="array" ref="AL791">_xlfn.SWITCH(CleanEmployeeData[[#This Row],[JobInvolvement]],1,"Low",2,"Medium",3,"High",4,"Very High","Unknown")</f>
        <v>Medium</v>
      </c>
      <c r="AM791" t="str" cm="1">
        <f t="array" ref="AM791">_xlfn.SWITCH(CleanEmployeeData[[#This Row],[JobSatisfaction]],1,"Low",2,"Medium",3,"High",4,"Very High","Unknown")</f>
        <v>Low</v>
      </c>
      <c r="AN791" t="str" cm="1">
        <f t="array" ref="AN791">_xlfn.SWITCH(CleanEmployeeData[[#This Row],[PerformanceRating]],1,"Low",2,"Good",3,"Excellent",4,"Outstanding","Unknown")</f>
        <v>Excellent</v>
      </c>
      <c r="AO791" t="str" cm="1">
        <f t="array" ref="AO791">_xlfn.SWITCH(CleanEmployeeData[[#This Row],[WorkLifeBalance]],1,"Bad",2,"Good",3,"Better",4,"Best","Unknown")</f>
        <v>Better</v>
      </c>
      <c r="AP791">
        <f>IF(CleanEmployeeData[[#This Row],[Attrition]]="Yes",1,IF(CleanEmployeeData[[#This Row],[Attrition]]="No",0,""))</f>
        <v>1</v>
      </c>
      <c r="AQ791" t="str" cm="1">
        <f t="array" ref="AQ791">_xlfn.IFS(CleanEmployeeData[[#This Row],[MonthlyIncome]]&lt;=3000,"0–3,000",CleanEmployeeData[[#This Row],[MonthlyIncome]]&lt;=6000,"3,001–6,000",CleanEmployeeData[[#This Row],[MonthlyIncome]]&lt;=10000,"6,001–10,000",TRUE,"10,001+")</f>
        <v>10,001+</v>
      </c>
      <c r="AR791" t="str" cm="1">
        <f t="array" ref="AR791">_xlfn.IFS(CleanEmployeeData[[#This Row],[DistanceFromHome]]&lt;=5,"0–5 miles",CleanEmployeeData[[#This Row],[DistanceFromHome]]&lt;=10,"6–10 miles",CleanEmployeeData[[#This Row],[DistanceFromHome]]&lt;=15,"11–15 miles",TRUE,"16+ miles")</f>
        <v>0–5 miles</v>
      </c>
      <c r="AS791" t="str" cm="1">
        <f t="array" ref="AS791">_xlfn.IFS(CleanEmployeeData[[#This Row],[YearsAtCompany]]&lt;=1,"0–1 years",CleanEmployeeData[[#This Row],[YearsAtCompany]]&lt;=5,"2–5 years",CleanEmployeeData[[#This Row],[YearsAtCompany]]&lt;=10,"6–10 years",TRUE,"11+ years")</f>
        <v>11+ years</v>
      </c>
    </row>
    <row r="792" spans="1:4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cm="1">
        <f t="array" ref="AJ792">_xlfn.SWITCH(CleanEmployeeData[[#This Row],[Education]],1,"Below College",2,"College",3,"Bachelor",4,"Master",5,"Doctor","Unknown")</f>
        <v>Bachelor</v>
      </c>
      <c r="AK792" t="str" cm="1">
        <f t="array" ref="AK792">_xlfn.SWITCH(CleanEmployeeData[[#This Row],[EnvironmentSatisfaction]],1,"Low",2,"Medium",3,"High",4,"Very High","Unknown")</f>
        <v>Very High</v>
      </c>
      <c r="AL792" t="str" cm="1">
        <f t="array" ref="AL792">_xlfn.SWITCH(CleanEmployeeData[[#This Row],[JobInvolvement]],1,"Low",2,"Medium",3,"High",4,"Very High","Unknown")</f>
        <v>Medium</v>
      </c>
      <c r="AM792" t="str" cm="1">
        <f t="array" ref="AM792">_xlfn.SWITCH(CleanEmployeeData[[#This Row],[JobSatisfaction]],1,"Low",2,"Medium",3,"High",4,"Very High","Unknown")</f>
        <v>Very High</v>
      </c>
      <c r="AN792" t="str" cm="1">
        <f t="array" ref="AN792">_xlfn.SWITCH(CleanEmployeeData[[#This Row],[PerformanceRating]],1,"Low",2,"Good",3,"Excellent",4,"Outstanding","Unknown")</f>
        <v>Excellent</v>
      </c>
      <c r="AO792" t="str" cm="1">
        <f t="array" ref="AO792">_xlfn.SWITCH(CleanEmployeeData[[#This Row],[WorkLifeBalance]],1,"Bad",2,"Good",3,"Better",4,"Best","Unknown")</f>
        <v>Better</v>
      </c>
      <c r="AP792">
        <f>IF(CleanEmployeeData[[#This Row],[Attrition]]="Yes",1,IF(CleanEmployeeData[[#This Row],[Attrition]]="No",0,""))</f>
        <v>0</v>
      </c>
      <c r="AQ792" t="str" cm="1">
        <f t="array" ref="AQ792">_xlfn.IFS(CleanEmployeeData[[#This Row],[MonthlyIncome]]&lt;=3000,"0–3,000",CleanEmployeeData[[#This Row],[MonthlyIncome]]&lt;=6000,"3,001–6,000",CleanEmployeeData[[#This Row],[MonthlyIncome]]&lt;=10000,"6,001–10,000",TRUE,"10,001+")</f>
        <v>6,001–10,000</v>
      </c>
      <c r="AR792" t="str" cm="1">
        <f t="array" ref="AR792">_xlfn.IFS(CleanEmployeeData[[#This Row],[DistanceFromHome]]&lt;=5,"0–5 miles",CleanEmployeeData[[#This Row],[DistanceFromHome]]&lt;=10,"6–10 miles",CleanEmployeeData[[#This Row],[DistanceFromHome]]&lt;=15,"11–15 miles",TRUE,"16+ miles")</f>
        <v>0–5 miles</v>
      </c>
      <c r="AS792" t="str" cm="1">
        <f t="array" ref="AS792">_xlfn.IFS(CleanEmployeeData[[#This Row],[YearsAtCompany]]&lt;=1,"0–1 years",CleanEmployeeData[[#This Row],[YearsAtCompany]]&lt;=5,"2–5 years",CleanEmployeeData[[#This Row],[YearsAtCompany]]&lt;=10,"6–10 years",TRUE,"11+ years")</f>
        <v>2–5 years</v>
      </c>
    </row>
    <row r="793" spans="1:4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cm="1">
        <f t="array" ref="AJ793">_xlfn.SWITCH(CleanEmployeeData[[#This Row],[Education]],1,"Below College",2,"College",3,"Bachelor",4,"Master",5,"Doctor","Unknown")</f>
        <v>Bachelor</v>
      </c>
      <c r="AK793" t="str" cm="1">
        <f t="array" ref="AK793">_xlfn.SWITCH(CleanEmployeeData[[#This Row],[EnvironmentSatisfaction]],1,"Low",2,"Medium",3,"High",4,"Very High","Unknown")</f>
        <v>Very High</v>
      </c>
      <c r="AL793" t="str" cm="1">
        <f t="array" ref="AL793">_xlfn.SWITCH(CleanEmployeeData[[#This Row],[JobInvolvement]],1,"Low",2,"Medium",3,"High",4,"Very High","Unknown")</f>
        <v>High</v>
      </c>
      <c r="AM793" t="str" cm="1">
        <f t="array" ref="AM793">_xlfn.SWITCH(CleanEmployeeData[[#This Row],[JobSatisfaction]],1,"Low",2,"Medium",3,"High",4,"Very High","Unknown")</f>
        <v>Low</v>
      </c>
      <c r="AN793" t="str" cm="1">
        <f t="array" ref="AN793">_xlfn.SWITCH(CleanEmployeeData[[#This Row],[PerformanceRating]],1,"Low",2,"Good",3,"Excellent",4,"Outstanding","Unknown")</f>
        <v>Outstanding</v>
      </c>
      <c r="AO793" t="str" cm="1">
        <f t="array" ref="AO793">_xlfn.SWITCH(CleanEmployeeData[[#This Row],[WorkLifeBalance]],1,"Bad",2,"Good",3,"Better",4,"Best","Unknown")</f>
        <v>Better</v>
      </c>
      <c r="AP793">
        <f>IF(CleanEmployeeData[[#This Row],[Attrition]]="Yes",1,IF(CleanEmployeeData[[#This Row],[Attrition]]="No",0,""))</f>
        <v>1</v>
      </c>
      <c r="AQ793" t="str" cm="1">
        <f t="array" ref="AQ793">_xlfn.IFS(CleanEmployeeData[[#This Row],[MonthlyIncome]]&lt;=3000,"0–3,000",CleanEmployeeData[[#This Row],[MonthlyIncome]]&lt;=6000,"3,001–6,000",CleanEmployeeData[[#This Row],[MonthlyIncome]]&lt;=10000,"6,001–10,000",TRUE,"10,001+")</f>
        <v>6,001–10,000</v>
      </c>
      <c r="AR793" t="str" cm="1">
        <f t="array" ref="AR793">_xlfn.IFS(CleanEmployeeData[[#This Row],[DistanceFromHome]]&lt;=5,"0–5 miles",CleanEmployeeData[[#This Row],[DistanceFromHome]]&lt;=10,"6–10 miles",CleanEmployeeData[[#This Row],[DistanceFromHome]]&lt;=15,"11–15 miles",TRUE,"16+ miles")</f>
        <v>0–5 miles</v>
      </c>
      <c r="AS793" t="str" cm="1">
        <f t="array" ref="AS793">_xlfn.IFS(CleanEmployeeData[[#This Row],[YearsAtCompany]]&lt;=1,"0–1 years",CleanEmployeeData[[#This Row],[YearsAtCompany]]&lt;=5,"2–5 years",CleanEmployeeData[[#This Row],[YearsAtCompany]]&lt;=10,"6–10 years",TRUE,"11+ years")</f>
        <v>6–10 years</v>
      </c>
    </row>
    <row r="794" spans="1:4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cm="1">
        <f t="array" ref="AJ794">_xlfn.SWITCH(CleanEmployeeData[[#This Row],[Education]],1,"Below College",2,"College",3,"Bachelor",4,"Master",5,"Doctor","Unknown")</f>
        <v>Master</v>
      </c>
      <c r="AK794" t="str" cm="1">
        <f t="array" ref="AK794">_xlfn.SWITCH(CleanEmployeeData[[#This Row],[EnvironmentSatisfaction]],1,"Low",2,"Medium",3,"High",4,"Very High","Unknown")</f>
        <v>Low</v>
      </c>
      <c r="AL794" t="str" cm="1">
        <f t="array" ref="AL794">_xlfn.SWITCH(CleanEmployeeData[[#This Row],[JobInvolvement]],1,"Low",2,"Medium",3,"High",4,"Very High","Unknown")</f>
        <v>Medium</v>
      </c>
      <c r="AM794" t="str" cm="1">
        <f t="array" ref="AM794">_xlfn.SWITCH(CleanEmployeeData[[#This Row],[JobSatisfaction]],1,"Low",2,"Medium",3,"High",4,"Very High","Unknown")</f>
        <v>High</v>
      </c>
      <c r="AN794" t="str" cm="1">
        <f t="array" ref="AN794">_xlfn.SWITCH(CleanEmployeeData[[#This Row],[PerformanceRating]],1,"Low",2,"Good",3,"Excellent",4,"Outstanding","Unknown")</f>
        <v>Outstanding</v>
      </c>
      <c r="AO794" t="str" cm="1">
        <f t="array" ref="AO794">_xlfn.SWITCH(CleanEmployeeData[[#This Row],[WorkLifeBalance]],1,"Bad",2,"Good",3,"Better",4,"Best","Unknown")</f>
        <v>Better</v>
      </c>
      <c r="AP794">
        <f>IF(CleanEmployeeData[[#This Row],[Attrition]]="Yes",1,IF(CleanEmployeeData[[#This Row],[Attrition]]="No",0,""))</f>
        <v>1</v>
      </c>
      <c r="AQ794" t="str" cm="1">
        <f t="array" ref="AQ794">_xlfn.IFS(CleanEmployeeData[[#This Row],[MonthlyIncome]]&lt;=3000,"0–3,000",CleanEmployeeData[[#This Row],[MonthlyIncome]]&lt;=6000,"3,001–6,000",CleanEmployeeData[[#This Row],[MonthlyIncome]]&lt;=10000,"6,001–10,000",TRUE,"10,001+")</f>
        <v>3,001–6,000</v>
      </c>
      <c r="AR794" t="str" cm="1">
        <f t="array" ref="AR794">_xlfn.IFS(CleanEmployeeData[[#This Row],[DistanceFromHome]]&lt;=5,"0–5 miles",CleanEmployeeData[[#This Row],[DistanceFromHome]]&lt;=10,"6–10 miles",CleanEmployeeData[[#This Row],[DistanceFromHome]]&lt;=15,"11–15 miles",TRUE,"16+ miles")</f>
        <v>16+ miles</v>
      </c>
      <c r="AS794" t="str" cm="1">
        <f t="array" ref="AS794">_xlfn.IFS(CleanEmployeeData[[#This Row],[YearsAtCompany]]&lt;=1,"0–1 years",CleanEmployeeData[[#This Row],[YearsAtCompany]]&lt;=5,"2–5 years",CleanEmployeeData[[#This Row],[YearsAtCompany]]&lt;=10,"6–10 years",TRUE,"11+ years")</f>
        <v>11+ years</v>
      </c>
    </row>
    <row r="795" spans="1:4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cm="1">
        <f t="array" ref="AJ795">_xlfn.SWITCH(CleanEmployeeData[[#This Row],[Education]],1,"Below College",2,"College",3,"Bachelor",4,"Master",5,"Doctor","Unknown")</f>
        <v>College</v>
      </c>
      <c r="AK795" t="str" cm="1">
        <f t="array" ref="AK795">_xlfn.SWITCH(CleanEmployeeData[[#This Row],[EnvironmentSatisfaction]],1,"Low",2,"Medium",3,"High",4,"Very High","Unknown")</f>
        <v>Low</v>
      </c>
      <c r="AL795" t="str" cm="1">
        <f t="array" ref="AL795">_xlfn.SWITCH(CleanEmployeeData[[#This Row],[JobInvolvement]],1,"Low",2,"Medium",3,"High",4,"Very High","Unknown")</f>
        <v>High</v>
      </c>
      <c r="AM795" t="str" cm="1">
        <f t="array" ref="AM795">_xlfn.SWITCH(CleanEmployeeData[[#This Row],[JobSatisfaction]],1,"Low",2,"Medium",3,"High",4,"Very High","Unknown")</f>
        <v>High</v>
      </c>
      <c r="AN795" t="str" cm="1">
        <f t="array" ref="AN795">_xlfn.SWITCH(CleanEmployeeData[[#This Row],[PerformanceRating]],1,"Low",2,"Good",3,"Excellent",4,"Outstanding","Unknown")</f>
        <v>Excellent</v>
      </c>
      <c r="AO795" t="str" cm="1">
        <f t="array" ref="AO795">_xlfn.SWITCH(CleanEmployeeData[[#This Row],[WorkLifeBalance]],1,"Bad",2,"Good",3,"Better",4,"Best","Unknown")</f>
        <v>Good</v>
      </c>
      <c r="AP795">
        <f>IF(CleanEmployeeData[[#This Row],[Attrition]]="Yes",1,IF(CleanEmployeeData[[#This Row],[Attrition]]="No",0,""))</f>
        <v>0</v>
      </c>
      <c r="AQ795" t="str" cm="1">
        <f t="array" ref="AQ795">_xlfn.IFS(CleanEmployeeData[[#This Row],[MonthlyIncome]]&lt;=3000,"0–3,000",CleanEmployeeData[[#This Row],[MonthlyIncome]]&lt;=6000,"3,001–6,000",CleanEmployeeData[[#This Row],[MonthlyIncome]]&lt;=10000,"6,001–10,000",TRUE,"10,001+")</f>
        <v>0–3,000</v>
      </c>
      <c r="AR795" t="str" cm="1">
        <f t="array" ref="AR795">_xlfn.IFS(CleanEmployeeData[[#This Row],[DistanceFromHome]]&lt;=5,"0–5 miles",CleanEmployeeData[[#This Row],[DistanceFromHome]]&lt;=10,"6–10 miles",CleanEmployeeData[[#This Row],[DistanceFromHome]]&lt;=15,"11–15 miles",TRUE,"16+ miles")</f>
        <v>11–15 miles</v>
      </c>
      <c r="AS795" t="str" cm="1">
        <f t="array" ref="AS795">_xlfn.IFS(CleanEmployeeData[[#This Row],[YearsAtCompany]]&lt;=1,"0–1 years",CleanEmployeeData[[#This Row],[YearsAtCompany]]&lt;=5,"2–5 years",CleanEmployeeData[[#This Row],[YearsAtCompany]]&lt;=10,"6–10 years",TRUE,"11+ years")</f>
        <v>2–5 years</v>
      </c>
    </row>
    <row r="796" spans="1:4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cm="1">
        <f t="array" ref="AJ796">_xlfn.SWITCH(CleanEmployeeData[[#This Row],[Education]],1,"Below College",2,"College",3,"Bachelor",4,"Master",5,"Doctor","Unknown")</f>
        <v>Below College</v>
      </c>
      <c r="AK796" t="str" cm="1">
        <f t="array" ref="AK796">_xlfn.SWITCH(CleanEmployeeData[[#This Row],[EnvironmentSatisfaction]],1,"Low",2,"Medium",3,"High",4,"Very High","Unknown")</f>
        <v>Low</v>
      </c>
      <c r="AL796" t="str" cm="1">
        <f t="array" ref="AL796">_xlfn.SWITCH(CleanEmployeeData[[#This Row],[JobInvolvement]],1,"Low",2,"Medium",3,"High",4,"Very High","Unknown")</f>
        <v>High</v>
      </c>
      <c r="AM796" t="str" cm="1">
        <f t="array" ref="AM796">_xlfn.SWITCH(CleanEmployeeData[[#This Row],[JobSatisfaction]],1,"Low",2,"Medium",3,"High",4,"Very High","Unknown")</f>
        <v>Very High</v>
      </c>
      <c r="AN796" t="str" cm="1">
        <f t="array" ref="AN796">_xlfn.SWITCH(CleanEmployeeData[[#This Row],[PerformanceRating]],1,"Low",2,"Good",3,"Excellent",4,"Outstanding","Unknown")</f>
        <v>Excellent</v>
      </c>
      <c r="AO796" t="str" cm="1">
        <f t="array" ref="AO796">_xlfn.SWITCH(CleanEmployeeData[[#This Row],[WorkLifeBalance]],1,"Bad",2,"Good",3,"Better",4,"Best","Unknown")</f>
        <v>Good</v>
      </c>
      <c r="AP796">
        <f>IF(CleanEmployeeData[[#This Row],[Attrition]]="Yes",1,IF(CleanEmployeeData[[#This Row],[Attrition]]="No",0,""))</f>
        <v>0</v>
      </c>
      <c r="AQ796" t="str" cm="1">
        <f t="array" ref="AQ796">_xlfn.IFS(CleanEmployeeData[[#This Row],[MonthlyIncome]]&lt;=3000,"0–3,000",CleanEmployeeData[[#This Row],[MonthlyIncome]]&lt;=6000,"3,001–6,000",CleanEmployeeData[[#This Row],[MonthlyIncome]]&lt;=10000,"6,001–10,000",TRUE,"10,001+")</f>
        <v>6,001–10,000</v>
      </c>
      <c r="AR796" t="str" cm="1">
        <f t="array" ref="AR796">_xlfn.IFS(CleanEmployeeData[[#This Row],[DistanceFromHome]]&lt;=5,"0–5 miles",CleanEmployeeData[[#This Row],[DistanceFromHome]]&lt;=10,"6–10 miles",CleanEmployeeData[[#This Row],[DistanceFromHome]]&lt;=15,"11–15 miles",TRUE,"16+ miles")</f>
        <v>0–5 miles</v>
      </c>
      <c r="AS796" t="str" cm="1">
        <f t="array" ref="AS796">_xlfn.IFS(CleanEmployeeData[[#This Row],[YearsAtCompany]]&lt;=1,"0–1 years",CleanEmployeeData[[#This Row],[YearsAtCompany]]&lt;=5,"2–5 years",CleanEmployeeData[[#This Row],[YearsAtCompany]]&lt;=10,"6–10 years",TRUE,"11+ years")</f>
        <v>6–10 years</v>
      </c>
    </row>
    <row r="797" spans="1:4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cm="1">
        <f t="array" ref="AJ797">_xlfn.SWITCH(CleanEmployeeData[[#This Row],[Education]],1,"Below College",2,"College",3,"Bachelor",4,"Master",5,"Doctor","Unknown")</f>
        <v>Master</v>
      </c>
      <c r="AK797" t="str" cm="1">
        <f t="array" ref="AK797">_xlfn.SWITCH(CleanEmployeeData[[#This Row],[EnvironmentSatisfaction]],1,"Low",2,"Medium",3,"High",4,"Very High","Unknown")</f>
        <v>Very High</v>
      </c>
      <c r="AL797" t="str" cm="1">
        <f t="array" ref="AL797">_xlfn.SWITCH(CleanEmployeeData[[#This Row],[JobInvolvement]],1,"Low",2,"Medium",3,"High",4,"Very High","Unknown")</f>
        <v>Medium</v>
      </c>
      <c r="AM797" t="str" cm="1">
        <f t="array" ref="AM797">_xlfn.SWITCH(CleanEmployeeData[[#This Row],[JobSatisfaction]],1,"Low",2,"Medium",3,"High",4,"Very High","Unknown")</f>
        <v>Very High</v>
      </c>
      <c r="AN797" t="str" cm="1">
        <f t="array" ref="AN797">_xlfn.SWITCH(CleanEmployeeData[[#This Row],[PerformanceRating]],1,"Low",2,"Good",3,"Excellent",4,"Outstanding","Unknown")</f>
        <v>Excellent</v>
      </c>
      <c r="AO797" t="str" cm="1">
        <f t="array" ref="AO797">_xlfn.SWITCH(CleanEmployeeData[[#This Row],[WorkLifeBalance]],1,"Bad",2,"Good",3,"Better",4,"Best","Unknown")</f>
        <v>Better</v>
      </c>
      <c r="AP797">
        <f>IF(CleanEmployeeData[[#This Row],[Attrition]]="Yes",1,IF(CleanEmployeeData[[#This Row],[Attrition]]="No",0,""))</f>
        <v>0</v>
      </c>
      <c r="AQ797" t="str" cm="1">
        <f t="array" ref="AQ797">_xlfn.IFS(CleanEmployeeData[[#This Row],[MonthlyIncome]]&lt;=3000,"0–3,000",CleanEmployeeData[[#This Row],[MonthlyIncome]]&lt;=6000,"3,001–6,000",CleanEmployeeData[[#This Row],[MonthlyIncome]]&lt;=10000,"6,001–10,000",TRUE,"10,001+")</f>
        <v>6,001–10,000</v>
      </c>
      <c r="AR797" t="str" cm="1">
        <f t="array" ref="AR797">_xlfn.IFS(CleanEmployeeData[[#This Row],[DistanceFromHome]]&lt;=5,"0–5 miles",CleanEmployeeData[[#This Row],[DistanceFromHome]]&lt;=10,"6–10 miles",CleanEmployeeData[[#This Row],[DistanceFromHome]]&lt;=15,"11–15 miles",TRUE,"16+ miles")</f>
        <v>6–10 miles</v>
      </c>
      <c r="AS797" t="str" cm="1">
        <f t="array" ref="AS797">_xlfn.IFS(CleanEmployeeData[[#This Row],[YearsAtCompany]]&lt;=1,"0–1 years",CleanEmployeeData[[#This Row],[YearsAtCompany]]&lt;=5,"2–5 years",CleanEmployeeData[[#This Row],[YearsAtCompany]]&lt;=10,"6–10 years",TRUE,"11+ years")</f>
        <v>0–1 years</v>
      </c>
    </row>
    <row r="798" spans="1:4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cm="1">
        <f t="array" ref="AJ798">_xlfn.SWITCH(CleanEmployeeData[[#This Row],[Education]],1,"Below College",2,"College",3,"Bachelor",4,"Master",5,"Doctor","Unknown")</f>
        <v>Below College</v>
      </c>
      <c r="AK798" t="str" cm="1">
        <f t="array" ref="AK798">_xlfn.SWITCH(CleanEmployeeData[[#This Row],[EnvironmentSatisfaction]],1,"Low",2,"Medium",3,"High",4,"Very High","Unknown")</f>
        <v>Very High</v>
      </c>
      <c r="AL798" t="str" cm="1">
        <f t="array" ref="AL798">_xlfn.SWITCH(CleanEmployeeData[[#This Row],[JobInvolvement]],1,"Low",2,"Medium",3,"High",4,"Very High","Unknown")</f>
        <v>High</v>
      </c>
      <c r="AM798" t="str" cm="1">
        <f t="array" ref="AM798">_xlfn.SWITCH(CleanEmployeeData[[#This Row],[JobSatisfaction]],1,"Low",2,"Medium",3,"High",4,"Very High","Unknown")</f>
        <v>Very High</v>
      </c>
      <c r="AN798" t="str" cm="1">
        <f t="array" ref="AN798">_xlfn.SWITCH(CleanEmployeeData[[#This Row],[PerformanceRating]],1,"Low",2,"Good",3,"Excellent",4,"Outstanding","Unknown")</f>
        <v>Excellent</v>
      </c>
      <c r="AO798" t="str" cm="1">
        <f t="array" ref="AO798">_xlfn.SWITCH(CleanEmployeeData[[#This Row],[WorkLifeBalance]],1,"Bad",2,"Good",3,"Better",4,"Best","Unknown")</f>
        <v>Best</v>
      </c>
      <c r="AP798">
        <f>IF(CleanEmployeeData[[#This Row],[Attrition]]="Yes",1,IF(CleanEmployeeData[[#This Row],[Attrition]]="No",0,""))</f>
        <v>1</v>
      </c>
      <c r="AQ798" t="str" cm="1">
        <f t="array" ref="AQ798">_xlfn.IFS(CleanEmployeeData[[#This Row],[MonthlyIncome]]&lt;=3000,"0–3,000",CleanEmployeeData[[#This Row],[MonthlyIncome]]&lt;=6000,"3,001–6,000",CleanEmployeeData[[#This Row],[MonthlyIncome]]&lt;=10000,"6,001–10,000",TRUE,"10,001+")</f>
        <v>3,001–6,000</v>
      </c>
      <c r="AR798" t="str" cm="1">
        <f t="array" ref="AR798">_xlfn.IFS(CleanEmployeeData[[#This Row],[DistanceFromHome]]&lt;=5,"0–5 miles",CleanEmployeeData[[#This Row],[DistanceFromHome]]&lt;=10,"6–10 miles",CleanEmployeeData[[#This Row],[DistanceFromHome]]&lt;=15,"11–15 miles",TRUE,"16+ miles")</f>
        <v>0–5 miles</v>
      </c>
      <c r="AS798" t="str" cm="1">
        <f t="array" ref="AS798">_xlfn.IFS(CleanEmployeeData[[#This Row],[YearsAtCompany]]&lt;=1,"0–1 years",CleanEmployeeData[[#This Row],[YearsAtCompany]]&lt;=5,"2–5 years",CleanEmployeeData[[#This Row],[YearsAtCompany]]&lt;=10,"6–10 years",TRUE,"11+ years")</f>
        <v>6–10 years</v>
      </c>
    </row>
    <row r="799" spans="1:4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cm="1">
        <f t="array" ref="AJ799">_xlfn.SWITCH(CleanEmployeeData[[#This Row],[Education]],1,"Below College",2,"College",3,"Bachelor",4,"Master",5,"Doctor","Unknown")</f>
        <v>Bachelor</v>
      </c>
      <c r="AK799" t="str" cm="1">
        <f t="array" ref="AK799">_xlfn.SWITCH(CleanEmployeeData[[#This Row],[EnvironmentSatisfaction]],1,"Low",2,"Medium",3,"High",4,"Very High","Unknown")</f>
        <v>Low</v>
      </c>
      <c r="AL799" t="str" cm="1">
        <f t="array" ref="AL799">_xlfn.SWITCH(CleanEmployeeData[[#This Row],[JobInvolvement]],1,"Low",2,"Medium",3,"High",4,"Very High","Unknown")</f>
        <v>High</v>
      </c>
      <c r="AM799" t="str" cm="1">
        <f t="array" ref="AM799">_xlfn.SWITCH(CleanEmployeeData[[#This Row],[JobSatisfaction]],1,"Low",2,"Medium",3,"High",4,"Very High","Unknown")</f>
        <v>High</v>
      </c>
      <c r="AN799" t="str" cm="1">
        <f t="array" ref="AN799">_xlfn.SWITCH(CleanEmployeeData[[#This Row],[PerformanceRating]],1,"Low",2,"Good",3,"Excellent",4,"Outstanding","Unknown")</f>
        <v>Outstanding</v>
      </c>
      <c r="AO799" t="str" cm="1">
        <f t="array" ref="AO799">_xlfn.SWITCH(CleanEmployeeData[[#This Row],[WorkLifeBalance]],1,"Bad",2,"Good",3,"Better",4,"Best","Unknown")</f>
        <v>Good</v>
      </c>
      <c r="AP799">
        <f>IF(CleanEmployeeData[[#This Row],[Attrition]]="Yes",1,IF(CleanEmployeeData[[#This Row],[Attrition]]="No",0,""))</f>
        <v>1</v>
      </c>
      <c r="AQ799" t="str" cm="1">
        <f t="array" ref="AQ799">_xlfn.IFS(CleanEmployeeData[[#This Row],[MonthlyIncome]]&lt;=3000,"0–3,000",CleanEmployeeData[[#This Row],[MonthlyIncome]]&lt;=6000,"3,001–6,000",CleanEmployeeData[[#This Row],[MonthlyIncome]]&lt;=10000,"6,001–10,000",TRUE,"10,001+")</f>
        <v>0–3,000</v>
      </c>
      <c r="AR799" t="str" cm="1">
        <f t="array" ref="AR799">_xlfn.IFS(CleanEmployeeData[[#This Row],[DistanceFromHome]]&lt;=5,"0–5 miles",CleanEmployeeData[[#This Row],[DistanceFromHome]]&lt;=10,"6–10 miles",CleanEmployeeData[[#This Row],[DistanceFromHome]]&lt;=15,"11–15 miles",TRUE,"16+ miles")</f>
        <v>16+ miles</v>
      </c>
      <c r="AS799" t="str" cm="1">
        <f t="array" ref="AS799">_xlfn.IFS(CleanEmployeeData[[#This Row],[YearsAtCompany]]&lt;=1,"0–1 years",CleanEmployeeData[[#This Row],[YearsAtCompany]]&lt;=5,"2–5 years",CleanEmployeeData[[#This Row],[YearsAtCompany]]&lt;=10,"6–10 years",TRUE,"11+ years")</f>
        <v>0–1 years</v>
      </c>
    </row>
    <row r="800" spans="1:4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cm="1">
        <f t="array" ref="AJ800">_xlfn.SWITCH(CleanEmployeeData[[#This Row],[Education]],1,"Below College",2,"College",3,"Bachelor",4,"Master",5,"Doctor","Unknown")</f>
        <v>Bachelor</v>
      </c>
      <c r="AK800" t="str" cm="1">
        <f t="array" ref="AK800">_xlfn.SWITCH(CleanEmployeeData[[#This Row],[EnvironmentSatisfaction]],1,"Low",2,"Medium",3,"High",4,"Very High","Unknown")</f>
        <v>Low</v>
      </c>
      <c r="AL800" t="str" cm="1">
        <f t="array" ref="AL800">_xlfn.SWITCH(CleanEmployeeData[[#This Row],[JobInvolvement]],1,"Low",2,"Medium",3,"High",4,"Very High","Unknown")</f>
        <v>Medium</v>
      </c>
      <c r="AM800" t="str" cm="1">
        <f t="array" ref="AM800">_xlfn.SWITCH(CleanEmployeeData[[#This Row],[JobSatisfaction]],1,"Low",2,"Medium",3,"High",4,"Very High","Unknown")</f>
        <v>Medium</v>
      </c>
      <c r="AN800" t="str" cm="1">
        <f t="array" ref="AN800">_xlfn.SWITCH(CleanEmployeeData[[#This Row],[PerformanceRating]],1,"Low",2,"Good",3,"Excellent",4,"Outstanding","Unknown")</f>
        <v>Outstanding</v>
      </c>
      <c r="AO800" t="str" cm="1">
        <f t="array" ref="AO800">_xlfn.SWITCH(CleanEmployeeData[[#This Row],[WorkLifeBalance]],1,"Bad",2,"Good",3,"Better",4,"Best","Unknown")</f>
        <v>Better</v>
      </c>
      <c r="AP800">
        <f>IF(CleanEmployeeData[[#This Row],[Attrition]]="Yes",1,IF(CleanEmployeeData[[#This Row],[Attrition]]="No",0,""))</f>
        <v>1</v>
      </c>
      <c r="AQ800" t="str" cm="1">
        <f t="array" ref="AQ800">_xlfn.IFS(CleanEmployeeData[[#This Row],[MonthlyIncome]]&lt;=3000,"0–3,000",CleanEmployeeData[[#This Row],[MonthlyIncome]]&lt;=6000,"3,001–6,000",CleanEmployeeData[[#This Row],[MonthlyIncome]]&lt;=10000,"6,001–10,000",TRUE,"10,001+")</f>
        <v>0–3,000</v>
      </c>
      <c r="AR800" t="str" cm="1">
        <f t="array" ref="AR800">_xlfn.IFS(CleanEmployeeData[[#This Row],[DistanceFromHome]]&lt;=5,"0–5 miles",CleanEmployeeData[[#This Row],[DistanceFromHome]]&lt;=10,"6–10 miles",CleanEmployeeData[[#This Row],[DistanceFromHome]]&lt;=15,"11–15 miles",TRUE,"16+ miles")</f>
        <v>16+ miles</v>
      </c>
      <c r="AS800" t="str" cm="1">
        <f t="array" ref="AS800">_xlfn.IFS(CleanEmployeeData[[#This Row],[YearsAtCompany]]&lt;=1,"0–1 years",CleanEmployeeData[[#This Row],[YearsAtCompany]]&lt;=5,"2–5 years",CleanEmployeeData[[#This Row],[YearsAtCompany]]&lt;=10,"6–10 years",TRUE,"11+ years")</f>
        <v>2–5 years</v>
      </c>
    </row>
    <row r="801" spans="1:4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cm="1">
        <f t="array" ref="AJ801">_xlfn.SWITCH(CleanEmployeeData[[#This Row],[Education]],1,"Below College",2,"College",3,"Bachelor",4,"Master",5,"Doctor","Unknown")</f>
        <v>College</v>
      </c>
      <c r="AK801" t="str" cm="1">
        <f t="array" ref="AK801">_xlfn.SWITCH(CleanEmployeeData[[#This Row],[EnvironmentSatisfaction]],1,"Low",2,"Medium",3,"High",4,"Very High","Unknown")</f>
        <v>Very High</v>
      </c>
      <c r="AL801" t="str" cm="1">
        <f t="array" ref="AL801">_xlfn.SWITCH(CleanEmployeeData[[#This Row],[JobInvolvement]],1,"Low",2,"Medium",3,"High",4,"Very High","Unknown")</f>
        <v>High</v>
      </c>
      <c r="AM801" t="str" cm="1">
        <f t="array" ref="AM801">_xlfn.SWITCH(CleanEmployeeData[[#This Row],[JobSatisfaction]],1,"Low",2,"Medium",3,"High",4,"Very High","Unknown")</f>
        <v>Low</v>
      </c>
      <c r="AN801" t="str" cm="1">
        <f t="array" ref="AN801">_xlfn.SWITCH(CleanEmployeeData[[#This Row],[PerformanceRating]],1,"Low",2,"Good",3,"Excellent",4,"Outstanding","Unknown")</f>
        <v>Excellent</v>
      </c>
      <c r="AO801" t="str" cm="1">
        <f t="array" ref="AO801">_xlfn.SWITCH(CleanEmployeeData[[#This Row],[WorkLifeBalance]],1,"Bad",2,"Good",3,"Better",4,"Best","Unknown")</f>
        <v>Better</v>
      </c>
      <c r="AP801">
        <f>IF(CleanEmployeeData[[#This Row],[Attrition]]="Yes",1,IF(CleanEmployeeData[[#This Row],[Attrition]]="No",0,""))</f>
        <v>0</v>
      </c>
      <c r="AQ801" t="str" cm="1">
        <f t="array" ref="AQ801">_xlfn.IFS(CleanEmployeeData[[#This Row],[MonthlyIncome]]&lt;=3000,"0–3,000",CleanEmployeeData[[#This Row],[MonthlyIncome]]&lt;=6000,"3,001–6,000",CleanEmployeeData[[#This Row],[MonthlyIncome]]&lt;=10000,"6,001–10,000",TRUE,"10,001+")</f>
        <v>10,001+</v>
      </c>
      <c r="AR801" t="str" cm="1">
        <f t="array" ref="AR801">_xlfn.IFS(CleanEmployeeData[[#This Row],[DistanceFromHome]]&lt;=5,"0–5 miles",CleanEmployeeData[[#This Row],[DistanceFromHome]]&lt;=10,"6–10 miles",CleanEmployeeData[[#This Row],[DistanceFromHome]]&lt;=15,"11–15 miles",TRUE,"16+ miles")</f>
        <v>0–5 miles</v>
      </c>
      <c r="AS801" t="str" cm="1">
        <f t="array" ref="AS801">_xlfn.IFS(CleanEmployeeData[[#This Row],[YearsAtCompany]]&lt;=1,"0–1 years",CleanEmployeeData[[#This Row],[YearsAtCompany]]&lt;=5,"2–5 years",CleanEmployeeData[[#This Row],[YearsAtCompany]]&lt;=10,"6–10 years",TRUE,"11+ years")</f>
        <v>11+ years</v>
      </c>
    </row>
    <row r="802" spans="1:4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cm="1">
        <f t="array" ref="AJ802">_xlfn.SWITCH(CleanEmployeeData[[#This Row],[Education]],1,"Below College",2,"College",3,"Bachelor",4,"Master",5,"Doctor","Unknown")</f>
        <v>Bachelor</v>
      </c>
      <c r="AK802" t="str" cm="1">
        <f t="array" ref="AK802">_xlfn.SWITCH(CleanEmployeeData[[#This Row],[EnvironmentSatisfaction]],1,"Low",2,"Medium",3,"High",4,"Very High","Unknown")</f>
        <v>Low</v>
      </c>
      <c r="AL802" t="str" cm="1">
        <f t="array" ref="AL802">_xlfn.SWITCH(CleanEmployeeData[[#This Row],[JobInvolvement]],1,"Low",2,"Medium",3,"High",4,"Very High","Unknown")</f>
        <v>Medium</v>
      </c>
      <c r="AM802" t="str" cm="1">
        <f t="array" ref="AM802">_xlfn.SWITCH(CleanEmployeeData[[#This Row],[JobSatisfaction]],1,"Low",2,"Medium",3,"High",4,"Very High","Unknown")</f>
        <v>Medium</v>
      </c>
      <c r="AN802" t="str" cm="1">
        <f t="array" ref="AN802">_xlfn.SWITCH(CleanEmployeeData[[#This Row],[PerformanceRating]],1,"Low",2,"Good",3,"Excellent",4,"Outstanding","Unknown")</f>
        <v>Excellent</v>
      </c>
      <c r="AO802" t="str" cm="1">
        <f t="array" ref="AO802">_xlfn.SWITCH(CleanEmployeeData[[#This Row],[WorkLifeBalance]],1,"Bad",2,"Good",3,"Better",4,"Best","Unknown")</f>
        <v>Better</v>
      </c>
      <c r="AP802">
        <f>IF(CleanEmployeeData[[#This Row],[Attrition]]="Yes",1,IF(CleanEmployeeData[[#This Row],[Attrition]]="No",0,""))</f>
        <v>1</v>
      </c>
      <c r="AQ802" t="str" cm="1">
        <f t="array" ref="AQ802">_xlfn.IFS(CleanEmployeeData[[#This Row],[MonthlyIncome]]&lt;=3000,"0–3,000",CleanEmployeeData[[#This Row],[MonthlyIncome]]&lt;=6000,"3,001–6,000",CleanEmployeeData[[#This Row],[MonthlyIncome]]&lt;=10000,"6,001–10,000",TRUE,"10,001+")</f>
        <v>0–3,000</v>
      </c>
      <c r="AR802" t="str" cm="1">
        <f t="array" ref="AR802">_xlfn.IFS(CleanEmployeeData[[#This Row],[DistanceFromHome]]&lt;=5,"0–5 miles",CleanEmployeeData[[#This Row],[DistanceFromHome]]&lt;=10,"6–10 miles",CleanEmployeeData[[#This Row],[DistanceFromHome]]&lt;=15,"11–15 miles",TRUE,"16+ miles")</f>
        <v>0–5 miles</v>
      </c>
      <c r="AS802" t="str" cm="1">
        <f t="array" ref="AS802">_xlfn.IFS(CleanEmployeeData[[#This Row],[YearsAtCompany]]&lt;=1,"0–1 years",CleanEmployeeData[[#This Row],[YearsAtCompany]]&lt;=5,"2–5 years",CleanEmployeeData[[#This Row],[YearsAtCompany]]&lt;=10,"6–10 years",TRUE,"11+ years")</f>
        <v>0–1 years</v>
      </c>
    </row>
    <row r="803" spans="1:4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cm="1">
        <f t="array" ref="AJ803">_xlfn.SWITCH(CleanEmployeeData[[#This Row],[Education]],1,"Below College",2,"College",3,"Bachelor",4,"Master",5,"Doctor","Unknown")</f>
        <v>Master</v>
      </c>
      <c r="AK803" t="str" cm="1">
        <f t="array" ref="AK803">_xlfn.SWITCH(CleanEmployeeData[[#This Row],[EnvironmentSatisfaction]],1,"Low",2,"Medium",3,"High",4,"Very High","Unknown")</f>
        <v>Very High</v>
      </c>
      <c r="AL803" t="str" cm="1">
        <f t="array" ref="AL803">_xlfn.SWITCH(CleanEmployeeData[[#This Row],[JobInvolvement]],1,"Low",2,"Medium",3,"High",4,"Very High","Unknown")</f>
        <v>High</v>
      </c>
      <c r="AM803" t="str" cm="1">
        <f t="array" ref="AM803">_xlfn.SWITCH(CleanEmployeeData[[#This Row],[JobSatisfaction]],1,"Low",2,"Medium",3,"High",4,"Very High","Unknown")</f>
        <v>High</v>
      </c>
      <c r="AN803" t="str" cm="1">
        <f t="array" ref="AN803">_xlfn.SWITCH(CleanEmployeeData[[#This Row],[PerformanceRating]],1,"Low",2,"Good",3,"Excellent",4,"Outstanding","Unknown")</f>
        <v>Excellent</v>
      </c>
      <c r="AO803" t="str" cm="1">
        <f t="array" ref="AO803">_xlfn.SWITCH(CleanEmployeeData[[#This Row],[WorkLifeBalance]],1,"Bad",2,"Good",3,"Better",4,"Best","Unknown")</f>
        <v>Better</v>
      </c>
      <c r="AP803">
        <f>IF(CleanEmployeeData[[#This Row],[Attrition]]="Yes",1,IF(CleanEmployeeData[[#This Row],[Attrition]]="No",0,""))</f>
        <v>1</v>
      </c>
      <c r="AQ803" t="str" cm="1">
        <f t="array" ref="AQ803">_xlfn.IFS(CleanEmployeeData[[#This Row],[MonthlyIncome]]&lt;=3000,"0–3,000",CleanEmployeeData[[#This Row],[MonthlyIncome]]&lt;=6000,"3,001–6,000",CleanEmployeeData[[#This Row],[MonthlyIncome]]&lt;=10000,"6,001–10,000",TRUE,"10,001+")</f>
        <v>3,001–6,000</v>
      </c>
      <c r="AR803" t="str" cm="1">
        <f t="array" ref="AR803">_xlfn.IFS(CleanEmployeeData[[#This Row],[DistanceFromHome]]&lt;=5,"0–5 miles",CleanEmployeeData[[#This Row],[DistanceFromHome]]&lt;=10,"6–10 miles",CleanEmployeeData[[#This Row],[DistanceFromHome]]&lt;=15,"11–15 miles",TRUE,"16+ miles")</f>
        <v>0–5 miles</v>
      </c>
      <c r="AS803" t="str" cm="1">
        <f t="array" ref="AS803">_xlfn.IFS(CleanEmployeeData[[#This Row],[YearsAtCompany]]&lt;=1,"0–1 years",CleanEmployeeData[[#This Row],[YearsAtCompany]]&lt;=5,"2–5 years",CleanEmployeeData[[#This Row],[YearsAtCompany]]&lt;=10,"6–10 years",TRUE,"11+ years")</f>
        <v>0–1 years</v>
      </c>
    </row>
    <row r="804" spans="1:4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cm="1">
        <f t="array" ref="AJ804">_xlfn.SWITCH(CleanEmployeeData[[#This Row],[Education]],1,"Below College",2,"College",3,"Bachelor",4,"Master",5,"Doctor","Unknown")</f>
        <v>Bachelor</v>
      </c>
      <c r="AK804" t="str" cm="1">
        <f t="array" ref="AK804">_xlfn.SWITCH(CleanEmployeeData[[#This Row],[EnvironmentSatisfaction]],1,"Low",2,"Medium",3,"High",4,"Very High","Unknown")</f>
        <v>Very High</v>
      </c>
      <c r="AL804" t="str" cm="1">
        <f t="array" ref="AL804">_xlfn.SWITCH(CleanEmployeeData[[#This Row],[JobInvolvement]],1,"Low",2,"Medium",3,"High",4,"Very High","Unknown")</f>
        <v>High</v>
      </c>
      <c r="AM804" t="str" cm="1">
        <f t="array" ref="AM804">_xlfn.SWITCH(CleanEmployeeData[[#This Row],[JobSatisfaction]],1,"Low",2,"Medium",3,"High",4,"Very High","Unknown")</f>
        <v>Medium</v>
      </c>
      <c r="AN804" t="str" cm="1">
        <f t="array" ref="AN804">_xlfn.SWITCH(CleanEmployeeData[[#This Row],[PerformanceRating]],1,"Low",2,"Good",3,"Excellent",4,"Outstanding","Unknown")</f>
        <v>Excellent</v>
      </c>
      <c r="AO804" t="str" cm="1">
        <f t="array" ref="AO804">_xlfn.SWITCH(CleanEmployeeData[[#This Row],[WorkLifeBalance]],1,"Bad",2,"Good",3,"Better",4,"Best","Unknown")</f>
        <v>Better</v>
      </c>
      <c r="AP804">
        <f>IF(CleanEmployeeData[[#This Row],[Attrition]]="Yes",1,IF(CleanEmployeeData[[#This Row],[Attrition]]="No",0,""))</f>
        <v>0</v>
      </c>
      <c r="AQ804" t="str" cm="1">
        <f t="array" ref="AQ804">_xlfn.IFS(CleanEmployeeData[[#This Row],[MonthlyIncome]]&lt;=3000,"0–3,000",CleanEmployeeData[[#This Row],[MonthlyIncome]]&lt;=6000,"3,001–6,000",CleanEmployeeData[[#This Row],[MonthlyIncome]]&lt;=10000,"6,001–10,000",TRUE,"10,001+")</f>
        <v>3,001–6,000</v>
      </c>
      <c r="AR804" t="str" cm="1">
        <f t="array" ref="AR804">_xlfn.IFS(CleanEmployeeData[[#This Row],[DistanceFromHome]]&lt;=5,"0–5 miles",CleanEmployeeData[[#This Row],[DistanceFromHome]]&lt;=10,"6–10 miles",CleanEmployeeData[[#This Row],[DistanceFromHome]]&lt;=15,"11–15 miles",TRUE,"16+ miles")</f>
        <v>6–10 miles</v>
      </c>
      <c r="AS804" t="str" cm="1">
        <f t="array" ref="AS804">_xlfn.IFS(CleanEmployeeData[[#This Row],[YearsAtCompany]]&lt;=1,"0–1 years",CleanEmployeeData[[#This Row],[YearsAtCompany]]&lt;=5,"2–5 years",CleanEmployeeData[[#This Row],[YearsAtCompany]]&lt;=10,"6–10 years",TRUE,"11+ years")</f>
        <v>2–5 years</v>
      </c>
    </row>
    <row r="805" spans="1:4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cm="1">
        <f t="array" ref="AJ805">_xlfn.SWITCH(CleanEmployeeData[[#This Row],[Education]],1,"Below College",2,"College",3,"Bachelor",4,"Master",5,"Doctor","Unknown")</f>
        <v>Master</v>
      </c>
      <c r="AK805" t="str" cm="1">
        <f t="array" ref="AK805">_xlfn.SWITCH(CleanEmployeeData[[#This Row],[EnvironmentSatisfaction]],1,"Low",2,"Medium",3,"High",4,"Very High","Unknown")</f>
        <v>High</v>
      </c>
      <c r="AL805" t="str" cm="1">
        <f t="array" ref="AL805">_xlfn.SWITCH(CleanEmployeeData[[#This Row],[JobInvolvement]],1,"Low",2,"Medium",3,"High",4,"Very High","Unknown")</f>
        <v>Medium</v>
      </c>
      <c r="AM805" t="str" cm="1">
        <f t="array" ref="AM805">_xlfn.SWITCH(CleanEmployeeData[[#This Row],[JobSatisfaction]],1,"Low",2,"Medium",3,"High",4,"Very High","Unknown")</f>
        <v>Very High</v>
      </c>
      <c r="AN805" t="str" cm="1">
        <f t="array" ref="AN805">_xlfn.SWITCH(CleanEmployeeData[[#This Row],[PerformanceRating]],1,"Low",2,"Good",3,"Excellent",4,"Outstanding","Unknown")</f>
        <v>Excellent</v>
      </c>
      <c r="AO805" t="str" cm="1">
        <f t="array" ref="AO805">_xlfn.SWITCH(CleanEmployeeData[[#This Row],[WorkLifeBalance]],1,"Bad",2,"Good",3,"Better",4,"Best","Unknown")</f>
        <v>Better</v>
      </c>
      <c r="AP805">
        <f>IF(CleanEmployeeData[[#This Row],[Attrition]]="Yes",1,IF(CleanEmployeeData[[#This Row],[Attrition]]="No",0,""))</f>
        <v>0</v>
      </c>
      <c r="AQ805" t="str" cm="1">
        <f t="array" ref="AQ805">_xlfn.IFS(CleanEmployeeData[[#This Row],[MonthlyIncome]]&lt;=3000,"0–3,000",CleanEmployeeData[[#This Row],[MonthlyIncome]]&lt;=6000,"3,001–6,000",CleanEmployeeData[[#This Row],[MonthlyIncome]]&lt;=10000,"6,001–10,000",TRUE,"10,001+")</f>
        <v>0–3,000</v>
      </c>
      <c r="AR805" t="str" cm="1">
        <f t="array" ref="AR805">_xlfn.IFS(CleanEmployeeData[[#This Row],[DistanceFromHome]]&lt;=5,"0–5 miles",CleanEmployeeData[[#This Row],[DistanceFromHome]]&lt;=10,"6–10 miles",CleanEmployeeData[[#This Row],[DistanceFromHome]]&lt;=15,"11–15 miles",TRUE,"16+ miles")</f>
        <v>0–5 miles</v>
      </c>
      <c r="AS805" t="str" cm="1">
        <f t="array" ref="AS805">_xlfn.IFS(CleanEmployeeData[[#This Row],[YearsAtCompany]]&lt;=1,"0–1 years",CleanEmployeeData[[#This Row],[YearsAtCompany]]&lt;=5,"2–5 years",CleanEmployeeData[[#This Row],[YearsAtCompany]]&lt;=10,"6–10 years",TRUE,"11+ years")</f>
        <v>0–1 years</v>
      </c>
    </row>
    <row r="806" spans="1:4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cm="1">
        <f t="array" ref="AJ806">_xlfn.SWITCH(CleanEmployeeData[[#This Row],[Education]],1,"Below College",2,"College",3,"Bachelor",4,"Master",5,"Doctor","Unknown")</f>
        <v>Master</v>
      </c>
      <c r="AK806" t="str" cm="1">
        <f t="array" ref="AK806">_xlfn.SWITCH(CleanEmployeeData[[#This Row],[EnvironmentSatisfaction]],1,"Low",2,"Medium",3,"High",4,"Very High","Unknown")</f>
        <v>Low</v>
      </c>
      <c r="AL806" t="str" cm="1">
        <f t="array" ref="AL806">_xlfn.SWITCH(CleanEmployeeData[[#This Row],[JobInvolvement]],1,"Low",2,"Medium",3,"High",4,"Very High","Unknown")</f>
        <v>Very High</v>
      </c>
      <c r="AM806" t="str" cm="1">
        <f t="array" ref="AM806">_xlfn.SWITCH(CleanEmployeeData[[#This Row],[JobSatisfaction]],1,"Low",2,"Medium",3,"High",4,"Very High","Unknown")</f>
        <v>Very High</v>
      </c>
      <c r="AN806" t="str" cm="1">
        <f t="array" ref="AN806">_xlfn.SWITCH(CleanEmployeeData[[#This Row],[PerformanceRating]],1,"Low",2,"Good",3,"Excellent",4,"Outstanding","Unknown")</f>
        <v>Outstanding</v>
      </c>
      <c r="AO806" t="str" cm="1">
        <f t="array" ref="AO806">_xlfn.SWITCH(CleanEmployeeData[[#This Row],[WorkLifeBalance]],1,"Bad",2,"Good",3,"Better",4,"Best","Unknown")</f>
        <v>Good</v>
      </c>
      <c r="AP806">
        <f>IF(CleanEmployeeData[[#This Row],[Attrition]]="Yes",1,IF(CleanEmployeeData[[#This Row],[Attrition]]="No",0,""))</f>
        <v>0</v>
      </c>
      <c r="AQ806" t="str" cm="1">
        <f t="array" ref="AQ806">_xlfn.IFS(CleanEmployeeData[[#This Row],[MonthlyIncome]]&lt;=3000,"0–3,000",CleanEmployeeData[[#This Row],[MonthlyIncome]]&lt;=6000,"3,001–6,000",CleanEmployeeData[[#This Row],[MonthlyIncome]]&lt;=10000,"6,001–10,000",TRUE,"10,001+")</f>
        <v>10,001+</v>
      </c>
      <c r="AR806" t="str" cm="1">
        <f t="array" ref="AR806">_xlfn.IFS(CleanEmployeeData[[#This Row],[DistanceFromHome]]&lt;=5,"0–5 miles",CleanEmployeeData[[#This Row],[DistanceFromHome]]&lt;=10,"6–10 miles",CleanEmployeeData[[#This Row],[DistanceFromHome]]&lt;=15,"11–15 miles",TRUE,"16+ miles")</f>
        <v>0–5 miles</v>
      </c>
      <c r="AS806" t="str" cm="1">
        <f t="array" ref="AS806">_xlfn.IFS(CleanEmployeeData[[#This Row],[YearsAtCompany]]&lt;=1,"0–1 years",CleanEmployeeData[[#This Row],[YearsAtCompany]]&lt;=5,"2–5 years",CleanEmployeeData[[#This Row],[YearsAtCompany]]&lt;=10,"6–10 years",TRUE,"11+ years")</f>
        <v>2–5 years</v>
      </c>
    </row>
    <row r="807" spans="1:4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cm="1">
        <f t="array" ref="AJ807">_xlfn.SWITCH(CleanEmployeeData[[#This Row],[Education]],1,"Below College",2,"College",3,"Bachelor",4,"Master",5,"Doctor","Unknown")</f>
        <v>Master</v>
      </c>
      <c r="AK807" t="str" cm="1">
        <f t="array" ref="AK807">_xlfn.SWITCH(CleanEmployeeData[[#This Row],[EnvironmentSatisfaction]],1,"Low",2,"Medium",3,"High",4,"Very High","Unknown")</f>
        <v>Medium</v>
      </c>
      <c r="AL807" t="str" cm="1">
        <f t="array" ref="AL807">_xlfn.SWITCH(CleanEmployeeData[[#This Row],[JobInvolvement]],1,"Low",2,"Medium",3,"High",4,"Very High","Unknown")</f>
        <v>Medium</v>
      </c>
      <c r="AM807" t="str" cm="1">
        <f t="array" ref="AM807">_xlfn.SWITCH(CleanEmployeeData[[#This Row],[JobSatisfaction]],1,"Low",2,"Medium",3,"High",4,"Very High","Unknown")</f>
        <v>High</v>
      </c>
      <c r="AN807" t="str" cm="1">
        <f t="array" ref="AN807">_xlfn.SWITCH(CleanEmployeeData[[#This Row],[PerformanceRating]],1,"Low",2,"Good",3,"Excellent",4,"Outstanding","Unknown")</f>
        <v>Excellent</v>
      </c>
      <c r="AO807" t="str" cm="1">
        <f t="array" ref="AO807">_xlfn.SWITCH(CleanEmployeeData[[#This Row],[WorkLifeBalance]],1,"Bad",2,"Good",3,"Better",4,"Best","Unknown")</f>
        <v>Better</v>
      </c>
      <c r="AP807">
        <f>IF(CleanEmployeeData[[#This Row],[Attrition]]="Yes",1,IF(CleanEmployeeData[[#This Row],[Attrition]]="No",0,""))</f>
        <v>0</v>
      </c>
      <c r="AQ807" t="str" cm="1">
        <f t="array" ref="AQ807">_xlfn.IFS(CleanEmployeeData[[#This Row],[MonthlyIncome]]&lt;=3000,"0–3,000",CleanEmployeeData[[#This Row],[MonthlyIncome]]&lt;=6000,"3,001–6,000",CleanEmployeeData[[#This Row],[MonthlyIncome]]&lt;=10000,"6,001–10,000",TRUE,"10,001+")</f>
        <v>3,001–6,000</v>
      </c>
      <c r="AR807" t="str" cm="1">
        <f t="array" ref="AR807">_xlfn.IFS(CleanEmployeeData[[#This Row],[DistanceFromHome]]&lt;=5,"0–5 miles",CleanEmployeeData[[#This Row],[DistanceFromHome]]&lt;=10,"6–10 miles",CleanEmployeeData[[#This Row],[DistanceFromHome]]&lt;=15,"11–15 miles",TRUE,"16+ miles")</f>
        <v>6–10 miles</v>
      </c>
      <c r="AS807" t="str" cm="1">
        <f t="array" ref="AS807">_xlfn.IFS(CleanEmployeeData[[#This Row],[YearsAtCompany]]&lt;=1,"0–1 years",CleanEmployeeData[[#This Row],[YearsAtCompany]]&lt;=5,"2–5 years",CleanEmployeeData[[#This Row],[YearsAtCompany]]&lt;=10,"6–10 years",TRUE,"11+ years")</f>
        <v>11+ years</v>
      </c>
    </row>
    <row r="808" spans="1:4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cm="1">
        <f t="array" ref="AJ808">_xlfn.SWITCH(CleanEmployeeData[[#This Row],[Education]],1,"Below College",2,"College",3,"Bachelor",4,"Master",5,"Doctor","Unknown")</f>
        <v>Master</v>
      </c>
      <c r="AK808" t="str" cm="1">
        <f t="array" ref="AK808">_xlfn.SWITCH(CleanEmployeeData[[#This Row],[EnvironmentSatisfaction]],1,"Low",2,"Medium",3,"High",4,"Very High","Unknown")</f>
        <v>Medium</v>
      </c>
      <c r="AL808" t="str" cm="1">
        <f t="array" ref="AL808">_xlfn.SWITCH(CleanEmployeeData[[#This Row],[JobInvolvement]],1,"Low",2,"Medium",3,"High",4,"Very High","Unknown")</f>
        <v>High</v>
      </c>
      <c r="AM808" t="str" cm="1">
        <f t="array" ref="AM808">_xlfn.SWITCH(CleanEmployeeData[[#This Row],[JobSatisfaction]],1,"Low",2,"Medium",3,"High",4,"Very High","Unknown")</f>
        <v>Medium</v>
      </c>
      <c r="AN808" t="str" cm="1">
        <f t="array" ref="AN808">_xlfn.SWITCH(CleanEmployeeData[[#This Row],[PerformanceRating]],1,"Low",2,"Good",3,"Excellent",4,"Outstanding","Unknown")</f>
        <v>Excellent</v>
      </c>
      <c r="AO808" t="str" cm="1">
        <f t="array" ref="AO808">_xlfn.SWITCH(CleanEmployeeData[[#This Row],[WorkLifeBalance]],1,"Bad",2,"Good",3,"Better",4,"Best","Unknown")</f>
        <v>Better</v>
      </c>
      <c r="AP808">
        <f>IF(CleanEmployeeData[[#This Row],[Attrition]]="Yes",1,IF(CleanEmployeeData[[#This Row],[Attrition]]="No",0,""))</f>
        <v>0</v>
      </c>
      <c r="AQ808" t="str" cm="1">
        <f t="array" ref="AQ808">_xlfn.IFS(CleanEmployeeData[[#This Row],[MonthlyIncome]]&lt;=3000,"0–3,000",CleanEmployeeData[[#This Row],[MonthlyIncome]]&lt;=6000,"3,001–6,000",CleanEmployeeData[[#This Row],[MonthlyIncome]]&lt;=10000,"6,001–10,000",TRUE,"10,001+")</f>
        <v>10,001+</v>
      </c>
      <c r="AR808" t="str" cm="1">
        <f t="array" ref="AR808">_xlfn.IFS(CleanEmployeeData[[#This Row],[DistanceFromHome]]&lt;=5,"0–5 miles",CleanEmployeeData[[#This Row],[DistanceFromHome]]&lt;=10,"6–10 miles",CleanEmployeeData[[#This Row],[DistanceFromHome]]&lt;=15,"11–15 miles",TRUE,"16+ miles")</f>
        <v>6–10 miles</v>
      </c>
      <c r="AS808" t="str" cm="1">
        <f t="array" ref="AS808">_xlfn.IFS(CleanEmployeeData[[#This Row],[YearsAtCompany]]&lt;=1,"0–1 years",CleanEmployeeData[[#This Row],[YearsAtCompany]]&lt;=5,"2–5 years",CleanEmployeeData[[#This Row],[YearsAtCompany]]&lt;=10,"6–10 years",TRUE,"11+ years")</f>
        <v>6–10 years</v>
      </c>
    </row>
    <row r="809" spans="1:4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cm="1">
        <f t="array" ref="AJ809">_xlfn.SWITCH(CleanEmployeeData[[#This Row],[Education]],1,"Below College",2,"College",3,"Bachelor",4,"Master",5,"Doctor","Unknown")</f>
        <v>Master</v>
      </c>
      <c r="AK809" t="str" cm="1">
        <f t="array" ref="AK809">_xlfn.SWITCH(CleanEmployeeData[[#This Row],[EnvironmentSatisfaction]],1,"Low",2,"Medium",3,"High",4,"Very High","Unknown")</f>
        <v>High</v>
      </c>
      <c r="AL809" t="str" cm="1">
        <f t="array" ref="AL809">_xlfn.SWITCH(CleanEmployeeData[[#This Row],[JobInvolvement]],1,"Low",2,"Medium",3,"High",4,"Very High","Unknown")</f>
        <v>Medium</v>
      </c>
      <c r="AM809" t="str" cm="1">
        <f t="array" ref="AM809">_xlfn.SWITCH(CleanEmployeeData[[#This Row],[JobSatisfaction]],1,"Low",2,"Medium",3,"High",4,"Very High","Unknown")</f>
        <v>High</v>
      </c>
      <c r="AN809" t="str" cm="1">
        <f t="array" ref="AN809">_xlfn.SWITCH(CleanEmployeeData[[#This Row],[PerformanceRating]],1,"Low",2,"Good",3,"Excellent",4,"Outstanding","Unknown")</f>
        <v>Excellent</v>
      </c>
      <c r="AO809" t="str" cm="1">
        <f t="array" ref="AO809">_xlfn.SWITCH(CleanEmployeeData[[#This Row],[WorkLifeBalance]],1,"Bad",2,"Good",3,"Better",4,"Best","Unknown")</f>
        <v>Better</v>
      </c>
      <c r="AP809">
        <f>IF(CleanEmployeeData[[#This Row],[Attrition]]="Yes",1,IF(CleanEmployeeData[[#This Row],[Attrition]]="No",0,""))</f>
        <v>0</v>
      </c>
      <c r="AQ809" t="str" cm="1">
        <f t="array" ref="AQ809">_xlfn.IFS(CleanEmployeeData[[#This Row],[MonthlyIncome]]&lt;=3000,"0–3,000",CleanEmployeeData[[#This Row],[MonthlyIncome]]&lt;=6000,"3,001–6,000",CleanEmployeeData[[#This Row],[MonthlyIncome]]&lt;=10000,"6,001–10,000",TRUE,"10,001+")</f>
        <v>6,001–10,000</v>
      </c>
      <c r="AR809" t="str" cm="1">
        <f t="array" ref="AR809">_xlfn.IFS(CleanEmployeeData[[#This Row],[DistanceFromHome]]&lt;=5,"0–5 miles",CleanEmployeeData[[#This Row],[DistanceFromHome]]&lt;=10,"6–10 miles",CleanEmployeeData[[#This Row],[DistanceFromHome]]&lt;=15,"11–15 miles",TRUE,"16+ miles")</f>
        <v>6–10 miles</v>
      </c>
      <c r="AS809" t="str" cm="1">
        <f t="array" ref="AS809">_xlfn.IFS(CleanEmployeeData[[#This Row],[YearsAtCompany]]&lt;=1,"0–1 years",CleanEmployeeData[[#This Row],[YearsAtCompany]]&lt;=5,"2–5 years",CleanEmployeeData[[#This Row],[YearsAtCompany]]&lt;=10,"6–10 years",TRUE,"11+ years")</f>
        <v>6–10 years</v>
      </c>
    </row>
    <row r="810" spans="1:4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cm="1">
        <f t="array" ref="AJ810">_xlfn.SWITCH(CleanEmployeeData[[#This Row],[Education]],1,"Below College",2,"College",3,"Bachelor",4,"Master",5,"Doctor","Unknown")</f>
        <v>Master</v>
      </c>
      <c r="AK810" t="str" cm="1">
        <f t="array" ref="AK810">_xlfn.SWITCH(CleanEmployeeData[[#This Row],[EnvironmentSatisfaction]],1,"Low",2,"Medium",3,"High",4,"Very High","Unknown")</f>
        <v>High</v>
      </c>
      <c r="AL810" t="str" cm="1">
        <f t="array" ref="AL810">_xlfn.SWITCH(CleanEmployeeData[[#This Row],[JobInvolvement]],1,"Low",2,"Medium",3,"High",4,"Very High","Unknown")</f>
        <v>High</v>
      </c>
      <c r="AM810" t="str" cm="1">
        <f t="array" ref="AM810">_xlfn.SWITCH(CleanEmployeeData[[#This Row],[JobSatisfaction]],1,"Low",2,"Medium",3,"High",4,"Very High","Unknown")</f>
        <v>Very High</v>
      </c>
      <c r="AN810" t="str" cm="1">
        <f t="array" ref="AN810">_xlfn.SWITCH(CleanEmployeeData[[#This Row],[PerformanceRating]],1,"Low",2,"Good",3,"Excellent",4,"Outstanding","Unknown")</f>
        <v>Outstanding</v>
      </c>
      <c r="AO810" t="str" cm="1">
        <f t="array" ref="AO810">_xlfn.SWITCH(CleanEmployeeData[[#This Row],[WorkLifeBalance]],1,"Bad",2,"Good",3,"Better",4,"Best","Unknown")</f>
        <v>Better</v>
      </c>
      <c r="AP810">
        <f>IF(CleanEmployeeData[[#This Row],[Attrition]]="Yes",1,IF(CleanEmployeeData[[#This Row],[Attrition]]="No",0,""))</f>
        <v>0</v>
      </c>
      <c r="AQ810" t="str" cm="1">
        <f t="array" ref="AQ810">_xlfn.IFS(CleanEmployeeData[[#This Row],[MonthlyIncome]]&lt;=3000,"0–3,000",CleanEmployeeData[[#This Row],[MonthlyIncome]]&lt;=6000,"3,001–6,000",CleanEmployeeData[[#This Row],[MonthlyIncome]]&lt;=10000,"6,001–10,000",TRUE,"10,001+")</f>
        <v>0–3,000</v>
      </c>
      <c r="AR810" t="str" cm="1">
        <f t="array" ref="AR810">_xlfn.IFS(CleanEmployeeData[[#This Row],[DistanceFromHome]]&lt;=5,"0–5 miles",CleanEmployeeData[[#This Row],[DistanceFromHome]]&lt;=10,"6–10 miles",CleanEmployeeData[[#This Row],[DistanceFromHome]]&lt;=15,"11–15 miles",TRUE,"16+ miles")</f>
        <v>16+ miles</v>
      </c>
      <c r="AS810" t="str" cm="1">
        <f t="array" ref="AS810">_xlfn.IFS(CleanEmployeeData[[#This Row],[YearsAtCompany]]&lt;=1,"0–1 years",CleanEmployeeData[[#This Row],[YearsAtCompany]]&lt;=5,"2–5 years",CleanEmployeeData[[#This Row],[YearsAtCompany]]&lt;=10,"6–10 years",TRUE,"11+ years")</f>
        <v>6–10 years</v>
      </c>
    </row>
    <row r="811" spans="1:4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cm="1">
        <f t="array" ref="AJ811">_xlfn.SWITCH(CleanEmployeeData[[#This Row],[Education]],1,"Below College",2,"College",3,"Bachelor",4,"Master",5,"Doctor","Unknown")</f>
        <v>Bachelor</v>
      </c>
      <c r="AK811" t="str" cm="1">
        <f t="array" ref="AK811">_xlfn.SWITCH(CleanEmployeeData[[#This Row],[EnvironmentSatisfaction]],1,"Low",2,"Medium",3,"High",4,"Very High","Unknown")</f>
        <v>Very High</v>
      </c>
      <c r="AL811" t="str" cm="1">
        <f t="array" ref="AL811">_xlfn.SWITCH(CleanEmployeeData[[#This Row],[JobInvolvement]],1,"Low",2,"Medium",3,"High",4,"Very High","Unknown")</f>
        <v>High</v>
      </c>
      <c r="AM811" t="str" cm="1">
        <f t="array" ref="AM811">_xlfn.SWITCH(CleanEmployeeData[[#This Row],[JobSatisfaction]],1,"Low",2,"Medium",3,"High",4,"Very High","Unknown")</f>
        <v>Medium</v>
      </c>
      <c r="AN811" t="str" cm="1">
        <f t="array" ref="AN811">_xlfn.SWITCH(CleanEmployeeData[[#This Row],[PerformanceRating]],1,"Low",2,"Good",3,"Excellent",4,"Outstanding","Unknown")</f>
        <v>Excellent</v>
      </c>
      <c r="AO811" t="str" cm="1">
        <f t="array" ref="AO811">_xlfn.SWITCH(CleanEmployeeData[[#This Row],[WorkLifeBalance]],1,"Bad",2,"Good",3,"Better",4,"Best","Unknown")</f>
        <v>Good</v>
      </c>
      <c r="AP811">
        <f>IF(CleanEmployeeData[[#This Row],[Attrition]]="Yes",1,IF(CleanEmployeeData[[#This Row],[Attrition]]="No",0,""))</f>
        <v>0</v>
      </c>
      <c r="AQ811" t="str" cm="1">
        <f t="array" ref="AQ811">_xlfn.IFS(CleanEmployeeData[[#This Row],[MonthlyIncome]]&lt;=3000,"0–3,000",CleanEmployeeData[[#This Row],[MonthlyIncome]]&lt;=6000,"3,001–6,000",CleanEmployeeData[[#This Row],[MonthlyIncome]]&lt;=10000,"6,001–10,000",TRUE,"10,001+")</f>
        <v>6,001–10,000</v>
      </c>
      <c r="AR811" t="str" cm="1">
        <f t="array" ref="AR811">_xlfn.IFS(CleanEmployeeData[[#This Row],[DistanceFromHome]]&lt;=5,"0–5 miles",CleanEmployeeData[[#This Row],[DistanceFromHome]]&lt;=10,"6–10 miles",CleanEmployeeData[[#This Row],[DistanceFromHome]]&lt;=15,"11–15 miles",TRUE,"16+ miles")</f>
        <v>0–5 miles</v>
      </c>
      <c r="AS811" t="str" cm="1">
        <f t="array" ref="AS811">_xlfn.IFS(CleanEmployeeData[[#This Row],[YearsAtCompany]]&lt;=1,"0–1 years",CleanEmployeeData[[#This Row],[YearsAtCompany]]&lt;=5,"2–5 years",CleanEmployeeData[[#This Row],[YearsAtCompany]]&lt;=10,"6–10 years",TRUE,"11+ years")</f>
        <v>6–10 years</v>
      </c>
    </row>
    <row r="812" spans="1:4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cm="1">
        <f t="array" ref="AJ812">_xlfn.SWITCH(CleanEmployeeData[[#This Row],[Education]],1,"Below College",2,"College",3,"Bachelor",4,"Master",5,"Doctor","Unknown")</f>
        <v>Below College</v>
      </c>
      <c r="AK812" t="str" cm="1">
        <f t="array" ref="AK812">_xlfn.SWITCH(CleanEmployeeData[[#This Row],[EnvironmentSatisfaction]],1,"Low",2,"Medium",3,"High",4,"Very High","Unknown")</f>
        <v>Low</v>
      </c>
      <c r="AL812" t="str" cm="1">
        <f t="array" ref="AL812">_xlfn.SWITCH(CleanEmployeeData[[#This Row],[JobInvolvement]],1,"Low",2,"Medium",3,"High",4,"Very High","Unknown")</f>
        <v>High</v>
      </c>
      <c r="AM812" t="str" cm="1">
        <f t="array" ref="AM812">_xlfn.SWITCH(CleanEmployeeData[[#This Row],[JobSatisfaction]],1,"Low",2,"Medium",3,"High",4,"Very High","Unknown")</f>
        <v>High</v>
      </c>
      <c r="AN812" t="str" cm="1">
        <f t="array" ref="AN812">_xlfn.SWITCH(CleanEmployeeData[[#This Row],[PerformanceRating]],1,"Low",2,"Good",3,"Excellent",4,"Outstanding","Unknown")</f>
        <v>Excellent</v>
      </c>
      <c r="AO812" t="str" cm="1">
        <f t="array" ref="AO812">_xlfn.SWITCH(CleanEmployeeData[[#This Row],[WorkLifeBalance]],1,"Bad",2,"Good",3,"Better",4,"Best","Unknown")</f>
        <v>Better</v>
      </c>
      <c r="AP812">
        <f>IF(CleanEmployeeData[[#This Row],[Attrition]]="Yes",1,IF(CleanEmployeeData[[#This Row],[Attrition]]="No",0,""))</f>
        <v>0</v>
      </c>
      <c r="AQ812" t="str" cm="1">
        <f t="array" ref="AQ812">_xlfn.IFS(CleanEmployeeData[[#This Row],[MonthlyIncome]]&lt;=3000,"0–3,000",CleanEmployeeData[[#This Row],[MonthlyIncome]]&lt;=6000,"3,001–6,000",CleanEmployeeData[[#This Row],[MonthlyIncome]]&lt;=10000,"6,001–10,000",TRUE,"10,001+")</f>
        <v>10,001+</v>
      </c>
      <c r="AR812" t="str" cm="1">
        <f t="array" ref="AR812">_xlfn.IFS(CleanEmployeeData[[#This Row],[DistanceFromHome]]&lt;=5,"0–5 miles",CleanEmployeeData[[#This Row],[DistanceFromHome]]&lt;=10,"6–10 miles",CleanEmployeeData[[#This Row],[DistanceFromHome]]&lt;=15,"11–15 miles",TRUE,"16+ miles")</f>
        <v>0–5 miles</v>
      </c>
      <c r="AS812" t="str" cm="1">
        <f t="array" ref="AS812">_xlfn.IFS(CleanEmployeeData[[#This Row],[YearsAtCompany]]&lt;=1,"0–1 years",CleanEmployeeData[[#This Row],[YearsAtCompany]]&lt;=5,"2–5 years",CleanEmployeeData[[#This Row],[YearsAtCompany]]&lt;=10,"6–10 years",TRUE,"11+ years")</f>
        <v>11+ years</v>
      </c>
    </row>
    <row r="813" spans="1:4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cm="1">
        <f t="array" ref="AJ813">_xlfn.SWITCH(CleanEmployeeData[[#This Row],[Education]],1,"Below College",2,"College",3,"Bachelor",4,"Master",5,"Doctor","Unknown")</f>
        <v>College</v>
      </c>
      <c r="AK813" t="str" cm="1">
        <f t="array" ref="AK813">_xlfn.SWITCH(CleanEmployeeData[[#This Row],[EnvironmentSatisfaction]],1,"Low",2,"Medium",3,"High",4,"Very High","Unknown")</f>
        <v>Very High</v>
      </c>
      <c r="AL813" t="str" cm="1">
        <f t="array" ref="AL813">_xlfn.SWITCH(CleanEmployeeData[[#This Row],[JobInvolvement]],1,"Low",2,"Medium",3,"High",4,"Very High","Unknown")</f>
        <v>High</v>
      </c>
      <c r="AM813" t="str" cm="1">
        <f t="array" ref="AM813">_xlfn.SWITCH(CleanEmployeeData[[#This Row],[JobSatisfaction]],1,"Low",2,"Medium",3,"High",4,"Very High","Unknown")</f>
        <v>Medium</v>
      </c>
      <c r="AN813" t="str" cm="1">
        <f t="array" ref="AN813">_xlfn.SWITCH(CleanEmployeeData[[#This Row],[PerformanceRating]],1,"Low",2,"Good",3,"Excellent",4,"Outstanding","Unknown")</f>
        <v>Excellent</v>
      </c>
      <c r="AO813" t="str" cm="1">
        <f t="array" ref="AO813">_xlfn.SWITCH(CleanEmployeeData[[#This Row],[WorkLifeBalance]],1,"Bad",2,"Good",3,"Better",4,"Best","Unknown")</f>
        <v>Better</v>
      </c>
      <c r="AP813">
        <f>IF(CleanEmployeeData[[#This Row],[Attrition]]="Yes",1,IF(CleanEmployeeData[[#This Row],[Attrition]]="No",0,""))</f>
        <v>0</v>
      </c>
      <c r="AQ813" t="str" cm="1">
        <f t="array" ref="AQ813">_xlfn.IFS(CleanEmployeeData[[#This Row],[MonthlyIncome]]&lt;=3000,"0–3,000",CleanEmployeeData[[#This Row],[MonthlyIncome]]&lt;=6000,"3,001–6,000",CleanEmployeeData[[#This Row],[MonthlyIncome]]&lt;=10000,"6,001–10,000",TRUE,"10,001+")</f>
        <v>6,001–10,000</v>
      </c>
      <c r="AR813" t="str" cm="1">
        <f t="array" ref="AR813">_xlfn.IFS(CleanEmployeeData[[#This Row],[DistanceFromHome]]&lt;=5,"0–5 miles",CleanEmployeeData[[#This Row],[DistanceFromHome]]&lt;=10,"6–10 miles",CleanEmployeeData[[#This Row],[DistanceFromHome]]&lt;=15,"11–15 miles",TRUE,"16+ miles")</f>
        <v>0–5 miles</v>
      </c>
      <c r="AS813" t="str" cm="1">
        <f t="array" ref="AS813">_xlfn.IFS(CleanEmployeeData[[#This Row],[YearsAtCompany]]&lt;=1,"0–1 years",CleanEmployeeData[[#This Row],[YearsAtCompany]]&lt;=5,"2–5 years",CleanEmployeeData[[#This Row],[YearsAtCompany]]&lt;=10,"6–10 years",TRUE,"11+ years")</f>
        <v>0–1 years</v>
      </c>
    </row>
    <row r="814" spans="1:4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cm="1">
        <f t="array" ref="AJ814">_xlfn.SWITCH(CleanEmployeeData[[#This Row],[Education]],1,"Below College",2,"College",3,"Bachelor",4,"Master",5,"Doctor","Unknown")</f>
        <v>Bachelor</v>
      </c>
      <c r="AK814" t="str" cm="1">
        <f t="array" ref="AK814">_xlfn.SWITCH(CleanEmployeeData[[#This Row],[EnvironmentSatisfaction]],1,"Low",2,"Medium",3,"High",4,"Very High","Unknown")</f>
        <v>High</v>
      </c>
      <c r="AL814" t="str" cm="1">
        <f t="array" ref="AL814">_xlfn.SWITCH(CleanEmployeeData[[#This Row],[JobInvolvement]],1,"Low",2,"Medium",3,"High",4,"Very High","Unknown")</f>
        <v>High</v>
      </c>
      <c r="AM814" t="str" cm="1">
        <f t="array" ref="AM814">_xlfn.SWITCH(CleanEmployeeData[[#This Row],[JobSatisfaction]],1,"Low",2,"Medium",3,"High",4,"Very High","Unknown")</f>
        <v>Low</v>
      </c>
      <c r="AN814" t="str" cm="1">
        <f t="array" ref="AN814">_xlfn.SWITCH(CleanEmployeeData[[#This Row],[PerformanceRating]],1,"Low",2,"Good",3,"Excellent",4,"Outstanding","Unknown")</f>
        <v>Excellent</v>
      </c>
      <c r="AO814" t="str" cm="1">
        <f t="array" ref="AO814">_xlfn.SWITCH(CleanEmployeeData[[#This Row],[WorkLifeBalance]],1,"Bad",2,"Good",3,"Better",4,"Best","Unknown")</f>
        <v>Better</v>
      </c>
      <c r="AP814">
        <f>IF(CleanEmployeeData[[#This Row],[Attrition]]="Yes",1,IF(CleanEmployeeData[[#This Row],[Attrition]]="No",0,""))</f>
        <v>0</v>
      </c>
      <c r="AQ814" t="str" cm="1">
        <f t="array" ref="AQ814">_xlfn.IFS(CleanEmployeeData[[#This Row],[MonthlyIncome]]&lt;=3000,"0–3,000",CleanEmployeeData[[#This Row],[MonthlyIncome]]&lt;=6000,"3,001–6,000",CleanEmployeeData[[#This Row],[MonthlyIncome]]&lt;=10000,"6,001–10,000",TRUE,"10,001+")</f>
        <v>10,001+</v>
      </c>
      <c r="AR814" t="str" cm="1">
        <f t="array" ref="AR814">_xlfn.IFS(CleanEmployeeData[[#This Row],[DistanceFromHome]]&lt;=5,"0–5 miles",CleanEmployeeData[[#This Row],[DistanceFromHome]]&lt;=10,"6–10 miles",CleanEmployeeData[[#This Row],[DistanceFromHome]]&lt;=15,"11–15 miles",TRUE,"16+ miles")</f>
        <v>16+ miles</v>
      </c>
      <c r="AS814" t="str" cm="1">
        <f t="array" ref="AS814">_xlfn.IFS(CleanEmployeeData[[#This Row],[YearsAtCompany]]&lt;=1,"0–1 years",CleanEmployeeData[[#This Row],[YearsAtCompany]]&lt;=5,"2–5 years",CleanEmployeeData[[#This Row],[YearsAtCompany]]&lt;=10,"6–10 years",TRUE,"11+ years")</f>
        <v>6–10 years</v>
      </c>
    </row>
    <row r="815" spans="1:4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cm="1">
        <f t="array" ref="AJ815">_xlfn.SWITCH(CleanEmployeeData[[#This Row],[Education]],1,"Below College",2,"College",3,"Bachelor",4,"Master",5,"Doctor","Unknown")</f>
        <v>Bachelor</v>
      </c>
      <c r="AK815" t="str" cm="1">
        <f t="array" ref="AK815">_xlfn.SWITCH(CleanEmployeeData[[#This Row],[EnvironmentSatisfaction]],1,"Low",2,"Medium",3,"High",4,"Very High","Unknown")</f>
        <v>Low</v>
      </c>
      <c r="AL815" t="str" cm="1">
        <f t="array" ref="AL815">_xlfn.SWITCH(CleanEmployeeData[[#This Row],[JobInvolvement]],1,"Low",2,"Medium",3,"High",4,"Very High","Unknown")</f>
        <v>High</v>
      </c>
      <c r="AM815" t="str" cm="1">
        <f t="array" ref="AM815">_xlfn.SWITCH(CleanEmployeeData[[#This Row],[JobSatisfaction]],1,"Low",2,"Medium",3,"High",4,"Very High","Unknown")</f>
        <v>Very High</v>
      </c>
      <c r="AN815" t="str" cm="1">
        <f t="array" ref="AN815">_xlfn.SWITCH(CleanEmployeeData[[#This Row],[PerformanceRating]],1,"Low",2,"Good",3,"Excellent",4,"Outstanding","Unknown")</f>
        <v>Excellent</v>
      </c>
      <c r="AO815" t="str" cm="1">
        <f t="array" ref="AO815">_xlfn.SWITCH(CleanEmployeeData[[#This Row],[WorkLifeBalance]],1,"Bad",2,"Good",3,"Better",4,"Best","Unknown")</f>
        <v>Better</v>
      </c>
      <c r="AP815">
        <f>IF(CleanEmployeeData[[#This Row],[Attrition]]="Yes",1,IF(CleanEmployeeData[[#This Row],[Attrition]]="No",0,""))</f>
        <v>1</v>
      </c>
      <c r="AQ815" t="str" cm="1">
        <f t="array" ref="AQ815">_xlfn.IFS(CleanEmployeeData[[#This Row],[MonthlyIncome]]&lt;=3000,"0–3,000",CleanEmployeeData[[#This Row],[MonthlyIncome]]&lt;=6000,"3,001–6,000",CleanEmployeeData[[#This Row],[MonthlyIncome]]&lt;=10000,"6,001–10,000",TRUE,"10,001+")</f>
        <v>10,001+</v>
      </c>
      <c r="AR815" t="str" cm="1">
        <f t="array" ref="AR815">_xlfn.IFS(CleanEmployeeData[[#This Row],[DistanceFromHome]]&lt;=5,"0–5 miles",CleanEmployeeData[[#This Row],[DistanceFromHome]]&lt;=10,"6–10 miles",CleanEmployeeData[[#This Row],[DistanceFromHome]]&lt;=15,"11–15 miles",TRUE,"16+ miles")</f>
        <v>0–5 miles</v>
      </c>
      <c r="AS815" t="str" cm="1">
        <f t="array" ref="AS815">_xlfn.IFS(CleanEmployeeData[[#This Row],[YearsAtCompany]]&lt;=1,"0–1 years",CleanEmployeeData[[#This Row],[YearsAtCompany]]&lt;=5,"2–5 years",CleanEmployeeData[[#This Row],[YearsAtCompany]]&lt;=10,"6–10 years",TRUE,"11+ years")</f>
        <v>11+ years</v>
      </c>
    </row>
    <row r="816" spans="1:4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cm="1">
        <f t="array" ref="AJ816">_xlfn.SWITCH(CleanEmployeeData[[#This Row],[Education]],1,"Below College",2,"College",3,"Bachelor",4,"Master",5,"Doctor","Unknown")</f>
        <v>Bachelor</v>
      </c>
      <c r="AK816" t="str" cm="1">
        <f t="array" ref="AK816">_xlfn.SWITCH(CleanEmployeeData[[#This Row],[EnvironmentSatisfaction]],1,"Low",2,"Medium",3,"High",4,"Very High","Unknown")</f>
        <v>High</v>
      </c>
      <c r="AL816" t="str" cm="1">
        <f t="array" ref="AL816">_xlfn.SWITCH(CleanEmployeeData[[#This Row],[JobInvolvement]],1,"Low",2,"Medium",3,"High",4,"Very High","Unknown")</f>
        <v>Medium</v>
      </c>
      <c r="AM816" t="str" cm="1">
        <f t="array" ref="AM816">_xlfn.SWITCH(CleanEmployeeData[[#This Row],[JobSatisfaction]],1,"Low",2,"Medium",3,"High",4,"Very High","Unknown")</f>
        <v>High</v>
      </c>
      <c r="AN816" t="str" cm="1">
        <f t="array" ref="AN816">_xlfn.SWITCH(CleanEmployeeData[[#This Row],[PerformanceRating]],1,"Low",2,"Good",3,"Excellent",4,"Outstanding","Unknown")</f>
        <v>Excellent</v>
      </c>
      <c r="AO816" t="str" cm="1">
        <f t="array" ref="AO816">_xlfn.SWITCH(CleanEmployeeData[[#This Row],[WorkLifeBalance]],1,"Bad",2,"Good",3,"Better",4,"Best","Unknown")</f>
        <v>Best</v>
      </c>
      <c r="AP816">
        <f>IF(CleanEmployeeData[[#This Row],[Attrition]]="Yes",1,IF(CleanEmployeeData[[#This Row],[Attrition]]="No",0,""))</f>
        <v>0</v>
      </c>
      <c r="AQ816" t="str" cm="1">
        <f t="array" ref="AQ816">_xlfn.IFS(CleanEmployeeData[[#This Row],[MonthlyIncome]]&lt;=3000,"0–3,000",CleanEmployeeData[[#This Row],[MonthlyIncome]]&lt;=6000,"3,001–6,000",CleanEmployeeData[[#This Row],[MonthlyIncome]]&lt;=10000,"6,001–10,000",TRUE,"10,001+")</f>
        <v>10,001+</v>
      </c>
      <c r="AR816" t="str" cm="1">
        <f t="array" ref="AR816">_xlfn.IFS(CleanEmployeeData[[#This Row],[DistanceFromHome]]&lt;=5,"0–5 miles",CleanEmployeeData[[#This Row],[DistanceFromHome]]&lt;=10,"6–10 miles",CleanEmployeeData[[#This Row],[DistanceFromHome]]&lt;=15,"11–15 miles",TRUE,"16+ miles")</f>
        <v>11–15 miles</v>
      </c>
      <c r="AS816" t="str" cm="1">
        <f t="array" ref="AS816">_xlfn.IFS(CleanEmployeeData[[#This Row],[YearsAtCompany]]&lt;=1,"0–1 years",CleanEmployeeData[[#This Row],[YearsAtCompany]]&lt;=5,"2–5 years",CleanEmployeeData[[#This Row],[YearsAtCompany]]&lt;=10,"6–10 years",TRUE,"11+ years")</f>
        <v>11+ years</v>
      </c>
    </row>
    <row r="817" spans="1:4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cm="1">
        <f t="array" ref="AJ817">_xlfn.SWITCH(CleanEmployeeData[[#This Row],[Education]],1,"Below College",2,"College",3,"Bachelor",4,"Master",5,"Doctor","Unknown")</f>
        <v>Below College</v>
      </c>
      <c r="AK817" t="str" cm="1">
        <f t="array" ref="AK817">_xlfn.SWITCH(CleanEmployeeData[[#This Row],[EnvironmentSatisfaction]],1,"Low",2,"Medium",3,"High",4,"Very High","Unknown")</f>
        <v>Very High</v>
      </c>
      <c r="AL817" t="str" cm="1">
        <f t="array" ref="AL817">_xlfn.SWITCH(CleanEmployeeData[[#This Row],[JobInvolvement]],1,"Low",2,"Medium",3,"High",4,"Very High","Unknown")</f>
        <v>Medium</v>
      </c>
      <c r="AM817" t="str" cm="1">
        <f t="array" ref="AM817">_xlfn.SWITCH(CleanEmployeeData[[#This Row],[JobSatisfaction]],1,"Low",2,"Medium",3,"High",4,"Very High","Unknown")</f>
        <v>Medium</v>
      </c>
      <c r="AN817" t="str" cm="1">
        <f t="array" ref="AN817">_xlfn.SWITCH(CleanEmployeeData[[#This Row],[PerformanceRating]],1,"Low",2,"Good",3,"Excellent",4,"Outstanding","Unknown")</f>
        <v>Excellent</v>
      </c>
      <c r="AO817" t="str" cm="1">
        <f t="array" ref="AO817">_xlfn.SWITCH(CleanEmployeeData[[#This Row],[WorkLifeBalance]],1,"Bad",2,"Good",3,"Better",4,"Best","Unknown")</f>
        <v>Best</v>
      </c>
      <c r="AP817">
        <f>IF(CleanEmployeeData[[#This Row],[Attrition]]="Yes",1,IF(CleanEmployeeData[[#This Row],[Attrition]]="No",0,""))</f>
        <v>0</v>
      </c>
      <c r="AQ817" t="str" cm="1">
        <f t="array" ref="AQ817">_xlfn.IFS(CleanEmployeeData[[#This Row],[MonthlyIncome]]&lt;=3000,"0–3,000",CleanEmployeeData[[#This Row],[MonthlyIncome]]&lt;=6000,"3,001–6,000",CleanEmployeeData[[#This Row],[MonthlyIncome]]&lt;=10000,"6,001–10,000",TRUE,"10,001+")</f>
        <v>0–3,000</v>
      </c>
      <c r="AR817" t="str" cm="1">
        <f t="array" ref="AR817">_xlfn.IFS(CleanEmployeeData[[#This Row],[DistanceFromHome]]&lt;=5,"0–5 miles",CleanEmployeeData[[#This Row],[DistanceFromHome]]&lt;=10,"6–10 miles",CleanEmployeeData[[#This Row],[DistanceFromHome]]&lt;=15,"11–15 miles",TRUE,"16+ miles")</f>
        <v>0–5 miles</v>
      </c>
      <c r="AS817" t="str" cm="1">
        <f t="array" ref="AS817">_xlfn.IFS(CleanEmployeeData[[#This Row],[YearsAtCompany]]&lt;=1,"0–1 years",CleanEmployeeData[[#This Row],[YearsAtCompany]]&lt;=5,"2–5 years",CleanEmployeeData[[#This Row],[YearsAtCompany]]&lt;=10,"6–10 years",TRUE,"11+ years")</f>
        <v>2–5 years</v>
      </c>
    </row>
    <row r="818" spans="1:4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cm="1">
        <f t="array" ref="AJ818">_xlfn.SWITCH(CleanEmployeeData[[#This Row],[Education]],1,"Below College",2,"College",3,"Bachelor",4,"Master",5,"Doctor","Unknown")</f>
        <v>Bachelor</v>
      </c>
      <c r="AK818" t="str" cm="1">
        <f t="array" ref="AK818">_xlfn.SWITCH(CleanEmployeeData[[#This Row],[EnvironmentSatisfaction]],1,"Low",2,"Medium",3,"High",4,"Very High","Unknown")</f>
        <v>High</v>
      </c>
      <c r="AL818" t="str" cm="1">
        <f t="array" ref="AL818">_xlfn.SWITCH(CleanEmployeeData[[#This Row],[JobInvolvement]],1,"Low",2,"Medium",3,"High",4,"Very High","Unknown")</f>
        <v>High</v>
      </c>
      <c r="AM818" t="str" cm="1">
        <f t="array" ref="AM818">_xlfn.SWITCH(CleanEmployeeData[[#This Row],[JobSatisfaction]],1,"Low",2,"Medium",3,"High",4,"Very High","Unknown")</f>
        <v>Medium</v>
      </c>
      <c r="AN818" t="str" cm="1">
        <f t="array" ref="AN818">_xlfn.SWITCH(CleanEmployeeData[[#This Row],[PerformanceRating]],1,"Low",2,"Good",3,"Excellent",4,"Outstanding","Unknown")</f>
        <v>Excellent</v>
      </c>
      <c r="AO818" t="str" cm="1">
        <f t="array" ref="AO818">_xlfn.SWITCH(CleanEmployeeData[[#This Row],[WorkLifeBalance]],1,"Bad",2,"Good",3,"Better",4,"Best","Unknown")</f>
        <v>Good</v>
      </c>
      <c r="AP818">
        <f>IF(CleanEmployeeData[[#This Row],[Attrition]]="Yes",1,IF(CleanEmployeeData[[#This Row],[Attrition]]="No",0,""))</f>
        <v>0</v>
      </c>
      <c r="AQ818" t="str" cm="1">
        <f t="array" ref="AQ818">_xlfn.IFS(CleanEmployeeData[[#This Row],[MonthlyIncome]]&lt;=3000,"0–3,000",CleanEmployeeData[[#This Row],[MonthlyIncome]]&lt;=6000,"3,001–6,000",CleanEmployeeData[[#This Row],[MonthlyIncome]]&lt;=10000,"6,001–10,000",TRUE,"10,001+")</f>
        <v>6,001–10,000</v>
      </c>
      <c r="AR818" t="str" cm="1">
        <f t="array" ref="AR818">_xlfn.IFS(CleanEmployeeData[[#This Row],[DistanceFromHome]]&lt;=5,"0–5 miles",CleanEmployeeData[[#This Row],[DistanceFromHome]]&lt;=10,"6–10 miles",CleanEmployeeData[[#This Row],[DistanceFromHome]]&lt;=15,"11–15 miles",TRUE,"16+ miles")</f>
        <v>6–10 miles</v>
      </c>
      <c r="AS818" t="str" cm="1">
        <f t="array" ref="AS818">_xlfn.IFS(CleanEmployeeData[[#This Row],[YearsAtCompany]]&lt;=1,"0–1 years",CleanEmployeeData[[#This Row],[YearsAtCompany]]&lt;=5,"2–5 years",CleanEmployeeData[[#This Row],[YearsAtCompany]]&lt;=10,"6–10 years",TRUE,"11+ years")</f>
        <v>2–5 years</v>
      </c>
    </row>
    <row r="819" spans="1:4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cm="1">
        <f t="array" ref="AJ819">_xlfn.SWITCH(CleanEmployeeData[[#This Row],[Education]],1,"Below College",2,"College",3,"Bachelor",4,"Master",5,"Doctor","Unknown")</f>
        <v>Master</v>
      </c>
      <c r="AK819" t="str" cm="1">
        <f t="array" ref="AK819">_xlfn.SWITCH(CleanEmployeeData[[#This Row],[EnvironmentSatisfaction]],1,"Low",2,"Medium",3,"High",4,"Very High","Unknown")</f>
        <v>Low</v>
      </c>
      <c r="AL819" t="str" cm="1">
        <f t="array" ref="AL819">_xlfn.SWITCH(CleanEmployeeData[[#This Row],[JobInvolvement]],1,"Low",2,"Medium",3,"High",4,"Very High","Unknown")</f>
        <v>High</v>
      </c>
      <c r="AM819" t="str" cm="1">
        <f t="array" ref="AM819">_xlfn.SWITCH(CleanEmployeeData[[#This Row],[JobSatisfaction]],1,"Low",2,"Medium",3,"High",4,"Very High","Unknown")</f>
        <v>Very High</v>
      </c>
      <c r="AN819" t="str" cm="1">
        <f t="array" ref="AN819">_xlfn.SWITCH(CleanEmployeeData[[#This Row],[PerformanceRating]],1,"Low",2,"Good",3,"Excellent",4,"Outstanding","Unknown")</f>
        <v>Outstanding</v>
      </c>
      <c r="AO819" t="str" cm="1">
        <f t="array" ref="AO819">_xlfn.SWITCH(CleanEmployeeData[[#This Row],[WorkLifeBalance]],1,"Bad",2,"Good",3,"Better",4,"Best","Unknown")</f>
        <v>Better</v>
      </c>
      <c r="AP819">
        <f>IF(CleanEmployeeData[[#This Row],[Attrition]]="Yes",1,IF(CleanEmployeeData[[#This Row],[Attrition]]="No",0,""))</f>
        <v>0</v>
      </c>
      <c r="AQ819" t="str" cm="1">
        <f t="array" ref="AQ819">_xlfn.IFS(CleanEmployeeData[[#This Row],[MonthlyIncome]]&lt;=3000,"0–3,000",CleanEmployeeData[[#This Row],[MonthlyIncome]]&lt;=6000,"3,001–6,000",CleanEmployeeData[[#This Row],[MonthlyIncome]]&lt;=10000,"6,001–10,000",TRUE,"10,001+")</f>
        <v>6,001–10,000</v>
      </c>
      <c r="AR819" t="str" cm="1">
        <f t="array" ref="AR819">_xlfn.IFS(CleanEmployeeData[[#This Row],[DistanceFromHome]]&lt;=5,"0–5 miles",CleanEmployeeData[[#This Row],[DistanceFromHome]]&lt;=10,"6–10 miles",CleanEmployeeData[[#This Row],[DistanceFromHome]]&lt;=15,"11–15 miles",TRUE,"16+ miles")</f>
        <v>16+ miles</v>
      </c>
      <c r="AS819" t="str" cm="1">
        <f t="array" ref="AS819">_xlfn.IFS(CleanEmployeeData[[#This Row],[YearsAtCompany]]&lt;=1,"0–1 years",CleanEmployeeData[[#This Row],[YearsAtCompany]]&lt;=5,"2–5 years",CleanEmployeeData[[#This Row],[YearsAtCompany]]&lt;=10,"6–10 years",TRUE,"11+ years")</f>
        <v>11+ years</v>
      </c>
    </row>
    <row r="820" spans="1:4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cm="1">
        <f t="array" ref="AJ820">_xlfn.SWITCH(CleanEmployeeData[[#This Row],[Education]],1,"Below College",2,"College",3,"Bachelor",4,"Master",5,"Doctor","Unknown")</f>
        <v>Bachelor</v>
      </c>
      <c r="AK820" t="str" cm="1">
        <f t="array" ref="AK820">_xlfn.SWITCH(CleanEmployeeData[[#This Row],[EnvironmentSatisfaction]],1,"Low",2,"Medium",3,"High",4,"Very High","Unknown")</f>
        <v>High</v>
      </c>
      <c r="AL820" t="str" cm="1">
        <f t="array" ref="AL820">_xlfn.SWITCH(CleanEmployeeData[[#This Row],[JobInvolvement]],1,"Low",2,"Medium",3,"High",4,"Very High","Unknown")</f>
        <v>Very High</v>
      </c>
      <c r="AM820" t="str" cm="1">
        <f t="array" ref="AM820">_xlfn.SWITCH(CleanEmployeeData[[#This Row],[JobSatisfaction]],1,"Low",2,"Medium",3,"High",4,"Very High","Unknown")</f>
        <v>Very High</v>
      </c>
      <c r="AN820" t="str" cm="1">
        <f t="array" ref="AN820">_xlfn.SWITCH(CleanEmployeeData[[#This Row],[PerformanceRating]],1,"Low",2,"Good",3,"Excellent",4,"Outstanding","Unknown")</f>
        <v>Excellent</v>
      </c>
      <c r="AO820" t="str" cm="1">
        <f t="array" ref="AO820">_xlfn.SWITCH(CleanEmployeeData[[#This Row],[WorkLifeBalance]],1,"Bad",2,"Good",3,"Better",4,"Best","Unknown")</f>
        <v>Better</v>
      </c>
      <c r="AP820">
        <f>IF(CleanEmployeeData[[#This Row],[Attrition]]="Yes",1,IF(CleanEmployeeData[[#This Row],[Attrition]]="No",0,""))</f>
        <v>0</v>
      </c>
      <c r="AQ820" t="str" cm="1">
        <f t="array" ref="AQ820">_xlfn.IFS(CleanEmployeeData[[#This Row],[MonthlyIncome]]&lt;=3000,"0–3,000",CleanEmployeeData[[#This Row],[MonthlyIncome]]&lt;=6000,"3,001–6,000",CleanEmployeeData[[#This Row],[MonthlyIncome]]&lt;=10000,"6,001–10,000",TRUE,"10,001+")</f>
        <v>0–3,000</v>
      </c>
      <c r="AR820" t="str" cm="1">
        <f t="array" ref="AR820">_xlfn.IFS(CleanEmployeeData[[#This Row],[DistanceFromHome]]&lt;=5,"0–5 miles",CleanEmployeeData[[#This Row],[DistanceFromHome]]&lt;=10,"6–10 miles",CleanEmployeeData[[#This Row],[DistanceFromHome]]&lt;=15,"11–15 miles",TRUE,"16+ miles")</f>
        <v>16+ miles</v>
      </c>
      <c r="AS820" t="str" cm="1">
        <f t="array" ref="AS820">_xlfn.IFS(CleanEmployeeData[[#This Row],[YearsAtCompany]]&lt;=1,"0–1 years",CleanEmployeeData[[#This Row],[YearsAtCompany]]&lt;=5,"2–5 years",CleanEmployeeData[[#This Row],[YearsAtCompany]]&lt;=10,"6–10 years",TRUE,"11+ years")</f>
        <v>2–5 years</v>
      </c>
    </row>
    <row r="821" spans="1:4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cm="1">
        <f t="array" ref="AJ821">_xlfn.SWITCH(CleanEmployeeData[[#This Row],[Education]],1,"Below College",2,"College",3,"Bachelor",4,"Master",5,"Doctor","Unknown")</f>
        <v>Below College</v>
      </c>
      <c r="AK821" t="str" cm="1">
        <f t="array" ref="AK821">_xlfn.SWITCH(CleanEmployeeData[[#This Row],[EnvironmentSatisfaction]],1,"Low",2,"Medium",3,"High",4,"Very High","Unknown")</f>
        <v>Low</v>
      </c>
      <c r="AL821" t="str" cm="1">
        <f t="array" ref="AL821">_xlfn.SWITCH(CleanEmployeeData[[#This Row],[JobInvolvement]],1,"Low",2,"Medium",3,"High",4,"Very High","Unknown")</f>
        <v>Medium</v>
      </c>
      <c r="AM821" t="str" cm="1">
        <f t="array" ref="AM821">_xlfn.SWITCH(CleanEmployeeData[[#This Row],[JobSatisfaction]],1,"Low",2,"Medium",3,"High",4,"Very High","Unknown")</f>
        <v>Medium</v>
      </c>
      <c r="AN821" t="str" cm="1">
        <f t="array" ref="AN821">_xlfn.SWITCH(CleanEmployeeData[[#This Row],[PerformanceRating]],1,"Low",2,"Good",3,"Excellent",4,"Outstanding","Unknown")</f>
        <v>Excellent</v>
      </c>
      <c r="AO821" t="str" cm="1">
        <f t="array" ref="AO821">_xlfn.SWITCH(CleanEmployeeData[[#This Row],[WorkLifeBalance]],1,"Bad",2,"Good",3,"Better",4,"Best","Unknown")</f>
        <v>Bad</v>
      </c>
      <c r="AP821">
        <f>IF(CleanEmployeeData[[#This Row],[Attrition]]="Yes",1,IF(CleanEmployeeData[[#This Row],[Attrition]]="No",0,""))</f>
        <v>0</v>
      </c>
      <c r="AQ821" t="str" cm="1">
        <f t="array" ref="AQ821">_xlfn.IFS(CleanEmployeeData[[#This Row],[MonthlyIncome]]&lt;=3000,"0–3,000",CleanEmployeeData[[#This Row],[MonthlyIncome]]&lt;=6000,"3,001–6,000",CleanEmployeeData[[#This Row],[MonthlyIncome]]&lt;=10000,"6,001–10,000",TRUE,"10,001+")</f>
        <v>3,001–6,000</v>
      </c>
      <c r="AR821" t="str" cm="1">
        <f t="array" ref="AR821">_xlfn.IFS(CleanEmployeeData[[#This Row],[DistanceFromHome]]&lt;=5,"0–5 miles",CleanEmployeeData[[#This Row],[DistanceFromHome]]&lt;=10,"6–10 miles",CleanEmployeeData[[#This Row],[DistanceFromHome]]&lt;=15,"11–15 miles",TRUE,"16+ miles")</f>
        <v>0–5 miles</v>
      </c>
      <c r="AS821" t="str" cm="1">
        <f t="array" ref="AS821">_xlfn.IFS(CleanEmployeeData[[#This Row],[YearsAtCompany]]&lt;=1,"0–1 years",CleanEmployeeData[[#This Row],[YearsAtCompany]]&lt;=5,"2–5 years",CleanEmployeeData[[#This Row],[YearsAtCompany]]&lt;=10,"6–10 years",TRUE,"11+ years")</f>
        <v>2–5 years</v>
      </c>
    </row>
    <row r="822" spans="1:4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cm="1">
        <f t="array" ref="AJ822">_xlfn.SWITCH(CleanEmployeeData[[#This Row],[Education]],1,"Below College",2,"College",3,"Bachelor",4,"Master",5,"Doctor","Unknown")</f>
        <v>College</v>
      </c>
      <c r="AK822" t="str" cm="1">
        <f t="array" ref="AK822">_xlfn.SWITCH(CleanEmployeeData[[#This Row],[EnvironmentSatisfaction]],1,"Low",2,"Medium",3,"High",4,"Very High","Unknown")</f>
        <v>Very High</v>
      </c>
      <c r="AL822" t="str" cm="1">
        <f t="array" ref="AL822">_xlfn.SWITCH(CleanEmployeeData[[#This Row],[JobInvolvement]],1,"Low",2,"Medium",3,"High",4,"Very High","Unknown")</f>
        <v>High</v>
      </c>
      <c r="AM822" t="str" cm="1">
        <f t="array" ref="AM822">_xlfn.SWITCH(CleanEmployeeData[[#This Row],[JobSatisfaction]],1,"Low",2,"Medium",3,"High",4,"Very High","Unknown")</f>
        <v>Very High</v>
      </c>
      <c r="AN822" t="str" cm="1">
        <f t="array" ref="AN822">_xlfn.SWITCH(CleanEmployeeData[[#This Row],[PerformanceRating]],1,"Low",2,"Good",3,"Excellent",4,"Outstanding","Unknown")</f>
        <v>Excellent</v>
      </c>
      <c r="AO822" t="str" cm="1">
        <f t="array" ref="AO822">_xlfn.SWITCH(CleanEmployeeData[[#This Row],[WorkLifeBalance]],1,"Bad",2,"Good",3,"Better",4,"Best","Unknown")</f>
        <v>Better</v>
      </c>
      <c r="AP822">
        <f>IF(CleanEmployeeData[[#This Row],[Attrition]]="Yes",1,IF(CleanEmployeeData[[#This Row],[Attrition]]="No",0,""))</f>
        <v>0</v>
      </c>
      <c r="AQ822" t="str" cm="1">
        <f t="array" ref="AQ822">_xlfn.IFS(CleanEmployeeData[[#This Row],[MonthlyIncome]]&lt;=3000,"0–3,000",CleanEmployeeData[[#This Row],[MonthlyIncome]]&lt;=6000,"3,001–6,000",CleanEmployeeData[[#This Row],[MonthlyIncome]]&lt;=10000,"6,001–10,000",TRUE,"10,001+")</f>
        <v>3,001–6,000</v>
      </c>
      <c r="AR822" t="str" cm="1">
        <f t="array" ref="AR822">_xlfn.IFS(CleanEmployeeData[[#This Row],[DistanceFromHome]]&lt;=5,"0–5 miles",CleanEmployeeData[[#This Row],[DistanceFromHome]]&lt;=10,"6–10 miles",CleanEmployeeData[[#This Row],[DistanceFromHome]]&lt;=15,"11–15 miles",TRUE,"16+ miles")</f>
        <v>11–15 miles</v>
      </c>
      <c r="AS822" t="str" cm="1">
        <f t="array" ref="AS822">_xlfn.IFS(CleanEmployeeData[[#This Row],[YearsAtCompany]]&lt;=1,"0–1 years",CleanEmployeeData[[#This Row],[YearsAtCompany]]&lt;=5,"2–5 years",CleanEmployeeData[[#This Row],[YearsAtCompany]]&lt;=10,"6–10 years",TRUE,"11+ years")</f>
        <v>2–5 years</v>
      </c>
    </row>
    <row r="823" spans="1:4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cm="1">
        <f t="array" ref="AJ823">_xlfn.SWITCH(CleanEmployeeData[[#This Row],[Education]],1,"Below College",2,"College",3,"Bachelor",4,"Master",5,"Doctor","Unknown")</f>
        <v>Master</v>
      </c>
      <c r="AK823" t="str" cm="1">
        <f t="array" ref="AK823">_xlfn.SWITCH(CleanEmployeeData[[#This Row],[EnvironmentSatisfaction]],1,"Low",2,"Medium",3,"High",4,"Very High","Unknown")</f>
        <v>Very High</v>
      </c>
      <c r="AL823" t="str" cm="1">
        <f t="array" ref="AL823">_xlfn.SWITCH(CleanEmployeeData[[#This Row],[JobInvolvement]],1,"Low",2,"Medium",3,"High",4,"Very High","Unknown")</f>
        <v>Medium</v>
      </c>
      <c r="AM823" t="str" cm="1">
        <f t="array" ref="AM823">_xlfn.SWITCH(CleanEmployeeData[[#This Row],[JobSatisfaction]],1,"Low",2,"Medium",3,"High",4,"Very High","Unknown")</f>
        <v>Medium</v>
      </c>
      <c r="AN823" t="str" cm="1">
        <f t="array" ref="AN823">_xlfn.SWITCH(CleanEmployeeData[[#This Row],[PerformanceRating]],1,"Low",2,"Good",3,"Excellent",4,"Outstanding","Unknown")</f>
        <v>Excellent</v>
      </c>
      <c r="AO823" t="str" cm="1">
        <f t="array" ref="AO823">_xlfn.SWITCH(CleanEmployeeData[[#This Row],[WorkLifeBalance]],1,"Bad",2,"Good",3,"Better",4,"Best","Unknown")</f>
        <v>Better</v>
      </c>
      <c r="AP823">
        <f>IF(CleanEmployeeData[[#This Row],[Attrition]]="Yes",1,IF(CleanEmployeeData[[#This Row],[Attrition]]="No",0,""))</f>
        <v>0</v>
      </c>
      <c r="AQ823" t="str" cm="1">
        <f t="array" ref="AQ823">_xlfn.IFS(CleanEmployeeData[[#This Row],[MonthlyIncome]]&lt;=3000,"0–3,000",CleanEmployeeData[[#This Row],[MonthlyIncome]]&lt;=6000,"3,001–6,000",CleanEmployeeData[[#This Row],[MonthlyIncome]]&lt;=10000,"6,001–10,000",TRUE,"10,001+")</f>
        <v>10,001+</v>
      </c>
      <c r="AR823" t="str" cm="1">
        <f t="array" ref="AR823">_xlfn.IFS(CleanEmployeeData[[#This Row],[DistanceFromHome]]&lt;=5,"0–5 miles",CleanEmployeeData[[#This Row],[DistanceFromHome]]&lt;=10,"6–10 miles",CleanEmployeeData[[#This Row],[DistanceFromHome]]&lt;=15,"11–15 miles",TRUE,"16+ miles")</f>
        <v>6–10 miles</v>
      </c>
      <c r="AS823" t="str" cm="1">
        <f t="array" ref="AS823">_xlfn.IFS(CleanEmployeeData[[#This Row],[YearsAtCompany]]&lt;=1,"0–1 years",CleanEmployeeData[[#This Row],[YearsAtCompany]]&lt;=5,"2–5 years",CleanEmployeeData[[#This Row],[YearsAtCompany]]&lt;=10,"6–10 years",TRUE,"11+ years")</f>
        <v>6–10 years</v>
      </c>
    </row>
    <row r="824" spans="1:4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cm="1">
        <f t="array" ref="AJ824">_xlfn.SWITCH(CleanEmployeeData[[#This Row],[Education]],1,"Below College",2,"College",3,"Bachelor",4,"Master",5,"Doctor","Unknown")</f>
        <v>College</v>
      </c>
      <c r="AK824" t="str" cm="1">
        <f t="array" ref="AK824">_xlfn.SWITCH(CleanEmployeeData[[#This Row],[EnvironmentSatisfaction]],1,"Low",2,"Medium",3,"High",4,"Very High","Unknown")</f>
        <v>Very High</v>
      </c>
      <c r="AL824" t="str" cm="1">
        <f t="array" ref="AL824">_xlfn.SWITCH(CleanEmployeeData[[#This Row],[JobInvolvement]],1,"Low",2,"Medium",3,"High",4,"Very High","Unknown")</f>
        <v>High</v>
      </c>
      <c r="AM824" t="str" cm="1">
        <f t="array" ref="AM824">_xlfn.SWITCH(CleanEmployeeData[[#This Row],[JobSatisfaction]],1,"Low",2,"Medium",3,"High",4,"Very High","Unknown")</f>
        <v>High</v>
      </c>
      <c r="AN824" t="str" cm="1">
        <f t="array" ref="AN824">_xlfn.SWITCH(CleanEmployeeData[[#This Row],[PerformanceRating]],1,"Low",2,"Good",3,"Excellent",4,"Outstanding","Unknown")</f>
        <v>Excellent</v>
      </c>
      <c r="AO824" t="str" cm="1">
        <f t="array" ref="AO824">_xlfn.SWITCH(CleanEmployeeData[[#This Row],[WorkLifeBalance]],1,"Bad",2,"Good",3,"Better",4,"Best","Unknown")</f>
        <v>Good</v>
      </c>
      <c r="AP824">
        <f>IF(CleanEmployeeData[[#This Row],[Attrition]]="Yes",1,IF(CleanEmployeeData[[#This Row],[Attrition]]="No",0,""))</f>
        <v>0</v>
      </c>
      <c r="AQ824" t="str" cm="1">
        <f t="array" ref="AQ824">_xlfn.IFS(CleanEmployeeData[[#This Row],[MonthlyIncome]]&lt;=3000,"0–3,000",CleanEmployeeData[[#This Row],[MonthlyIncome]]&lt;=6000,"3,001–6,000",CleanEmployeeData[[#This Row],[MonthlyIncome]]&lt;=10000,"6,001–10,000",TRUE,"10,001+")</f>
        <v>3,001–6,000</v>
      </c>
      <c r="AR824" t="str" cm="1">
        <f t="array" ref="AR824">_xlfn.IFS(CleanEmployeeData[[#This Row],[DistanceFromHome]]&lt;=5,"0–5 miles",CleanEmployeeData[[#This Row],[DistanceFromHome]]&lt;=10,"6–10 miles",CleanEmployeeData[[#This Row],[DistanceFromHome]]&lt;=15,"11–15 miles",TRUE,"16+ miles")</f>
        <v>0–5 miles</v>
      </c>
      <c r="AS824" t="str" cm="1">
        <f t="array" ref="AS824">_xlfn.IFS(CleanEmployeeData[[#This Row],[YearsAtCompany]]&lt;=1,"0–1 years",CleanEmployeeData[[#This Row],[YearsAtCompany]]&lt;=5,"2–5 years",CleanEmployeeData[[#This Row],[YearsAtCompany]]&lt;=10,"6–10 years",TRUE,"11+ years")</f>
        <v>2–5 years</v>
      </c>
    </row>
    <row r="825" spans="1:4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cm="1">
        <f t="array" ref="AJ825">_xlfn.SWITCH(CleanEmployeeData[[#This Row],[Education]],1,"Below College",2,"College",3,"Bachelor",4,"Master",5,"Doctor","Unknown")</f>
        <v>Bachelor</v>
      </c>
      <c r="AK825" t="str" cm="1">
        <f t="array" ref="AK825">_xlfn.SWITCH(CleanEmployeeData[[#This Row],[EnvironmentSatisfaction]],1,"Low",2,"Medium",3,"High",4,"Very High","Unknown")</f>
        <v>Very High</v>
      </c>
      <c r="AL825" t="str" cm="1">
        <f t="array" ref="AL825">_xlfn.SWITCH(CleanEmployeeData[[#This Row],[JobInvolvement]],1,"Low",2,"Medium",3,"High",4,"Very High","Unknown")</f>
        <v>High</v>
      </c>
      <c r="AM825" t="str" cm="1">
        <f t="array" ref="AM825">_xlfn.SWITCH(CleanEmployeeData[[#This Row],[JobSatisfaction]],1,"Low",2,"Medium",3,"High",4,"Very High","Unknown")</f>
        <v>Medium</v>
      </c>
      <c r="AN825" t="str" cm="1">
        <f t="array" ref="AN825">_xlfn.SWITCH(CleanEmployeeData[[#This Row],[PerformanceRating]],1,"Low",2,"Good",3,"Excellent",4,"Outstanding","Unknown")</f>
        <v>Excellent</v>
      </c>
      <c r="AO825" t="str" cm="1">
        <f t="array" ref="AO825">_xlfn.SWITCH(CleanEmployeeData[[#This Row],[WorkLifeBalance]],1,"Bad",2,"Good",3,"Better",4,"Best","Unknown")</f>
        <v>Good</v>
      </c>
      <c r="AP825">
        <f>IF(CleanEmployeeData[[#This Row],[Attrition]]="Yes",1,IF(CleanEmployeeData[[#This Row],[Attrition]]="No",0,""))</f>
        <v>0</v>
      </c>
      <c r="AQ825" t="str" cm="1">
        <f t="array" ref="AQ825">_xlfn.IFS(CleanEmployeeData[[#This Row],[MonthlyIncome]]&lt;=3000,"0–3,000",CleanEmployeeData[[#This Row],[MonthlyIncome]]&lt;=6000,"3,001–6,000",CleanEmployeeData[[#This Row],[MonthlyIncome]]&lt;=10000,"6,001–10,000",TRUE,"10,001+")</f>
        <v>3,001–6,000</v>
      </c>
      <c r="AR825" t="str" cm="1">
        <f t="array" ref="AR825">_xlfn.IFS(CleanEmployeeData[[#This Row],[DistanceFromHome]]&lt;=5,"0–5 miles",CleanEmployeeData[[#This Row],[DistanceFromHome]]&lt;=10,"6–10 miles",CleanEmployeeData[[#This Row],[DistanceFromHome]]&lt;=15,"11–15 miles",TRUE,"16+ miles")</f>
        <v>6–10 miles</v>
      </c>
      <c r="AS825" t="str" cm="1">
        <f t="array" ref="AS825">_xlfn.IFS(CleanEmployeeData[[#This Row],[YearsAtCompany]]&lt;=1,"0–1 years",CleanEmployeeData[[#This Row],[YearsAtCompany]]&lt;=5,"2–5 years",CleanEmployeeData[[#This Row],[YearsAtCompany]]&lt;=10,"6–10 years",TRUE,"11+ years")</f>
        <v>6–10 years</v>
      </c>
    </row>
    <row r="826" spans="1:4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cm="1">
        <f t="array" ref="AJ826">_xlfn.SWITCH(CleanEmployeeData[[#This Row],[Education]],1,"Below College",2,"College",3,"Bachelor",4,"Master",5,"Doctor","Unknown")</f>
        <v>Bachelor</v>
      </c>
      <c r="AK826" t="str" cm="1">
        <f t="array" ref="AK826">_xlfn.SWITCH(CleanEmployeeData[[#This Row],[EnvironmentSatisfaction]],1,"Low",2,"Medium",3,"High",4,"Very High","Unknown")</f>
        <v>Medium</v>
      </c>
      <c r="AL826" t="str" cm="1">
        <f t="array" ref="AL826">_xlfn.SWITCH(CleanEmployeeData[[#This Row],[JobInvolvement]],1,"Low",2,"Medium",3,"High",4,"Very High","Unknown")</f>
        <v>Low</v>
      </c>
      <c r="AM826" t="str" cm="1">
        <f t="array" ref="AM826">_xlfn.SWITCH(CleanEmployeeData[[#This Row],[JobSatisfaction]],1,"Low",2,"Medium",3,"High",4,"Very High","Unknown")</f>
        <v>Very High</v>
      </c>
      <c r="AN826" t="str" cm="1">
        <f t="array" ref="AN826">_xlfn.SWITCH(CleanEmployeeData[[#This Row],[PerformanceRating]],1,"Low",2,"Good",3,"Excellent",4,"Outstanding","Unknown")</f>
        <v>Excellent</v>
      </c>
      <c r="AO826" t="str" cm="1">
        <f t="array" ref="AO826">_xlfn.SWITCH(CleanEmployeeData[[#This Row],[WorkLifeBalance]],1,"Bad",2,"Good",3,"Better",4,"Best","Unknown")</f>
        <v>Better</v>
      </c>
      <c r="AP826">
        <f>IF(CleanEmployeeData[[#This Row],[Attrition]]="Yes",1,IF(CleanEmployeeData[[#This Row],[Attrition]]="No",0,""))</f>
        <v>0</v>
      </c>
      <c r="AQ826" t="str" cm="1">
        <f t="array" ref="AQ826">_xlfn.IFS(CleanEmployeeData[[#This Row],[MonthlyIncome]]&lt;=3000,"0–3,000",CleanEmployeeData[[#This Row],[MonthlyIncome]]&lt;=6000,"3,001–6,000",CleanEmployeeData[[#This Row],[MonthlyIncome]]&lt;=10000,"6,001–10,000",TRUE,"10,001+")</f>
        <v>3,001–6,000</v>
      </c>
      <c r="AR826" t="str" cm="1">
        <f t="array" ref="AR826">_xlfn.IFS(CleanEmployeeData[[#This Row],[DistanceFromHome]]&lt;=5,"0–5 miles",CleanEmployeeData[[#This Row],[DistanceFromHome]]&lt;=10,"6–10 miles",CleanEmployeeData[[#This Row],[DistanceFromHome]]&lt;=15,"11–15 miles",TRUE,"16+ miles")</f>
        <v>16+ miles</v>
      </c>
      <c r="AS826" t="str" cm="1">
        <f t="array" ref="AS826">_xlfn.IFS(CleanEmployeeData[[#This Row],[YearsAtCompany]]&lt;=1,"0–1 years",CleanEmployeeData[[#This Row],[YearsAtCompany]]&lt;=5,"2–5 years",CleanEmployeeData[[#This Row],[YearsAtCompany]]&lt;=10,"6–10 years",TRUE,"11+ years")</f>
        <v>0–1 years</v>
      </c>
    </row>
    <row r="827" spans="1:4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cm="1">
        <f t="array" ref="AJ827">_xlfn.SWITCH(CleanEmployeeData[[#This Row],[Education]],1,"Below College",2,"College",3,"Bachelor",4,"Master",5,"Doctor","Unknown")</f>
        <v>Below College</v>
      </c>
      <c r="AK827" t="str" cm="1">
        <f t="array" ref="AK827">_xlfn.SWITCH(CleanEmployeeData[[#This Row],[EnvironmentSatisfaction]],1,"Low",2,"Medium",3,"High",4,"Very High","Unknown")</f>
        <v>Medium</v>
      </c>
      <c r="AL827" t="str" cm="1">
        <f t="array" ref="AL827">_xlfn.SWITCH(CleanEmployeeData[[#This Row],[JobInvolvement]],1,"Low",2,"Medium",3,"High",4,"Very High","Unknown")</f>
        <v>Medium</v>
      </c>
      <c r="AM827" t="str" cm="1">
        <f t="array" ref="AM827">_xlfn.SWITCH(CleanEmployeeData[[#This Row],[JobSatisfaction]],1,"Low",2,"Medium",3,"High",4,"Very High","Unknown")</f>
        <v>Very High</v>
      </c>
      <c r="AN827" t="str" cm="1">
        <f t="array" ref="AN827">_xlfn.SWITCH(CleanEmployeeData[[#This Row],[PerformanceRating]],1,"Low",2,"Good",3,"Excellent",4,"Outstanding","Unknown")</f>
        <v>Excellent</v>
      </c>
      <c r="AO827" t="str" cm="1">
        <f t="array" ref="AO827">_xlfn.SWITCH(CleanEmployeeData[[#This Row],[WorkLifeBalance]],1,"Bad",2,"Good",3,"Better",4,"Best","Unknown")</f>
        <v>Good</v>
      </c>
      <c r="AP827">
        <f>IF(CleanEmployeeData[[#This Row],[Attrition]]="Yes",1,IF(CleanEmployeeData[[#This Row],[Attrition]]="No",0,""))</f>
        <v>0</v>
      </c>
      <c r="AQ827" t="str" cm="1">
        <f t="array" ref="AQ827">_xlfn.IFS(CleanEmployeeData[[#This Row],[MonthlyIncome]]&lt;=3000,"0–3,000",CleanEmployeeData[[#This Row],[MonthlyIncome]]&lt;=6000,"3,001–6,000",CleanEmployeeData[[#This Row],[MonthlyIncome]]&lt;=10000,"6,001–10,000",TRUE,"10,001+")</f>
        <v>3,001–6,000</v>
      </c>
      <c r="AR827" t="str" cm="1">
        <f t="array" ref="AR827">_xlfn.IFS(CleanEmployeeData[[#This Row],[DistanceFromHome]]&lt;=5,"0–5 miles",CleanEmployeeData[[#This Row],[DistanceFromHome]]&lt;=10,"6–10 miles",CleanEmployeeData[[#This Row],[DistanceFromHome]]&lt;=15,"11–15 miles",TRUE,"16+ miles")</f>
        <v>6–10 miles</v>
      </c>
      <c r="AS827" t="str" cm="1">
        <f t="array" ref="AS827">_xlfn.IFS(CleanEmployeeData[[#This Row],[YearsAtCompany]]&lt;=1,"0–1 years",CleanEmployeeData[[#This Row],[YearsAtCompany]]&lt;=5,"2–5 years",CleanEmployeeData[[#This Row],[YearsAtCompany]]&lt;=10,"6–10 years",TRUE,"11+ years")</f>
        <v>6–10 years</v>
      </c>
    </row>
    <row r="828" spans="1:4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cm="1">
        <f t="array" ref="AJ828">_xlfn.SWITCH(CleanEmployeeData[[#This Row],[Education]],1,"Below College",2,"College",3,"Bachelor",4,"Master",5,"Doctor","Unknown")</f>
        <v>Bachelor</v>
      </c>
      <c r="AK828" t="str" cm="1">
        <f t="array" ref="AK828">_xlfn.SWITCH(CleanEmployeeData[[#This Row],[EnvironmentSatisfaction]],1,"Low",2,"Medium",3,"High",4,"Very High","Unknown")</f>
        <v>High</v>
      </c>
      <c r="AL828" t="str" cm="1">
        <f t="array" ref="AL828">_xlfn.SWITCH(CleanEmployeeData[[#This Row],[JobInvolvement]],1,"Low",2,"Medium",3,"High",4,"Very High","Unknown")</f>
        <v>Very High</v>
      </c>
      <c r="AM828" t="str" cm="1">
        <f t="array" ref="AM828">_xlfn.SWITCH(CleanEmployeeData[[#This Row],[JobSatisfaction]],1,"Low",2,"Medium",3,"High",4,"Very High","Unknown")</f>
        <v>High</v>
      </c>
      <c r="AN828" t="str" cm="1">
        <f t="array" ref="AN828">_xlfn.SWITCH(CleanEmployeeData[[#This Row],[PerformanceRating]],1,"Low",2,"Good",3,"Excellent",4,"Outstanding","Unknown")</f>
        <v>Excellent</v>
      </c>
      <c r="AO828" t="str" cm="1">
        <f t="array" ref="AO828">_xlfn.SWITCH(CleanEmployeeData[[#This Row],[WorkLifeBalance]],1,"Bad",2,"Good",3,"Better",4,"Best","Unknown")</f>
        <v>Best</v>
      </c>
      <c r="AP828">
        <f>IF(CleanEmployeeData[[#This Row],[Attrition]]="Yes",1,IF(CleanEmployeeData[[#This Row],[Attrition]]="No",0,""))</f>
        <v>0</v>
      </c>
      <c r="AQ828" t="str" cm="1">
        <f t="array" ref="AQ828">_xlfn.IFS(CleanEmployeeData[[#This Row],[MonthlyIncome]]&lt;=3000,"0–3,000",CleanEmployeeData[[#This Row],[MonthlyIncome]]&lt;=6000,"3,001–6,000",CleanEmployeeData[[#This Row],[MonthlyIncome]]&lt;=10000,"6,001–10,000",TRUE,"10,001+")</f>
        <v>0–3,000</v>
      </c>
      <c r="AR828" t="str" cm="1">
        <f t="array" ref="AR828">_xlfn.IFS(CleanEmployeeData[[#This Row],[DistanceFromHome]]&lt;=5,"0–5 miles",CleanEmployeeData[[#This Row],[DistanceFromHome]]&lt;=10,"6–10 miles",CleanEmployeeData[[#This Row],[DistanceFromHome]]&lt;=15,"11–15 miles",TRUE,"16+ miles")</f>
        <v>0–5 miles</v>
      </c>
      <c r="AS828" t="str" cm="1">
        <f t="array" ref="AS828">_xlfn.IFS(CleanEmployeeData[[#This Row],[YearsAtCompany]]&lt;=1,"0–1 years",CleanEmployeeData[[#This Row],[YearsAtCompany]]&lt;=5,"2–5 years",CleanEmployeeData[[#This Row],[YearsAtCompany]]&lt;=10,"6–10 years",TRUE,"11+ years")</f>
        <v>6–10 years</v>
      </c>
    </row>
    <row r="829" spans="1:4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cm="1">
        <f t="array" ref="AJ829">_xlfn.SWITCH(CleanEmployeeData[[#This Row],[Education]],1,"Below College",2,"College",3,"Bachelor",4,"Master",5,"Doctor","Unknown")</f>
        <v>Bachelor</v>
      </c>
      <c r="AK829" t="str" cm="1">
        <f t="array" ref="AK829">_xlfn.SWITCH(CleanEmployeeData[[#This Row],[EnvironmentSatisfaction]],1,"Low",2,"Medium",3,"High",4,"Very High","Unknown")</f>
        <v>High</v>
      </c>
      <c r="AL829" t="str" cm="1">
        <f t="array" ref="AL829">_xlfn.SWITCH(CleanEmployeeData[[#This Row],[JobInvolvement]],1,"Low",2,"Medium",3,"High",4,"Very High","Unknown")</f>
        <v>Medium</v>
      </c>
      <c r="AM829" t="str" cm="1">
        <f t="array" ref="AM829">_xlfn.SWITCH(CleanEmployeeData[[#This Row],[JobSatisfaction]],1,"Low",2,"Medium",3,"High",4,"Very High","Unknown")</f>
        <v>High</v>
      </c>
      <c r="AN829" t="str" cm="1">
        <f t="array" ref="AN829">_xlfn.SWITCH(CleanEmployeeData[[#This Row],[PerformanceRating]],1,"Low",2,"Good",3,"Excellent",4,"Outstanding","Unknown")</f>
        <v>Excellent</v>
      </c>
      <c r="AO829" t="str" cm="1">
        <f t="array" ref="AO829">_xlfn.SWITCH(CleanEmployeeData[[#This Row],[WorkLifeBalance]],1,"Bad",2,"Good",3,"Better",4,"Best","Unknown")</f>
        <v>Better</v>
      </c>
      <c r="AP829">
        <f>IF(CleanEmployeeData[[#This Row],[Attrition]]="Yes",1,IF(CleanEmployeeData[[#This Row],[Attrition]]="No",0,""))</f>
        <v>0</v>
      </c>
      <c r="AQ829" t="str" cm="1">
        <f t="array" ref="AQ829">_xlfn.IFS(CleanEmployeeData[[#This Row],[MonthlyIncome]]&lt;=3000,"0–3,000",CleanEmployeeData[[#This Row],[MonthlyIncome]]&lt;=6000,"3,001–6,000",CleanEmployeeData[[#This Row],[MonthlyIncome]]&lt;=10000,"6,001–10,000",TRUE,"10,001+")</f>
        <v>0–3,000</v>
      </c>
      <c r="AR829" t="str" cm="1">
        <f t="array" ref="AR829">_xlfn.IFS(CleanEmployeeData[[#This Row],[DistanceFromHome]]&lt;=5,"0–5 miles",CleanEmployeeData[[#This Row],[DistanceFromHome]]&lt;=10,"6–10 miles",CleanEmployeeData[[#This Row],[DistanceFromHome]]&lt;=15,"11–15 miles",TRUE,"16+ miles")</f>
        <v>6–10 miles</v>
      </c>
      <c r="AS829" t="str" cm="1">
        <f t="array" ref="AS829">_xlfn.IFS(CleanEmployeeData[[#This Row],[YearsAtCompany]]&lt;=1,"0–1 years",CleanEmployeeData[[#This Row],[YearsAtCompany]]&lt;=5,"2–5 years",CleanEmployeeData[[#This Row],[YearsAtCompany]]&lt;=10,"6–10 years",TRUE,"11+ years")</f>
        <v>2–5 years</v>
      </c>
    </row>
    <row r="830" spans="1:4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cm="1">
        <f t="array" ref="AJ830">_xlfn.SWITCH(CleanEmployeeData[[#This Row],[Education]],1,"Below College",2,"College",3,"Bachelor",4,"Master",5,"Doctor","Unknown")</f>
        <v>Below College</v>
      </c>
      <c r="AK830" t="str" cm="1">
        <f t="array" ref="AK830">_xlfn.SWITCH(CleanEmployeeData[[#This Row],[EnvironmentSatisfaction]],1,"Low",2,"Medium",3,"High",4,"Very High","Unknown")</f>
        <v>High</v>
      </c>
      <c r="AL830" t="str" cm="1">
        <f t="array" ref="AL830">_xlfn.SWITCH(CleanEmployeeData[[#This Row],[JobInvolvement]],1,"Low",2,"Medium",3,"High",4,"Very High","Unknown")</f>
        <v>High</v>
      </c>
      <c r="AM830" t="str" cm="1">
        <f t="array" ref="AM830">_xlfn.SWITCH(CleanEmployeeData[[#This Row],[JobSatisfaction]],1,"Low",2,"Medium",3,"High",4,"Very High","Unknown")</f>
        <v>High</v>
      </c>
      <c r="AN830" t="str" cm="1">
        <f t="array" ref="AN830">_xlfn.SWITCH(CleanEmployeeData[[#This Row],[PerformanceRating]],1,"Low",2,"Good",3,"Excellent",4,"Outstanding","Unknown")</f>
        <v>Excellent</v>
      </c>
      <c r="AO830" t="str" cm="1">
        <f t="array" ref="AO830">_xlfn.SWITCH(CleanEmployeeData[[#This Row],[WorkLifeBalance]],1,"Bad",2,"Good",3,"Better",4,"Best","Unknown")</f>
        <v>Better</v>
      </c>
      <c r="AP830">
        <f>IF(CleanEmployeeData[[#This Row],[Attrition]]="Yes",1,IF(CleanEmployeeData[[#This Row],[Attrition]]="No",0,""))</f>
        <v>1</v>
      </c>
      <c r="AQ830" t="str" cm="1">
        <f t="array" ref="AQ830">_xlfn.IFS(CleanEmployeeData[[#This Row],[MonthlyIncome]]&lt;=3000,"0–3,000",CleanEmployeeData[[#This Row],[MonthlyIncome]]&lt;=6000,"3,001–6,000",CleanEmployeeData[[#This Row],[MonthlyIncome]]&lt;=10000,"6,001–10,000",TRUE,"10,001+")</f>
        <v>0–3,000</v>
      </c>
      <c r="AR830" t="str" cm="1">
        <f t="array" ref="AR830">_xlfn.IFS(CleanEmployeeData[[#This Row],[DistanceFromHome]]&lt;=5,"0–5 miles",CleanEmployeeData[[#This Row],[DistanceFromHome]]&lt;=10,"6–10 miles",CleanEmployeeData[[#This Row],[DistanceFromHome]]&lt;=15,"11–15 miles",TRUE,"16+ miles")</f>
        <v>6–10 miles</v>
      </c>
      <c r="AS830" t="str" cm="1">
        <f t="array" ref="AS830">_xlfn.IFS(CleanEmployeeData[[#This Row],[YearsAtCompany]]&lt;=1,"0–1 years",CleanEmployeeData[[#This Row],[YearsAtCompany]]&lt;=5,"2–5 years",CleanEmployeeData[[#This Row],[YearsAtCompany]]&lt;=10,"6–10 years",TRUE,"11+ years")</f>
        <v>0–1 years</v>
      </c>
    </row>
    <row r="831" spans="1:4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cm="1">
        <f t="array" ref="AJ831">_xlfn.SWITCH(CleanEmployeeData[[#This Row],[Education]],1,"Below College",2,"College",3,"Bachelor",4,"Master",5,"Doctor","Unknown")</f>
        <v>Master</v>
      </c>
      <c r="AK831" t="str" cm="1">
        <f t="array" ref="AK831">_xlfn.SWITCH(CleanEmployeeData[[#This Row],[EnvironmentSatisfaction]],1,"Low",2,"Medium",3,"High",4,"Very High","Unknown")</f>
        <v>Low</v>
      </c>
      <c r="AL831" t="str" cm="1">
        <f t="array" ref="AL831">_xlfn.SWITCH(CleanEmployeeData[[#This Row],[JobInvolvement]],1,"Low",2,"Medium",3,"High",4,"Very High","Unknown")</f>
        <v>High</v>
      </c>
      <c r="AM831" t="str" cm="1">
        <f t="array" ref="AM831">_xlfn.SWITCH(CleanEmployeeData[[#This Row],[JobSatisfaction]],1,"Low",2,"Medium",3,"High",4,"Very High","Unknown")</f>
        <v>Low</v>
      </c>
      <c r="AN831" t="str" cm="1">
        <f t="array" ref="AN831">_xlfn.SWITCH(CleanEmployeeData[[#This Row],[PerformanceRating]],1,"Low",2,"Good",3,"Excellent",4,"Outstanding","Unknown")</f>
        <v>Excellent</v>
      </c>
      <c r="AO831" t="str" cm="1">
        <f t="array" ref="AO831">_xlfn.SWITCH(CleanEmployeeData[[#This Row],[WorkLifeBalance]],1,"Bad",2,"Good",3,"Better",4,"Best","Unknown")</f>
        <v>Better</v>
      </c>
      <c r="AP831">
        <f>IF(CleanEmployeeData[[#This Row],[Attrition]]="Yes",1,IF(CleanEmployeeData[[#This Row],[Attrition]]="No",0,""))</f>
        <v>1</v>
      </c>
      <c r="AQ831" t="str" cm="1">
        <f t="array" ref="AQ831">_xlfn.IFS(CleanEmployeeData[[#This Row],[MonthlyIncome]]&lt;=3000,"0–3,000",CleanEmployeeData[[#This Row],[MonthlyIncome]]&lt;=6000,"3,001–6,000",CleanEmployeeData[[#This Row],[MonthlyIncome]]&lt;=10000,"6,001–10,000",TRUE,"10,001+")</f>
        <v>6,001–10,000</v>
      </c>
      <c r="AR831" t="str" cm="1">
        <f t="array" ref="AR831">_xlfn.IFS(CleanEmployeeData[[#This Row],[DistanceFromHome]]&lt;=5,"0–5 miles",CleanEmployeeData[[#This Row],[DistanceFromHome]]&lt;=10,"6–10 miles",CleanEmployeeData[[#This Row],[DistanceFromHome]]&lt;=15,"11–15 miles",TRUE,"16+ miles")</f>
        <v>6–10 miles</v>
      </c>
      <c r="AS831" t="str" cm="1">
        <f t="array" ref="AS831">_xlfn.IFS(CleanEmployeeData[[#This Row],[YearsAtCompany]]&lt;=1,"0–1 years",CleanEmployeeData[[#This Row],[YearsAtCompany]]&lt;=5,"2–5 years",CleanEmployeeData[[#This Row],[YearsAtCompany]]&lt;=10,"6–10 years",TRUE,"11+ years")</f>
        <v>2–5 years</v>
      </c>
    </row>
    <row r="832" spans="1:4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cm="1">
        <f t="array" ref="AJ832">_xlfn.SWITCH(CleanEmployeeData[[#This Row],[Education]],1,"Below College",2,"College",3,"Bachelor",4,"Master",5,"Doctor","Unknown")</f>
        <v>Master</v>
      </c>
      <c r="AK832" t="str" cm="1">
        <f t="array" ref="AK832">_xlfn.SWITCH(CleanEmployeeData[[#This Row],[EnvironmentSatisfaction]],1,"Low",2,"Medium",3,"High",4,"Very High","Unknown")</f>
        <v>Medium</v>
      </c>
      <c r="AL832" t="str" cm="1">
        <f t="array" ref="AL832">_xlfn.SWITCH(CleanEmployeeData[[#This Row],[JobInvolvement]],1,"Low",2,"Medium",3,"High",4,"Very High","Unknown")</f>
        <v>High</v>
      </c>
      <c r="AM832" t="str" cm="1">
        <f t="array" ref="AM832">_xlfn.SWITCH(CleanEmployeeData[[#This Row],[JobSatisfaction]],1,"Low",2,"Medium",3,"High",4,"Very High","Unknown")</f>
        <v>Very High</v>
      </c>
      <c r="AN832" t="str" cm="1">
        <f t="array" ref="AN832">_xlfn.SWITCH(CleanEmployeeData[[#This Row],[PerformanceRating]],1,"Low",2,"Good",3,"Excellent",4,"Outstanding","Unknown")</f>
        <v>Excellent</v>
      </c>
      <c r="AO832" t="str" cm="1">
        <f t="array" ref="AO832">_xlfn.SWITCH(CleanEmployeeData[[#This Row],[WorkLifeBalance]],1,"Bad",2,"Good",3,"Better",4,"Best","Unknown")</f>
        <v>Better</v>
      </c>
      <c r="AP832">
        <f>IF(CleanEmployeeData[[#This Row],[Attrition]]="Yes",1,IF(CleanEmployeeData[[#This Row],[Attrition]]="No",0,""))</f>
        <v>0</v>
      </c>
      <c r="AQ832" t="str" cm="1">
        <f t="array" ref="AQ832">_xlfn.IFS(CleanEmployeeData[[#This Row],[MonthlyIncome]]&lt;=3000,"0–3,000",CleanEmployeeData[[#This Row],[MonthlyIncome]]&lt;=6000,"3,001–6,000",CleanEmployeeData[[#This Row],[MonthlyIncome]]&lt;=10000,"6,001–10,000",TRUE,"10,001+")</f>
        <v>3,001–6,000</v>
      </c>
      <c r="AR832" t="str" cm="1">
        <f t="array" ref="AR832">_xlfn.IFS(CleanEmployeeData[[#This Row],[DistanceFromHome]]&lt;=5,"0–5 miles",CleanEmployeeData[[#This Row],[DistanceFromHome]]&lt;=10,"6–10 miles",CleanEmployeeData[[#This Row],[DistanceFromHome]]&lt;=15,"11–15 miles",TRUE,"16+ miles")</f>
        <v>11–15 miles</v>
      </c>
      <c r="AS832" t="str" cm="1">
        <f t="array" ref="AS832">_xlfn.IFS(CleanEmployeeData[[#This Row],[YearsAtCompany]]&lt;=1,"0–1 years",CleanEmployeeData[[#This Row],[YearsAtCompany]]&lt;=5,"2–5 years",CleanEmployeeData[[#This Row],[YearsAtCompany]]&lt;=10,"6–10 years",TRUE,"11+ years")</f>
        <v>0–1 years</v>
      </c>
    </row>
    <row r="833" spans="1:4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cm="1">
        <f t="array" ref="AJ833">_xlfn.SWITCH(CleanEmployeeData[[#This Row],[Education]],1,"Below College",2,"College",3,"Bachelor",4,"Master",5,"Doctor","Unknown")</f>
        <v>Bachelor</v>
      </c>
      <c r="AK833" t="str" cm="1">
        <f t="array" ref="AK833">_xlfn.SWITCH(CleanEmployeeData[[#This Row],[EnvironmentSatisfaction]],1,"Low",2,"Medium",3,"High",4,"Very High","Unknown")</f>
        <v>High</v>
      </c>
      <c r="AL833" t="str" cm="1">
        <f t="array" ref="AL833">_xlfn.SWITCH(CleanEmployeeData[[#This Row],[JobInvolvement]],1,"Low",2,"Medium",3,"High",4,"Very High","Unknown")</f>
        <v>High</v>
      </c>
      <c r="AM833" t="str" cm="1">
        <f t="array" ref="AM833">_xlfn.SWITCH(CleanEmployeeData[[#This Row],[JobSatisfaction]],1,"Low",2,"Medium",3,"High",4,"Very High","Unknown")</f>
        <v>High</v>
      </c>
      <c r="AN833" t="str" cm="1">
        <f t="array" ref="AN833">_xlfn.SWITCH(CleanEmployeeData[[#This Row],[PerformanceRating]],1,"Low",2,"Good",3,"Excellent",4,"Outstanding","Unknown")</f>
        <v>Excellent</v>
      </c>
      <c r="AO833" t="str" cm="1">
        <f t="array" ref="AO833">_xlfn.SWITCH(CleanEmployeeData[[#This Row],[WorkLifeBalance]],1,"Bad",2,"Good",3,"Better",4,"Best","Unknown")</f>
        <v>Good</v>
      </c>
      <c r="AP833">
        <f>IF(CleanEmployeeData[[#This Row],[Attrition]]="Yes",1,IF(CleanEmployeeData[[#This Row],[Attrition]]="No",0,""))</f>
        <v>1</v>
      </c>
      <c r="AQ833" t="str" cm="1">
        <f t="array" ref="AQ833">_xlfn.IFS(CleanEmployeeData[[#This Row],[MonthlyIncome]]&lt;=3000,"0–3,000",CleanEmployeeData[[#This Row],[MonthlyIncome]]&lt;=6000,"3,001–6,000",CleanEmployeeData[[#This Row],[MonthlyIncome]]&lt;=10000,"6,001–10,000",TRUE,"10,001+")</f>
        <v>0–3,000</v>
      </c>
      <c r="AR833" t="str" cm="1">
        <f t="array" ref="AR833">_xlfn.IFS(CleanEmployeeData[[#This Row],[DistanceFromHome]]&lt;=5,"0–5 miles",CleanEmployeeData[[#This Row],[DistanceFromHome]]&lt;=10,"6–10 miles",CleanEmployeeData[[#This Row],[DistanceFromHome]]&lt;=15,"11–15 miles",TRUE,"16+ miles")</f>
        <v>11–15 miles</v>
      </c>
      <c r="AS833" t="str" cm="1">
        <f t="array" ref="AS833">_xlfn.IFS(CleanEmployeeData[[#This Row],[YearsAtCompany]]&lt;=1,"0–1 years",CleanEmployeeData[[#This Row],[YearsAtCompany]]&lt;=5,"2–5 years",CleanEmployeeData[[#This Row],[YearsAtCompany]]&lt;=10,"6–10 years",TRUE,"11+ years")</f>
        <v>2–5 years</v>
      </c>
    </row>
    <row r="834" spans="1:4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cm="1">
        <f t="array" ref="AJ834">_xlfn.SWITCH(CleanEmployeeData[[#This Row],[Education]],1,"Below College",2,"College",3,"Bachelor",4,"Master",5,"Doctor","Unknown")</f>
        <v>College</v>
      </c>
      <c r="AK834" t="str" cm="1">
        <f t="array" ref="AK834">_xlfn.SWITCH(CleanEmployeeData[[#This Row],[EnvironmentSatisfaction]],1,"Low",2,"Medium",3,"High",4,"Very High","Unknown")</f>
        <v>High</v>
      </c>
      <c r="AL834" t="str" cm="1">
        <f t="array" ref="AL834">_xlfn.SWITCH(CleanEmployeeData[[#This Row],[JobInvolvement]],1,"Low",2,"Medium",3,"High",4,"Very High","Unknown")</f>
        <v>Medium</v>
      </c>
      <c r="AM834" t="str" cm="1">
        <f t="array" ref="AM834">_xlfn.SWITCH(CleanEmployeeData[[#This Row],[JobSatisfaction]],1,"Low",2,"Medium",3,"High",4,"Very High","Unknown")</f>
        <v>Very High</v>
      </c>
      <c r="AN834" t="str" cm="1">
        <f t="array" ref="AN834">_xlfn.SWITCH(CleanEmployeeData[[#This Row],[PerformanceRating]],1,"Low",2,"Good",3,"Excellent",4,"Outstanding","Unknown")</f>
        <v>Excellent</v>
      </c>
      <c r="AO834" t="str" cm="1">
        <f t="array" ref="AO834">_xlfn.SWITCH(CleanEmployeeData[[#This Row],[WorkLifeBalance]],1,"Bad",2,"Good",3,"Better",4,"Best","Unknown")</f>
        <v>Better</v>
      </c>
      <c r="AP834">
        <f>IF(CleanEmployeeData[[#This Row],[Attrition]]="Yes",1,IF(CleanEmployeeData[[#This Row],[Attrition]]="No",0,""))</f>
        <v>0</v>
      </c>
      <c r="AQ834" t="str" cm="1">
        <f t="array" ref="AQ834">_xlfn.IFS(CleanEmployeeData[[#This Row],[MonthlyIncome]]&lt;=3000,"0–3,000",CleanEmployeeData[[#This Row],[MonthlyIncome]]&lt;=6000,"3,001–6,000",CleanEmployeeData[[#This Row],[MonthlyIncome]]&lt;=10000,"6,001–10,000",TRUE,"10,001+")</f>
        <v>3,001–6,000</v>
      </c>
      <c r="AR834" t="str" cm="1">
        <f t="array" ref="AR834">_xlfn.IFS(CleanEmployeeData[[#This Row],[DistanceFromHome]]&lt;=5,"0–5 miles",CleanEmployeeData[[#This Row],[DistanceFromHome]]&lt;=10,"6–10 miles",CleanEmployeeData[[#This Row],[DistanceFromHome]]&lt;=15,"11–15 miles",TRUE,"16+ miles")</f>
        <v>16+ miles</v>
      </c>
      <c r="AS834" t="str" cm="1">
        <f t="array" ref="AS834">_xlfn.IFS(CleanEmployeeData[[#This Row],[YearsAtCompany]]&lt;=1,"0–1 years",CleanEmployeeData[[#This Row],[YearsAtCompany]]&lt;=5,"2–5 years",CleanEmployeeData[[#This Row],[YearsAtCompany]]&lt;=10,"6–10 years",TRUE,"11+ years")</f>
        <v>6–10 years</v>
      </c>
    </row>
    <row r="835" spans="1:4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cm="1">
        <f t="array" ref="AJ835">_xlfn.SWITCH(CleanEmployeeData[[#This Row],[Education]],1,"Below College",2,"College",3,"Bachelor",4,"Master",5,"Doctor","Unknown")</f>
        <v>Bachelor</v>
      </c>
      <c r="AK835" t="str" cm="1">
        <f t="array" ref="AK835">_xlfn.SWITCH(CleanEmployeeData[[#This Row],[EnvironmentSatisfaction]],1,"Low",2,"Medium",3,"High",4,"Very High","Unknown")</f>
        <v>Very High</v>
      </c>
      <c r="AL835" t="str" cm="1">
        <f t="array" ref="AL835">_xlfn.SWITCH(CleanEmployeeData[[#This Row],[JobInvolvement]],1,"Low",2,"Medium",3,"High",4,"Very High","Unknown")</f>
        <v>Medium</v>
      </c>
      <c r="AM835" t="str" cm="1">
        <f t="array" ref="AM835">_xlfn.SWITCH(CleanEmployeeData[[#This Row],[JobSatisfaction]],1,"Low",2,"Medium",3,"High",4,"Very High","Unknown")</f>
        <v>High</v>
      </c>
      <c r="AN835" t="str" cm="1">
        <f t="array" ref="AN835">_xlfn.SWITCH(CleanEmployeeData[[#This Row],[PerformanceRating]],1,"Low",2,"Good",3,"Excellent",4,"Outstanding","Unknown")</f>
        <v>Excellent</v>
      </c>
      <c r="AO835" t="str" cm="1">
        <f t="array" ref="AO835">_xlfn.SWITCH(CleanEmployeeData[[#This Row],[WorkLifeBalance]],1,"Bad",2,"Good",3,"Better",4,"Best","Unknown")</f>
        <v>Better</v>
      </c>
      <c r="AP835">
        <f>IF(CleanEmployeeData[[#This Row],[Attrition]]="Yes",1,IF(CleanEmployeeData[[#This Row],[Attrition]]="No",0,""))</f>
        <v>0</v>
      </c>
      <c r="AQ835" t="str" cm="1">
        <f t="array" ref="AQ835">_xlfn.IFS(CleanEmployeeData[[#This Row],[MonthlyIncome]]&lt;=3000,"0–3,000",CleanEmployeeData[[#This Row],[MonthlyIncome]]&lt;=6000,"3,001–6,000",CleanEmployeeData[[#This Row],[MonthlyIncome]]&lt;=10000,"6,001–10,000",TRUE,"10,001+")</f>
        <v>0–3,000</v>
      </c>
      <c r="AR835" t="str" cm="1">
        <f t="array" ref="AR835">_xlfn.IFS(CleanEmployeeData[[#This Row],[DistanceFromHome]]&lt;=5,"0–5 miles",CleanEmployeeData[[#This Row],[DistanceFromHome]]&lt;=10,"6–10 miles",CleanEmployeeData[[#This Row],[DistanceFromHome]]&lt;=15,"11–15 miles",TRUE,"16+ miles")</f>
        <v>6–10 miles</v>
      </c>
      <c r="AS835" t="str" cm="1">
        <f t="array" ref="AS835">_xlfn.IFS(CleanEmployeeData[[#This Row],[YearsAtCompany]]&lt;=1,"0–1 years",CleanEmployeeData[[#This Row],[YearsAtCompany]]&lt;=5,"2–5 years",CleanEmployeeData[[#This Row],[YearsAtCompany]]&lt;=10,"6–10 years",TRUE,"11+ years")</f>
        <v>2–5 years</v>
      </c>
    </row>
    <row r="836" spans="1:4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cm="1">
        <f t="array" ref="AJ836">_xlfn.SWITCH(CleanEmployeeData[[#This Row],[Education]],1,"Below College",2,"College",3,"Bachelor",4,"Master",5,"Doctor","Unknown")</f>
        <v>Below College</v>
      </c>
      <c r="AK836" t="str" cm="1">
        <f t="array" ref="AK836">_xlfn.SWITCH(CleanEmployeeData[[#This Row],[EnvironmentSatisfaction]],1,"Low",2,"Medium",3,"High",4,"Very High","Unknown")</f>
        <v>Medium</v>
      </c>
      <c r="AL836" t="str" cm="1">
        <f t="array" ref="AL836">_xlfn.SWITCH(CleanEmployeeData[[#This Row],[JobInvolvement]],1,"Low",2,"Medium",3,"High",4,"Very High","Unknown")</f>
        <v>High</v>
      </c>
      <c r="AM836" t="str" cm="1">
        <f t="array" ref="AM836">_xlfn.SWITCH(CleanEmployeeData[[#This Row],[JobSatisfaction]],1,"Low",2,"Medium",3,"High",4,"Very High","Unknown")</f>
        <v>High</v>
      </c>
      <c r="AN836" t="str" cm="1">
        <f t="array" ref="AN836">_xlfn.SWITCH(CleanEmployeeData[[#This Row],[PerformanceRating]],1,"Low",2,"Good",3,"Excellent",4,"Outstanding","Unknown")</f>
        <v>Outstanding</v>
      </c>
      <c r="AO836" t="str" cm="1">
        <f t="array" ref="AO836">_xlfn.SWITCH(CleanEmployeeData[[#This Row],[WorkLifeBalance]],1,"Bad",2,"Good",3,"Better",4,"Best","Unknown")</f>
        <v>Good</v>
      </c>
      <c r="AP836">
        <f>IF(CleanEmployeeData[[#This Row],[Attrition]]="Yes",1,IF(CleanEmployeeData[[#This Row],[Attrition]]="No",0,""))</f>
        <v>0</v>
      </c>
      <c r="AQ836" t="str" cm="1">
        <f t="array" ref="AQ836">_xlfn.IFS(CleanEmployeeData[[#This Row],[MonthlyIncome]]&lt;=3000,"0–3,000",CleanEmployeeData[[#This Row],[MonthlyIncome]]&lt;=6000,"3,001–6,000",CleanEmployeeData[[#This Row],[MonthlyIncome]]&lt;=10000,"6,001–10,000",TRUE,"10,001+")</f>
        <v>3,001–6,000</v>
      </c>
      <c r="AR836" t="str" cm="1">
        <f t="array" ref="AR836">_xlfn.IFS(CleanEmployeeData[[#This Row],[DistanceFromHome]]&lt;=5,"0–5 miles",CleanEmployeeData[[#This Row],[DistanceFromHome]]&lt;=10,"6–10 miles",CleanEmployeeData[[#This Row],[DistanceFromHome]]&lt;=15,"11–15 miles",TRUE,"16+ miles")</f>
        <v>6–10 miles</v>
      </c>
      <c r="AS836" t="str" cm="1">
        <f t="array" ref="AS836">_xlfn.IFS(CleanEmployeeData[[#This Row],[YearsAtCompany]]&lt;=1,"0–1 years",CleanEmployeeData[[#This Row],[YearsAtCompany]]&lt;=5,"2–5 years",CleanEmployeeData[[#This Row],[YearsAtCompany]]&lt;=10,"6–10 years",TRUE,"11+ years")</f>
        <v>6–10 years</v>
      </c>
    </row>
    <row r="837" spans="1:4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cm="1">
        <f t="array" ref="AJ837">_xlfn.SWITCH(CleanEmployeeData[[#This Row],[Education]],1,"Below College",2,"College",3,"Bachelor",4,"Master",5,"Doctor","Unknown")</f>
        <v>Master</v>
      </c>
      <c r="AK837" t="str" cm="1">
        <f t="array" ref="AK837">_xlfn.SWITCH(CleanEmployeeData[[#This Row],[EnvironmentSatisfaction]],1,"Low",2,"Medium",3,"High",4,"Very High","Unknown")</f>
        <v>High</v>
      </c>
      <c r="AL837" t="str" cm="1">
        <f t="array" ref="AL837">_xlfn.SWITCH(CleanEmployeeData[[#This Row],[JobInvolvement]],1,"Low",2,"Medium",3,"High",4,"Very High","Unknown")</f>
        <v>High</v>
      </c>
      <c r="AM837" t="str" cm="1">
        <f t="array" ref="AM837">_xlfn.SWITCH(CleanEmployeeData[[#This Row],[JobSatisfaction]],1,"Low",2,"Medium",3,"High",4,"Very High","Unknown")</f>
        <v>High</v>
      </c>
      <c r="AN837" t="str" cm="1">
        <f t="array" ref="AN837">_xlfn.SWITCH(CleanEmployeeData[[#This Row],[PerformanceRating]],1,"Low",2,"Good",3,"Excellent",4,"Outstanding","Unknown")</f>
        <v>Excellent</v>
      </c>
      <c r="AO837" t="str" cm="1">
        <f t="array" ref="AO837">_xlfn.SWITCH(CleanEmployeeData[[#This Row],[WorkLifeBalance]],1,"Bad",2,"Good",3,"Better",4,"Best","Unknown")</f>
        <v>Bad</v>
      </c>
      <c r="AP837">
        <f>IF(CleanEmployeeData[[#This Row],[Attrition]]="Yes",1,IF(CleanEmployeeData[[#This Row],[Attrition]]="No",0,""))</f>
        <v>0</v>
      </c>
      <c r="AQ837" t="str" cm="1">
        <f t="array" ref="AQ837">_xlfn.IFS(CleanEmployeeData[[#This Row],[MonthlyIncome]]&lt;=3000,"0–3,000",CleanEmployeeData[[#This Row],[MonthlyIncome]]&lt;=6000,"3,001–6,000",CleanEmployeeData[[#This Row],[MonthlyIncome]]&lt;=10000,"6,001–10,000",TRUE,"10,001+")</f>
        <v>3,001–6,000</v>
      </c>
      <c r="AR837" t="str" cm="1">
        <f t="array" ref="AR837">_xlfn.IFS(CleanEmployeeData[[#This Row],[DistanceFromHome]]&lt;=5,"0–5 miles",CleanEmployeeData[[#This Row],[DistanceFromHome]]&lt;=10,"6–10 miles",CleanEmployeeData[[#This Row],[DistanceFromHome]]&lt;=15,"11–15 miles",TRUE,"16+ miles")</f>
        <v>6–10 miles</v>
      </c>
      <c r="AS837" t="str" cm="1">
        <f t="array" ref="AS837">_xlfn.IFS(CleanEmployeeData[[#This Row],[YearsAtCompany]]&lt;=1,"0–1 years",CleanEmployeeData[[#This Row],[YearsAtCompany]]&lt;=5,"2–5 years",CleanEmployeeData[[#This Row],[YearsAtCompany]]&lt;=10,"6–10 years",TRUE,"11+ years")</f>
        <v>2–5 years</v>
      </c>
    </row>
    <row r="838" spans="1:4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cm="1">
        <f t="array" ref="AJ838">_xlfn.SWITCH(CleanEmployeeData[[#This Row],[Education]],1,"Below College",2,"College",3,"Bachelor",4,"Master",5,"Doctor","Unknown")</f>
        <v>Below College</v>
      </c>
      <c r="AK838" t="str" cm="1">
        <f t="array" ref="AK838">_xlfn.SWITCH(CleanEmployeeData[[#This Row],[EnvironmentSatisfaction]],1,"Low",2,"Medium",3,"High",4,"Very High","Unknown")</f>
        <v>Very High</v>
      </c>
      <c r="AL838" t="str" cm="1">
        <f t="array" ref="AL838">_xlfn.SWITCH(CleanEmployeeData[[#This Row],[JobInvolvement]],1,"Low",2,"Medium",3,"High",4,"Very High","Unknown")</f>
        <v>Medium</v>
      </c>
      <c r="AM838" t="str" cm="1">
        <f t="array" ref="AM838">_xlfn.SWITCH(CleanEmployeeData[[#This Row],[JobSatisfaction]],1,"Low",2,"Medium",3,"High",4,"Very High","Unknown")</f>
        <v>Low</v>
      </c>
      <c r="AN838" t="str" cm="1">
        <f t="array" ref="AN838">_xlfn.SWITCH(CleanEmployeeData[[#This Row],[PerformanceRating]],1,"Low",2,"Good",3,"Excellent",4,"Outstanding","Unknown")</f>
        <v>Excellent</v>
      </c>
      <c r="AO838" t="str" cm="1">
        <f t="array" ref="AO838">_xlfn.SWITCH(CleanEmployeeData[[#This Row],[WorkLifeBalance]],1,"Bad",2,"Good",3,"Better",4,"Best","Unknown")</f>
        <v>Bad</v>
      </c>
      <c r="AP838">
        <f>IF(CleanEmployeeData[[#This Row],[Attrition]]="Yes",1,IF(CleanEmployeeData[[#This Row],[Attrition]]="No",0,""))</f>
        <v>1</v>
      </c>
      <c r="AQ838" t="str" cm="1">
        <f t="array" ref="AQ838">_xlfn.IFS(CleanEmployeeData[[#This Row],[MonthlyIncome]]&lt;=3000,"0–3,000",CleanEmployeeData[[#This Row],[MonthlyIncome]]&lt;=6000,"3,001–6,000",CleanEmployeeData[[#This Row],[MonthlyIncome]]&lt;=10000,"6,001–10,000",TRUE,"10,001+")</f>
        <v>6,001–10,000</v>
      </c>
      <c r="AR838" t="str" cm="1">
        <f t="array" ref="AR838">_xlfn.IFS(CleanEmployeeData[[#This Row],[DistanceFromHome]]&lt;=5,"0–5 miles",CleanEmployeeData[[#This Row],[DistanceFromHome]]&lt;=10,"6–10 miles",CleanEmployeeData[[#This Row],[DistanceFromHome]]&lt;=15,"11–15 miles",TRUE,"16+ miles")</f>
        <v>16+ miles</v>
      </c>
      <c r="AS838" t="str" cm="1">
        <f t="array" ref="AS838">_xlfn.IFS(CleanEmployeeData[[#This Row],[YearsAtCompany]]&lt;=1,"0–1 years",CleanEmployeeData[[#This Row],[YearsAtCompany]]&lt;=5,"2–5 years",CleanEmployeeData[[#This Row],[YearsAtCompany]]&lt;=10,"6–10 years",TRUE,"11+ years")</f>
        <v>11+ years</v>
      </c>
    </row>
    <row r="839" spans="1:4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cm="1">
        <f t="array" ref="AJ839">_xlfn.SWITCH(CleanEmployeeData[[#This Row],[Education]],1,"Below College",2,"College",3,"Bachelor",4,"Master",5,"Doctor","Unknown")</f>
        <v>Master</v>
      </c>
      <c r="AK839" t="str" cm="1">
        <f t="array" ref="AK839">_xlfn.SWITCH(CleanEmployeeData[[#This Row],[EnvironmentSatisfaction]],1,"Low",2,"Medium",3,"High",4,"Very High","Unknown")</f>
        <v>Medium</v>
      </c>
      <c r="AL839" t="str" cm="1">
        <f t="array" ref="AL839">_xlfn.SWITCH(CleanEmployeeData[[#This Row],[JobInvolvement]],1,"Low",2,"Medium",3,"High",4,"Very High","Unknown")</f>
        <v>High</v>
      </c>
      <c r="AM839" t="str" cm="1">
        <f t="array" ref="AM839">_xlfn.SWITCH(CleanEmployeeData[[#This Row],[JobSatisfaction]],1,"Low",2,"Medium",3,"High",4,"Very High","Unknown")</f>
        <v>High</v>
      </c>
      <c r="AN839" t="str" cm="1">
        <f t="array" ref="AN839">_xlfn.SWITCH(CleanEmployeeData[[#This Row],[PerformanceRating]],1,"Low",2,"Good",3,"Excellent",4,"Outstanding","Unknown")</f>
        <v>Excellent</v>
      </c>
      <c r="AO839" t="str" cm="1">
        <f t="array" ref="AO839">_xlfn.SWITCH(CleanEmployeeData[[#This Row],[WorkLifeBalance]],1,"Bad",2,"Good",3,"Better",4,"Best","Unknown")</f>
        <v>Good</v>
      </c>
      <c r="AP839">
        <f>IF(CleanEmployeeData[[#This Row],[Attrition]]="Yes",1,IF(CleanEmployeeData[[#This Row],[Attrition]]="No",0,""))</f>
        <v>0</v>
      </c>
      <c r="AQ839" t="str" cm="1">
        <f t="array" ref="AQ839">_xlfn.IFS(CleanEmployeeData[[#This Row],[MonthlyIncome]]&lt;=3000,"0–3,000",CleanEmployeeData[[#This Row],[MonthlyIncome]]&lt;=6000,"3,001–6,000",CleanEmployeeData[[#This Row],[MonthlyIncome]]&lt;=10000,"6,001–10,000",TRUE,"10,001+")</f>
        <v>10,001+</v>
      </c>
      <c r="AR839" t="str" cm="1">
        <f t="array" ref="AR839">_xlfn.IFS(CleanEmployeeData[[#This Row],[DistanceFromHome]]&lt;=5,"0–5 miles",CleanEmployeeData[[#This Row],[DistanceFromHome]]&lt;=10,"6–10 miles",CleanEmployeeData[[#This Row],[DistanceFromHome]]&lt;=15,"11–15 miles",TRUE,"16+ miles")</f>
        <v>6–10 miles</v>
      </c>
      <c r="AS839" t="str" cm="1">
        <f t="array" ref="AS839">_xlfn.IFS(CleanEmployeeData[[#This Row],[YearsAtCompany]]&lt;=1,"0–1 years",CleanEmployeeData[[#This Row],[YearsAtCompany]]&lt;=5,"2–5 years",CleanEmployeeData[[#This Row],[YearsAtCompany]]&lt;=10,"6–10 years",TRUE,"11+ years")</f>
        <v>11+ years</v>
      </c>
    </row>
    <row r="840" spans="1:4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cm="1">
        <f t="array" ref="AJ840">_xlfn.SWITCH(CleanEmployeeData[[#This Row],[Education]],1,"Below College",2,"College",3,"Bachelor",4,"Master",5,"Doctor","Unknown")</f>
        <v>Bachelor</v>
      </c>
      <c r="AK840" t="str" cm="1">
        <f t="array" ref="AK840">_xlfn.SWITCH(CleanEmployeeData[[#This Row],[EnvironmentSatisfaction]],1,"Low",2,"Medium",3,"High",4,"Very High","Unknown")</f>
        <v>High</v>
      </c>
      <c r="AL840" t="str" cm="1">
        <f t="array" ref="AL840">_xlfn.SWITCH(CleanEmployeeData[[#This Row],[JobInvolvement]],1,"Low",2,"Medium",3,"High",4,"Very High","Unknown")</f>
        <v>High</v>
      </c>
      <c r="AM840" t="str" cm="1">
        <f t="array" ref="AM840">_xlfn.SWITCH(CleanEmployeeData[[#This Row],[JobSatisfaction]],1,"Low",2,"Medium",3,"High",4,"Very High","Unknown")</f>
        <v>Low</v>
      </c>
      <c r="AN840" t="str" cm="1">
        <f t="array" ref="AN840">_xlfn.SWITCH(CleanEmployeeData[[#This Row],[PerformanceRating]],1,"Low",2,"Good",3,"Excellent",4,"Outstanding","Unknown")</f>
        <v>Excellent</v>
      </c>
      <c r="AO840" t="str" cm="1">
        <f t="array" ref="AO840">_xlfn.SWITCH(CleanEmployeeData[[#This Row],[WorkLifeBalance]],1,"Bad",2,"Good",3,"Better",4,"Best","Unknown")</f>
        <v>Good</v>
      </c>
      <c r="AP840">
        <f>IF(CleanEmployeeData[[#This Row],[Attrition]]="Yes",1,IF(CleanEmployeeData[[#This Row],[Attrition]]="No",0,""))</f>
        <v>1</v>
      </c>
      <c r="AQ840" t="str" cm="1">
        <f t="array" ref="AQ840">_xlfn.IFS(CleanEmployeeData[[#This Row],[MonthlyIncome]]&lt;=3000,"0–3,000",CleanEmployeeData[[#This Row],[MonthlyIncome]]&lt;=6000,"3,001–6,000",CleanEmployeeData[[#This Row],[MonthlyIncome]]&lt;=10000,"6,001–10,000",TRUE,"10,001+")</f>
        <v>10,001+</v>
      </c>
      <c r="AR840" t="str" cm="1">
        <f t="array" ref="AR840">_xlfn.IFS(CleanEmployeeData[[#This Row],[DistanceFromHome]]&lt;=5,"0–5 miles",CleanEmployeeData[[#This Row],[DistanceFromHome]]&lt;=10,"6–10 miles",CleanEmployeeData[[#This Row],[DistanceFromHome]]&lt;=15,"11–15 miles",TRUE,"16+ miles")</f>
        <v>11–15 miles</v>
      </c>
      <c r="AS840" t="str" cm="1">
        <f t="array" ref="AS840">_xlfn.IFS(CleanEmployeeData[[#This Row],[YearsAtCompany]]&lt;=1,"0–1 years",CleanEmployeeData[[#This Row],[YearsAtCompany]]&lt;=5,"2–5 years",CleanEmployeeData[[#This Row],[YearsAtCompany]]&lt;=10,"6–10 years",TRUE,"11+ years")</f>
        <v>11+ years</v>
      </c>
    </row>
    <row r="841" spans="1:4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cm="1">
        <f t="array" ref="AJ841">_xlfn.SWITCH(CleanEmployeeData[[#This Row],[Education]],1,"Below College",2,"College",3,"Bachelor",4,"Master",5,"Doctor","Unknown")</f>
        <v>Master</v>
      </c>
      <c r="AK841" t="str" cm="1">
        <f t="array" ref="AK841">_xlfn.SWITCH(CleanEmployeeData[[#This Row],[EnvironmentSatisfaction]],1,"Low",2,"Medium",3,"High",4,"Very High","Unknown")</f>
        <v>Medium</v>
      </c>
      <c r="AL841" t="str" cm="1">
        <f t="array" ref="AL841">_xlfn.SWITCH(CleanEmployeeData[[#This Row],[JobInvolvement]],1,"Low",2,"Medium",3,"High",4,"Very High","Unknown")</f>
        <v>High</v>
      </c>
      <c r="AM841" t="str" cm="1">
        <f t="array" ref="AM841">_xlfn.SWITCH(CleanEmployeeData[[#This Row],[JobSatisfaction]],1,"Low",2,"Medium",3,"High",4,"Very High","Unknown")</f>
        <v>Low</v>
      </c>
      <c r="AN841" t="str" cm="1">
        <f t="array" ref="AN841">_xlfn.SWITCH(CleanEmployeeData[[#This Row],[PerformanceRating]],1,"Low",2,"Good",3,"Excellent",4,"Outstanding","Unknown")</f>
        <v>Excellent</v>
      </c>
      <c r="AO841" t="str" cm="1">
        <f t="array" ref="AO841">_xlfn.SWITCH(CleanEmployeeData[[#This Row],[WorkLifeBalance]],1,"Bad",2,"Good",3,"Better",4,"Best","Unknown")</f>
        <v>Best</v>
      </c>
      <c r="AP841">
        <f>IF(CleanEmployeeData[[#This Row],[Attrition]]="Yes",1,IF(CleanEmployeeData[[#This Row],[Attrition]]="No",0,""))</f>
        <v>0</v>
      </c>
      <c r="AQ841" t="str" cm="1">
        <f t="array" ref="AQ841">_xlfn.IFS(CleanEmployeeData[[#This Row],[MonthlyIncome]]&lt;=3000,"0–3,000",CleanEmployeeData[[#This Row],[MonthlyIncome]]&lt;=6000,"3,001–6,000",CleanEmployeeData[[#This Row],[MonthlyIncome]]&lt;=10000,"6,001–10,000",TRUE,"10,001+")</f>
        <v>3,001–6,000</v>
      </c>
      <c r="AR841" t="str" cm="1">
        <f t="array" ref="AR841">_xlfn.IFS(CleanEmployeeData[[#This Row],[DistanceFromHome]]&lt;=5,"0–5 miles",CleanEmployeeData[[#This Row],[DistanceFromHome]]&lt;=10,"6–10 miles",CleanEmployeeData[[#This Row],[DistanceFromHome]]&lt;=15,"11–15 miles",TRUE,"16+ miles")</f>
        <v>0–5 miles</v>
      </c>
      <c r="AS841" t="str" cm="1">
        <f t="array" ref="AS841">_xlfn.IFS(CleanEmployeeData[[#This Row],[YearsAtCompany]]&lt;=1,"0–1 years",CleanEmployeeData[[#This Row],[YearsAtCompany]]&lt;=5,"2–5 years",CleanEmployeeData[[#This Row],[YearsAtCompany]]&lt;=10,"6–10 years",TRUE,"11+ years")</f>
        <v>6–10 years</v>
      </c>
    </row>
    <row r="842" spans="1:4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cm="1">
        <f t="array" ref="AJ842">_xlfn.SWITCH(CleanEmployeeData[[#This Row],[Education]],1,"Below College",2,"College",3,"Bachelor",4,"Master",5,"Doctor","Unknown")</f>
        <v>Master</v>
      </c>
      <c r="AK842" t="str" cm="1">
        <f t="array" ref="AK842">_xlfn.SWITCH(CleanEmployeeData[[#This Row],[EnvironmentSatisfaction]],1,"Low",2,"Medium",3,"High",4,"Very High","Unknown")</f>
        <v>Very High</v>
      </c>
      <c r="AL842" t="str" cm="1">
        <f t="array" ref="AL842">_xlfn.SWITCH(CleanEmployeeData[[#This Row],[JobInvolvement]],1,"Low",2,"Medium",3,"High",4,"Very High","Unknown")</f>
        <v>Medium</v>
      </c>
      <c r="AM842" t="str" cm="1">
        <f t="array" ref="AM842">_xlfn.SWITCH(CleanEmployeeData[[#This Row],[JobSatisfaction]],1,"Low",2,"Medium",3,"High",4,"Very High","Unknown")</f>
        <v>High</v>
      </c>
      <c r="AN842" t="str" cm="1">
        <f t="array" ref="AN842">_xlfn.SWITCH(CleanEmployeeData[[#This Row],[PerformanceRating]],1,"Low",2,"Good",3,"Excellent",4,"Outstanding","Unknown")</f>
        <v>Excellent</v>
      </c>
      <c r="AO842" t="str" cm="1">
        <f t="array" ref="AO842">_xlfn.SWITCH(CleanEmployeeData[[#This Row],[WorkLifeBalance]],1,"Bad",2,"Good",3,"Better",4,"Best","Unknown")</f>
        <v>Better</v>
      </c>
      <c r="AP842">
        <f>IF(CleanEmployeeData[[#This Row],[Attrition]]="Yes",1,IF(CleanEmployeeData[[#This Row],[Attrition]]="No",0,""))</f>
        <v>0</v>
      </c>
      <c r="AQ842" t="str" cm="1">
        <f t="array" ref="AQ842">_xlfn.IFS(CleanEmployeeData[[#This Row],[MonthlyIncome]]&lt;=3000,"0–3,000",CleanEmployeeData[[#This Row],[MonthlyIncome]]&lt;=6000,"3,001–6,000",CleanEmployeeData[[#This Row],[MonthlyIncome]]&lt;=10000,"6,001–10,000",TRUE,"10,001+")</f>
        <v>0–3,000</v>
      </c>
      <c r="AR842" t="str" cm="1">
        <f t="array" ref="AR842">_xlfn.IFS(CleanEmployeeData[[#This Row],[DistanceFromHome]]&lt;=5,"0–5 miles",CleanEmployeeData[[#This Row],[DistanceFromHome]]&lt;=10,"6–10 miles",CleanEmployeeData[[#This Row],[DistanceFromHome]]&lt;=15,"11–15 miles",TRUE,"16+ miles")</f>
        <v>0–5 miles</v>
      </c>
      <c r="AS842" t="str" cm="1">
        <f t="array" ref="AS842">_xlfn.IFS(CleanEmployeeData[[#This Row],[YearsAtCompany]]&lt;=1,"0–1 years",CleanEmployeeData[[#This Row],[YearsAtCompany]]&lt;=5,"2–5 years",CleanEmployeeData[[#This Row],[YearsAtCompany]]&lt;=10,"6–10 years",TRUE,"11+ years")</f>
        <v>6–10 years</v>
      </c>
    </row>
    <row r="843" spans="1:4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cm="1">
        <f t="array" ref="AJ843">_xlfn.SWITCH(CleanEmployeeData[[#This Row],[Education]],1,"Below College",2,"College",3,"Bachelor",4,"Master",5,"Doctor","Unknown")</f>
        <v>Bachelor</v>
      </c>
      <c r="AK843" t="str" cm="1">
        <f t="array" ref="AK843">_xlfn.SWITCH(CleanEmployeeData[[#This Row],[EnvironmentSatisfaction]],1,"Low",2,"Medium",3,"High",4,"Very High","Unknown")</f>
        <v>Very High</v>
      </c>
      <c r="AL843" t="str" cm="1">
        <f t="array" ref="AL843">_xlfn.SWITCH(CleanEmployeeData[[#This Row],[JobInvolvement]],1,"Low",2,"Medium",3,"High",4,"Very High","Unknown")</f>
        <v>High</v>
      </c>
      <c r="AM843" t="str" cm="1">
        <f t="array" ref="AM843">_xlfn.SWITCH(CleanEmployeeData[[#This Row],[JobSatisfaction]],1,"Low",2,"Medium",3,"High",4,"Very High","Unknown")</f>
        <v>Medium</v>
      </c>
      <c r="AN843" t="str" cm="1">
        <f t="array" ref="AN843">_xlfn.SWITCH(CleanEmployeeData[[#This Row],[PerformanceRating]],1,"Low",2,"Good",3,"Excellent",4,"Outstanding","Unknown")</f>
        <v>Outstanding</v>
      </c>
      <c r="AO843" t="str" cm="1">
        <f t="array" ref="AO843">_xlfn.SWITCH(CleanEmployeeData[[#This Row],[WorkLifeBalance]],1,"Bad",2,"Good",3,"Better",4,"Best","Unknown")</f>
        <v>Better</v>
      </c>
      <c r="AP843">
        <f>IF(CleanEmployeeData[[#This Row],[Attrition]]="Yes",1,IF(CleanEmployeeData[[#This Row],[Attrition]]="No",0,""))</f>
        <v>0</v>
      </c>
      <c r="AQ843" t="str" cm="1">
        <f t="array" ref="AQ843">_xlfn.IFS(CleanEmployeeData[[#This Row],[MonthlyIncome]]&lt;=3000,"0–3,000",CleanEmployeeData[[#This Row],[MonthlyIncome]]&lt;=6000,"3,001–6,000",CleanEmployeeData[[#This Row],[MonthlyIncome]]&lt;=10000,"6,001–10,000",TRUE,"10,001+")</f>
        <v>3,001–6,000</v>
      </c>
      <c r="AR843" t="str" cm="1">
        <f t="array" ref="AR843">_xlfn.IFS(CleanEmployeeData[[#This Row],[DistanceFromHome]]&lt;=5,"0–5 miles",CleanEmployeeData[[#This Row],[DistanceFromHome]]&lt;=10,"6–10 miles",CleanEmployeeData[[#This Row],[DistanceFromHome]]&lt;=15,"11–15 miles",TRUE,"16+ miles")</f>
        <v>16+ miles</v>
      </c>
      <c r="AS843" t="str" cm="1">
        <f t="array" ref="AS843">_xlfn.IFS(CleanEmployeeData[[#This Row],[YearsAtCompany]]&lt;=1,"0–1 years",CleanEmployeeData[[#This Row],[YearsAtCompany]]&lt;=5,"2–5 years",CleanEmployeeData[[#This Row],[YearsAtCompany]]&lt;=10,"6–10 years",TRUE,"11+ years")</f>
        <v>2–5 years</v>
      </c>
    </row>
    <row r="844" spans="1:4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cm="1">
        <f t="array" ref="AJ844">_xlfn.SWITCH(CleanEmployeeData[[#This Row],[Education]],1,"Below College",2,"College",3,"Bachelor",4,"Master",5,"Doctor","Unknown")</f>
        <v>Below College</v>
      </c>
      <c r="AK844" t="str" cm="1">
        <f t="array" ref="AK844">_xlfn.SWITCH(CleanEmployeeData[[#This Row],[EnvironmentSatisfaction]],1,"Low",2,"Medium",3,"High",4,"Very High","Unknown")</f>
        <v>High</v>
      </c>
      <c r="AL844" t="str" cm="1">
        <f t="array" ref="AL844">_xlfn.SWITCH(CleanEmployeeData[[#This Row],[JobInvolvement]],1,"Low",2,"Medium",3,"High",4,"Very High","Unknown")</f>
        <v>High</v>
      </c>
      <c r="AM844" t="str" cm="1">
        <f t="array" ref="AM844">_xlfn.SWITCH(CleanEmployeeData[[#This Row],[JobSatisfaction]],1,"Low",2,"Medium",3,"High",4,"Very High","Unknown")</f>
        <v>Very High</v>
      </c>
      <c r="AN844" t="str" cm="1">
        <f t="array" ref="AN844">_xlfn.SWITCH(CleanEmployeeData[[#This Row],[PerformanceRating]],1,"Low",2,"Good",3,"Excellent",4,"Outstanding","Unknown")</f>
        <v>Excellent</v>
      </c>
      <c r="AO844" t="str" cm="1">
        <f t="array" ref="AO844">_xlfn.SWITCH(CleanEmployeeData[[#This Row],[WorkLifeBalance]],1,"Bad",2,"Good",3,"Better",4,"Best","Unknown")</f>
        <v>Good</v>
      </c>
      <c r="AP844">
        <f>IF(CleanEmployeeData[[#This Row],[Attrition]]="Yes",1,IF(CleanEmployeeData[[#This Row],[Attrition]]="No",0,""))</f>
        <v>1</v>
      </c>
      <c r="AQ844" t="str" cm="1">
        <f t="array" ref="AQ844">_xlfn.IFS(CleanEmployeeData[[#This Row],[MonthlyIncome]]&lt;=3000,"0–3,000",CleanEmployeeData[[#This Row],[MonthlyIncome]]&lt;=6000,"3,001–6,000",CleanEmployeeData[[#This Row],[MonthlyIncome]]&lt;=10000,"6,001–10,000",TRUE,"10,001+")</f>
        <v>0–3,000</v>
      </c>
      <c r="AR844" t="str" cm="1">
        <f t="array" ref="AR844">_xlfn.IFS(CleanEmployeeData[[#This Row],[DistanceFromHome]]&lt;=5,"0–5 miles",CleanEmployeeData[[#This Row],[DistanceFromHome]]&lt;=10,"6–10 miles",CleanEmployeeData[[#This Row],[DistanceFromHome]]&lt;=15,"11–15 miles",TRUE,"16+ miles")</f>
        <v>11–15 miles</v>
      </c>
      <c r="AS844" t="str" cm="1">
        <f t="array" ref="AS844">_xlfn.IFS(CleanEmployeeData[[#This Row],[YearsAtCompany]]&lt;=1,"0–1 years",CleanEmployeeData[[#This Row],[YearsAtCompany]]&lt;=5,"2–5 years",CleanEmployeeData[[#This Row],[YearsAtCompany]]&lt;=10,"6–10 years",TRUE,"11+ years")</f>
        <v>0–1 years</v>
      </c>
    </row>
    <row r="845" spans="1:4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cm="1">
        <f t="array" ref="AJ845">_xlfn.SWITCH(CleanEmployeeData[[#This Row],[Education]],1,"Below College",2,"College",3,"Bachelor",4,"Master",5,"Doctor","Unknown")</f>
        <v>Master</v>
      </c>
      <c r="AK845" t="str" cm="1">
        <f t="array" ref="AK845">_xlfn.SWITCH(CleanEmployeeData[[#This Row],[EnvironmentSatisfaction]],1,"Low",2,"Medium",3,"High",4,"Very High","Unknown")</f>
        <v>Low</v>
      </c>
      <c r="AL845" t="str" cm="1">
        <f t="array" ref="AL845">_xlfn.SWITCH(CleanEmployeeData[[#This Row],[JobInvolvement]],1,"Low",2,"Medium",3,"High",4,"Very High","Unknown")</f>
        <v>Very High</v>
      </c>
      <c r="AM845" t="str" cm="1">
        <f t="array" ref="AM845">_xlfn.SWITCH(CleanEmployeeData[[#This Row],[JobSatisfaction]],1,"Low",2,"Medium",3,"High",4,"Very High","Unknown")</f>
        <v>Very High</v>
      </c>
      <c r="AN845" t="str" cm="1">
        <f t="array" ref="AN845">_xlfn.SWITCH(CleanEmployeeData[[#This Row],[PerformanceRating]],1,"Low",2,"Good",3,"Excellent",4,"Outstanding","Unknown")</f>
        <v>Outstanding</v>
      </c>
      <c r="AO845" t="str" cm="1">
        <f t="array" ref="AO845">_xlfn.SWITCH(CleanEmployeeData[[#This Row],[WorkLifeBalance]],1,"Bad",2,"Good",3,"Better",4,"Best","Unknown")</f>
        <v>Better</v>
      </c>
      <c r="AP845">
        <f>IF(CleanEmployeeData[[#This Row],[Attrition]]="Yes",1,IF(CleanEmployeeData[[#This Row],[Attrition]]="No",0,""))</f>
        <v>0</v>
      </c>
      <c r="AQ845" t="str" cm="1">
        <f t="array" ref="AQ845">_xlfn.IFS(CleanEmployeeData[[#This Row],[MonthlyIncome]]&lt;=3000,"0–3,000",CleanEmployeeData[[#This Row],[MonthlyIncome]]&lt;=6000,"3,001–6,000",CleanEmployeeData[[#This Row],[MonthlyIncome]]&lt;=10000,"6,001–10,000",TRUE,"10,001+")</f>
        <v>3,001–6,000</v>
      </c>
      <c r="AR845" t="str" cm="1">
        <f t="array" ref="AR845">_xlfn.IFS(CleanEmployeeData[[#This Row],[DistanceFromHome]]&lt;=5,"0–5 miles",CleanEmployeeData[[#This Row],[DistanceFromHome]]&lt;=10,"6–10 miles",CleanEmployeeData[[#This Row],[DistanceFromHome]]&lt;=15,"11–15 miles",TRUE,"16+ miles")</f>
        <v>0–5 miles</v>
      </c>
      <c r="AS845" t="str" cm="1">
        <f t="array" ref="AS845">_xlfn.IFS(CleanEmployeeData[[#This Row],[YearsAtCompany]]&lt;=1,"0–1 years",CleanEmployeeData[[#This Row],[YearsAtCompany]]&lt;=5,"2–5 years",CleanEmployeeData[[#This Row],[YearsAtCompany]]&lt;=10,"6–10 years",TRUE,"11+ years")</f>
        <v>6–10 years</v>
      </c>
    </row>
    <row r="846" spans="1:4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cm="1">
        <f t="array" ref="AJ846">_xlfn.SWITCH(CleanEmployeeData[[#This Row],[Education]],1,"Below College",2,"College",3,"Bachelor",4,"Master",5,"Doctor","Unknown")</f>
        <v>Bachelor</v>
      </c>
      <c r="AK846" t="str" cm="1">
        <f t="array" ref="AK846">_xlfn.SWITCH(CleanEmployeeData[[#This Row],[EnvironmentSatisfaction]],1,"Low",2,"Medium",3,"High",4,"Very High","Unknown")</f>
        <v>High</v>
      </c>
      <c r="AL846" t="str" cm="1">
        <f t="array" ref="AL846">_xlfn.SWITCH(CleanEmployeeData[[#This Row],[JobInvolvement]],1,"Low",2,"Medium",3,"High",4,"Very High","Unknown")</f>
        <v>Medium</v>
      </c>
      <c r="AM846" t="str" cm="1">
        <f t="array" ref="AM846">_xlfn.SWITCH(CleanEmployeeData[[#This Row],[JobSatisfaction]],1,"Low",2,"Medium",3,"High",4,"Very High","Unknown")</f>
        <v>High</v>
      </c>
      <c r="AN846" t="str" cm="1">
        <f t="array" ref="AN846">_xlfn.SWITCH(CleanEmployeeData[[#This Row],[PerformanceRating]],1,"Low",2,"Good",3,"Excellent",4,"Outstanding","Unknown")</f>
        <v>Excellent</v>
      </c>
      <c r="AO846" t="str" cm="1">
        <f t="array" ref="AO846">_xlfn.SWITCH(CleanEmployeeData[[#This Row],[WorkLifeBalance]],1,"Bad",2,"Good",3,"Better",4,"Best","Unknown")</f>
        <v>Better</v>
      </c>
      <c r="AP846">
        <f>IF(CleanEmployeeData[[#This Row],[Attrition]]="Yes",1,IF(CleanEmployeeData[[#This Row],[Attrition]]="No",0,""))</f>
        <v>0</v>
      </c>
      <c r="AQ846" t="str" cm="1">
        <f t="array" ref="AQ846">_xlfn.IFS(CleanEmployeeData[[#This Row],[MonthlyIncome]]&lt;=3000,"0–3,000",CleanEmployeeData[[#This Row],[MonthlyIncome]]&lt;=6000,"3,001–6,000",CleanEmployeeData[[#This Row],[MonthlyIncome]]&lt;=10000,"6,001–10,000",TRUE,"10,001+")</f>
        <v>6,001–10,000</v>
      </c>
      <c r="AR846" t="str" cm="1">
        <f t="array" ref="AR846">_xlfn.IFS(CleanEmployeeData[[#This Row],[DistanceFromHome]]&lt;=5,"0–5 miles",CleanEmployeeData[[#This Row],[DistanceFromHome]]&lt;=10,"6–10 miles",CleanEmployeeData[[#This Row],[DistanceFromHome]]&lt;=15,"11–15 miles",TRUE,"16+ miles")</f>
        <v>6–10 miles</v>
      </c>
      <c r="AS846" t="str" cm="1">
        <f t="array" ref="AS846">_xlfn.IFS(CleanEmployeeData[[#This Row],[YearsAtCompany]]&lt;=1,"0–1 years",CleanEmployeeData[[#This Row],[YearsAtCompany]]&lt;=5,"2–5 years",CleanEmployeeData[[#This Row],[YearsAtCompany]]&lt;=10,"6–10 years",TRUE,"11+ years")</f>
        <v>6–10 years</v>
      </c>
    </row>
    <row r="847" spans="1:4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cm="1">
        <f t="array" ref="AJ847">_xlfn.SWITCH(CleanEmployeeData[[#This Row],[Education]],1,"Below College",2,"College",3,"Bachelor",4,"Master",5,"Doctor","Unknown")</f>
        <v>College</v>
      </c>
      <c r="AK847" t="str" cm="1">
        <f t="array" ref="AK847">_xlfn.SWITCH(CleanEmployeeData[[#This Row],[EnvironmentSatisfaction]],1,"Low",2,"Medium",3,"High",4,"Very High","Unknown")</f>
        <v>High</v>
      </c>
      <c r="AL847" t="str" cm="1">
        <f t="array" ref="AL847">_xlfn.SWITCH(CleanEmployeeData[[#This Row],[JobInvolvement]],1,"Low",2,"Medium",3,"High",4,"Very High","Unknown")</f>
        <v>Medium</v>
      </c>
      <c r="AM847" t="str" cm="1">
        <f t="array" ref="AM847">_xlfn.SWITCH(CleanEmployeeData[[#This Row],[JobSatisfaction]],1,"Low",2,"Medium",3,"High",4,"Very High","Unknown")</f>
        <v>Very High</v>
      </c>
      <c r="AN847" t="str" cm="1">
        <f t="array" ref="AN847">_xlfn.SWITCH(CleanEmployeeData[[#This Row],[PerformanceRating]],1,"Low",2,"Good",3,"Excellent",4,"Outstanding","Unknown")</f>
        <v>Excellent</v>
      </c>
      <c r="AO847" t="str" cm="1">
        <f t="array" ref="AO847">_xlfn.SWITCH(CleanEmployeeData[[#This Row],[WorkLifeBalance]],1,"Bad",2,"Good",3,"Better",4,"Best","Unknown")</f>
        <v>Bad</v>
      </c>
      <c r="AP847">
        <f>IF(CleanEmployeeData[[#This Row],[Attrition]]="Yes",1,IF(CleanEmployeeData[[#This Row],[Attrition]]="No",0,""))</f>
        <v>0</v>
      </c>
      <c r="AQ847" t="str" cm="1">
        <f t="array" ref="AQ847">_xlfn.IFS(CleanEmployeeData[[#This Row],[MonthlyIncome]]&lt;=3000,"0–3,000",CleanEmployeeData[[#This Row],[MonthlyIncome]]&lt;=6000,"3,001–6,000",CleanEmployeeData[[#This Row],[MonthlyIncome]]&lt;=10000,"6,001–10,000",TRUE,"10,001+")</f>
        <v>3,001–6,000</v>
      </c>
      <c r="AR847" t="str" cm="1">
        <f t="array" ref="AR847">_xlfn.IFS(CleanEmployeeData[[#This Row],[DistanceFromHome]]&lt;=5,"0–5 miles",CleanEmployeeData[[#This Row],[DistanceFromHome]]&lt;=10,"6–10 miles",CleanEmployeeData[[#This Row],[DistanceFromHome]]&lt;=15,"11–15 miles",TRUE,"16+ miles")</f>
        <v>16+ miles</v>
      </c>
      <c r="AS847" t="str" cm="1">
        <f t="array" ref="AS847">_xlfn.IFS(CleanEmployeeData[[#This Row],[YearsAtCompany]]&lt;=1,"0–1 years",CleanEmployeeData[[#This Row],[YearsAtCompany]]&lt;=5,"2–5 years",CleanEmployeeData[[#This Row],[YearsAtCompany]]&lt;=10,"6–10 years",TRUE,"11+ years")</f>
        <v>0–1 years</v>
      </c>
    </row>
    <row r="848" spans="1:4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cm="1">
        <f t="array" ref="AJ848">_xlfn.SWITCH(CleanEmployeeData[[#This Row],[Education]],1,"Below College",2,"College",3,"Bachelor",4,"Master",5,"Doctor","Unknown")</f>
        <v>Bachelor</v>
      </c>
      <c r="AK848" t="str" cm="1">
        <f t="array" ref="AK848">_xlfn.SWITCH(CleanEmployeeData[[#This Row],[EnvironmentSatisfaction]],1,"Low",2,"Medium",3,"High",4,"Very High","Unknown")</f>
        <v>High</v>
      </c>
      <c r="AL848" t="str" cm="1">
        <f t="array" ref="AL848">_xlfn.SWITCH(CleanEmployeeData[[#This Row],[JobInvolvement]],1,"Low",2,"Medium",3,"High",4,"Very High","Unknown")</f>
        <v>Medium</v>
      </c>
      <c r="AM848" t="str" cm="1">
        <f t="array" ref="AM848">_xlfn.SWITCH(CleanEmployeeData[[#This Row],[JobSatisfaction]],1,"Low",2,"Medium",3,"High",4,"Very High","Unknown")</f>
        <v>Medium</v>
      </c>
      <c r="AN848" t="str" cm="1">
        <f t="array" ref="AN848">_xlfn.SWITCH(CleanEmployeeData[[#This Row],[PerformanceRating]],1,"Low",2,"Good",3,"Excellent",4,"Outstanding","Unknown")</f>
        <v>Excellent</v>
      </c>
      <c r="AO848" t="str" cm="1">
        <f t="array" ref="AO848">_xlfn.SWITCH(CleanEmployeeData[[#This Row],[WorkLifeBalance]],1,"Bad",2,"Good",3,"Better",4,"Best","Unknown")</f>
        <v>Best</v>
      </c>
      <c r="AP848">
        <f>IF(CleanEmployeeData[[#This Row],[Attrition]]="Yes",1,IF(CleanEmployeeData[[#This Row],[Attrition]]="No",0,""))</f>
        <v>0</v>
      </c>
      <c r="AQ848" t="str" cm="1">
        <f t="array" ref="AQ848">_xlfn.IFS(CleanEmployeeData[[#This Row],[MonthlyIncome]]&lt;=3000,"0–3,000",CleanEmployeeData[[#This Row],[MonthlyIncome]]&lt;=6000,"3,001–6,000",CleanEmployeeData[[#This Row],[MonthlyIncome]]&lt;=10000,"6,001–10,000",TRUE,"10,001+")</f>
        <v>10,001+</v>
      </c>
      <c r="AR848" t="str" cm="1">
        <f t="array" ref="AR848">_xlfn.IFS(CleanEmployeeData[[#This Row],[DistanceFromHome]]&lt;=5,"0–5 miles",CleanEmployeeData[[#This Row],[DistanceFromHome]]&lt;=10,"6–10 miles",CleanEmployeeData[[#This Row],[DistanceFromHome]]&lt;=15,"11–15 miles",TRUE,"16+ miles")</f>
        <v>0–5 miles</v>
      </c>
      <c r="AS848" t="str" cm="1">
        <f t="array" ref="AS848">_xlfn.IFS(CleanEmployeeData[[#This Row],[YearsAtCompany]]&lt;=1,"0–1 years",CleanEmployeeData[[#This Row],[YearsAtCompany]]&lt;=5,"2–5 years",CleanEmployeeData[[#This Row],[YearsAtCompany]]&lt;=10,"6–10 years",TRUE,"11+ years")</f>
        <v>6–10 years</v>
      </c>
    </row>
    <row r="849" spans="1:4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cm="1">
        <f t="array" ref="AJ849">_xlfn.SWITCH(CleanEmployeeData[[#This Row],[Education]],1,"Below College",2,"College",3,"Bachelor",4,"Master",5,"Doctor","Unknown")</f>
        <v>Bachelor</v>
      </c>
      <c r="AK849" t="str" cm="1">
        <f t="array" ref="AK849">_xlfn.SWITCH(CleanEmployeeData[[#This Row],[EnvironmentSatisfaction]],1,"Low",2,"Medium",3,"High",4,"Very High","Unknown")</f>
        <v>Very High</v>
      </c>
      <c r="AL849" t="str" cm="1">
        <f t="array" ref="AL849">_xlfn.SWITCH(CleanEmployeeData[[#This Row],[JobInvolvement]],1,"Low",2,"Medium",3,"High",4,"Very High","Unknown")</f>
        <v>Medium</v>
      </c>
      <c r="AM849" t="str" cm="1">
        <f t="array" ref="AM849">_xlfn.SWITCH(CleanEmployeeData[[#This Row],[JobSatisfaction]],1,"Low",2,"Medium",3,"High",4,"Very High","Unknown")</f>
        <v>Low</v>
      </c>
      <c r="AN849" t="str" cm="1">
        <f t="array" ref="AN849">_xlfn.SWITCH(CleanEmployeeData[[#This Row],[PerformanceRating]],1,"Low",2,"Good",3,"Excellent",4,"Outstanding","Unknown")</f>
        <v>Outstanding</v>
      </c>
      <c r="AO849" t="str" cm="1">
        <f t="array" ref="AO849">_xlfn.SWITCH(CleanEmployeeData[[#This Row],[WorkLifeBalance]],1,"Bad",2,"Good",3,"Better",4,"Best","Unknown")</f>
        <v>Better</v>
      </c>
      <c r="AP849">
        <f>IF(CleanEmployeeData[[#This Row],[Attrition]]="Yes",1,IF(CleanEmployeeData[[#This Row],[Attrition]]="No",0,""))</f>
        <v>0</v>
      </c>
      <c r="AQ849" t="str" cm="1">
        <f t="array" ref="AQ849">_xlfn.IFS(CleanEmployeeData[[#This Row],[MonthlyIncome]]&lt;=3000,"0–3,000",CleanEmployeeData[[#This Row],[MonthlyIncome]]&lt;=6000,"3,001–6,000",CleanEmployeeData[[#This Row],[MonthlyIncome]]&lt;=10000,"6,001–10,000",TRUE,"10,001+")</f>
        <v>3,001–6,000</v>
      </c>
      <c r="AR849" t="str" cm="1">
        <f t="array" ref="AR849">_xlfn.IFS(CleanEmployeeData[[#This Row],[DistanceFromHome]]&lt;=5,"0–5 miles",CleanEmployeeData[[#This Row],[DistanceFromHome]]&lt;=10,"6–10 miles",CleanEmployeeData[[#This Row],[DistanceFromHome]]&lt;=15,"11–15 miles",TRUE,"16+ miles")</f>
        <v>0–5 miles</v>
      </c>
      <c r="AS849" t="str" cm="1">
        <f t="array" ref="AS849">_xlfn.IFS(CleanEmployeeData[[#This Row],[YearsAtCompany]]&lt;=1,"0–1 years",CleanEmployeeData[[#This Row],[YearsAtCompany]]&lt;=5,"2–5 years",CleanEmployeeData[[#This Row],[YearsAtCompany]]&lt;=10,"6–10 years",TRUE,"11+ years")</f>
        <v>11+ years</v>
      </c>
    </row>
    <row r="850" spans="1:4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cm="1">
        <f t="array" ref="AJ850">_xlfn.SWITCH(CleanEmployeeData[[#This Row],[Education]],1,"Below College",2,"College",3,"Bachelor",4,"Master",5,"Doctor","Unknown")</f>
        <v>Master</v>
      </c>
      <c r="AK850" t="str" cm="1">
        <f t="array" ref="AK850">_xlfn.SWITCH(CleanEmployeeData[[#This Row],[EnvironmentSatisfaction]],1,"Low",2,"Medium",3,"High",4,"Very High","Unknown")</f>
        <v>Very High</v>
      </c>
      <c r="AL850" t="str" cm="1">
        <f t="array" ref="AL850">_xlfn.SWITCH(CleanEmployeeData[[#This Row],[JobInvolvement]],1,"Low",2,"Medium",3,"High",4,"Very High","Unknown")</f>
        <v>Medium</v>
      </c>
      <c r="AM850" t="str" cm="1">
        <f t="array" ref="AM850">_xlfn.SWITCH(CleanEmployeeData[[#This Row],[JobSatisfaction]],1,"Low",2,"Medium",3,"High",4,"Very High","Unknown")</f>
        <v>Very High</v>
      </c>
      <c r="AN850" t="str" cm="1">
        <f t="array" ref="AN850">_xlfn.SWITCH(CleanEmployeeData[[#This Row],[PerformanceRating]],1,"Low",2,"Good",3,"Excellent",4,"Outstanding","Unknown")</f>
        <v>Excellent</v>
      </c>
      <c r="AO850" t="str" cm="1">
        <f t="array" ref="AO850">_xlfn.SWITCH(CleanEmployeeData[[#This Row],[WorkLifeBalance]],1,"Bad",2,"Good",3,"Better",4,"Best","Unknown")</f>
        <v>Best</v>
      </c>
      <c r="AP850">
        <f>IF(CleanEmployeeData[[#This Row],[Attrition]]="Yes",1,IF(CleanEmployeeData[[#This Row],[Attrition]]="No",0,""))</f>
        <v>0</v>
      </c>
      <c r="AQ850" t="str" cm="1">
        <f t="array" ref="AQ850">_xlfn.IFS(CleanEmployeeData[[#This Row],[MonthlyIncome]]&lt;=3000,"0–3,000",CleanEmployeeData[[#This Row],[MonthlyIncome]]&lt;=6000,"3,001–6,000",CleanEmployeeData[[#This Row],[MonthlyIncome]]&lt;=10000,"6,001–10,000",TRUE,"10,001+")</f>
        <v>0–3,000</v>
      </c>
      <c r="AR850" t="str" cm="1">
        <f t="array" ref="AR850">_xlfn.IFS(CleanEmployeeData[[#This Row],[DistanceFromHome]]&lt;=5,"0–5 miles",CleanEmployeeData[[#This Row],[DistanceFromHome]]&lt;=10,"6–10 miles",CleanEmployeeData[[#This Row],[DistanceFromHome]]&lt;=15,"11–15 miles",TRUE,"16+ miles")</f>
        <v>0–5 miles</v>
      </c>
      <c r="AS850" t="str" cm="1">
        <f t="array" ref="AS850">_xlfn.IFS(CleanEmployeeData[[#This Row],[YearsAtCompany]]&lt;=1,"0–1 years",CleanEmployeeData[[#This Row],[YearsAtCompany]]&lt;=5,"2–5 years",CleanEmployeeData[[#This Row],[YearsAtCompany]]&lt;=10,"6–10 years",TRUE,"11+ years")</f>
        <v>2–5 years</v>
      </c>
    </row>
    <row r="851" spans="1:4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cm="1">
        <f t="array" ref="AJ851">_xlfn.SWITCH(CleanEmployeeData[[#This Row],[Education]],1,"Below College",2,"College",3,"Bachelor",4,"Master",5,"Doctor","Unknown")</f>
        <v>Bachelor</v>
      </c>
      <c r="AK851" t="str" cm="1">
        <f t="array" ref="AK851">_xlfn.SWITCH(CleanEmployeeData[[#This Row],[EnvironmentSatisfaction]],1,"Low",2,"Medium",3,"High",4,"Very High","Unknown")</f>
        <v>Low</v>
      </c>
      <c r="AL851" t="str" cm="1">
        <f t="array" ref="AL851">_xlfn.SWITCH(CleanEmployeeData[[#This Row],[JobInvolvement]],1,"Low",2,"Medium",3,"High",4,"Very High","Unknown")</f>
        <v>Low</v>
      </c>
      <c r="AM851" t="str" cm="1">
        <f t="array" ref="AM851">_xlfn.SWITCH(CleanEmployeeData[[#This Row],[JobSatisfaction]],1,"Low",2,"Medium",3,"High",4,"Very High","Unknown")</f>
        <v>High</v>
      </c>
      <c r="AN851" t="str" cm="1">
        <f t="array" ref="AN851">_xlfn.SWITCH(CleanEmployeeData[[#This Row],[PerformanceRating]],1,"Low",2,"Good",3,"Excellent",4,"Outstanding","Unknown")</f>
        <v>Excellent</v>
      </c>
      <c r="AO851" t="str" cm="1">
        <f t="array" ref="AO851">_xlfn.SWITCH(CleanEmployeeData[[#This Row],[WorkLifeBalance]],1,"Bad",2,"Good",3,"Better",4,"Best","Unknown")</f>
        <v>Good</v>
      </c>
      <c r="AP851">
        <f>IF(CleanEmployeeData[[#This Row],[Attrition]]="Yes",1,IF(CleanEmployeeData[[#This Row],[Attrition]]="No",0,""))</f>
        <v>1</v>
      </c>
      <c r="AQ851" t="str" cm="1">
        <f t="array" ref="AQ851">_xlfn.IFS(CleanEmployeeData[[#This Row],[MonthlyIncome]]&lt;=3000,"0–3,000",CleanEmployeeData[[#This Row],[MonthlyIncome]]&lt;=6000,"3,001–6,000",CleanEmployeeData[[#This Row],[MonthlyIncome]]&lt;=10000,"6,001–10,000",TRUE,"10,001+")</f>
        <v>3,001–6,000</v>
      </c>
      <c r="AR851" t="str" cm="1">
        <f t="array" ref="AR851">_xlfn.IFS(CleanEmployeeData[[#This Row],[DistanceFromHome]]&lt;=5,"0–5 miles",CleanEmployeeData[[#This Row],[DistanceFromHome]]&lt;=10,"6–10 miles",CleanEmployeeData[[#This Row],[DistanceFromHome]]&lt;=15,"11–15 miles",TRUE,"16+ miles")</f>
        <v>6–10 miles</v>
      </c>
      <c r="AS851" t="str" cm="1">
        <f t="array" ref="AS851">_xlfn.IFS(CleanEmployeeData[[#This Row],[YearsAtCompany]]&lt;=1,"0–1 years",CleanEmployeeData[[#This Row],[YearsAtCompany]]&lt;=5,"2–5 years",CleanEmployeeData[[#This Row],[YearsAtCompany]]&lt;=10,"6–10 years",TRUE,"11+ years")</f>
        <v>2–5 years</v>
      </c>
    </row>
    <row r="852" spans="1:4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cm="1">
        <f t="array" ref="AJ852">_xlfn.SWITCH(CleanEmployeeData[[#This Row],[Education]],1,"Below College",2,"College",3,"Bachelor",4,"Master",5,"Doctor","Unknown")</f>
        <v>Below College</v>
      </c>
      <c r="AK852" t="str" cm="1">
        <f t="array" ref="AK852">_xlfn.SWITCH(CleanEmployeeData[[#This Row],[EnvironmentSatisfaction]],1,"Low",2,"Medium",3,"High",4,"Very High","Unknown")</f>
        <v>High</v>
      </c>
      <c r="AL852" t="str" cm="1">
        <f t="array" ref="AL852">_xlfn.SWITCH(CleanEmployeeData[[#This Row],[JobInvolvement]],1,"Low",2,"Medium",3,"High",4,"Very High","Unknown")</f>
        <v>High</v>
      </c>
      <c r="AM852" t="str" cm="1">
        <f t="array" ref="AM852">_xlfn.SWITCH(CleanEmployeeData[[#This Row],[JobSatisfaction]],1,"Low",2,"Medium",3,"High",4,"Very High","Unknown")</f>
        <v>Low</v>
      </c>
      <c r="AN852" t="str" cm="1">
        <f t="array" ref="AN852">_xlfn.SWITCH(CleanEmployeeData[[#This Row],[PerformanceRating]],1,"Low",2,"Good",3,"Excellent",4,"Outstanding","Unknown")</f>
        <v>Excellent</v>
      </c>
      <c r="AO852" t="str" cm="1">
        <f t="array" ref="AO852">_xlfn.SWITCH(CleanEmployeeData[[#This Row],[WorkLifeBalance]],1,"Bad",2,"Good",3,"Better",4,"Best","Unknown")</f>
        <v>Better</v>
      </c>
      <c r="AP852">
        <f>IF(CleanEmployeeData[[#This Row],[Attrition]]="Yes",1,IF(CleanEmployeeData[[#This Row],[Attrition]]="No",0,""))</f>
        <v>0</v>
      </c>
      <c r="AQ852" t="str" cm="1">
        <f t="array" ref="AQ852">_xlfn.IFS(CleanEmployeeData[[#This Row],[MonthlyIncome]]&lt;=3000,"0–3,000",CleanEmployeeData[[#This Row],[MonthlyIncome]]&lt;=6000,"3,001–6,000",CleanEmployeeData[[#This Row],[MonthlyIncome]]&lt;=10000,"6,001–10,000",TRUE,"10,001+")</f>
        <v>0–3,000</v>
      </c>
      <c r="AR852" t="str" cm="1">
        <f t="array" ref="AR852">_xlfn.IFS(CleanEmployeeData[[#This Row],[DistanceFromHome]]&lt;=5,"0–5 miles",CleanEmployeeData[[#This Row],[DistanceFromHome]]&lt;=10,"6–10 miles",CleanEmployeeData[[#This Row],[DistanceFromHome]]&lt;=15,"11–15 miles",TRUE,"16+ miles")</f>
        <v>0–5 miles</v>
      </c>
      <c r="AS852" t="str" cm="1">
        <f t="array" ref="AS852">_xlfn.IFS(CleanEmployeeData[[#This Row],[YearsAtCompany]]&lt;=1,"0–1 years",CleanEmployeeData[[#This Row],[YearsAtCompany]]&lt;=5,"2–5 years",CleanEmployeeData[[#This Row],[YearsAtCompany]]&lt;=10,"6–10 years",TRUE,"11+ years")</f>
        <v>0–1 years</v>
      </c>
    </row>
    <row r="853" spans="1:4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cm="1">
        <f t="array" ref="AJ853">_xlfn.SWITCH(CleanEmployeeData[[#This Row],[Education]],1,"Below College",2,"College",3,"Bachelor",4,"Master",5,"Doctor","Unknown")</f>
        <v>Master</v>
      </c>
      <c r="AK853" t="str" cm="1">
        <f t="array" ref="AK853">_xlfn.SWITCH(CleanEmployeeData[[#This Row],[EnvironmentSatisfaction]],1,"Low",2,"Medium",3,"High",4,"Very High","Unknown")</f>
        <v>Very High</v>
      </c>
      <c r="AL853" t="str" cm="1">
        <f t="array" ref="AL853">_xlfn.SWITCH(CleanEmployeeData[[#This Row],[JobInvolvement]],1,"Low",2,"Medium",3,"High",4,"Very High","Unknown")</f>
        <v>High</v>
      </c>
      <c r="AM853" t="str" cm="1">
        <f t="array" ref="AM853">_xlfn.SWITCH(CleanEmployeeData[[#This Row],[JobSatisfaction]],1,"Low",2,"Medium",3,"High",4,"Very High","Unknown")</f>
        <v>Low</v>
      </c>
      <c r="AN853" t="str" cm="1">
        <f t="array" ref="AN853">_xlfn.SWITCH(CleanEmployeeData[[#This Row],[PerformanceRating]],1,"Low",2,"Good",3,"Excellent",4,"Outstanding","Unknown")</f>
        <v>Excellent</v>
      </c>
      <c r="AO853" t="str" cm="1">
        <f t="array" ref="AO853">_xlfn.SWITCH(CleanEmployeeData[[#This Row],[WorkLifeBalance]],1,"Bad",2,"Good",3,"Better",4,"Best","Unknown")</f>
        <v>Better</v>
      </c>
      <c r="AP853">
        <f>IF(CleanEmployeeData[[#This Row],[Attrition]]="Yes",1,IF(CleanEmployeeData[[#This Row],[Attrition]]="No",0,""))</f>
        <v>0</v>
      </c>
      <c r="AQ853" t="str" cm="1">
        <f t="array" ref="AQ853">_xlfn.IFS(CleanEmployeeData[[#This Row],[MonthlyIncome]]&lt;=3000,"0–3,000",CleanEmployeeData[[#This Row],[MonthlyIncome]]&lt;=6000,"3,001–6,000",CleanEmployeeData[[#This Row],[MonthlyIncome]]&lt;=10000,"6,001–10,000",TRUE,"10,001+")</f>
        <v>10,001+</v>
      </c>
      <c r="AR853" t="str" cm="1">
        <f t="array" ref="AR853">_xlfn.IFS(CleanEmployeeData[[#This Row],[DistanceFromHome]]&lt;=5,"0–5 miles",CleanEmployeeData[[#This Row],[DistanceFromHome]]&lt;=10,"6–10 miles",CleanEmployeeData[[#This Row],[DistanceFromHome]]&lt;=15,"11–15 miles",TRUE,"16+ miles")</f>
        <v>0–5 miles</v>
      </c>
      <c r="AS853" t="str" cm="1">
        <f t="array" ref="AS853">_xlfn.IFS(CleanEmployeeData[[#This Row],[YearsAtCompany]]&lt;=1,"0–1 years",CleanEmployeeData[[#This Row],[YearsAtCompany]]&lt;=5,"2–5 years",CleanEmployeeData[[#This Row],[YearsAtCompany]]&lt;=10,"6–10 years",TRUE,"11+ years")</f>
        <v>2–5 years</v>
      </c>
    </row>
    <row r="854" spans="1:4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cm="1">
        <f t="array" ref="AJ854">_xlfn.SWITCH(CleanEmployeeData[[#This Row],[Education]],1,"Below College",2,"College",3,"Bachelor",4,"Master",5,"Doctor","Unknown")</f>
        <v>Below College</v>
      </c>
      <c r="AK854" t="str" cm="1">
        <f t="array" ref="AK854">_xlfn.SWITCH(CleanEmployeeData[[#This Row],[EnvironmentSatisfaction]],1,"Low",2,"Medium",3,"High",4,"Very High","Unknown")</f>
        <v>Medium</v>
      </c>
      <c r="AL854" t="str" cm="1">
        <f t="array" ref="AL854">_xlfn.SWITCH(CleanEmployeeData[[#This Row],[JobInvolvement]],1,"Low",2,"Medium",3,"High",4,"Very High","Unknown")</f>
        <v>High</v>
      </c>
      <c r="AM854" t="str" cm="1">
        <f t="array" ref="AM854">_xlfn.SWITCH(CleanEmployeeData[[#This Row],[JobSatisfaction]],1,"Low",2,"Medium",3,"High",4,"Very High","Unknown")</f>
        <v>Very High</v>
      </c>
      <c r="AN854" t="str" cm="1">
        <f t="array" ref="AN854">_xlfn.SWITCH(CleanEmployeeData[[#This Row],[PerformanceRating]],1,"Low",2,"Good",3,"Excellent",4,"Outstanding","Unknown")</f>
        <v>Excellent</v>
      </c>
      <c r="AO854" t="str" cm="1">
        <f t="array" ref="AO854">_xlfn.SWITCH(CleanEmployeeData[[#This Row],[WorkLifeBalance]],1,"Bad",2,"Good",3,"Better",4,"Best","Unknown")</f>
        <v>Better</v>
      </c>
      <c r="AP854">
        <f>IF(CleanEmployeeData[[#This Row],[Attrition]]="Yes",1,IF(CleanEmployeeData[[#This Row],[Attrition]]="No",0,""))</f>
        <v>0</v>
      </c>
      <c r="AQ854" t="str" cm="1">
        <f t="array" ref="AQ854">_xlfn.IFS(CleanEmployeeData[[#This Row],[MonthlyIncome]]&lt;=3000,"0–3,000",CleanEmployeeData[[#This Row],[MonthlyIncome]]&lt;=6000,"3,001–6,000",CleanEmployeeData[[#This Row],[MonthlyIncome]]&lt;=10000,"6,001–10,000",TRUE,"10,001+")</f>
        <v>3,001–6,000</v>
      </c>
      <c r="AR854" t="str" cm="1">
        <f t="array" ref="AR854">_xlfn.IFS(CleanEmployeeData[[#This Row],[DistanceFromHome]]&lt;=5,"0–5 miles",CleanEmployeeData[[#This Row],[DistanceFromHome]]&lt;=10,"6–10 miles",CleanEmployeeData[[#This Row],[DistanceFromHome]]&lt;=15,"11–15 miles",TRUE,"16+ miles")</f>
        <v>6–10 miles</v>
      </c>
      <c r="AS854" t="str" cm="1">
        <f t="array" ref="AS854">_xlfn.IFS(CleanEmployeeData[[#This Row],[YearsAtCompany]]&lt;=1,"0–1 years",CleanEmployeeData[[#This Row],[YearsAtCompany]]&lt;=5,"2–5 years",CleanEmployeeData[[#This Row],[YearsAtCompany]]&lt;=10,"6–10 years",TRUE,"11+ years")</f>
        <v>6–10 years</v>
      </c>
    </row>
    <row r="855" spans="1:4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cm="1">
        <f t="array" ref="AJ855">_xlfn.SWITCH(CleanEmployeeData[[#This Row],[Education]],1,"Below College",2,"College",3,"Bachelor",4,"Master",5,"Doctor","Unknown")</f>
        <v>College</v>
      </c>
      <c r="AK855" t="str" cm="1">
        <f t="array" ref="AK855">_xlfn.SWITCH(CleanEmployeeData[[#This Row],[EnvironmentSatisfaction]],1,"Low",2,"Medium",3,"High",4,"Very High","Unknown")</f>
        <v>High</v>
      </c>
      <c r="AL855" t="str" cm="1">
        <f t="array" ref="AL855">_xlfn.SWITCH(CleanEmployeeData[[#This Row],[JobInvolvement]],1,"Low",2,"Medium",3,"High",4,"Very High","Unknown")</f>
        <v>High</v>
      </c>
      <c r="AM855" t="str" cm="1">
        <f t="array" ref="AM855">_xlfn.SWITCH(CleanEmployeeData[[#This Row],[JobSatisfaction]],1,"Low",2,"Medium",3,"High",4,"Very High","Unknown")</f>
        <v>Low</v>
      </c>
      <c r="AN855" t="str" cm="1">
        <f t="array" ref="AN855">_xlfn.SWITCH(CleanEmployeeData[[#This Row],[PerformanceRating]],1,"Low",2,"Good",3,"Excellent",4,"Outstanding","Unknown")</f>
        <v>Outstanding</v>
      </c>
      <c r="AO855" t="str" cm="1">
        <f t="array" ref="AO855">_xlfn.SWITCH(CleanEmployeeData[[#This Row],[WorkLifeBalance]],1,"Bad",2,"Good",3,"Better",4,"Best","Unknown")</f>
        <v>Better</v>
      </c>
      <c r="AP855">
        <f>IF(CleanEmployeeData[[#This Row],[Attrition]]="Yes",1,IF(CleanEmployeeData[[#This Row],[Attrition]]="No",0,""))</f>
        <v>0</v>
      </c>
      <c r="AQ855" t="str" cm="1">
        <f t="array" ref="AQ855">_xlfn.IFS(CleanEmployeeData[[#This Row],[MonthlyIncome]]&lt;=3000,"0–3,000",CleanEmployeeData[[#This Row],[MonthlyIncome]]&lt;=6000,"3,001–6,000",CleanEmployeeData[[#This Row],[MonthlyIncome]]&lt;=10000,"6,001–10,000",TRUE,"10,001+")</f>
        <v>0–3,000</v>
      </c>
      <c r="AR855" t="str" cm="1">
        <f t="array" ref="AR855">_xlfn.IFS(CleanEmployeeData[[#This Row],[DistanceFromHome]]&lt;=5,"0–5 miles",CleanEmployeeData[[#This Row],[DistanceFromHome]]&lt;=10,"6–10 miles",CleanEmployeeData[[#This Row],[DistanceFromHome]]&lt;=15,"11–15 miles",TRUE,"16+ miles")</f>
        <v>6–10 miles</v>
      </c>
      <c r="AS855" t="str" cm="1">
        <f t="array" ref="AS855">_xlfn.IFS(CleanEmployeeData[[#This Row],[YearsAtCompany]]&lt;=1,"0–1 years",CleanEmployeeData[[#This Row],[YearsAtCompany]]&lt;=5,"2–5 years",CleanEmployeeData[[#This Row],[YearsAtCompany]]&lt;=10,"6–10 years",TRUE,"11+ years")</f>
        <v>0–1 years</v>
      </c>
    </row>
    <row r="856" spans="1:4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cm="1">
        <f t="array" ref="AJ856">_xlfn.SWITCH(CleanEmployeeData[[#This Row],[Education]],1,"Below College",2,"College",3,"Bachelor",4,"Master",5,"Doctor","Unknown")</f>
        <v>Bachelor</v>
      </c>
      <c r="AK856" t="str" cm="1">
        <f t="array" ref="AK856">_xlfn.SWITCH(CleanEmployeeData[[#This Row],[EnvironmentSatisfaction]],1,"Low",2,"Medium",3,"High",4,"Very High","Unknown")</f>
        <v>Low</v>
      </c>
      <c r="AL856" t="str" cm="1">
        <f t="array" ref="AL856">_xlfn.SWITCH(CleanEmployeeData[[#This Row],[JobInvolvement]],1,"Low",2,"Medium",3,"High",4,"Very High","Unknown")</f>
        <v>High</v>
      </c>
      <c r="AM856" t="str" cm="1">
        <f t="array" ref="AM856">_xlfn.SWITCH(CleanEmployeeData[[#This Row],[JobSatisfaction]],1,"Low",2,"Medium",3,"High",4,"Very High","Unknown")</f>
        <v>High</v>
      </c>
      <c r="AN856" t="str" cm="1">
        <f t="array" ref="AN856">_xlfn.SWITCH(CleanEmployeeData[[#This Row],[PerformanceRating]],1,"Low",2,"Good",3,"Excellent",4,"Outstanding","Unknown")</f>
        <v>Excellent</v>
      </c>
      <c r="AO856" t="str" cm="1">
        <f t="array" ref="AO856">_xlfn.SWITCH(CleanEmployeeData[[#This Row],[WorkLifeBalance]],1,"Bad",2,"Good",3,"Better",4,"Best","Unknown")</f>
        <v>Good</v>
      </c>
      <c r="AP856">
        <f>IF(CleanEmployeeData[[#This Row],[Attrition]]="Yes",1,IF(CleanEmployeeData[[#This Row],[Attrition]]="No",0,""))</f>
        <v>0</v>
      </c>
      <c r="AQ856" t="str" cm="1">
        <f t="array" ref="AQ856">_xlfn.IFS(CleanEmployeeData[[#This Row],[MonthlyIncome]]&lt;=3000,"0–3,000",CleanEmployeeData[[#This Row],[MonthlyIncome]]&lt;=6000,"3,001–6,000",CleanEmployeeData[[#This Row],[MonthlyIncome]]&lt;=10000,"6,001–10,000",TRUE,"10,001+")</f>
        <v>3,001–6,000</v>
      </c>
      <c r="AR856" t="str" cm="1">
        <f t="array" ref="AR856">_xlfn.IFS(CleanEmployeeData[[#This Row],[DistanceFromHome]]&lt;=5,"0–5 miles",CleanEmployeeData[[#This Row],[DistanceFromHome]]&lt;=10,"6–10 miles",CleanEmployeeData[[#This Row],[DistanceFromHome]]&lt;=15,"11–15 miles",TRUE,"16+ miles")</f>
        <v>6–10 miles</v>
      </c>
      <c r="AS856" t="str" cm="1">
        <f t="array" ref="AS856">_xlfn.IFS(CleanEmployeeData[[#This Row],[YearsAtCompany]]&lt;=1,"0–1 years",CleanEmployeeData[[#This Row],[YearsAtCompany]]&lt;=5,"2–5 years",CleanEmployeeData[[#This Row],[YearsAtCompany]]&lt;=10,"6–10 years",TRUE,"11+ years")</f>
        <v>2–5 years</v>
      </c>
    </row>
    <row r="857" spans="1:4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cm="1">
        <f t="array" ref="AJ857">_xlfn.SWITCH(CleanEmployeeData[[#This Row],[Education]],1,"Below College",2,"College",3,"Bachelor",4,"Master",5,"Doctor","Unknown")</f>
        <v>Bachelor</v>
      </c>
      <c r="AK857" t="str" cm="1">
        <f t="array" ref="AK857">_xlfn.SWITCH(CleanEmployeeData[[#This Row],[EnvironmentSatisfaction]],1,"Low",2,"Medium",3,"High",4,"Very High","Unknown")</f>
        <v>Very High</v>
      </c>
      <c r="AL857" t="str" cm="1">
        <f t="array" ref="AL857">_xlfn.SWITCH(CleanEmployeeData[[#This Row],[JobInvolvement]],1,"Low",2,"Medium",3,"High",4,"Very High","Unknown")</f>
        <v>Medium</v>
      </c>
      <c r="AM857" t="str" cm="1">
        <f t="array" ref="AM857">_xlfn.SWITCH(CleanEmployeeData[[#This Row],[JobSatisfaction]],1,"Low",2,"Medium",3,"High",4,"Very High","Unknown")</f>
        <v>Very High</v>
      </c>
      <c r="AN857" t="str" cm="1">
        <f t="array" ref="AN857">_xlfn.SWITCH(CleanEmployeeData[[#This Row],[PerformanceRating]],1,"Low",2,"Good",3,"Excellent",4,"Outstanding","Unknown")</f>
        <v>Excellent</v>
      </c>
      <c r="AO857" t="str" cm="1">
        <f t="array" ref="AO857">_xlfn.SWITCH(CleanEmployeeData[[#This Row],[WorkLifeBalance]],1,"Bad",2,"Good",3,"Better",4,"Best","Unknown")</f>
        <v>Good</v>
      </c>
      <c r="AP857">
        <f>IF(CleanEmployeeData[[#This Row],[Attrition]]="Yes",1,IF(CleanEmployeeData[[#This Row],[Attrition]]="No",0,""))</f>
        <v>0</v>
      </c>
      <c r="AQ857" t="str" cm="1">
        <f t="array" ref="AQ857">_xlfn.IFS(CleanEmployeeData[[#This Row],[MonthlyIncome]]&lt;=3000,"0–3,000",CleanEmployeeData[[#This Row],[MonthlyIncome]]&lt;=6000,"3,001–6,000",CleanEmployeeData[[#This Row],[MonthlyIncome]]&lt;=10000,"6,001–10,000",TRUE,"10,001+")</f>
        <v>6,001–10,000</v>
      </c>
      <c r="AR857" t="str" cm="1">
        <f t="array" ref="AR857">_xlfn.IFS(CleanEmployeeData[[#This Row],[DistanceFromHome]]&lt;=5,"0–5 miles",CleanEmployeeData[[#This Row],[DistanceFromHome]]&lt;=10,"6–10 miles",CleanEmployeeData[[#This Row],[DistanceFromHome]]&lt;=15,"11–15 miles",TRUE,"16+ miles")</f>
        <v>0–5 miles</v>
      </c>
      <c r="AS857" t="str" cm="1">
        <f t="array" ref="AS857">_xlfn.IFS(CleanEmployeeData[[#This Row],[YearsAtCompany]]&lt;=1,"0–1 years",CleanEmployeeData[[#This Row],[YearsAtCompany]]&lt;=5,"2–5 years",CleanEmployeeData[[#This Row],[YearsAtCompany]]&lt;=10,"6–10 years",TRUE,"11+ years")</f>
        <v>11+ years</v>
      </c>
    </row>
    <row r="858" spans="1:4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cm="1">
        <f t="array" ref="AJ858">_xlfn.SWITCH(CleanEmployeeData[[#This Row],[Education]],1,"Below College",2,"College",3,"Bachelor",4,"Master",5,"Doctor","Unknown")</f>
        <v>Bachelor</v>
      </c>
      <c r="AK858" t="str" cm="1">
        <f t="array" ref="AK858">_xlfn.SWITCH(CleanEmployeeData[[#This Row],[EnvironmentSatisfaction]],1,"Low",2,"Medium",3,"High",4,"Very High","Unknown")</f>
        <v>Low</v>
      </c>
      <c r="AL858" t="str" cm="1">
        <f t="array" ref="AL858">_xlfn.SWITCH(CleanEmployeeData[[#This Row],[JobInvolvement]],1,"Low",2,"Medium",3,"High",4,"Very High","Unknown")</f>
        <v>Medium</v>
      </c>
      <c r="AM858" t="str" cm="1">
        <f t="array" ref="AM858">_xlfn.SWITCH(CleanEmployeeData[[#This Row],[JobSatisfaction]],1,"Low",2,"Medium",3,"High",4,"Very High","Unknown")</f>
        <v>High</v>
      </c>
      <c r="AN858" t="str" cm="1">
        <f t="array" ref="AN858">_xlfn.SWITCH(CleanEmployeeData[[#This Row],[PerformanceRating]],1,"Low",2,"Good",3,"Excellent",4,"Outstanding","Unknown")</f>
        <v>Excellent</v>
      </c>
      <c r="AO858" t="str" cm="1">
        <f t="array" ref="AO858">_xlfn.SWITCH(CleanEmployeeData[[#This Row],[WorkLifeBalance]],1,"Bad",2,"Good",3,"Better",4,"Best","Unknown")</f>
        <v>Good</v>
      </c>
      <c r="AP858">
        <f>IF(CleanEmployeeData[[#This Row],[Attrition]]="Yes",1,IF(CleanEmployeeData[[#This Row],[Attrition]]="No",0,""))</f>
        <v>0</v>
      </c>
      <c r="AQ858" t="str" cm="1">
        <f t="array" ref="AQ858">_xlfn.IFS(CleanEmployeeData[[#This Row],[MonthlyIncome]]&lt;=3000,"0–3,000",CleanEmployeeData[[#This Row],[MonthlyIncome]]&lt;=6000,"3,001–6,000",CleanEmployeeData[[#This Row],[MonthlyIncome]]&lt;=10000,"6,001–10,000",TRUE,"10,001+")</f>
        <v>3,001–6,000</v>
      </c>
      <c r="AR858" t="str" cm="1">
        <f t="array" ref="AR858">_xlfn.IFS(CleanEmployeeData[[#This Row],[DistanceFromHome]]&lt;=5,"0–5 miles",CleanEmployeeData[[#This Row],[DistanceFromHome]]&lt;=10,"6–10 miles",CleanEmployeeData[[#This Row],[DistanceFromHome]]&lt;=15,"11–15 miles",TRUE,"16+ miles")</f>
        <v>0–5 miles</v>
      </c>
      <c r="AS858" t="str" cm="1">
        <f t="array" ref="AS858">_xlfn.IFS(CleanEmployeeData[[#This Row],[YearsAtCompany]]&lt;=1,"0–1 years",CleanEmployeeData[[#This Row],[YearsAtCompany]]&lt;=5,"2–5 years",CleanEmployeeData[[#This Row],[YearsAtCompany]]&lt;=10,"6–10 years",TRUE,"11+ years")</f>
        <v>2–5 years</v>
      </c>
    </row>
    <row r="859" spans="1:4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cm="1">
        <f t="array" ref="AJ859">_xlfn.SWITCH(CleanEmployeeData[[#This Row],[Education]],1,"Below College",2,"College",3,"Bachelor",4,"Master",5,"Doctor","Unknown")</f>
        <v>Master</v>
      </c>
      <c r="AK859" t="str" cm="1">
        <f t="array" ref="AK859">_xlfn.SWITCH(CleanEmployeeData[[#This Row],[EnvironmentSatisfaction]],1,"Low",2,"Medium",3,"High",4,"Very High","Unknown")</f>
        <v>High</v>
      </c>
      <c r="AL859" t="str" cm="1">
        <f t="array" ref="AL859">_xlfn.SWITCH(CleanEmployeeData[[#This Row],[JobInvolvement]],1,"Low",2,"Medium",3,"High",4,"Very High","Unknown")</f>
        <v>High</v>
      </c>
      <c r="AM859" t="str" cm="1">
        <f t="array" ref="AM859">_xlfn.SWITCH(CleanEmployeeData[[#This Row],[JobSatisfaction]],1,"Low",2,"Medium",3,"High",4,"Very High","Unknown")</f>
        <v>High</v>
      </c>
      <c r="AN859" t="str" cm="1">
        <f t="array" ref="AN859">_xlfn.SWITCH(CleanEmployeeData[[#This Row],[PerformanceRating]],1,"Low",2,"Good",3,"Excellent",4,"Outstanding","Unknown")</f>
        <v>Excellent</v>
      </c>
      <c r="AO859" t="str" cm="1">
        <f t="array" ref="AO859">_xlfn.SWITCH(CleanEmployeeData[[#This Row],[WorkLifeBalance]],1,"Bad",2,"Good",3,"Better",4,"Best","Unknown")</f>
        <v>Better</v>
      </c>
      <c r="AP859">
        <f>IF(CleanEmployeeData[[#This Row],[Attrition]]="Yes",1,IF(CleanEmployeeData[[#This Row],[Attrition]]="No",0,""))</f>
        <v>1</v>
      </c>
      <c r="AQ859" t="str" cm="1">
        <f t="array" ref="AQ859">_xlfn.IFS(CleanEmployeeData[[#This Row],[MonthlyIncome]]&lt;=3000,"0–3,000",CleanEmployeeData[[#This Row],[MonthlyIncome]]&lt;=6000,"3,001–6,000",CleanEmployeeData[[#This Row],[MonthlyIncome]]&lt;=10000,"6,001–10,000",TRUE,"10,001+")</f>
        <v>0–3,000</v>
      </c>
      <c r="AR859" t="str" cm="1">
        <f t="array" ref="AR859">_xlfn.IFS(CleanEmployeeData[[#This Row],[DistanceFromHome]]&lt;=5,"0–5 miles",CleanEmployeeData[[#This Row],[DistanceFromHome]]&lt;=10,"6–10 miles",CleanEmployeeData[[#This Row],[DistanceFromHome]]&lt;=15,"11–15 miles",TRUE,"16+ miles")</f>
        <v>6–10 miles</v>
      </c>
      <c r="AS859" t="str" cm="1">
        <f t="array" ref="AS859">_xlfn.IFS(CleanEmployeeData[[#This Row],[YearsAtCompany]]&lt;=1,"0–1 years",CleanEmployeeData[[#This Row],[YearsAtCompany]]&lt;=5,"2–5 years",CleanEmployeeData[[#This Row],[YearsAtCompany]]&lt;=10,"6–10 years",TRUE,"11+ years")</f>
        <v>6–10 years</v>
      </c>
    </row>
    <row r="860" spans="1:4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cm="1">
        <f t="array" ref="AJ860">_xlfn.SWITCH(CleanEmployeeData[[#This Row],[Education]],1,"Below College",2,"College",3,"Bachelor",4,"Master",5,"Doctor","Unknown")</f>
        <v>College</v>
      </c>
      <c r="AK860" t="str" cm="1">
        <f t="array" ref="AK860">_xlfn.SWITCH(CleanEmployeeData[[#This Row],[EnvironmentSatisfaction]],1,"Low",2,"Medium",3,"High",4,"Very High","Unknown")</f>
        <v>Very High</v>
      </c>
      <c r="AL860" t="str" cm="1">
        <f t="array" ref="AL860">_xlfn.SWITCH(CleanEmployeeData[[#This Row],[JobInvolvement]],1,"Low",2,"Medium",3,"High",4,"Very High","Unknown")</f>
        <v>High</v>
      </c>
      <c r="AM860" t="str" cm="1">
        <f t="array" ref="AM860">_xlfn.SWITCH(CleanEmployeeData[[#This Row],[JobSatisfaction]],1,"Low",2,"Medium",3,"High",4,"Very High","Unknown")</f>
        <v>High</v>
      </c>
      <c r="AN860" t="str" cm="1">
        <f t="array" ref="AN860">_xlfn.SWITCH(CleanEmployeeData[[#This Row],[PerformanceRating]],1,"Low",2,"Good",3,"Excellent",4,"Outstanding","Unknown")</f>
        <v>Excellent</v>
      </c>
      <c r="AO860" t="str" cm="1">
        <f t="array" ref="AO860">_xlfn.SWITCH(CleanEmployeeData[[#This Row],[WorkLifeBalance]],1,"Bad",2,"Good",3,"Better",4,"Best","Unknown")</f>
        <v>Better</v>
      </c>
      <c r="AP860">
        <f>IF(CleanEmployeeData[[#This Row],[Attrition]]="Yes",1,IF(CleanEmployeeData[[#This Row],[Attrition]]="No",0,""))</f>
        <v>0</v>
      </c>
      <c r="AQ860" t="str" cm="1">
        <f t="array" ref="AQ860">_xlfn.IFS(CleanEmployeeData[[#This Row],[MonthlyIncome]]&lt;=3000,"0–3,000",CleanEmployeeData[[#This Row],[MonthlyIncome]]&lt;=6000,"3,001–6,000",CleanEmployeeData[[#This Row],[MonthlyIncome]]&lt;=10000,"6,001–10,000",TRUE,"10,001+")</f>
        <v>10,001+</v>
      </c>
      <c r="AR860" t="str" cm="1">
        <f t="array" ref="AR860">_xlfn.IFS(CleanEmployeeData[[#This Row],[DistanceFromHome]]&lt;=5,"0–5 miles",CleanEmployeeData[[#This Row],[DistanceFromHome]]&lt;=10,"6–10 miles",CleanEmployeeData[[#This Row],[DistanceFromHome]]&lt;=15,"11–15 miles",TRUE,"16+ miles")</f>
        <v>6–10 miles</v>
      </c>
      <c r="AS860" t="str" cm="1">
        <f t="array" ref="AS860">_xlfn.IFS(CleanEmployeeData[[#This Row],[YearsAtCompany]]&lt;=1,"0–1 years",CleanEmployeeData[[#This Row],[YearsAtCompany]]&lt;=5,"2–5 years",CleanEmployeeData[[#This Row],[YearsAtCompany]]&lt;=10,"6–10 years",TRUE,"11+ years")</f>
        <v>6–10 years</v>
      </c>
    </row>
    <row r="861" spans="1:4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cm="1">
        <f t="array" ref="AJ861">_xlfn.SWITCH(CleanEmployeeData[[#This Row],[Education]],1,"Below College",2,"College",3,"Bachelor",4,"Master",5,"Doctor","Unknown")</f>
        <v>Below College</v>
      </c>
      <c r="AK861" t="str" cm="1">
        <f t="array" ref="AK861">_xlfn.SWITCH(CleanEmployeeData[[#This Row],[EnvironmentSatisfaction]],1,"Low",2,"Medium",3,"High",4,"Very High","Unknown")</f>
        <v>Medium</v>
      </c>
      <c r="AL861" t="str" cm="1">
        <f t="array" ref="AL861">_xlfn.SWITCH(CleanEmployeeData[[#This Row],[JobInvolvement]],1,"Low",2,"Medium",3,"High",4,"Very High","Unknown")</f>
        <v>Low</v>
      </c>
      <c r="AM861" t="str" cm="1">
        <f t="array" ref="AM861">_xlfn.SWITCH(CleanEmployeeData[[#This Row],[JobSatisfaction]],1,"Low",2,"Medium",3,"High",4,"Very High","Unknown")</f>
        <v>Very High</v>
      </c>
      <c r="AN861" t="str" cm="1">
        <f t="array" ref="AN861">_xlfn.SWITCH(CleanEmployeeData[[#This Row],[PerformanceRating]],1,"Low",2,"Good",3,"Excellent",4,"Outstanding","Unknown")</f>
        <v>Excellent</v>
      </c>
      <c r="AO861" t="str" cm="1">
        <f t="array" ref="AO861">_xlfn.SWITCH(CleanEmployeeData[[#This Row],[WorkLifeBalance]],1,"Bad",2,"Good",3,"Better",4,"Best","Unknown")</f>
        <v>Good</v>
      </c>
      <c r="AP861">
        <f>IF(CleanEmployeeData[[#This Row],[Attrition]]="Yes",1,IF(CleanEmployeeData[[#This Row],[Attrition]]="No",0,""))</f>
        <v>0</v>
      </c>
      <c r="AQ861" t="str" cm="1">
        <f t="array" ref="AQ861">_xlfn.IFS(CleanEmployeeData[[#This Row],[MonthlyIncome]]&lt;=3000,"0–3,000",CleanEmployeeData[[#This Row],[MonthlyIncome]]&lt;=6000,"3,001–6,000",CleanEmployeeData[[#This Row],[MonthlyIncome]]&lt;=10000,"6,001–10,000",TRUE,"10,001+")</f>
        <v>0–3,000</v>
      </c>
      <c r="AR861" t="str" cm="1">
        <f t="array" ref="AR861">_xlfn.IFS(CleanEmployeeData[[#This Row],[DistanceFromHome]]&lt;=5,"0–5 miles",CleanEmployeeData[[#This Row],[DistanceFromHome]]&lt;=10,"6–10 miles",CleanEmployeeData[[#This Row],[DistanceFromHome]]&lt;=15,"11–15 miles",TRUE,"16+ miles")</f>
        <v>11–15 miles</v>
      </c>
      <c r="AS861" t="str" cm="1">
        <f t="array" ref="AS861">_xlfn.IFS(CleanEmployeeData[[#This Row],[YearsAtCompany]]&lt;=1,"0–1 years",CleanEmployeeData[[#This Row],[YearsAtCompany]]&lt;=5,"2–5 years",CleanEmployeeData[[#This Row],[YearsAtCompany]]&lt;=10,"6–10 years",TRUE,"11+ years")</f>
        <v>2–5 years</v>
      </c>
    </row>
    <row r="862" spans="1:4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cm="1">
        <f t="array" ref="AJ862">_xlfn.SWITCH(CleanEmployeeData[[#This Row],[Education]],1,"Below College",2,"College",3,"Bachelor",4,"Master",5,"Doctor","Unknown")</f>
        <v>Master</v>
      </c>
      <c r="AK862" t="str" cm="1">
        <f t="array" ref="AK862">_xlfn.SWITCH(CleanEmployeeData[[#This Row],[EnvironmentSatisfaction]],1,"Low",2,"Medium",3,"High",4,"Very High","Unknown")</f>
        <v>High</v>
      </c>
      <c r="AL862" t="str" cm="1">
        <f t="array" ref="AL862">_xlfn.SWITCH(CleanEmployeeData[[#This Row],[JobInvolvement]],1,"Low",2,"Medium",3,"High",4,"Very High","Unknown")</f>
        <v>Medium</v>
      </c>
      <c r="AM862" t="str" cm="1">
        <f t="array" ref="AM862">_xlfn.SWITCH(CleanEmployeeData[[#This Row],[JobSatisfaction]],1,"Low",2,"Medium",3,"High",4,"Very High","Unknown")</f>
        <v>Very High</v>
      </c>
      <c r="AN862" t="str" cm="1">
        <f t="array" ref="AN862">_xlfn.SWITCH(CleanEmployeeData[[#This Row],[PerformanceRating]],1,"Low",2,"Good",3,"Excellent",4,"Outstanding","Unknown")</f>
        <v>Excellent</v>
      </c>
      <c r="AO862" t="str" cm="1">
        <f t="array" ref="AO862">_xlfn.SWITCH(CleanEmployeeData[[#This Row],[WorkLifeBalance]],1,"Bad",2,"Good",3,"Better",4,"Best","Unknown")</f>
        <v>Better</v>
      </c>
      <c r="AP862">
        <f>IF(CleanEmployeeData[[#This Row],[Attrition]]="Yes",1,IF(CleanEmployeeData[[#This Row],[Attrition]]="No",0,""))</f>
        <v>1</v>
      </c>
      <c r="AQ862" t="str" cm="1">
        <f t="array" ref="AQ862">_xlfn.IFS(CleanEmployeeData[[#This Row],[MonthlyIncome]]&lt;=3000,"0–3,000",CleanEmployeeData[[#This Row],[MonthlyIncome]]&lt;=6000,"3,001–6,000",CleanEmployeeData[[#This Row],[MonthlyIncome]]&lt;=10000,"6,001–10,000",TRUE,"10,001+")</f>
        <v>0–3,000</v>
      </c>
      <c r="AR862" t="str" cm="1">
        <f t="array" ref="AR862">_xlfn.IFS(CleanEmployeeData[[#This Row],[DistanceFromHome]]&lt;=5,"0–5 miles",CleanEmployeeData[[#This Row],[DistanceFromHome]]&lt;=10,"6–10 miles",CleanEmployeeData[[#This Row],[DistanceFromHome]]&lt;=15,"11–15 miles",TRUE,"16+ miles")</f>
        <v>0–5 miles</v>
      </c>
      <c r="AS862" t="str" cm="1">
        <f t="array" ref="AS862">_xlfn.IFS(CleanEmployeeData[[#This Row],[YearsAtCompany]]&lt;=1,"0–1 years",CleanEmployeeData[[#This Row],[YearsAtCompany]]&lt;=5,"2–5 years",CleanEmployeeData[[#This Row],[YearsAtCompany]]&lt;=10,"6–10 years",TRUE,"11+ years")</f>
        <v>0–1 years</v>
      </c>
    </row>
    <row r="863" spans="1:4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cm="1">
        <f t="array" ref="AJ863">_xlfn.SWITCH(CleanEmployeeData[[#This Row],[Education]],1,"Below College",2,"College",3,"Bachelor",4,"Master",5,"Doctor","Unknown")</f>
        <v>Bachelor</v>
      </c>
      <c r="AK863" t="str" cm="1">
        <f t="array" ref="AK863">_xlfn.SWITCH(CleanEmployeeData[[#This Row],[EnvironmentSatisfaction]],1,"Low",2,"Medium",3,"High",4,"Very High","Unknown")</f>
        <v>High</v>
      </c>
      <c r="AL863" t="str" cm="1">
        <f t="array" ref="AL863">_xlfn.SWITCH(CleanEmployeeData[[#This Row],[JobInvolvement]],1,"Low",2,"Medium",3,"High",4,"Very High","Unknown")</f>
        <v>High</v>
      </c>
      <c r="AM863" t="str" cm="1">
        <f t="array" ref="AM863">_xlfn.SWITCH(CleanEmployeeData[[#This Row],[JobSatisfaction]],1,"Low",2,"Medium",3,"High",4,"Very High","Unknown")</f>
        <v>Low</v>
      </c>
      <c r="AN863" t="str" cm="1">
        <f t="array" ref="AN863">_xlfn.SWITCH(CleanEmployeeData[[#This Row],[PerformanceRating]],1,"Low",2,"Good",3,"Excellent",4,"Outstanding","Unknown")</f>
        <v>Outstanding</v>
      </c>
      <c r="AO863" t="str" cm="1">
        <f t="array" ref="AO863">_xlfn.SWITCH(CleanEmployeeData[[#This Row],[WorkLifeBalance]],1,"Bad",2,"Good",3,"Better",4,"Best","Unknown")</f>
        <v>Better</v>
      </c>
      <c r="AP863">
        <f>IF(CleanEmployeeData[[#This Row],[Attrition]]="Yes",1,IF(CleanEmployeeData[[#This Row],[Attrition]]="No",0,""))</f>
        <v>0</v>
      </c>
      <c r="AQ863" t="str" cm="1">
        <f t="array" ref="AQ863">_xlfn.IFS(CleanEmployeeData[[#This Row],[MonthlyIncome]]&lt;=3000,"0–3,000",CleanEmployeeData[[#This Row],[MonthlyIncome]]&lt;=6000,"3,001–6,000",CleanEmployeeData[[#This Row],[MonthlyIncome]]&lt;=10000,"6,001–10,000",TRUE,"10,001+")</f>
        <v>10,001+</v>
      </c>
      <c r="AR863" t="str" cm="1">
        <f t="array" ref="AR863">_xlfn.IFS(CleanEmployeeData[[#This Row],[DistanceFromHome]]&lt;=5,"0–5 miles",CleanEmployeeData[[#This Row],[DistanceFromHome]]&lt;=10,"6–10 miles",CleanEmployeeData[[#This Row],[DistanceFromHome]]&lt;=15,"11–15 miles",TRUE,"16+ miles")</f>
        <v>0–5 miles</v>
      </c>
      <c r="AS863" t="str" cm="1">
        <f t="array" ref="AS863">_xlfn.IFS(CleanEmployeeData[[#This Row],[YearsAtCompany]]&lt;=1,"0–1 years",CleanEmployeeData[[#This Row],[YearsAtCompany]]&lt;=5,"2–5 years",CleanEmployeeData[[#This Row],[YearsAtCompany]]&lt;=10,"6–10 years",TRUE,"11+ years")</f>
        <v>11+ years</v>
      </c>
    </row>
    <row r="864" spans="1:4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cm="1">
        <f t="array" ref="AJ864">_xlfn.SWITCH(CleanEmployeeData[[#This Row],[Education]],1,"Below College",2,"College",3,"Bachelor",4,"Master",5,"Doctor","Unknown")</f>
        <v>Bachelor</v>
      </c>
      <c r="AK864" t="str" cm="1">
        <f t="array" ref="AK864">_xlfn.SWITCH(CleanEmployeeData[[#This Row],[EnvironmentSatisfaction]],1,"Low",2,"Medium",3,"High",4,"Very High","Unknown")</f>
        <v>Very High</v>
      </c>
      <c r="AL864" t="str" cm="1">
        <f t="array" ref="AL864">_xlfn.SWITCH(CleanEmployeeData[[#This Row],[JobInvolvement]],1,"Low",2,"Medium",3,"High",4,"Very High","Unknown")</f>
        <v>Low</v>
      </c>
      <c r="AM864" t="str" cm="1">
        <f t="array" ref="AM864">_xlfn.SWITCH(CleanEmployeeData[[#This Row],[JobSatisfaction]],1,"Low",2,"Medium",3,"High",4,"Very High","Unknown")</f>
        <v>High</v>
      </c>
      <c r="AN864" t="str" cm="1">
        <f t="array" ref="AN864">_xlfn.SWITCH(CleanEmployeeData[[#This Row],[PerformanceRating]],1,"Low",2,"Good",3,"Excellent",4,"Outstanding","Unknown")</f>
        <v>Excellent</v>
      </c>
      <c r="AO864" t="str" cm="1">
        <f t="array" ref="AO864">_xlfn.SWITCH(CleanEmployeeData[[#This Row],[WorkLifeBalance]],1,"Bad",2,"Good",3,"Better",4,"Best","Unknown")</f>
        <v>Better</v>
      </c>
      <c r="AP864">
        <f>IF(CleanEmployeeData[[#This Row],[Attrition]]="Yes",1,IF(CleanEmployeeData[[#This Row],[Attrition]]="No",0,""))</f>
        <v>0</v>
      </c>
      <c r="AQ864" t="str" cm="1">
        <f t="array" ref="AQ864">_xlfn.IFS(CleanEmployeeData[[#This Row],[MonthlyIncome]]&lt;=3000,"0–3,000",CleanEmployeeData[[#This Row],[MonthlyIncome]]&lt;=6000,"3,001–6,000",CleanEmployeeData[[#This Row],[MonthlyIncome]]&lt;=10000,"6,001–10,000",TRUE,"10,001+")</f>
        <v>0–3,000</v>
      </c>
      <c r="AR864" t="str" cm="1">
        <f t="array" ref="AR864">_xlfn.IFS(CleanEmployeeData[[#This Row],[DistanceFromHome]]&lt;=5,"0–5 miles",CleanEmployeeData[[#This Row],[DistanceFromHome]]&lt;=10,"6–10 miles",CleanEmployeeData[[#This Row],[DistanceFromHome]]&lt;=15,"11–15 miles",TRUE,"16+ miles")</f>
        <v>16+ miles</v>
      </c>
      <c r="AS864" t="str" cm="1">
        <f t="array" ref="AS864">_xlfn.IFS(CleanEmployeeData[[#This Row],[YearsAtCompany]]&lt;=1,"0–1 years",CleanEmployeeData[[#This Row],[YearsAtCompany]]&lt;=5,"2–5 years",CleanEmployeeData[[#This Row],[YearsAtCompany]]&lt;=10,"6–10 years",TRUE,"11+ years")</f>
        <v>0–1 years</v>
      </c>
    </row>
    <row r="865" spans="1:4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cm="1">
        <f t="array" ref="AJ865">_xlfn.SWITCH(CleanEmployeeData[[#This Row],[Education]],1,"Below College",2,"College",3,"Bachelor",4,"Master",5,"Doctor","Unknown")</f>
        <v>Bachelor</v>
      </c>
      <c r="AK865" t="str" cm="1">
        <f t="array" ref="AK865">_xlfn.SWITCH(CleanEmployeeData[[#This Row],[EnvironmentSatisfaction]],1,"Low",2,"Medium",3,"High",4,"Very High","Unknown")</f>
        <v>Medium</v>
      </c>
      <c r="AL865" t="str" cm="1">
        <f t="array" ref="AL865">_xlfn.SWITCH(CleanEmployeeData[[#This Row],[JobInvolvement]],1,"Low",2,"Medium",3,"High",4,"Very High","Unknown")</f>
        <v>High</v>
      </c>
      <c r="AM865" t="str" cm="1">
        <f t="array" ref="AM865">_xlfn.SWITCH(CleanEmployeeData[[#This Row],[JobSatisfaction]],1,"Low",2,"Medium",3,"High",4,"Very High","Unknown")</f>
        <v>High</v>
      </c>
      <c r="AN865" t="str" cm="1">
        <f t="array" ref="AN865">_xlfn.SWITCH(CleanEmployeeData[[#This Row],[PerformanceRating]],1,"Low",2,"Good",3,"Excellent",4,"Outstanding","Unknown")</f>
        <v>Excellent</v>
      </c>
      <c r="AO865" t="str" cm="1">
        <f t="array" ref="AO865">_xlfn.SWITCH(CleanEmployeeData[[#This Row],[WorkLifeBalance]],1,"Bad",2,"Good",3,"Better",4,"Best","Unknown")</f>
        <v>Better</v>
      </c>
      <c r="AP865">
        <f>IF(CleanEmployeeData[[#This Row],[Attrition]]="Yes",1,IF(CleanEmployeeData[[#This Row],[Attrition]]="No",0,""))</f>
        <v>0</v>
      </c>
      <c r="AQ865" t="str" cm="1">
        <f t="array" ref="AQ865">_xlfn.IFS(CleanEmployeeData[[#This Row],[MonthlyIncome]]&lt;=3000,"0–3,000",CleanEmployeeData[[#This Row],[MonthlyIncome]]&lt;=6000,"3,001–6,000",CleanEmployeeData[[#This Row],[MonthlyIncome]]&lt;=10000,"6,001–10,000",TRUE,"10,001+")</f>
        <v>3,001–6,000</v>
      </c>
      <c r="AR865" t="str" cm="1">
        <f t="array" ref="AR865">_xlfn.IFS(CleanEmployeeData[[#This Row],[DistanceFromHome]]&lt;=5,"0–5 miles",CleanEmployeeData[[#This Row],[DistanceFromHome]]&lt;=10,"6–10 miles",CleanEmployeeData[[#This Row],[DistanceFromHome]]&lt;=15,"11–15 miles",TRUE,"16+ miles")</f>
        <v>0–5 miles</v>
      </c>
      <c r="AS865" t="str" cm="1">
        <f t="array" ref="AS865">_xlfn.IFS(CleanEmployeeData[[#This Row],[YearsAtCompany]]&lt;=1,"0–1 years",CleanEmployeeData[[#This Row],[YearsAtCompany]]&lt;=5,"2–5 years",CleanEmployeeData[[#This Row],[YearsAtCompany]]&lt;=10,"6–10 years",TRUE,"11+ years")</f>
        <v>2–5 years</v>
      </c>
    </row>
    <row r="866" spans="1:4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cm="1">
        <f t="array" ref="AJ866">_xlfn.SWITCH(CleanEmployeeData[[#This Row],[Education]],1,"Below College",2,"College",3,"Bachelor",4,"Master",5,"Doctor","Unknown")</f>
        <v>College</v>
      </c>
      <c r="AK866" t="str" cm="1">
        <f t="array" ref="AK866">_xlfn.SWITCH(CleanEmployeeData[[#This Row],[EnvironmentSatisfaction]],1,"Low",2,"Medium",3,"High",4,"Very High","Unknown")</f>
        <v>Low</v>
      </c>
      <c r="AL866" t="str" cm="1">
        <f t="array" ref="AL866">_xlfn.SWITCH(CleanEmployeeData[[#This Row],[JobInvolvement]],1,"Low",2,"Medium",3,"High",4,"Very High","Unknown")</f>
        <v>Medium</v>
      </c>
      <c r="AM866" t="str" cm="1">
        <f t="array" ref="AM866">_xlfn.SWITCH(CleanEmployeeData[[#This Row],[JobSatisfaction]],1,"Low",2,"Medium",3,"High",4,"Very High","Unknown")</f>
        <v>Low</v>
      </c>
      <c r="AN866" t="str" cm="1">
        <f t="array" ref="AN866">_xlfn.SWITCH(CleanEmployeeData[[#This Row],[PerformanceRating]],1,"Low",2,"Good",3,"Excellent",4,"Outstanding","Unknown")</f>
        <v>Excellent</v>
      </c>
      <c r="AO866" t="str" cm="1">
        <f t="array" ref="AO866">_xlfn.SWITCH(CleanEmployeeData[[#This Row],[WorkLifeBalance]],1,"Bad",2,"Good",3,"Better",4,"Best","Unknown")</f>
        <v>Bad</v>
      </c>
      <c r="AP866">
        <f>IF(CleanEmployeeData[[#This Row],[Attrition]]="Yes",1,IF(CleanEmployeeData[[#This Row],[Attrition]]="No",0,""))</f>
        <v>1</v>
      </c>
      <c r="AQ866" t="str" cm="1">
        <f t="array" ref="AQ866">_xlfn.IFS(CleanEmployeeData[[#This Row],[MonthlyIncome]]&lt;=3000,"0–3,000",CleanEmployeeData[[#This Row],[MonthlyIncome]]&lt;=6000,"3,001–6,000",CleanEmployeeData[[#This Row],[MonthlyIncome]]&lt;=10000,"6,001–10,000",TRUE,"10,001+")</f>
        <v>0–3,000</v>
      </c>
      <c r="AR866" t="str" cm="1">
        <f t="array" ref="AR866">_xlfn.IFS(CleanEmployeeData[[#This Row],[DistanceFromHome]]&lt;=5,"0–5 miles",CleanEmployeeData[[#This Row],[DistanceFromHome]]&lt;=10,"6–10 miles",CleanEmployeeData[[#This Row],[DistanceFromHome]]&lt;=15,"11–15 miles",TRUE,"16+ miles")</f>
        <v>0–5 miles</v>
      </c>
      <c r="AS866" t="str" cm="1">
        <f t="array" ref="AS866">_xlfn.IFS(CleanEmployeeData[[#This Row],[YearsAtCompany]]&lt;=1,"0–1 years",CleanEmployeeData[[#This Row],[YearsAtCompany]]&lt;=5,"2–5 years",CleanEmployeeData[[#This Row],[YearsAtCompany]]&lt;=10,"6–10 years",TRUE,"11+ years")</f>
        <v>0–1 years</v>
      </c>
    </row>
    <row r="867" spans="1:4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cm="1">
        <f t="array" ref="AJ867">_xlfn.SWITCH(CleanEmployeeData[[#This Row],[Education]],1,"Below College",2,"College",3,"Bachelor",4,"Master",5,"Doctor","Unknown")</f>
        <v>Master</v>
      </c>
      <c r="AK867" t="str" cm="1">
        <f t="array" ref="AK867">_xlfn.SWITCH(CleanEmployeeData[[#This Row],[EnvironmentSatisfaction]],1,"Low",2,"Medium",3,"High",4,"Very High","Unknown")</f>
        <v>High</v>
      </c>
      <c r="AL867" t="str" cm="1">
        <f t="array" ref="AL867">_xlfn.SWITCH(CleanEmployeeData[[#This Row],[JobInvolvement]],1,"Low",2,"Medium",3,"High",4,"Very High","Unknown")</f>
        <v>High</v>
      </c>
      <c r="AM867" t="str" cm="1">
        <f t="array" ref="AM867">_xlfn.SWITCH(CleanEmployeeData[[#This Row],[JobSatisfaction]],1,"Low",2,"Medium",3,"High",4,"Very High","Unknown")</f>
        <v>Low</v>
      </c>
      <c r="AN867" t="str" cm="1">
        <f t="array" ref="AN867">_xlfn.SWITCH(CleanEmployeeData[[#This Row],[PerformanceRating]],1,"Low",2,"Good",3,"Excellent",4,"Outstanding","Unknown")</f>
        <v>Excellent</v>
      </c>
      <c r="AO867" t="str" cm="1">
        <f t="array" ref="AO867">_xlfn.SWITCH(CleanEmployeeData[[#This Row],[WorkLifeBalance]],1,"Bad",2,"Good",3,"Better",4,"Best","Unknown")</f>
        <v>Better</v>
      </c>
      <c r="AP867">
        <f>IF(CleanEmployeeData[[#This Row],[Attrition]]="Yes",1,IF(CleanEmployeeData[[#This Row],[Attrition]]="No",0,""))</f>
        <v>0</v>
      </c>
      <c r="AQ867" t="str" cm="1">
        <f t="array" ref="AQ867">_xlfn.IFS(CleanEmployeeData[[#This Row],[MonthlyIncome]]&lt;=3000,"0–3,000",CleanEmployeeData[[#This Row],[MonthlyIncome]]&lt;=6000,"3,001–6,000",CleanEmployeeData[[#This Row],[MonthlyIncome]]&lt;=10000,"6,001–10,000",TRUE,"10,001+")</f>
        <v>3,001–6,000</v>
      </c>
      <c r="AR867" t="str" cm="1">
        <f t="array" ref="AR867">_xlfn.IFS(CleanEmployeeData[[#This Row],[DistanceFromHome]]&lt;=5,"0–5 miles",CleanEmployeeData[[#This Row],[DistanceFromHome]]&lt;=10,"6–10 miles",CleanEmployeeData[[#This Row],[DistanceFromHome]]&lt;=15,"11–15 miles",TRUE,"16+ miles")</f>
        <v>16+ miles</v>
      </c>
      <c r="AS867" t="str" cm="1">
        <f t="array" ref="AS867">_xlfn.IFS(CleanEmployeeData[[#This Row],[YearsAtCompany]]&lt;=1,"0–1 years",CleanEmployeeData[[#This Row],[YearsAtCompany]]&lt;=5,"2–5 years",CleanEmployeeData[[#This Row],[YearsAtCompany]]&lt;=10,"6–10 years",TRUE,"11+ years")</f>
        <v>2–5 years</v>
      </c>
    </row>
    <row r="868" spans="1:4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cm="1">
        <f t="array" ref="AJ868">_xlfn.SWITCH(CleanEmployeeData[[#This Row],[Education]],1,"Below College",2,"College",3,"Bachelor",4,"Master",5,"Doctor","Unknown")</f>
        <v>Master</v>
      </c>
      <c r="AK868" t="str" cm="1">
        <f t="array" ref="AK868">_xlfn.SWITCH(CleanEmployeeData[[#This Row],[EnvironmentSatisfaction]],1,"Low",2,"Medium",3,"High",4,"Very High","Unknown")</f>
        <v>Medium</v>
      </c>
      <c r="AL868" t="str" cm="1">
        <f t="array" ref="AL868">_xlfn.SWITCH(CleanEmployeeData[[#This Row],[JobInvolvement]],1,"Low",2,"Medium",3,"High",4,"Very High","Unknown")</f>
        <v>High</v>
      </c>
      <c r="AM868" t="str" cm="1">
        <f t="array" ref="AM868">_xlfn.SWITCH(CleanEmployeeData[[#This Row],[JobSatisfaction]],1,"Low",2,"Medium",3,"High",4,"Very High","Unknown")</f>
        <v>Medium</v>
      </c>
      <c r="AN868" t="str" cm="1">
        <f t="array" ref="AN868">_xlfn.SWITCH(CleanEmployeeData[[#This Row],[PerformanceRating]],1,"Low",2,"Good",3,"Excellent",4,"Outstanding","Unknown")</f>
        <v>Excellent</v>
      </c>
      <c r="AO868" t="str" cm="1">
        <f t="array" ref="AO868">_xlfn.SWITCH(CleanEmployeeData[[#This Row],[WorkLifeBalance]],1,"Bad",2,"Good",3,"Better",4,"Best","Unknown")</f>
        <v>Better</v>
      </c>
      <c r="AP868">
        <f>IF(CleanEmployeeData[[#This Row],[Attrition]]="Yes",1,IF(CleanEmployeeData[[#This Row],[Attrition]]="No",0,""))</f>
        <v>0</v>
      </c>
      <c r="AQ868" t="str" cm="1">
        <f t="array" ref="AQ868">_xlfn.IFS(CleanEmployeeData[[#This Row],[MonthlyIncome]]&lt;=3000,"0–3,000",CleanEmployeeData[[#This Row],[MonthlyIncome]]&lt;=6000,"3,001–6,000",CleanEmployeeData[[#This Row],[MonthlyIncome]]&lt;=10000,"6,001–10,000",TRUE,"10,001+")</f>
        <v>3,001–6,000</v>
      </c>
      <c r="AR868" t="str" cm="1">
        <f t="array" ref="AR868">_xlfn.IFS(CleanEmployeeData[[#This Row],[DistanceFromHome]]&lt;=5,"0–5 miles",CleanEmployeeData[[#This Row],[DistanceFromHome]]&lt;=10,"6–10 miles",CleanEmployeeData[[#This Row],[DistanceFromHome]]&lt;=15,"11–15 miles",TRUE,"16+ miles")</f>
        <v>0–5 miles</v>
      </c>
      <c r="AS868" t="str" cm="1">
        <f t="array" ref="AS868">_xlfn.IFS(CleanEmployeeData[[#This Row],[YearsAtCompany]]&lt;=1,"0–1 years",CleanEmployeeData[[#This Row],[YearsAtCompany]]&lt;=5,"2–5 years",CleanEmployeeData[[#This Row],[YearsAtCompany]]&lt;=10,"6–10 years",TRUE,"11+ years")</f>
        <v>0–1 years</v>
      </c>
    </row>
    <row r="869" spans="1:4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cm="1">
        <f t="array" ref="AJ869">_xlfn.SWITCH(CleanEmployeeData[[#This Row],[Education]],1,"Below College",2,"College",3,"Bachelor",4,"Master",5,"Doctor","Unknown")</f>
        <v>Bachelor</v>
      </c>
      <c r="AK869" t="str" cm="1">
        <f t="array" ref="AK869">_xlfn.SWITCH(CleanEmployeeData[[#This Row],[EnvironmentSatisfaction]],1,"Low",2,"Medium",3,"High",4,"Very High","Unknown")</f>
        <v>Very High</v>
      </c>
      <c r="AL869" t="str" cm="1">
        <f t="array" ref="AL869">_xlfn.SWITCH(CleanEmployeeData[[#This Row],[JobInvolvement]],1,"Low",2,"Medium",3,"High",4,"Very High","Unknown")</f>
        <v>High</v>
      </c>
      <c r="AM869" t="str" cm="1">
        <f t="array" ref="AM869">_xlfn.SWITCH(CleanEmployeeData[[#This Row],[JobSatisfaction]],1,"Low",2,"Medium",3,"High",4,"Very High","Unknown")</f>
        <v>Low</v>
      </c>
      <c r="AN869" t="str" cm="1">
        <f t="array" ref="AN869">_xlfn.SWITCH(CleanEmployeeData[[#This Row],[PerformanceRating]],1,"Low",2,"Good",3,"Excellent",4,"Outstanding","Unknown")</f>
        <v>Outstanding</v>
      </c>
      <c r="AO869" t="str" cm="1">
        <f t="array" ref="AO869">_xlfn.SWITCH(CleanEmployeeData[[#This Row],[WorkLifeBalance]],1,"Bad",2,"Good",3,"Better",4,"Best","Unknown")</f>
        <v>Better</v>
      </c>
      <c r="AP869">
        <f>IF(CleanEmployeeData[[#This Row],[Attrition]]="Yes",1,IF(CleanEmployeeData[[#This Row],[Attrition]]="No",0,""))</f>
        <v>0</v>
      </c>
      <c r="AQ869" t="str" cm="1">
        <f t="array" ref="AQ869">_xlfn.IFS(CleanEmployeeData[[#This Row],[MonthlyIncome]]&lt;=3000,"0–3,000",CleanEmployeeData[[#This Row],[MonthlyIncome]]&lt;=6000,"3,001–6,000",CleanEmployeeData[[#This Row],[MonthlyIncome]]&lt;=10000,"6,001–10,000",TRUE,"10,001+")</f>
        <v>10,001+</v>
      </c>
      <c r="AR869" t="str" cm="1">
        <f t="array" ref="AR869">_xlfn.IFS(CleanEmployeeData[[#This Row],[DistanceFromHome]]&lt;=5,"0–5 miles",CleanEmployeeData[[#This Row],[DistanceFromHome]]&lt;=10,"6–10 miles",CleanEmployeeData[[#This Row],[DistanceFromHome]]&lt;=15,"11–15 miles",TRUE,"16+ miles")</f>
        <v>0–5 miles</v>
      </c>
      <c r="AS869" t="str" cm="1">
        <f t="array" ref="AS869">_xlfn.IFS(CleanEmployeeData[[#This Row],[YearsAtCompany]]&lt;=1,"0–1 years",CleanEmployeeData[[#This Row],[YearsAtCompany]]&lt;=5,"2–5 years",CleanEmployeeData[[#This Row],[YearsAtCompany]]&lt;=10,"6–10 years",TRUE,"11+ years")</f>
        <v>2–5 years</v>
      </c>
    </row>
    <row r="870" spans="1:4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cm="1">
        <f t="array" ref="AJ870">_xlfn.SWITCH(CleanEmployeeData[[#This Row],[Education]],1,"Below College",2,"College",3,"Bachelor",4,"Master",5,"Doctor","Unknown")</f>
        <v>Master</v>
      </c>
      <c r="AK870" t="str" cm="1">
        <f t="array" ref="AK870">_xlfn.SWITCH(CleanEmployeeData[[#This Row],[EnvironmentSatisfaction]],1,"Low",2,"Medium",3,"High",4,"Very High","Unknown")</f>
        <v>Very High</v>
      </c>
      <c r="AL870" t="str" cm="1">
        <f t="array" ref="AL870">_xlfn.SWITCH(CleanEmployeeData[[#This Row],[JobInvolvement]],1,"Low",2,"Medium",3,"High",4,"Very High","Unknown")</f>
        <v>Medium</v>
      </c>
      <c r="AM870" t="str" cm="1">
        <f t="array" ref="AM870">_xlfn.SWITCH(CleanEmployeeData[[#This Row],[JobSatisfaction]],1,"Low",2,"Medium",3,"High",4,"Very High","Unknown")</f>
        <v>Low</v>
      </c>
      <c r="AN870" t="str" cm="1">
        <f t="array" ref="AN870">_xlfn.SWITCH(CleanEmployeeData[[#This Row],[PerformanceRating]],1,"Low",2,"Good",3,"Excellent",4,"Outstanding","Unknown")</f>
        <v>Excellent</v>
      </c>
      <c r="AO870" t="str" cm="1">
        <f t="array" ref="AO870">_xlfn.SWITCH(CleanEmployeeData[[#This Row],[WorkLifeBalance]],1,"Bad",2,"Good",3,"Better",4,"Best","Unknown")</f>
        <v>Better</v>
      </c>
      <c r="AP870">
        <f>IF(CleanEmployeeData[[#This Row],[Attrition]]="Yes",1,IF(CleanEmployeeData[[#This Row],[Attrition]]="No",0,""))</f>
        <v>0</v>
      </c>
      <c r="AQ870" t="str" cm="1">
        <f t="array" ref="AQ870">_xlfn.IFS(CleanEmployeeData[[#This Row],[MonthlyIncome]]&lt;=3000,"0–3,000",CleanEmployeeData[[#This Row],[MonthlyIncome]]&lt;=6000,"3,001–6,000",CleanEmployeeData[[#This Row],[MonthlyIncome]]&lt;=10000,"6,001–10,000",TRUE,"10,001+")</f>
        <v>3,001–6,000</v>
      </c>
      <c r="AR870" t="str" cm="1">
        <f t="array" ref="AR870">_xlfn.IFS(CleanEmployeeData[[#This Row],[DistanceFromHome]]&lt;=5,"0–5 miles",CleanEmployeeData[[#This Row],[DistanceFromHome]]&lt;=10,"6–10 miles",CleanEmployeeData[[#This Row],[DistanceFromHome]]&lt;=15,"11–15 miles",TRUE,"16+ miles")</f>
        <v>16+ miles</v>
      </c>
      <c r="AS870" t="str" cm="1">
        <f t="array" ref="AS870">_xlfn.IFS(CleanEmployeeData[[#This Row],[YearsAtCompany]]&lt;=1,"0–1 years",CleanEmployeeData[[#This Row],[YearsAtCompany]]&lt;=5,"2–5 years",CleanEmployeeData[[#This Row],[YearsAtCompany]]&lt;=10,"6–10 years",TRUE,"11+ years")</f>
        <v>6–10 years</v>
      </c>
    </row>
    <row r="871" spans="1:4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cm="1">
        <f t="array" ref="AJ871">_xlfn.SWITCH(CleanEmployeeData[[#This Row],[Education]],1,"Below College",2,"College",3,"Bachelor",4,"Master",5,"Doctor","Unknown")</f>
        <v>College</v>
      </c>
      <c r="AK871" t="str" cm="1">
        <f t="array" ref="AK871">_xlfn.SWITCH(CleanEmployeeData[[#This Row],[EnvironmentSatisfaction]],1,"Low",2,"Medium",3,"High",4,"Very High","Unknown")</f>
        <v>Very High</v>
      </c>
      <c r="AL871" t="str" cm="1">
        <f t="array" ref="AL871">_xlfn.SWITCH(CleanEmployeeData[[#This Row],[JobInvolvement]],1,"Low",2,"Medium",3,"High",4,"Very High","Unknown")</f>
        <v>High</v>
      </c>
      <c r="AM871" t="str" cm="1">
        <f t="array" ref="AM871">_xlfn.SWITCH(CleanEmployeeData[[#This Row],[JobSatisfaction]],1,"Low",2,"Medium",3,"High",4,"Very High","Unknown")</f>
        <v>Medium</v>
      </c>
      <c r="AN871" t="str" cm="1">
        <f t="array" ref="AN871">_xlfn.SWITCH(CleanEmployeeData[[#This Row],[PerformanceRating]],1,"Low",2,"Good",3,"Excellent",4,"Outstanding","Unknown")</f>
        <v>Excellent</v>
      </c>
      <c r="AO871" t="str" cm="1">
        <f t="array" ref="AO871">_xlfn.SWITCH(CleanEmployeeData[[#This Row],[WorkLifeBalance]],1,"Bad",2,"Good",3,"Better",4,"Best","Unknown")</f>
        <v>Better</v>
      </c>
      <c r="AP871">
        <f>IF(CleanEmployeeData[[#This Row],[Attrition]]="Yes",1,IF(CleanEmployeeData[[#This Row],[Attrition]]="No",0,""))</f>
        <v>0</v>
      </c>
      <c r="AQ871" t="str" cm="1">
        <f t="array" ref="AQ871">_xlfn.IFS(CleanEmployeeData[[#This Row],[MonthlyIncome]]&lt;=3000,"0–3,000",CleanEmployeeData[[#This Row],[MonthlyIncome]]&lt;=6000,"3,001–6,000",CleanEmployeeData[[#This Row],[MonthlyIncome]]&lt;=10000,"6,001–10,000",TRUE,"10,001+")</f>
        <v>10,001+</v>
      </c>
      <c r="AR871" t="str" cm="1">
        <f t="array" ref="AR871">_xlfn.IFS(CleanEmployeeData[[#This Row],[DistanceFromHome]]&lt;=5,"0–5 miles",CleanEmployeeData[[#This Row],[DistanceFromHome]]&lt;=10,"6–10 miles",CleanEmployeeData[[#This Row],[DistanceFromHome]]&lt;=15,"11–15 miles",TRUE,"16+ miles")</f>
        <v>11–15 miles</v>
      </c>
      <c r="AS871" t="str" cm="1">
        <f t="array" ref="AS871">_xlfn.IFS(CleanEmployeeData[[#This Row],[YearsAtCompany]]&lt;=1,"0–1 years",CleanEmployeeData[[#This Row],[YearsAtCompany]]&lt;=5,"2–5 years",CleanEmployeeData[[#This Row],[YearsAtCompany]]&lt;=10,"6–10 years",TRUE,"11+ years")</f>
        <v>2–5 years</v>
      </c>
    </row>
    <row r="872" spans="1:4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cm="1">
        <f t="array" ref="AJ872">_xlfn.SWITCH(CleanEmployeeData[[#This Row],[Education]],1,"Below College",2,"College",3,"Bachelor",4,"Master",5,"Doctor","Unknown")</f>
        <v>Master</v>
      </c>
      <c r="AK872" t="str" cm="1">
        <f t="array" ref="AK872">_xlfn.SWITCH(CleanEmployeeData[[#This Row],[EnvironmentSatisfaction]],1,"Low",2,"Medium",3,"High",4,"Very High","Unknown")</f>
        <v>High</v>
      </c>
      <c r="AL872" t="str" cm="1">
        <f t="array" ref="AL872">_xlfn.SWITCH(CleanEmployeeData[[#This Row],[JobInvolvement]],1,"Low",2,"Medium",3,"High",4,"Very High","Unknown")</f>
        <v>High</v>
      </c>
      <c r="AM872" t="str" cm="1">
        <f t="array" ref="AM872">_xlfn.SWITCH(CleanEmployeeData[[#This Row],[JobSatisfaction]],1,"Low",2,"Medium",3,"High",4,"Very High","Unknown")</f>
        <v>Low</v>
      </c>
      <c r="AN872" t="str" cm="1">
        <f t="array" ref="AN872">_xlfn.SWITCH(CleanEmployeeData[[#This Row],[PerformanceRating]],1,"Low",2,"Good",3,"Excellent",4,"Outstanding","Unknown")</f>
        <v>Excellent</v>
      </c>
      <c r="AO872" t="str" cm="1">
        <f t="array" ref="AO872">_xlfn.SWITCH(CleanEmployeeData[[#This Row],[WorkLifeBalance]],1,"Bad",2,"Good",3,"Better",4,"Best","Unknown")</f>
        <v>Better</v>
      </c>
      <c r="AP872">
        <f>IF(CleanEmployeeData[[#This Row],[Attrition]]="Yes",1,IF(CleanEmployeeData[[#This Row],[Attrition]]="No",0,""))</f>
        <v>0</v>
      </c>
      <c r="AQ872" t="str" cm="1">
        <f t="array" ref="AQ872">_xlfn.IFS(CleanEmployeeData[[#This Row],[MonthlyIncome]]&lt;=3000,"0–3,000",CleanEmployeeData[[#This Row],[MonthlyIncome]]&lt;=6000,"3,001–6,000",CleanEmployeeData[[#This Row],[MonthlyIncome]]&lt;=10000,"6,001–10,000",TRUE,"10,001+")</f>
        <v>6,001–10,000</v>
      </c>
      <c r="AR872" t="str" cm="1">
        <f t="array" ref="AR872">_xlfn.IFS(CleanEmployeeData[[#This Row],[DistanceFromHome]]&lt;=5,"0–5 miles",CleanEmployeeData[[#This Row],[DistanceFromHome]]&lt;=10,"6–10 miles",CleanEmployeeData[[#This Row],[DistanceFromHome]]&lt;=15,"11–15 miles",TRUE,"16+ miles")</f>
        <v>16+ miles</v>
      </c>
      <c r="AS872" t="str" cm="1">
        <f t="array" ref="AS872">_xlfn.IFS(CleanEmployeeData[[#This Row],[YearsAtCompany]]&lt;=1,"0–1 years",CleanEmployeeData[[#This Row],[YearsAtCompany]]&lt;=5,"2–5 years",CleanEmployeeData[[#This Row],[YearsAtCompany]]&lt;=10,"6–10 years",TRUE,"11+ years")</f>
        <v>6–10 years</v>
      </c>
    </row>
    <row r="873" spans="1:4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cm="1">
        <f t="array" ref="AJ873">_xlfn.SWITCH(CleanEmployeeData[[#This Row],[Education]],1,"Below College",2,"College",3,"Bachelor",4,"Master",5,"Doctor","Unknown")</f>
        <v>College</v>
      </c>
      <c r="AK873" t="str" cm="1">
        <f t="array" ref="AK873">_xlfn.SWITCH(CleanEmployeeData[[#This Row],[EnvironmentSatisfaction]],1,"Low",2,"Medium",3,"High",4,"Very High","Unknown")</f>
        <v>Very High</v>
      </c>
      <c r="AL873" t="str" cm="1">
        <f t="array" ref="AL873">_xlfn.SWITCH(CleanEmployeeData[[#This Row],[JobInvolvement]],1,"Low",2,"Medium",3,"High",4,"Very High","Unknown")</f>
        <v>High</v>
      </c>
      <c r="AM873" t="str" cm="1">
        <f t="array" ref="AM873">_xlfn.SWITCH(CleanEmployeeData[[#This Row],[JobSatisfaction]],1,"Low",2,"Medium",3,"High",4,"Very High","Unknown")</f>
        <v>Medium</v>
      </c>
      <c r="AN873" t="str" cm="1">
        <f t="array" ref="AN873">_xlfn.SWITCH(CleanEmployeeData[[#This Row],[PerformanceRating]],1,"Low",2,"Good",3,"Excellent",4,"Outstanding","Unknown")</f>
        <v>Excellent</v>
      </c>
      <c r="AO873" t="str" cm="1">
        <f t="array" ref="AO873">_xlfn.SWITCH(CleanEmployeeData[[#This Row],[WorkLifeBalance]],1,"Bad",2,"Good",3,"Better",4,"Best","Unknown")</f>
        <v>Bad</v>
      </c>
      <c r="AP873">
        <f>IF(CleanEmployeeData[[#This Row],[Attrition]]="Yes",1,IF(CleanEmployeeData[[#This Row],[Attrition]]="No",0,""))</f>
        <v>1</v>
      </c>
      <c r="AQ873" t="str" cm="1">
        <f t="array" ref="AQ873">_xlfn.IFS(CleanEmployeeData[[#This Row],[MonthlyIncome]]&lt;=3000,"0–3,000",CleanEmployeeData[[#This Row],[MonthlyIncome]]&lt;=6000,"3,001–6,000",CleanEmployeeData[[#This Row],[MonthlyIncome]]&lt;=10000,"6,001–10,000",TRUE,"10,001+")</f>
        <v>0–3,000</v>
      </c>
      <c r="AR873" t="str" cm="1">
        <f t="array" ref="AR873">_xlfn.IFS(CleanEmployeeData[[#This Row],[DistanceFromHome]]&lt;=5,"0–5 miles",CleanEmployeeData[[#This Row],[DistanceFromHome]]&lt;=10,"6–10 miles",CleanEmployeeData[[#This Row],[DistanceFromHome]]&lt;=15,"11–15 miles",TRUE,"16+ miles")</f>
        <v>16+ miles</v>
      </c>
      <c r="AS873" t="str" cm="1">
        <f t="array" ref="AS873">_xlfn.IFS(CleanEmployeeData[[#This Row],[YearsAtCompany]]&lt;=1,"0–1 years",CleanEmployeeData[[#This Row],[YearsAtCompany]]&lt;=5,"2–5 years",CleanEmployeeData[[#This Row],[YearsAtCompany]]&lt;=10,"6–10 years",TRUE,"11+ years")</f>
        <v>0–1 years</v>
      </c>
    </row>
    <row r="874" spans="1:4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cm="1">
        <f t="array" ref="AJ874">_xlfn.SWITCH(CleanEmployeeData[[#This Row],[Education]],1,"Below College",2,"College",3,"Bachelor",4,"Master",5,"Doctor","Unknown")</f>
        <v>Bachelor</v>
      </c>
      <c r="AK874" t="str" cm="1">
        <f t="array" ref="AK874">_xlfn.SWITCH(CleanEmployeeData[[#This Row],[EnvironmentSatisfaction]],1,"Low",2,"Medium",3,"High",4,"Very High","Unknown")</f>
        <v>Medium</v>
      </c>
      <c r="AL874" t="str" cm="1">
        <f t="array" ref="AL874">_xlfn.SWITCH(CleanEmployeeData[[#This Row],[JobInvolvement]],1,"Low",2,"Medium",3,"High",4,"Very High","Unknown")</f>
        <v>High</v>
      </c>
      <c r="AM874" t="str" cm="1">
        <f t="array" ref="AM874">_xlfn.SWITCH(CleanEmployeeData[[#This Row],[JobSatisfaction]],1,"Low",2,"Medium",3,"High",4,"Very High","Unknown")</f>
        <v>High</v>
      </c>
      <c r="AN874" t="str" cm="1">
        <f t="array" ref="AN874">_xlfn.SWITCH(CleanEmployeeData[[#This Row],[PerformanceRating]],1,"Low",2,"Good",3,"Excellent",4,"Outstanding","Unknown")</f>
        <v>Excellent</v>
      </c>
      <c r="AO874" t="str" cm="1">
        <f t="array" ref="AO874">_xlfn.SWITCH(CleanEmployeeData[[#This Row],[WorkLifeBalance]],1,"Bad",2,"Good",3,"Better",4,"Best","Unknown")</f>
        <v>Good</v>
      </c>
      <c r="AP874">
        <f>IF(CleanEmployeeData[[#This Row],[Attrition]]="Yes",1,IF(CleanEmployeeData[[#This Row],[Attrition]]="No",0,""))</f>
        <v>0</v>
      </c>
      <c r="AQ874" t="str" cm="1">
        <f t="array" ref="AQ874">_xlfn.IFS(CleanEmployeeData[[#This Row],[MonthlyIncome]]&lt;=3000,"0–3,000",CleanEmployeeData[[#This Row],[MonthlyIncome]]&lt;=6000,"3,001–6,000",CleanEmployeeData[[#This Row],[MonthlyIncome]]&lt;=10000,"6,001–10,000",TRUE,"10,001+")</f>
        <v>3,001–6,000</v>
      </c>
      <c r="AR874" t="str" cm="1">
        <f t="array" ref="AR874">_xlfn.IFS(CleanEmployeeData[[#This Row],[DistanceFromHome]]&lt;=5,"0–5 miles",CleanEmployeeData[[#This Row],[DistanceFromHome]]&lt;=10,"6–10 miles",CleanEmployeeData[[#This Row],[DistanceFromHome]]&lt;=15,"11–15 miles",TRUE,"16+ miles")</f>
        <v>16+ miles</v>
      </c>
      <c r="AS874" t="str" cm="1">
        <f t="array" ref="AS874">_xlfn.IFS(CleanEmployeeData[[#This Row],[YearsAtCompany]]&lt;=1,"0–1 years",CleanEmployeeData[[#This Row],[YearsAtCompany]]&lt;=5,"2–5 years",CleanEmployeeData[[#This Row],[YearsAtCompany]]&lt;=10,"6–10 years",TRUE,"11+ years")</f>
        <v>6–10 years</v>
      </c>
    </row>
    <row r="875" spans="1:4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cm="1">
        <f t="array" ref="AJ875">_xlfn.SWITCH(CleanEmployeeData[[#This Row],[Education]],1,"Below College",2,"College",3,"Bachelor",4,"Master",5,"Doctor","Unknown")</f>
        <v>Master</v>
      </c>
      <c r="AK875" t="str" cm="1">
        <f t="array" ref="AK875">_xlfn.SWITCH(CleanEmployeeData[[#This Row],[EnvironmentSatisfaction]],1,"Low",2,"Medium",3,"High",4,"Very High","Unknown")</f>
        <v>High</v>
      </c>
      <c r="AL875" t="str" cm="1">
        <f t="array" ref="AL875">_xlfn.SWITCH(CleanEmployeeData[[#This Row],[JobInvolvement]],1,"Low",2,"Medium",3,"High",4,"Very High","Unknown")</f>
        <v>Low</v>
      </c>
      <c r="AM875" t="str" cm="1">
        <f t="array" ref="AM875">_xlfn.SWITCH(CleanEmployeeData[[#This Row],[JobSatisfaction]],1,"Low",2,"Medium",3,"High",4,"Very High","Unknown")</f>
        <v>High</v>
      </c>
      <c r="AN875" t="str" cm="1">
        <f t="array" ref="AN875">_xlfn.SWITCH(CleanEmployeeData[[#This Row],[PerformanceRating]],1,"Low",2,"Good",3,"Excellent",4,"Outstanding","Unknown")</f>
        <v>Excellent</v>
      </c>
      <c r="AO875" t="str" cm="1">
        <f t="array" ref="AO875">_xlfn.SWITCH(CleanEmployeeData[[#This Row],[WorkLifeBalance]],1,"Bad",2,"Good",3,"Better",4,"Best","Unknown")</f>
        <v>Better</v>
      </c>
      <c r="AP875">
        <f>IF(CleanEmployeeData[[#This Row],[Attrition]]="Yes",1,IF(CleanEmployeeData[[#This Row],[Attrition]]="No",0,""))</f>
        <v>0</v>
      </c>
      <c r="AQ875" t="str" cm="1">
        <f t="array" ref="AQ875">_xlfn.IFS(CleanEmployeeData[[#This Row],[MonthlyIncome]]&lt;=3000,"0–3,000",CleanEmployeeData[[#This Row],[MonthlyIncome]]&lt;=6000,"3,001–6,000",CleanEmployeeData[[#This Row],[MonthlyIncome]]&lt;=10000,"6,001–10,000",TRUE,"10,001+")</f>
        <v>0–3,000</v>
      </c>
      <c r="AR875" t="str" cm="1">
        <f t="array" ref="AR875">_xlfn.IFS(CleanEmployeeData[[#This Row],[DistanceFromHome]]&lt;=5,"0–5 miles",CleanEmployeeData[[#This Row],[DistanceFromHome]]&lt;=10,"6–10 miles",CleanEmployeeData[[#This Row],[DistanceFromHome]]&lt;=15,"11–15 miles",TRUE,"16+ miles")</f>
        <v>6–10 miles</v>
      </c>
      <c r="AS875" t="str" cm="1">
        <f t="array" ref="AS875">_xlfn.IFS(CleanEmployeeData[[#This Row],[YearsAtCompany]]&lt;=1,"0–1 years",CleanEmployeeData[[#This Row],[YearsAtCompany]]&lt;=5,"2–5 years",CleanEmployeeData[[#This Row],[YearsAtCompany]]&lt;=10,"6–10 years",TRUE,"11+ years")</f>
        <v>6–10 years</v>
      </c>
    </row>
    <row r="876" spans="1:4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cm="1">
        <f t="array" ref="AJ876">_xlfn.SWITCH(CleanEmployeeData[[#This Row],[Education]],1,"Below College",2,"College",3,"Bachelor",4,"Master",5,"Doctor","Unknown")</f>
        <v>Master</v>
      </c>
      <c r="AK876" t="str" cm="1">
        <f t="array" ref="AK876">_xlfn.SWITCH(CleanEmployeeData[[#This Row],[EnvironmentSatisfaction]],1,"Low",2,"Medium",3,"High",4,"Very High","Unknown")</f>
        <v>High</v>
      </c>
      <c r="AL876" t="str" cm="1">
        <f t="array" ref="AL876">_xlfn.SWITCH(CleanEmployeeData[[#This Row],[JobInvolvement]],1,"Low",2,"Medium",3,"High",4,"Very High","Unknown")</f>
        <v>High</v>
      </c>
      <c r="AM876" t="str" cm="1">
        <f t="array" ref="AM876">_xlfn.SWITCH(CleanEmployeeData[[#This Row],[JobSatisfaction]],1,"Low",2,"Medium",3,"High",4,"Very High","Unknown")</f>
        <v>High</v>
      </c>
      <c r="AN876" t="str" cm="1">
        <f t="array" ref="AN876">_xlfn.SWITCH(CleanEmployeeData[[#This Row],[PerformanceRating]],1,"Low",2,"Good",3,"Excellent",4,"Outstanding","Unknown")</f>
        <v>Excellent</v>
      </c>
      <c r="AO876" t="str" cm="1">
        <f t="array" ref="AO876">_xlfn.SWITCH(CleanEmployeeData[[#This Row],[WorkLifeBalance]],1,"Bad",2,"Good",3,"Better",4,"Best","Unknown")</f>
        <v>Good</v>
      </c>
      <c r="AP876">
        <f>IF(CleanEmployeeData[[#This Row],[Attrition]]="Yes",1,IF(CleanEmployeeData[[#This Row],[Attrition]]="No",0,""))</f>
        <v>0</v>
      </c>
      <c r="AQ876" t="str" cm="1">
        <f t="array" ref="AQ876">_xlfn.IFS(CleanEmployeeData[[#This Row],[MonthlyIncome]]&lt;=3000,"0–3,000",CleanEmployeeData[[#This Row],[MonthlyIncome]]&lt;=6000,"3,001–6,000",CleanEmployeeData[[#This Row],[MonthlyIncome]]&lt;=10000,"6,001–10,000",TRUE,"10,001+")</f>
        <v>3,001–6,000</v>
      </c>
      <c r="AR876" t="str" cm="1">
        <f t="array" ref="AR876">_xlfn.IFS(CleanEmployeeData[[#This Row],[DistanceFromHome]]&lt;=5,"0–5 miles",CleanEmployeeData[[#This Row],[DistanceFromHome]]&lt;=10,"6–10 miles",CleanEmployeeData[[#This Row],[DistanceFromHome]]&lt;=15,"11–15 miles",TRUE,"16+ miles")</f>
        <v>6–10 miles</v>
      </c>
      <c r="AS876" t="str" cm="1">
        <f t="array" ref="AS876">_xlfn.IFS(CleanEmployeeData[[#This Row],[YearsAtCompany]]&lt;=1,"0–1 years",CleanEmployeeData[[#This Row],[YearsAtCompany]]&lt;=5,"2–5 years",CleanEmployeeData[[#This Row],[YearsAtCompany]]&lt;=10,"6–10 years",TRUE,"11+ years")</f>
        <v>6–10 years</v>
      </c>
    </row>
    <row r="877" spans="1:4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cm="1">
        <f t="array" ref="AJ877">_xlfn.SWITCH(CleanEmployeeData[[#This Row],[Education]],1,"Below College",2,"College",3,"Bachelor",4,"Master",5,"Doctor","Unknown")</f>
        <v>Master</v>
      </c>
      <c r="AK877" t="str" cm="1">
        <f t="array" ref="AK877">_xlfn.SWITCH(CleanEmployeeData[[#This Row],[EnvironmentSatisfaction]],1,"Low",2,"Medium",3,"High",4,"Very High","Unknown")</f>
        <v>Very High</v>
      </c>
      <c r="AL877" t="str" cm="1">
        <f t="array" ref="AL877">_xlfn.SWITCH(CleanEmployeeData[[#This Row],[JobInvolvement]],1,"Low",2,"Medium",3,"High",4,"Very High","Unknown")</f>
        <v>High</v>
      </c>
      <c r="AM877" t="str" cm="1">
        <f t="array" ref="AM877">_xlfn.SWITCH(CleanEmployeeData[[#This Row],[JobSatisfaction]],1,"Low",2,"Medium",3,"High",4,"Very High","Unknown")</f>
        <v>Very High</v>
      </c>
      <c r="AN877" t="str" cm="1">
        <f t="array" ref="AN877">_xlfn.SWITCH(CleanEmployeeData[[#This Row],[PerformanceRating]],1,"Low",2,"Good",3,"Excellent",4,"Outstanding","Unknown")</f>
        <v>Outstanding</v>
      </c>
      <c r="AO877" t="str" cm="1">
        <f t="array" ref="AO877">_xlfn.SWITCH(CleanEmployeeData[[#This Row],[WorkLifeBalance]],1,"Bad",2,"Good",3,"Better",4,"Best","Unknown")</f>
        <v>Better</v>
      </c>
      <c r="AP877">
        <f>IF(CleanEmployeeData[[#This Row],[Attrition]]="Yes",1,IF(CleanEmployeeData[[#This Row],[Attrition]]="No",0,""))</f>
        <v>0</v>
      </c>
      <c r="AQ877" t="str" cm="1">
        <f t="array" ref="AQ877">_xlfn.IFS(CleanEmployeeData[[#This Row],[MonthlyIncome]]&lt;=3000,"0–3,000",CleanEmployeeData[[#This Row],[MonthlyIncome]]&lt;=6000,"3,001–6,000",CleanEmployeeData[[#This Row],[MonthlyIncome]]&lt;=10000,"6,001–10,000",TRUE,"10,001+")</f>
        <v>3,001–6,000</v>
      </c>
      <c r="AR877" t="str" cm="1">
        <f t="array" ref="AR877">_xlfn.IFS(CleanEmployeeData[[#This Row],[DistanceFromHome]]&lt;=5,"0–5 miles",CleanEmployeeData[[#This Row],[DistanceFromHome]]&lt;=10,"6–10 miles",CleanEmployeeData[[#This Row],[DistanceFromHome]]&lt;=15,"11–15 miles",TRUE,"16+ miles")</f>
        <v>16+ miles</v>
      </c>
      <c r="AS877" t="str" cm="1">
        <f t="array" ref="AS877">_xlfn.IFS(CleanEmployeeData[[#This Row],[YearsAtCompany]]&lt;=1,"0–1 years",CleanEmployeeData[[#This Row],[YearsAtCompany]]&lt;=5,"2–5 years",CleanEmployeeData[[#This Row],[YearsAtCompany]]&lt;=10,"6–10 years",TRUE,"11+ years")</f>
        <v>11+ years</v>
      </c>
    </row>
    <row r="878" spans="1:4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cm="1">
        <f t="array" ref="AJ878">_xlfn.SWITCH(CleanEmployeeData[[#This Row],[Education]],1,"Below College",2,"College",3,"Bachelor",4,"Master",5,"Doctor","Unknown")</f>
        <v>Bachelor</v>
      </c>
      <c r="AK878" t="str" cm="1">
        <f t="array" ref="AK878">_xlfn.SWITCH(CleanEmployeeData[[#This Row],[EnvironmentSatisfaction]],1,"Low",2,"Medium",3,"High",4,"Very High","Unknown")</f>
        <v>High</v>
      </c>
      <c r="AL878" t="str" cm="1">
        <f t="array" ref="AL878">_xlfn.SWITCH(CleanEmployeeData[[#This Row],[JobInvolvement]],1,"Low",2,"Medium",3,"High",4,"Very High","Unknown")</f>
        <v>Very High</v>
      </c>
      <c r="AM878" t="str" cm="1">
        <f t="array" ref="AM878">_xlfn.SWITCH(CleanEmployeeData[[#This Row],[JobSatisfaction]],1,"Low",2,"Medium",3,"High",4,"Very High","Unknown")</f>
        <v>Very High</v>
      </c>
      <c r="AN878" t="str" cm="1">
        <f t="array" ref="AN878">_xlfn.SWITCH(CleanEmployeeData[[#This Row],[PerformanceRating]],1,"Low",2,"Good",3,"Excellent",4,"Outstanding","Unknown")</f>
        <v>Excellent</v>
      </c>
      <c r="AO878" t="str" cm="1">
        <f t="array" ref="AO878">_xlfn.SWITCH(CleanEmployeeData[[#This Row],[WorkLifeBalance]],1,"Bad",2,"Good",3,"Better",4,"Best","Unknown")</f>
        <v>Better</v>
      </c>
      <c r="AP878">
        <f>IF(CleanEmployeeData[[#This Row],[Attrition]]="Yes",1,IF(CleanEmployeeData[[#This Row],[Attrition]]="No",0,""))</f>
        <v>0</v>
      </c>
      <c r="AQ878" t="str" cm="1">
        <f t="array" ref="AQ878">_xlfn.IFS(CleanEmployeeData[[#This Row],[MonthlyIncome]]&lt;=3000,"0–3,000",CleanEmployeeData[[#This Row],[MonthlyIncome]]&lt;=6000,"3,001–6,000",CleanEmployeeData[[#This Row],[MonthlyIncome]]&lt;=10000,"6,001–10,000",TRUE,"10,001+")</f>
        <v>0–3,000</v>
      </c>
      <c r="AR878" t="str" cm="1">
        <f t="array" ref="AR878">_xlfn.IFS(CleanEmployeeData[[#This Row],[DistanceFromHome]]&lt;=5,"0–5 miles",CleanEmployeeData[[#This Row],[DistanceFromHome]]&lt;=10,"6–10 miles",CleanEmployeeData[[#This Row],[DistanceFromHome]]&lt;=15,"11–15 miles",TRUE,"16+ miles")</f>
        <v>16+ miles</v>
      </c>
      <c r="AS878" t="str" cm="1">
        <f t="array" ref="AS878">_xlfn.IFS(CleanEmployeeData[[#This Row],[YearsAtCompany]]&lt;=1,"0–1 years",CleanEmployeeData[[#This Row],[YearsAtCompany]]&lt;=5,"2–5 years",CleanEmployeeData[[#This Row],[YearsAtCompany]]&lt;=10,"6–10 years",TRUE,"11+ years")</f>
        <v>2–5 years</v>
      </c>
    </row>
    <row r="879" spans="1:4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cm="1">
        <f t="array" ref="AJ879">_xlfn.SWITCH(CleanEmployeeData[[#This Row],[Education]],1,"Below College",2,"College",3,"Bachelor",4,"Master",5,"Doctor","Unknown")</f>
        <v>Master</v>
      </c>
      <c r="AK879" t="str" cm="1">
        <f t="array" ref="AK879">_xlfn.SWITCH(CleanEmployeeData[[#This Row],[EnvironmentSatisfaction]],1,"Low",2,"Medium",3,"High",4,"Very High","Unknown")</f>
        <v>Very High</v>
      </c>
      <c r="AL879" t="str" cm="1">
        <f t="array" ref="AL879">_xlfn.SWITCH(CleanEmployeeData[[#This Row],[JobInvolvement]],1,"Low",2,"Medium",3,"High",4,"Very High","Unknown")</f>
        <v>High</v>
      </c>
      <c r="AM879" t="str" cm="1">
        <f t="array" ref="AM879">_xlfn.SWITCH(CleanEmployeeData[[#This Row],[JobSatisfaction]],1,"Low",2,"Medium",3,"High",4,"Very High","Unknown")</f>
        <v>Very High</v>
      </c>
      <c r="AN879" t="str" cm="1">
        <f t="array" ref="AN879">_xlfn.SWITCH(CleanEmployeeData[[#This Row],[PerformanceRating]],1,"Low",2,"Good",3,"Excellent",4,"Outstanding","Unknown")</f>
        <v>Excellent</v>
      </c>
      <c r="AO879" t="str" cm="1">
        <f t="array" ref="AO879">_xlfn.SWITCH(CleanEmployeeData[[#This Row],[WorkLifeBalance]],1,"Bad",2,"Good",3,"Better",4,"Best","Unknown")</f>
        <v>Good</v>
      </c>
      <c r="AP879">
        <f>IF(CleanEmployeeData[[#This Row],[Attrition]]="Yes",1,IF(CleanEmployeeData[[#This Row],[Attrition]]="No",0,""))</f>
        <v>0</v>
      </c>
      <c r="AQ879" t="str" cm="1">
        <f t="array" ref="AQ879">_xlfn.IFS(CleanEmployeeData[[#This Row],[MonthlyIncome]]&lt;=3000,"0–3,000",CleanEmployeeData[[#This Row],[MonthlyIncome]]&lt;=6000,"3,001–6,000",CleanEmployeeData[[#This Row],[MonthlyIncome]]&lt;=10000,"6,001–10,000",TRUE,"10,001+")</f>
        <v>6,001–10,000</v>
      </c>
      <c r="AR879" t="str" cm="1">
        <f t="array" ref="AR879">_xlfn.IFS(CleanEmployeeData[[#This Row],[DistanceFromHome]]&lt;=5,"0–5 miles",CleanEmployeeData[[#This Row],[DistanceFromHome]]&lt;=10,"6–10 miles",CleanEmployeeData[[#This Row],[DistanceFromHome]]&lt;=15,"11–15 miles",TRUE,"16+ miles")</f>
        <v>0–5 miles</v>
      </c>
      <c r="AS879" t="str" cm="1">
        <f t="array" ref="AS879">_xlfn.IFS(CleanEmployeeData[[#This Row],[YearsAtCompany]]&lt;=1,"0–1 years",CleanEmployeeData[[#This Row],[YearsAtCompany]]&lt;=5,"2–5 years",CleanEmployeeData[[#This Row],[YearsAtCompany]]&lt;=10,"6–10 years",TRUE,"11+ years")</f>
        <v>6–10 years</v>
      </c>
    </row>
    <row r="880" spans="1:4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cm="1">
        <f t="array" ref="AJ880">_xlfn.SWITCH(CleanEmployeeData[[#This Row],[Education]],1,"Below College",2,"College",3,"Bachelor",4,"Master",5,"Doctor","Unknown")</f>
        <v>Doctor</v>
      </c>
      <c r="AK880" t="str" cm="1">
        <f t="array" ref="AK880">_xlfn.SWITCH(CleanEmployeeData[[#This Row],[EnvironmentSatisfaction]],1,"Low",2,"Medium",3,"High",4,"Very High","Unknown")</f>
        <v>Very High</v>
      </c>
      <c r="AL880" t="str" cm="1">
        <f t="array" ref="AL880">_xlfn.SWITCH(CleanEmployeeData[[#This Row],[JobInvolvement]],1,"Low",2,"Medium",3,"High",4,"Very High","Unknown")</f>
        <v>Very High</v>
      </c>
      <c r="AM880" t="str" cm="1">
        <f t="array" ref="AM880">_xlfn.SWITCH(CleanEmployeeData[[#This Row],[JobSatisfaction]],1,"Low",2,"Medium",3,"High",4,"Very High","Unknown")</f>
        <v>Low</v>
      </c>
      <c r="AN880" t="str" cm="1">
        <f t="array" ref="AN880">_xlfn.SWITCH(CleanEmployeeData[[#This Row],[PerformanceRating]],1,"Low",2,"Good",3,"Excellent",4,"Outstanding","Unknown")</f>
        <v>Excellent</v>
      </c>
      <c r="AO880" t="str" cm="1">
        <f t="array" ref="AO880">_xlfn.SWITCH(CleanEmployeeData[[#This Row],[WorkLifeBalance]],1,"Bad",2,"Good",3,"Better",4,"Best","Unknown")</f>
        <v>Best</v>
      </c>
      <c r="AP880">
        <f>IF(CleanEmployeeData[[#This Row],[Attrition]]="Yes",1,IF(CleanEmployeeData[[#This Row],[Attrition]]="No",0,""))</f>
        <v>0</v>
      </c>
      <c r="AQ880" t="str" cm="1">
        <f t="array" ref="AQ880">_xlfn.IFS(CleanEmployeeData[[#This Row],[MonthlyIncome]]&lt;=3000,"0–3,000",CleanEmployeeData[[#This Row],[MonthlyIncome]]&lt;=6000,"3,001–6,000",CleanEmployeeData[[#This Row],[MonthlyIncome]]&lt;=10000,"6,001–10,000",TRUE,"10,001+")</f>
        <v>6,001–10,000</v>
      </c>
      <c r="AR880" t="str" cm="1">
        <f t="array" ref="AR880">_xlfn.IFS(CleanEmployeeData[[#This Row],[DistanceFromHome]]&lt;=5,"0–5 miles",CleanEmployeeData[[#This Row],[DistanceFromHome]]&lt;=10,"6–10 miles",CleanEmployeeData[[#This Row],[DistanceFromHome]]&lt;=15,"11–15 miles",TRUE,"16+ miles")</f>
        <v>0–5 miles</v>
      </c>
      <c r="AS880" t="str" cm="1">
        <f t="array" ref="AS880">_xlfn.IFS(CleanEmployeeData[[#This Row],[YearsAtCompany]]&lt;=1,"0–1 years",CleanEmployeeData[[#This Row],[YearsAtCompany]]&lt;=5,"2–5 years",CleanEmployeeData[[#This Row],[YearsAtCompany]]&lt;=10,"6–10 years",TRUE,"11+ years")</f>
        <v>2–5 years</v>
      </c>
    </row>
    <row r="881" spans="1:4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cm="1">
        <f t="array" ref="AJ881">_xlfn.SWITCH(CleanEmployeeData[[#This Row],[Education]],1,"Below College",2,"College",3,"Bachelor",4,"Master",5,"Doctor","Unknown")</f>
        <v>Master</v>
      </c>
      <c r="AK881" t="str" cm="1">
        <f t="array" ref="AK881">_xlfn.SWITCH(CleanEmployeeData[[#This Row],[EnvironmentSatisfaction]],1,"Low",2,"Medium",3,"High",4,"Very High","Unknown")</f>
        <v>Medium</v>
      </c>
      <c r="AL881" t="str" cm="1">
        <f t="array" ref="AL881">_xlfn.SWITCH(CleanEmployeeData[[#This Row],[JobInvolvement]],1,"Low",2,"Medium",3,"High",4,"Very High","Unknown")</f>
        <v>Very High</v>
      </c>
      <c r="AM881" t="str" cm="1">
        <f t="array" ref="AM881">_xlfn.SWITCH(CleanEmployeeData[[#This Row],[JobSatisfaction]],1,"Low",2,"Medium",3,"High",4,"Very High","Unknown")</f>
        <v>Very High</v>
      </c>
      <c r="AN881" t="str" cm="1">
        <f t="array" ref="AN881">_xlfn.SWITCH(CleanEmployeeData[[#This Row],[PerformanceRating]],1,"Low",2,"Good",3,"Excellent",4,"Outstanding","Unknown")</f>
        <v>Excellent</v>
      </c>
      <c r="AO881" t="str" cm="1">
        <f t="array" ref="AO881">_xlfn.SWITCH(CleanEmployeeData[[#This Row],[WorkLifeBalance]],1,"Bad",2,"Good",3,"Better",4,"Best","Unknown")</f>
        <v>Better</v>
      </c>
      <c r="AP881">
        <f>IF(CleanEmployeeData[[#This Row],[Attrition]]="Yes",1,IF(CleanEmployeeData[[#This Row],[Attrition]]="No",0,""))</f>
        <v>0</v>
      </c>
      <c r="AQ881" t="str" cm="1">
        <f t="array" ref="AQ881">_xlfn.IFS(CleanEmployeeData[[#This Row],[MonthlyIncome]]&lt;=3000,"0–3,000",CleanEmployeeData[[#This Row],[MonthlyIncome]]&lt;=6000,"3,001–6,000",CleanEmployeeData[[#This Row],[MonthlyIncome]]&lt;=10000,"6,001–10,000",TRUE,"10,001+")</f>
        <v>3,001–6,000</v>
      </c>
      <c r="AR881" t="str" cm="1">
        <f t="array" ref="AR881">_xlfn.IFS(CleanEmployeeData[[#This Row],[DistanceFromHome]]&lt;=5,"0–5 miles",CleanEmployeeData[[#This Row],[DistanceFromHome]]&lt;=10,"6–10 miles",CleanEmployeeData[[#This Row],[DistanceFromHome]]&lt;=15,"11–15 miles",TRUE,"16+ miles")</f>
        <v>6–10 miles</v>
      </c>
      <c r="AS881" t="str" cm="1">
        <f t="array" ref="AS881">_xlfn.IFS(CleanEmployeeData[[#This Row],[YearsAtCompany]]&lt;=1,"0–1 years",CleanEmployeeData[[#This Row],[YearsAtCompany]]&lt;=5,"2–5 years",CleanEmployeeData[[#This Row],[YearsAtCompany]]&lt;=10,"6–10 years",TRUE,"11+ years")</f>
        <v>11+ years</v>
      </c>
    </row>
    <row r="882" spans="1:4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cm="1">
        <f t="array" ref="AJ882">_xlfn.SWITCH(CleanEmployeeData[[#This Row],[Education]],1,"Below College",2,"College",3,"Bachelor",4,"Master",5,"Doctor","Unknown")</f>
        <v>Bachelor</v>
      </c>
      <c r="AK882" t="str" cm="1">
        <f t="array" ref="AK882">_xlfn.SWITCH(CleanEmployeeData[[#This Row],[EnvironmentSatisfaction]],1,"Low",2,"Medium",3,"High",4,"Very High","Unknown")</f>
        <v>High</v>
      </c>
      <c r="AL882" t="str" cm="1">
        <f t="array" ref="AL882">_xlfn.SWITCH(CleanEmployeeData[[#This Row],[JobInvolvement]],1,"Low",2,"Medium",3,"High",4,"Very High","Unknown")</f>
        <v>Medium</v>
      </c>
      <c r="AM882" t="str" cm="1">
        <f t="array" ref="AM882">_xlfn.SWITCH(CleanEmployeeData[[#This Row],[JobSatisfaction]],1,"Low",2,"Medium",3,"High",4,"Very High","Unknown")</f>
        <v>Medium</v>
      </c>
      <c r="AN882" t="str" cm="1">
        <f t="array" ref="AN882">_xlfn.SWITCH(CleanEmployeeData[[#This Row],[PerformanceRating]],1,"Low",2,"Good",3,"Excellent",4,"Outstanding","Unknown")</f>
        <v>Outstanding</v>
      </c>
      <c r="AO882" t="str" cm="1">
        <f t="array" ref="AO882">_xlfn.SWITCH(CleanEmployeeData[[#This Row],[WorkLifeBalance]],1,"Bad",2,"Good",3,"Better",4,"Best","Unknown")</f>
        <v>Better</v>
      </c>
      <c r="AP882">
        <f>IF(CleanEmployeeData[[#This Row],[Attrition]]="Yes",1,IF(CleanEmployeeData[[#This Row],[Attrition]]="No",0,""))</f>
        <v>0</v>
      </c>
      <c r="AQ882" t="str" cm="1">
        <f t="array" ref="AQ882">_xlfn.IFS(CleanEmployeeData[[#This Row],[MonthlyIncome]]&lt;=3000,"0–3,000",CleanEmployeeData[[#This Row],[MonthlyIncome]]&lt;=6000,"3,001–6,000",CleanEmployeeData[[#This Row],[MonthlyIncome]]&lt;=10000,"6,001–10,000",TRUE,"10,001+")</f>
        <v>0–3,000</v>
      </c>
      <c r="AR882" t="str" cm="1">
        <f t="array" ref="AR882">_xlfn.IFS(CleanEmployeeData[[#This Row],[DistanceFromHome]]&lt;=5,"0–5 miles",CleanEmployeeData[[#This Row],[DistanceFromHome]]&lt;=10,"6–10 miles",CleanEmployeeData[[#This Row],[DistanceFromHome]]&lt;=15,"11–15 miles",TRUE,"16+ miles")</f>
        <v>11–15 miles</v>
      </c>
      <c r="AS882" t="str" cm="1">
        <f t="array" ref="AS882">_xlfn.IFS(CleanEmployeeData[[#This Row],[YearsAtCompany]]&lt;=1,"0–1 years",CleanEmployeeData[[#This Row],[YearsAtCompany]]&lt;=5,"2–5 years",CleanEmployeeData[[#This Row],[YearsAtCompany]]&lt;=10,"6–10 years",TRUE,"11+ years")</f>
        <v>2–5 years</v>
      </c>
    </row>
    <row r="883" spans="1:4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cm="1">
        <f t="array" ref="AJ883">_xlfn.SWITCH(CleanEmployeeData[[#This Row],[Education]],1,"Below College",2,"College",3,"Bachelor",4,"Master",5,"Doctor","Unknown")</f>
        <v>College</v>
      </c>
      <c r="AK883" t="str" cm="1">
        <f t="array" ref="AK883">_xlfn.SWITCH(CleanEmployeeData[[#This Row],[EnvironmentSatisfaction]],1,"Low",2,"Medium",3,"High",4,"Very High","Unknown")</f>
        <v>Very High</v>
      </c>
      <c r="AL883" t="str" cm="1">
        <f t="array" ref="AL883">_xlfn.SWITCH(CleanEmployeeData[[#This Row],[JobInvolvement]],1,"Low",2,"Medium",3,"High",4,"Very High","Unknown")</f>
        <v>High</v>
      </c>
      <c r="AM883" t="str" cm="1">
        <f t="array" ref="AM883">_xlfn.SWITCH(CleanEmployeeData[[#This Row],[JobSatisfaction]],1,"Low",2,"Medium",3,"High",4,"Very High","Unknown")</f>
        <v>High</v>
      </c>
      <c r="AN883" t="str" cm="1">
        <f t="array" ref="AN883">_xlfn.SWITCH(CleanEmployeeData[[#This Row],[PerformanceRating]],1,"Low",2,"Good",3,"Excellent",4,"Outstanding","Unknown")</f>
        <v>Excellent</v>
      </c>
      <c r="AO883" t="str" cm="1">
        <f t="array" ref="AO883">_xlfn.SWITCH(CleanEmployeeData[[#This Row],[WorkLifeBalance]],1,"Bad",2,"Good",3,"Better",4,"Best","Unknown")</f>
        <v>Better</v>
      </c>
      <c r="AP883">
        <f>IF(CleanEmployeeData[[#This Row],[Attrition]]="Yes",1,IF(CleanEmployeeData[[#This Row],[Attrition]]="No",0,""))</f>
        <v>0</v>
      </c>
      <c r="AQ883" t="str" cm="1">
        <f t="array" ref="AQ883">_xlfn.IFS(CleanEmployeeData[[#This Row],[MonthlyIncome]]&lt;=3000,"0–3,000",CleanEmployeeData[[#This Row],[MonthlyIncome]]&lt;=6000,"3,001–6,000",CleanEmployeeData[[#This Row],[MonthlyIncome]]&lt;=10000,"6,001–10,000",TRUE,"10,001+")</f>
        <v>3,001–6,000</v>
      </c>
      <c r="AR883" t="str" cm="1">
        <f t="array" ref="AR883">_xlfn.IFS(CleanEmployeeData[[#This Row],[DistanceFromHome]]&lt;=5,"0–5 miles",CleanEmployeeData[[#This Row],[DistanceFromHome]]&lt;=10,"6–10 miles",CleanEmployeeData[[#This Row],[DistanceFromHome]]&lt;=15,"11–15 miles",TRUE,"16+ miles")</f>
        <v>0–5 miles</v>
      </c>
      <c r="AS883" t="str" cm="1">
        <f t="array" ref="AS883">_xlfn.IFS(CleanEmployeeData[[#This Row],[YearsAtCompany]]&lt;=1,"0–1 years",CleanEmployeeData[[#This Row],[YearsAtCompany]]&lt;=5,"2–5 years",CleanEmployeeData[[#This Row],[YearsAtCompany]]&lt;=10,"6–10 years",TRUE,"11+ years")</f>
        <v>6–10 years</v>
      </c>
    </row>
    <row r="884" spans="1:4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cm="1">
        <f t="array" ref="AJ884">_xlfn.SWITCH(CleanEmployeeData[[#This Row],[Education]],1,"Below College",2,"College",3,"Bachelor",4,"Master",5,"Doctor","Unknown")</f>
        <v>Bachelor</v>
      </c>
      <c r="AK884" t="str" cm="1">
        <f t="array" ref="AK884">_xlfn.SWITCH(CleanEmployeeData[[#This Row],[EnvironmentSatisfaction]],1,"Low",2,"Medium",3,"High",4,"Very High","Unknown")</f>
        <v>High</v>
      </c>
      <c r="AL884" t="str" cm="1">
        <f t="array" ref="AL884">_xlfn.SWITCH(CleanEmployeeData[[#This Row],[JobInvolvement]],1,"Low",2,"Medium",3,"High",4,"Very High","Unknown")</f>
        <v>Low</v>
      </c>
      <c r="AM884" t="str" cm="1">
        <f t="array" ref="AM884">_xlfn.SWITCH(CleanEmployeeData[[#This Row],[JobSatisfaction]],1,"Low",2,"Medium",3,"High",4,"Very High","Unknown")</f>
        <v>Low</v>
      </c>
      <c r="AN884" t="str" cm="1">
        <f t="array" ref="AN884">_xlfn.SWITCH(CleanEmployeeData[[#This Row],[PerformanceRating]],1,"Low",2,"Good",3,"Excellent",4,"Outstanding","Unknown")</f>
        <v>Outstanding</v>
      </c>
      <c r="AO884" t="str" cm="1">
        <f t="array" ref="AO884">_xlfn.SWITCH(CleanEmployeeData[[#This Row],[WorkLifeBalance]],1,"Bad",2,"Good",3,"Better",4,"Best","Unknown")</f>
        <v>Better</v>
      </c>
      <c r="AP884">
        <f>IF(CleanEmployeeData[[#This Row],[Attrition]]="Yes",1,IF(CleanEmployeeData[[#This Row],[Attrition]]="No",0,""))</f>
        <v>0</v>
      </c>
      <c r="AQ884" t="str" cm="1">
        <f t="array" ref="AQ884">_xlfn.IFS(CleanEmployeeData[[#This Row],[MonthlyIncome]]&lt;=3000,"0–3,000",CleanEmployeeData[[#This Row],[MonthlyIncome]]&lt;=6000,"3,001–6,000",CleanEmployeeData[[#This Row],[MonthlyIncome]]&lt;=10000,"6,001–10,000",TRUE,"10,001+")</f>
        <v>10,001+</v>
      </c>
      <c r="AR884" t="str" cm="1">
        <f t="array" ref="AR884">_xlfn.IFS(CleanEmployeeData[[#This Row],[DistanceFromHome]]&lt;=5,"0–5 miles",CleanEmployeeData[[#This Row],[DistanceFromHome]]&lt;=10,"6–10 miles",CleanEmployeeData[[#This Row],[DistanceFromHome]]&lt;=15,"11–15 miles",TRUE,"16+ miles")</f>
        <v>0–5 miles</v>
      </c>
      <c r="AS884" t="str" cm="1">
        <f t="array" ref="AS884">_xlfn.IFS(CleanEmployeeData[[#This Row],[YearsAtCompany]]&lt;=1,"0–1 years",CleanEmployeeData[[#This Row],[YearsAtCompany]]&lt;=5,"2–5 years",CleanEmployeeData[[#This Row],[YearsAtCompany]]&lt;=10,"6–10 years",TRUE,"11+ years")</f>
        <v>6–10 years</v>
      </c>
    </row>
    <row r="885" spans="1:4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cm="1">
        <f t="array" ref="AJ885">_xlfn.SWITCH(CleanEmployeeData[[#This Row],[Education]],1,"Below College",2,"College",3,"Bachelor",4,"Master",5,"Doctor","Unknown")</f>
        <v>Bachelor</v>
      </c>
      <c r="AK885" t="str" cm="1">
        <f t="array" ref="AK885">_xlfn.SWITCH(CleanEmployeeData[[#This Row],[EnvironmentSatisfaction]],1,"Low",2,"Medium",3,"High",4,"Very High","Unknown")</f>
        <v>Low</v>
      </c>
      <c r="AL885" t="str" cm="1">
        <f t="array" ref="AL885">_xlfn.SWITCH(CleanEmployeeData[[#This Row],[JobInvolvement]],1,"Low",2,"Medium",3,"High",4,"Very High","Unknown")</f>
        <v>High</v>
      </c>
      <c r="AM885" t="str" cm="1">
        <f t="array" ref="AM885">_xlfn.SWITCH(CleanEmployeeData[[#This Row],[JobSatisfaction]],1,"Low",2,"Medium",3,"High",4,"Very High","Unknown")</f>
        <v>Very High</v>
      </c>
      <c r="AN885" t="str" cm="1">
        <f t="array" ref="AN885">_xlfn.SWITCH(CleanEmployeeData[[#This Row],[PerformanceRating]],1,"Low",2,"Good",3,"Excellent",4,"Outstanding","Unknown")</f>
        <v>Excellent</v>
      </c>
      <c r="AO885" t="str" cm="1">
        <f t="array" ref="AO885">_xlfn.SWITCH(CleanEmployeeData[[#This Row],[WorkLifeBalance]],1,"Bad",2,"Good",3,"Better",4,"Best","Unknown")</f>
        <v>Better</v>
      </c>
      <c r="AP885">
        <f>IF(CleanEmployeeData[[#This Row],[Attrition]]="Yes",1,IF(CleanEmployeeData[[#This Row],[Attrition]]="No",0,""))</f>
        <v>0</v>
      </c>
      <c r="AQ885" t="str" cm="1">
        <f t="array" ref="AQ885">_xlfn.IFS(CleanEmployeeData[[#This Row],[MonthlyIncome]]&lt;=3000,"0–3,000",CleanEmployeeData[[#This Row],[MonthlyIncome]]&lt;=6000,"3,001–6,000",CleanEmployeeData[[#This Row],[MonthlyIncome]]&lt;=10000,"6,001–10,000",TRUE,"10,001+")</f>
        <v>0–3,000</v>
      </c>
      <c r="AR885" t="str" cm="1">
        <f t="array" ref="AR885">_xlfn.IFS(CleanEmployeeData[[#This Row],[DistanceFromHome]]&lt;=5,"0–5 miles",CleanEmployeeData[[#This Row],[DistanceFromHome]]&lt;=10,"6–10 miles",CleanEmployeeData[[#This Row],[DistanceFromHome]]&lt;=15,"11–15 miles",TRUE,"16+ miles")</f>
        <v>6–10 miles</v>
      </c>
      <c r="AS885" t="str" cm="1">
        <f t="array" ref="AS885">_xlfn.IFS(CleanEmployeeData[[#This Row],[YearsAtCompany]]&lt;=1,"0–1 years",CleanEmployeeData[[#This Row],[YearsAtCompany]]&lt;=5,"2–5 years",CleanEmployeeData[[#This Row],[YearsAtCompany]]&lt;=10,"6–10 years",TRUE,"11+ years")</f>
        <v>11+ years</v>
      </c>
    </row>
    <row r="886" spans="1:4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cm="1">
        <f t="array" ref="AJ886">_xlfn.SWITCH(CleanEmployeeData[[#This Row],[Education]],1,"Below College",2,"College",3,"Bachelor",4,"Master",5,"Doctor","Unknown")</f>
        <v>Bachelor</v>
      </c>
      <c r="AK886" t="str" cm="1">
        <f t="array" ref="AK886">_xlfn.SWITCH(CleanEmployeeData[[#This Row],[EnvironmentSatisfaction]],1,"Low",2,"Medium",3,"High",4,"Very High","Unknown")</f>
        <v>Medium</v>
      </c>
      <c r="AL886" t="str" cm="1">
        <f t="array" ref="AL886">_xlfn.SWITCH(CleanEmployeeData[[#This Row],[JobInvolvement]],1,"Low",2,"Medium",3,"High",4,"Very High","Unknown")</f>
        <v>Medium</v>
      </c>
      <c r="AM886" t="str" cm="1">
        <f t="array" ref="AM886">_xlfn.SWITCH(CleanEmployeeData[[#This Row],[JobSatisfaction]],1,"Low",2,"Medium",3,"High",4,"Very High","Unknown")</f>
        <v>Medium</v>
      </c>
      <c r="AN886" t="str" cm="1">
        <f t="array" ref="AN886">_xlfn.SWITCH(CleanEmployeeData[[#This Row],[PerformanceRating]],1,"Low",2,"Good",3,"Excellent",4,"Outstanding","Unknown")</f>
        <v>Excellent</v>
      </c>
      <c r="AO886" t="str" cm="1">
        <f t="array" ref="AO886">_xlfn.SWITCH(CleanEmployeeData[[#This Row],[WorkLifeBalance]],1,"Bad",2,"Good",3,"Better",4,"Best","Unknown")</f>
        <v>Best</v>
      </c>
      <c r="AP886">
        <f>IF(CleanEmployeeData[[#This Row],[Attrition]]="Yes",1,IF(CleanEmployeeData[[#This Row],[Attrition]]="No",0,""))</f>
        <v>0</v>
      </c>
      <c r="AQ886" t="str" cm="1">
        <f t="array" ref="AQ886">_xlfn.IFS(CleanEmployeeData[[#This Row],[MonthlyIncome]]&lt;=3000,"0–3,000",CleanEmployeeData[[#This Row],[MonthlyIncome]]&lt;=6000,"3,001–6,000",CleanEmployeeData[[#This Row],[MonthlyIncome]]&lt;=10000,"6,001–10,000",TRUE,"10,001+")</f>
        <v>6,001–10,000</v>
      </c>
      <c r="AR886" t="str" cm="1">
        <f t="array" ref="AR886">_xlfn.IFS(CleanEmployeeData[[#This Row],[DistanceFromHome]]&lt;=5,"0–5 miles",CleanEmployeeData[[#This Row],[DistanceFromHome]]&lt;=10,"6–10 miles",CleanEmployeeData[[#This Row],[DistanceFromHome]]&lt;=15,"11–15 miles",TRUE,"16+ miles")</f>
        <v>6–10 miles</v>
      </c>
      <c r="AS886" t="str" cm="1">
        <f t="array" ref="AS886">_xlfn.IFS(CleanEmployeeData[[#This Row],[YearsAtCompany]]&lt;=1,"0–1 years",CleanEmployeeData[[#This Row],[YearsAtCompany]]&lt;=5,"2–5 years",CleanEmployeeData[[#This Row],[YearsAtCompany]]&lt;=10,"6–10 years",TRUE,"11+ years")</f>
        <v>2–5 years</v>
      </c>
    </row>
    <row r="887" spans="1:4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cm="1">
        <f t="array" ref="AJ887">_xlfn.SWITCH(CleanEmployeeData[[#This Row],[Education]],1,"Below College",2,"College",3,"Bachelor",4,"Master",5,"Doctor","Unknown")</f>
        <v>Master</v>
      </c>
      <c r="AK887" t="str" cm="1">
        <f t="array" ref="AK887">_xlfn.SWITCH(CleanEmployeeData[[#This Row],[EnvironmentSatisfaction]],1,"Low",2,"Medium",3,"High",4,"Very High","Unknown")</f>
        <v>High</v>
      </c>
      <c r="AL887" t="str" cm="1">
        <f t="array" ref="AL887">_xlfn.SWITCH(CleanEmployeeData[[#This Row],[JobInvolvement]],1,"Low",2,"Medium",3,"High",4,"Very High","Unknown")</f>
        <v>High</v>
      </c>
      <c r="AM887" t="str" cm="1">
        <f t="array" ref="AM887">_xlfn.SWITCH(CleanEmployeeData[[#This Row],[JobSatisfaction]],1,"Low",2,"Medium",3,"High",4,"Very High","Unknown")</f>
        <v>Very High</v>
      </c>
      <c r="AN887" t="str" cm="1">
        <f t="array" ref="AN887">_xlfn.SWITCH(CleanEmployeeData[[#This Row],[PerformanceRating]],1,"Low",2,"Good",3,"Excellent",4,"Outstanding","Unknown")</f>
        <v>Excellent</v>
      </c>
      <c r="AO887" t="str" cm="1">
        <f t="array" ref="AO887">_xlfn.SWITCH(CleanEmployeeData[[#This Row],[WorkLifeBalance]],1,"Bad",2,"Good",3,"Better",4,"Best","Unknown")</f>
        <v>Better</v>
      </c>
      <c r="AP887">
        <f>IF(CleanEmployeeData[[#This Row],[Attrition]]="Yes",1,IF(CleanEmployeeData[[#This Row],[Attrition]]="No",0,""))</f>
        <v>0</v>
      </c>
      <c r="AQ887" t="str" cm="1">
        <f t="array" ref="AQ887">_xlfn.IFS(CleanEmployeeData[[#This Row],[MonthlyIncome]]&lt;=3000,"0–3,000",CleanEmployeeData[[#This Row],[MonthlyIncome]]&lt;=6000,"3,001–6,000",CleanEmployeeData[[#This Row],[MonthlyIncome]]&lt;=10000,"6,001–10,000",TRUE,"10,001+")</f>
        <v>3,001–6,000</v>
      </c>
      <c r="AR887" t="str" cm="1">
        <f t="array" ref="AR887">_xlfn.IFS(CleanEmployeeData[[#This Row],[DistanceFromHome]]&lt;=5,"0–5 miles",CleanEmployeeData[[#This Row],[DistanceFromHome]]&lt;=10,"6–10 miles",CleanEmployeeData[[#This Row],[DistanceFromHome]]&lt;=15,"11–15 miles",TRUE,"16+ miles")</f>
        <v>6–10 miles</v>
      </c>
      <c r="AS887" t="str" cm="1">
        <f t="array" ref="AS887">_xlfn.IFS(CleanEmployeeData[[#This Row],[YearsAtCompany]]&lt;=1,"0–1 years",CleanEmployeeData[[#This Row],[YearsAtCompany]]&lt;=5,"2–5 years",CleanEmployeeData[[#This Row],[YearsAtCompany]]&lt;=10,"6–10 years",TRUE,"11+ years")</f>
        <v>2–5 years</v>
      </c>
    </row>
    <row r="888" spans="1:4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cm="1">
        <f t="array" ref="AJ888">_xlfn.SWITCH(CleanEmployeeData[[#This Row],[Education]],1,"Below College",2,"College",3,"Bachelor",4,"Master",5,"Doctor","Unknown")</f>
        <v>Bachelor</v>
      </c>
      <c r="AK888" t="str" cm="1">
        <f t="array" ref="AK888">_xlfn.SWITCH(CleanEmployeeData[[#This Row],[EnvironmentSatisfaction]],1,"Low",2,"Medium",3,"High",4,"Very High","Unknown")</f>
        <v>Very High</v>
      </c>
      <c r="AL888" t="str" cm="1">
        <f t="array" ref="AL888">_xlfn.SWITCH(CleanEmployeeData[[#This Row],[JobInvolvement]],1,"Low",2,"Medium",3,"High",4,"Very High","Unknown")</f>
        <v>High</v>
      </c>
      <c r="AM888" t="str" cm="1">
        <f t="array" ref="AM888">_xlfn.SWITCH(CleanEmployeeData[[#This Row],[JobSatisfaction]],1,"Low",2,"Medium",3,"High",4,"Very High","Unknown")</f>
        <v>Medium</v>
      </c>
      <c r="AN888" t="str" cm="1">
        <f t="array" ref="AN888">_xlfn.SWITCH(CleanEmployeeData[[#This Row],[PerformanceRating]],1,"Low",2,"Good",3,"Excellent",4,"Outstanding","Unknown")</f>
        <v>Outstanding</v>
      </c>
      <c r="AO888" t="str" cm="1">
        <f t="array" ref="AO888">_xlfn.SWITCH(CleanEmployeeData[[#This Row],[WorkLifeBalance]],1,"Bad",2,"Good",3,"Better",4,"Best","Unknown")</f>
        <v>Better</v>
      </c>
      <c r="AP888">
        <f>IF(CleanEmployeeData[[#This Row],[Attrition]]="Yes",1,IF(CleanEmployeeData[[#This Row],[Attrition]]="No",0,""))</f>
        <v>0</v>
      </c>
      <c r="AQ888" t="str" cm="1">
        <f t="array" ref="AQ888">_xlfn.IFS(CleanEmployeeData[[#This Row],[MonthlyIncome]]&lt;=3000,"0–3,000",CleanEmployeeData[[#This Row],[MonthlyIncome]]&lt;=6000,"3,001–6,000",CleanEmployeeData[[#This Row],[MonthlyIncome]]&lt;=10000,"6,001–10,000",TRUE,"10,001+")</f>
        <v>3,001–6,000</v>
      </c>
      <c r="AR888" t="str" cm="1">
        <f t="array" ref="AR888">_xlfn.IFS(CleanEmployeeData[[#This Row],[DistanceFromHome]]&lt;=5,"0–5 miles",CleanEmployeeData[[#This Row],[DistanceFromHome]]&lt;=10,"6–10 miles",CleanEmployeeData[[#This Row],[DistanceFromHome]]&lt;=15,"11–15 miles",TRUE,"16+ miles")</f>
        <v>0–5 miles</v>
      </c>
      <c r="AS888" t="str" cm="1">
        <f t="array" ref="AS888">_xlfn.IFS(CleanEmployeeData[[#This Row],[YearsAtCompany]]&lt;=1,"0–1 years",CleanEmployeeData[[#This Row],[YearsAtCompany]]&lt;=5,"2–5 years",CleanEmployeeData[[#This Row],[YearsAtCompany]]&lt;=10,"6–10 years",TRUE,"11+ years")</f>
        <v>11+ years</v>
      </c>
    </row>
    <row r="889" spans="1:4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cm="1">
        <f t="array" ref="AJ889">_xlfn.SWITCH(CleanEmployeeData[[#This Row],[Education]],1,"Below College",2,"College",3,"Bachelor",4,"Master",5,"Doctor","Unknown")</f>
        <v>Doctor</v>
      </c>
      <c r="AK889" t="str" cm="1">
        <f t="array" ref="AK889">_xlfn.SWITCH(CleanEmployeeData[[#This Row],[EnvironmentSatisfaction]],1,"Low",2,"Medium",3,"High",4,"Very High","Unknown")</f>
        <v>Low</v>
      </c>
      <c r="AL889" t="str" cm="1">
        <f t="array" ref="AL889">_xlfn.SWITCH(CleanEmployeeData[[#This Row],[JobInvolvement]],1,"Low",2,"Medium",3,"High",4,"Very High","Unknown")</f>
        <v>High</v>
      </c>
      <c r="AM889" t="str" cm="1">
        <f t="array" ref="AM889">_xlfn.SWITCH(CleanEmployeeData[[#This Row],[JobSatisfaction]],1,"Low",2,"Medium",3,"High",4,"Very High","Unknown")</f>
        <v>Low</v>
      </c>
      <c r="AN889" t="str" cm="1">
        <f t="array" ref="AN889">_xlfn.SWITCH(CleanEmployeeData[[#This Row],[PerformanceRating]],1,"Low",2,"Good",3,"Excellent",4,"Outstanding","Unknown")</f>
        <v>Excellent</v>
      </c>
      <c r="AO889" t="str" cm="1">
        <f t="array" ref="AO889">_xlfn.SWITCH(CleanEmployeeData[[#This Row],[WorkLifeBalance]],1,"Bad",2,"Good",3,"Better",4,"Best","Unknown")</f>
        <v>Better</v>
      </c>
      <c r="AP889">
        <f>IF(CleanEmployeeData[[#This Row],[Attrition]]="Yes",1,IF(CleanEmployeeData[[#This Row],[Attrition]]="No",0,""))</f>
        <v>0</v>
      </c>
      <c r="AQ889" t="str" cm="1">
        <f t="array" ref="AQ889">_xlfn.IFS(CleanEmployeeData[[#This Row],[MonthlyIncome]]&lt;=3000,"0–3,000",CleanEmployeeData[[#This Row],[MonthlyIncome]]&lt;=6000,"3,001–6,000",CleanEmployeeData[[#This Row],[MonthlyIncome]]&lt;=10000,"6,001–10,000",TRUE,"10,001+")</f>
        <v>10,001+</v>
      </c>
      <c r="AR889" t="str" cm="1">
        <f t="array" ref="AR889">_xlfn.IFS(CleanEmployeeData[[#This Row],[DistanceFromHome]]&lt;=5,"0–5 miles",CleanEmployeeData[[#This Row],[DistanceFromHome]]&lt;=10,"6–10 miles",CleanEmployeeData[[#This Row],[DistanceFromHome]]&lt;=15,"11–15 miles",TRUE,"16+ miles")</f>
        <v>16+ miles</v>
      </c>
      <c r="AS889" t="str" cm="1">
        <f t="array" ref="AS889">_xlfn.IFS(CleanEmployeeData[[#This Row],[YearsAtCompany]]&lt;=1,"0–1 years",CleanEmployeeData[[#This Row],[YearsAtCompany]]&lt;=5,"2–5 years",CleanEmployeeData[[#This Row],[YearsAtCompany]]&lt;=10,"6–10 years",TRUE,"11+ years")</f>
        <v>0–1 years</v>
      </c>
    </row>
    <row r="890" spans="1:4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cm="1">
        <f t="array" ref="AJ890">_xlfn.SWITCH(CleanEmployeeData[[#This Row],[Education]],1,"Below College",2,"College",3,"Bachelor",4,"Master",5,"Doctor","Unknown")</f>
        <v>College</v>
      </c>
      <c r="AK890" t="str" cm="1">
        <f t="array" ref="AK890">_xlfn.SWITCH(CleanEmployeeData[[#This Row],[EnvironmentSatisfaction]],1,"Low",2,"Medium",3,"High",4,"Very High","Unknown")</f>
        <v>High</v>
      </c>
      <c r="AL890" t="str" cm="1">
        <f t="array" ref="AL890">_xlfn.SWITCH(CleanEmployeeData[[#This Row],[JobInvolvement]],1,"Low",2,"Medium",3,"High",4,"Very High","Unknown")</f>
        <v>Medium</v>
      </c>
      <c r="AM890" t="str" cm="1">
        <f t="array" ref="AM890">_xlfn.SWITCH(CleanEmployeeData[[#This Row],[JobSatisfaction]],1,"Low",2,"Medium",3,"High",4,"Very High","Unknown")</f>
        <v>Very High</v>
      </c>
      <c r="AN890" t="str" cm="1">
        <f t="array" ref="AN890">_xlfn.SWITCH(CleanEmployeeData[[#This Row],[PerformanceRating]],1,"Low",2,"Good",3,"Excellent",4,"Outstanding","Unknown")</f>
        <v>Excellent</v>
      </c>
      <c r="AO890" t="str" cm="1">
        <f t="array" ref="AO890">_xlfn.SWITCH(CleanEmployeeData[[#This Row],[WorkLifeBalance]],1,"Bad",2,"Good",3,"Better",4,"Best","Unknown")</f>
        <v>Good</v>
      </c>
      <c r="AP890">
        <f>IF(CleanEmployeeData[[#This Row],[Attrition]]="Yes",1,IF(CleanEmployeeData[[#This Row],[Attrition]]="No",0,""))</f>
        <v>0</v>
      </c>
      <c r="AQ890" t="str" cm="1">
        <f t="array" ref="AQ890">_xlfn.IFS(CleanEmployeeData[[#This Row],[MonthlyIncome]]&lt;=3000,"0–3,000",CleanEmployeeData[[#This Row],[MonthlyIncome]]&lt;=6000,"3,001–6,000",CleanEmployeeData[[#This Row],[MonthlyIncome]]&lt;=10000,"6,001–10,000",TRUE,"10,001+")</f>
        <v>10,001+</v>
      </c>
      <c r="AR890" t="str" cm="1">
        <f t="array" ref="AR890">_xlfn.IFS(CleanEmployeeData[[#This Row],[DistanceFromHome]]&lt;=5,"0–5 miles",CleanEmployeeData[[#This Row],[DistanceFromHome]]&lt;=10,"6–10 miles",CleanEmployeeData[[#This Row],[DistanceFromHome]]&lt;=15,"11–15 miles",TRUE,"16+ miles")</f>
        <v>6–10 miles</v>
      </c>
      <c r="AS890" t="str" cm="1">
        <f t="array" ref="AS890">_xlfn.IFS(CleanEmployeeData[[#This Row],[YearsAtCompany]]&lt;=1,"0–1 years",CleanEmployeeData[[#This Row],[YearsAtCompany]]&lt;=5,"2–5 years",CleanEmployeeData[[#This Row],[YearsAtCompany]]&lt;=10,"6–10 years",TRUE,"11+ years")</f>
        <v>11+ years</v>
      </c>
    </row>
    <row r="891" spans="1:4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cm="1">
        <f t="array" ref="AJ891">_xlfn.SWITCH(CleanEmployeeData[[#This Row],[Education]],1,"Below College",2,"College",3,"Bachelor",4,"Master",5,"Doctor","Unknown")</f>
        <v>Bachelor</v>
      </c>
      <c r="AK891" t="str" cm="1">
        <f t="array" ref="AK891">_xlfn.SWITCH(CleanEmployeeData[[#This Row],[EnvironmentSatisfaction]],1,"Low",2,"Medium",3,"High",4,"Very High","Unknown")</f>
        <v>Low</v>
      </c>
      <c r="AL891" t="str" cm="1">
        <f t="array" ref="AL891">_xlfn.SWITCH(CleanEmployeeData[[#This Row],[JobInvolvement]],1,"Low",2,"Medium",3,"High",4,"Very High","Unknown")</f>
        <v>High</v>
      </c>
      <c r="AM891" t="str" cm="1">
        <f t="array" ref="AM891">_xlfn.SWITCH(CleanEmployeeData[[#This Row],[JobSatisfaction]],1,"Low",2,"Medium",3,"High",4,"Very High","Unknown")</f>
        <v>Low</v>
      </c>
      <c r="AN891" t="str" cm="1">
        <f t="array" ref="AN891">_xlfn.SWITCH(CleanEmployeeData[[#This Row],[PerformanceRating]],1,"Low",2,"Good",3,"Excellent",4,"Outstanding","Unknown")</f>
        <v>Excellent</v>
      </c>
      <c r="AO891" t="str" cm="1">
        <f t="array" ref="AO891">_xlfn.SWITCH(CleanEmployeeData[[#This Row],[WorkLifeBalance]],1,"Bad",2,"Good",3,"Better",4,"Best","Unknown")</f>
        <v>Good</v>
      </c>
      <c r="AP891">
        <f>IF(CleanEmployeeData[[#This Row],[Attrition]]="Yes",1,IF(CleanEmployeeData[[#This Row],[Attrition]]="No",0,""))</f>
        <v>0</v>
      </c>
      <c r="AQ891" t="str" cm="1">
        <f t="array" ref="AQ891">_xlfn.IFS(CleanEmployeeData[[#This Row],[MonthlyIncome]]&lt;=3000,"0–3,000",CleanEmployeeData[[#This Row],[MonthlyIncome]]&lt;=6000,"3,001–6,000",CleanEmployeeData[[#This Row],[MonthlyIncome]]&lt;=10000,"6,001–10,000",TRUE,"10,001+")</f>
        <v>0–3,000</v>
      </c>
      <c r="AR891" t="str" cm="1">
        <f t="array" ref="AR891">_xlfn.IFS(CleanEmployeeData[[#This Row],[DistanceFromHome]]&lt;=5,"0–5 miles",CleanEmployeeData[[#This Row],[DistanceFromHome]]&lt;=10,"6–10 miles",CleanEmployeeData[[#This Row],[DistanceFromHome]]&lt;=15,"11–15 miles",TRUE,"16+ miles")</f>
        <v>11–15 miles</v>
      </c>
      <c r="AS891" t="str" cm="1">
        <f t="array" ref="AS891">_xlfn.IFS(CleanEmployeeData[[#This Row],[YearsAtCompany]]&lt;=1,"0–1 years",CleanEmployeeData[[#This Row],[YearsAtCompany]]&lt;=5,"2–5 years",CleanEmployeeData[[#This Row],[YearsAtCompany]]&lt;=10,"6–10 years",TRUE,"11+ years")</f>
        <v>6–10 years</v>
      </c>
    </row>
    <row r="892" spans="1:4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cm="1">
        <f t="array" ref="AJ892">_xlfn.SWITCH(CleanEmployeeData[[#This Row],[Education]],1,"Below College",2,"College",3,"Bachelor",4,"Master",5,"Doctor","Unknown")</f>
        <v>Master</v>
      </c>
      <c r="AK892" t="str" cm="1">
        <f t="array" ref="AK892">_xlfn.SWITCH(CleanEmployeeData[[#This Row],[EnvironmentSatisfaction]],1,"Low",2,"Medium",3,"High",4,"Very High","Unknown")</f>
        <v>Very High</v>
      </c>
      <c r="AL892" t="str" cm="1">
        <f t="array" ref="AL892">_xlfn.SWITCH(CleanEmployeeData[[#This Row],[JobInvolvement]],1,"Low",2,"Medium",3,"High",4,"Very High","Unknown")</f>
        <v>High</v>
      </c>
      <c r="AM892" t="str" cm="1">
        <f t="array" ref="AM892">_xlfn.SWITCH(CleanEmployeeData[[#This Row],[JobSatisfaction]],1,"Low",2,"Medium",3,"High",4,"Very High","Unknown")</f>
        <v>High</v>
      </c>
      <c r="AN892" t="str" cm="1">
        <f t="array" ref="AN892">_xlfn.SWITCH(CleanEmployeeData[[#This Row],[PerformanceRating]],1,"Low",2,"Good",3,"Excellent",4,"Outstanding","Unknown")</f>
        <v>Excellent</v>
      </c>
      <c r="AO892" t="str" cm="1">
        <f t="array" ref="AO892">_xlfn.SWITCH(CleanEmployeeData[[#This Row],[WorkLifeBalance]],1,"Bad",2,"Good",3,"Better",4,"Best","Unknown")</f>
        <v>Bad</v>
      </c>
      <c r="AP892">
        <f>IF(CleanEmployeeData[[#This Row],[Attrition]]="Yes",1,IF(CleanEmployeeData[[#This Row],[Attrition]]="No",0,""))</f>
        <v>0</v>
      </c>
      <c r="AQ892" t="str" cm="1">
        <f t="array" ref="AQ892">_xlfn.IFS(CleanEmployeeData[[#This Row],[MonthlyIncome]]&lt;=3000,"0–3,000",CleanEmployeeData[[#This Row],[MonthlyIncome]]&lt;=6000,"3,001–6,000",CleanEmployeeData[[#This Row],[MonthlyIncome]]&lt;=10000,"6,001–10,000",TRUE,"10,001+")</f>
        <v>10,001+</v>
      </c>
      <c r="AR892" t="str" cm="1">
        <f t="array" ref="AR892">_xlfn.IFS(CleanEmployeeData[[#This Row],[DistanceFromHome]]&lt;=5,"0–5 miles",CleanEmployeeData[[#This Row],[DistanceFromHome]]&lt;=10,"6–10 miles",CleanEmployeeData[[#This Row],[DistanceFromHome]]&lt;=15,"11–15 miles",TRUE,"16+ miles")</f>
        <v>0–5 miles</v>
      </c>
      <c r="AS892" t="str" cm="1">
        <f t="array" ref="AS892">_xlfn.IFS(CleanEmployeeData[[#This Row],[YearsAtCompany]]&lt;=1,"0–1 years",CleanEmployeeData[[#This Row],[YearsAtCompany]]&lt;=5,"2–5 years",CleanEmployeeData[[#This Row],[YearsAtCompany]]&lt;=10,"6–10 years",TRUE,"11+ years")</f>
        <v>2–5 years</v>
      </c>
    </row>
    <row r="893" spans="1:4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cm="1">
        <f t="array" ref="AJ893">_xlfn.SWITCH(CleanEmployeeData[[#This Row],[Education]],1,"Below College",2,"College",3,"Bachelor",4,"Master",5,"Doctor","Unknown")</f>
        <v>Below College</v>
      </c>
      <c r="AK893" t="str" cm="1">
        <f t="array" ref="AK893">_xlfn.SWITCH(CleanEmployeeData[[#This Row],[EnvironmentSatisfaction]],1,"Low",2,"Medium",3,"High",4,"Very High","Unknown")</f>
        <v>Low</v>
      </c>
      <c r="AL893" t="str" cm="1">
        <f t="array" ref="AL893">_xlfn.SWITCH(CleanEmployeeData[[#This Row],[JobInvolvement]],1,"Low",2,"Medium",3,"High",4,"Very High","Unknown")</f>
        <v>Very High</v>
      </c>
      <c r="AM893" t="str" cm="1">
        <f t="array" ref="AM893">_xlfn.SWITCH(CleanEmployeeData[[#This Row],[JobSatisfaction]],1,"Low",2,"Medium",3,"High",4,"Very High","Unknown")</f>
        <v>Very High</v>
      </c>
      <c r="AN893" t="str" cm="1">
        <f t="array" ref="AN893">_xlfn.SWITCH(CleanEmployeeData[[#This Row],[PerformanceRating]],1,"Low",2,"Good",3,"Excellent",4,"Outstanding","Unknown")</f>
        <v>Excellent</v>
      </c>
      <c r="AO893" t="str" cm="1">
        <f t="array" ref="AO893">_xlfn.SWITCH(CleanEmployeeData[[#This Row],[WorkLifeBalance]],1,"Bad",2,"Good",3,"Better",4,"Best","Unknown")</f>
        <v>Better</v>
      </c>
      <c r="AP893">
        <f>IF(CleanEmployeeData[[#This Row],[Attrition]]="Yes",1,IF(CleanEmployeeData[[#This Row],[Attrition]]="No",0,""))</f>
        <v>0</v>
      </c>
      <c r="AQ893" t="str" cm="1">
        <f t="array" ref="AQ893">_xlfn.IFS(CleanEmployeeData[[#This Row],[MonthlyIncome]]&lt;=3000,"0–3,000",CleanEmployeeData[[#This Row],[MonthlyIncome]]&lt;=6000,"3,001–6,000",CleanEmployeeData[[#This Row],[MonthlyIncome]]&lt;=10000,"6,001–10,000",TRUE,"10,001+")</f>
        <v>0–3,000</v>
      </c>
      <c r="AR893" t="str" cm="1">
        <f t="array" ref="AR893">_xlfn.IFS(CleanEmployeeData[[#This Row],[DistanceFromHome]]&lt;=5,"0–5 miles",CleanEmployeeData[[#This Row],[DistanceFromHome]]&lt;=10,"6–10 miles",CleanEmployeeData[[#This Row],[DistanceFromHome]]&lt;=15,"11–15 miles",TRUE,"16+ miles")</f>
        <v>0–5 miles</v>
      </c>
      <c r="AS893" t="str" cm="1">
        <f t="array" ref="AS893">_xlfn.IFS(CleanEmployeeData[[#This Row],[YearsAtCompany]]&lt;=1,"0–1 years",CleanEmployeeData[[#This Row],[YearsAtCompany]]&lt;=5,"2–5 years",CleanEmployeeData[[#This Row],[YearsAtCompany]]&lt;=10,"6–10 years",TRUE,"11+ years")</f>
        <v>6–10 years</v>
      </c>
    </row>
    <row r="894" spans="1:4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cm="1">
        <f t="array" ref="AJ894">_xlfn.SWITCH(CleanEmployeeData[[#This Row],[Education]],1,"Below College",2,"College",3,"Bachelor",4,"Master",5,"Doctor","Unknown")</f>
        <v>Bachelor</v>
      </c>
      <c r="AK894" t="str" cm="1">
        <f t="array" ref="AK894">_xlfn.SWITCH(CleanEmployeeData[[#This Row],[EnvironmentSatisfaction]],1,"Low",2,"Medium",3,"High",4,"Very High","Unknown")</f>
        <v>Low</v>
      </c>
      <c r="AL894" t="str" cm="1">
        <f t="array" ref="AL894">_xlfn.SWITCH(CleanEmployeeData[[#This Row],[JobInvolvement]],1,"Low",2,"Medium",3,"High",4,"Very High","Unknown")</f>
        <v>Medium</v>
      </c>
      <c r="AM894" t="str" cm="1">
        <f t="array" ref="AM894">_xlfn.SWITCH(CleanEmployeeData[[#This Row],[JobSatisfaction]],1,"Low",2,"Medium",3,"High",4,"Very High","Unknown")</f>
        <v>Medium</v>
      </c>
      <c r="AN894" t="str" cm="1">
        <f t="array" ref="AN894">_xlfn.SWITCH(CleanEmployeeData[[#This Row],[PerformanceRating]],1,"Low",2,"Good",3,"Excellent",4,"Outstanding","Unknown")</f>
        <v>Outstanding</v>
      </c>
      <c r="AO894" t="str" cm="1">
        <f t="array" ref="AO894">_xlfn.SWITCH(CleanEmployeeData[[#This Row],[WorkLifeBalance]],1,"Bad",2,"Good",3,"Better",4,"Best","Unknown")</f>
        <v>Best</v>
      </c>
      <c r="AP894">
        <f>IF(CleanEmployeeData[[#This Row],[Attrition]]="Yes",1,IF(CleanEmployeeData[[#This Row],[Attrition]]="No",0,""))</f>
        <v>1</v>
      </c>
      <c r="AQ894" t="str" cm="1">
        <f t="array" ref="AQ894">_xlfn.IFS(CleanEmployeeData[[#This Row],[MonthlyIncome]]&lt;=3000,"0–3,000",CleanEmployeeData[[#This Row],[MonthlyIncome]]&lt;=6000,"3,001–6,000",CleanEmployeeData[[#This Row],[MonthlyIncome]]&lt;=10000,"6,001–10,000",TRUE,"10,001+")</f>
        <v>0–3,000</v>
      </c>
      <c r="AR894" t="str" cm="1">
        <f t="array" ref="AR894">_xlfn.IFS(CleanEmployeeData[[#This Row],[DistanceFromHome]]&lt;=5,"0–5 miles",CleanEmployeeData[[#This Row],[DistanceFromHome]]&lt;=10,"6–10 miles",CleanEmployeeData[[#This Row],[DistanceFromHome]]&lt;=15,"11–15 miles",TRUE,"16+ miles")</f>
        <v>6–10 miles</v>
      </c>
      <c r="AS894" t="str" cm="1">
        <f t="array" ref="AS894">_xlfn.IFS(CleanEmployeeData[[#This Row],[YearsAtCompany]]&lt;=1,"0–1 years",CleanEmployeeData[[#This Row],[YearsAtCompany]]&lt;=5,"2–5 years",CleanEmployeeData[[#This Row],[YearsAtCompany]]&lt;=10,"6–10 years",TRUE,"11+ years")</f>
        <v>0–1 years</v>
      </c>
    </row>
    <row r="895" spans="1:4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cm="1">
        <f t="array" ref="AJ895">_xlfn.SWITCH(CleanEmployeeData[[#This Row],[Education]],1,"Below College",2,"College",3,"Bachelor",4,"Master",5,"Doctor","Unknown")</f>
        <v>Bachelor</v>
      </c>
      <c r="AK895" t="str" cm="1">
        <f t="array" ref="AK895">_xlfn.SWITCH(CleanEmployeeData[[#This Row],[EnvironmentSatisfaction]],1,"Low",2,"Medium",3,"High",4,"Very High","Unknown")</f>
        <v>Low</v>
      </c>
      <c r="AL895" t="str" cm="1">
        <f t="array" ref="AL895">_xlfn.SWITCH(CleanEmployeeData[[#This Row],[JobInvolvement]],1,"Low",2,"Medium",3,"High",4,"Very High","Unknown")</f>
        <v>High</v>
      </c>
      <c r="AM895" t="str" cm="1">
        <f t="array" ref="AM895">_xlfn.SWITCH(CleanEmployeeData[[#This Row],[JobSatisfaction]],1,"Low",2,"Medium",3,"High",4,"Very High","Unknown")</f>
        <v>Very High</v>
      </c>
      <c r="AN895" t="str" cm="1">
        <f t="array" ref="AN895">_xlfn.SWITCH(CleanEmployeeData[[#This Row],[PerformanceRating]],1,"Low",2,"Good",3,"Excellent",4,"Outstanding","Unknown")</f>
        <v>Excellent</v>
      </c>
      <c r="AO895" t="str" cm="1">
        <f t="array" ref="AO895">_xlfn.SWITCH(CleanEmployeeData[[#This Row],[WorkLifeBalance]],1,"Bad",2,"Good",3,"Better",4,"Best","Unknown")</f>
        <v>Better</v>
      </c>
      <c r="AP895">
        <f>IF(CleanEmployeeData[[#This Row],[Attrition]]="Yes",1,IF(CleanEmployeeData[[#This Row],[Attrition]]="No",0,""))</f>
        <v>0</v>
      </c>
      <c r="AQ895" t="str" cm="1">
        <f t="array" ref="AQ895">_xlfn.IFS(CleanEmployeeData[[#This Row],[MonthlyIncome]]&lt;=3000,"0–3,000",CleanEmployeeData[[#This Row],[MonthlyIncome]]&lt;=6000,"3,001–6,000",CleanEmployeeData[[#This Row],[MonthlyIncome]]&lt;=10000,"6,001–10,000",TRUE,"10,001+")</f>
        <v>3,001–6,000</v>
      </c>
      <c r="AR895" t="str" cm="1">
        <f t="array" ref="AR895">_xlfn.IFS(CleanEmployeeData[[#This Row],[DistanceFromHome]]&lt;=5,"0–5 miles",CleanEmployeeData[[#This Row],[DistanceFromHome]]&lt;=10,"6–10 miles",CleanEmployeeData[[#This Row],[DistanceFromHome]]&lt;=15,"11–15 miles",TRUE,"16+ miles")</f>
        <v>0–5 miles</v>
      </c>
      <c r="AS895" t="str" cm="1">
        <f t="array" ref="AS895">_xlfn.IFS(CleanEmployeeData[[#This Row],[YearsAtCompany]]&lt;=1,"0–1 years",CleanEmployeeData[[#This Row],[YearsAtCompany]]&lt;=5,"2–5 years",CleanEmployeeData[[#This Row],[YearsAtCompany]]&lt;=10,"6–10 years",TRUE,"11+ years")</f>
        <v>2–5 years</v>
      </c>
    </row>
    <row r="896" spans="1:4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cm="1">
        <f t="array" ref="AJ896">_xlfn.SWITCH(CleanEmployeeData[[#This Row],[Education]],1,"Below College",2,"College",3,"Bachelor",4,"Master",5,"Doctor","Unknown")</f>
        <v>Bachelor</v>
      </c>
      <c r="AK896" t="str" cm="1">
        <f t="array" ref="AK896">_xlfn.SWITCH(CleanEmployeeData[[#This Row],[EnvironmentSatisfaction]],1,"Low",2,"Medium",3,"High",4,"Very High","Unknown")</f>
        <v>Very High</v>
      </c>
      <c r="AL896" t="str" cm="1">
        <f t="array" ref="AL896">_xlfn.SWITCH(CleanEmployeeData[[#This Row],[JobInvolvement]],1,"Low",2,"Medium",3,"High",4,"Very High","Unknown")</f>
        <v>High</v>
      </c>
      <c r="AM896" t="str" cm="1">
        <f t="array" ref="AM896">_xlfn.SWITCH(CleanEmployeeData[[#This Row],[JobSatisfaction]],1,"Low",2,"Medium",3,"High",4,"Very High","Unknown")</f>
        <v>Very High</v>
      </c>
      <c r="AN896" t="str" cm="1">
        <f t="array" ref="AN896">_xlfn.SWITCH(CleanEmployeeData[[#This Row],[PerformanceRating]],1,"Low",2,"Good",3,"Excellent",4,"Outstanding","Unknown")</f>
        <v>Excellent</v>
      </c>
      <c r="AO896" t="str" cm="1">
        <f t="array" ref="AO896">_xlfn.SWITCH(CleanEmployeeData[[#This Row],[WorkLifeBalance]],1,"Bad",2,"Good",3,"Better",4,"Best","Unknown")</f>
        <v>Better</v>
      </c>
      <c r="AP896">
        <f>IF(CleanEmployeeData[[#This Row],[Attrition]]="Yes",1,IF(CleanEmployeeData[[#This Row],[Attrition]]="No",0,""))</f>
        <v>0</v>
      </c>
      <c r="AQ896" t="str" cm="1">
        <f t="array" ref="AQ896">_xlfn.IFS(CleanEmployeeData[[#This Row],[MonthlyIncome]]&lt;=3000,"0–3,000",CleanEmployeeData[[#This Row],[MonthlyIncome]]&lt;=6000,"3,001–6,000",CleanEmployeeData[[#This Row],[MonthlyIncome]]&lt;=10000,"6,001–10,000",TRUE,"10,001+")</f>
        <v>10,001+</v>
      </c>
      <c r="AR896" t="str" cm="1">
        <f t="array" ref="AR896">_xlfn.IFS(CleanEmployeeData[[#This Row],[DistanceFromHome]]&lt;=5,"0–5 miles",CleanEmployeeData[[#This Row],[DistanceFromHome]]&lt;=10,"6–10 miles",CleanEmployeeData[[#This Row],[DistanceFromHome]]&lt;=15,"11–15 miles",TRUE,"16+ miles")</f>
        <v>0–5 miles</v>
      </c>
      <c r="AS896" t="str" cm="1">
        <f t="array" ref="AS896">_xlfn.IFS(CleanEmployeeData[[#This Row],[YearsAtCompany]]&lt;=1,"0–1 years",CleanEmployeeData[[#This Row],[YearsAtCompany]]&lt;=5,"2–5 years",CleanEmployeeData[[#This Row],[YearsAtCompany]]&lt;=10,"6–10 years",TRUE,"11+ years")</f>
        <v>6–10 years</v>
      </c>
    </row>
    <row r="897" spans="1:4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cm="1">
        <f t="array" ref="AJ897">_xlfn.SWITCH(CleanEmployeeData[[#This Row],[Education]],1,"Below College",2,"College",3,"Bachelor",4,"Master",5,"Doctor","Unknown")</f>
        <v>College</v>
      </c>
      <c r="AK897" t="str" cm="1">
        <f t="array" ref="AK897">_xlfn.SWITCH(CleanEmployeeData[[#This Row],[EnvironmentSatisfaction]],1,"Low",2,"Medium",3,"High",4,"Very High","Unknown")</f>
        <v>High</v>
      </c>
      <c r="AL897" t="str" cm="1">
        <f t="array" ref="AL897">_xlfn.SWITCH(CleanEmployeeData[[#This Row],[JobInvolvement]],1,"Low",2,"Medium",3,"High",4,"Very High","Unknown")</f>
        <v>High</v>
      </c>
      <c r="AM897" t="str" cm="1">
        <f t="array" ref="AM897">_xlfn.SWITCH(CleanEmployeeData[[#This Row],[JobSatisfaction]],1,"Low",2,"Medium",3,"High",4,"Very High","Unknown")</f>
        <v>Low</v>
      </c>
      <c r="AN897" t="str" cm="1">
        <f t="array" ref="AN897">_xlfn.SWITCH(CleanEmployeeData[[#This Row],[PerformanceRating]],1,"Low",2,"Good",3,"Excellent",4,"Outstanding","Unknown")</f>
        <v>Excellent</v>
      </c>
      <c r="AO897" t="str" cm="1">
        <f t="array" ref="AO897">_xlfn.SWITCH(CleanEmployeeData[[#This Row],[WorkLifeBalance]],1,"Bad",2,"Good",3,"Better",4,"Best","Unknown")</f>
        <v>Good</v>
      </c>
      <c r="AP897">
        <f>IF(CleanEmployeeData[[#This Row],[Attrition]]="Yes",1,IF(CleanEmployeeData[[#This Row],[Attrition]]="No",0,""))</f>
        <v>0</v>
      </c>
      <c r="AQ897" t="str" cm="1">
        <f t="array" ref="AQ897">_xlfn.IFS(CleanEmployeeData[[#This Row],[MonthlyIncome]]&lt;=3000,"0–3,000",CleanEmployeeData[[#This Row],[MonthlyIncome]]&lt;=6000,"3,001–6,000",CleanEmployeeData[[#This Row],[MonthlyIncome]]&lt;=10000,"6,001–10,000",TRUE,"10,001+")</f>
        <v>6,001–10,000</v>
      </c>
      <c r="AR897" t="str" cm="1">
        <f t="array" ref="AR897">_xlfn.IFS(CleanEmployeeData[[#This Row],[DistanceFromHome]]&lt;=5,"0–5 miles",CleanEmployeeData[[#This Row],[DistanceFromHome]]&lt;=10,"6–10 miles",CleanEmployeeData[[#This Row],[DistanceFromHome]]&lt;=15,"11–15 miles",TRUE,"16+ miles")</f>
        <v>11–15 miles</v>
      </c>
      <c r="AS897" t="str" cm="1">
        <f t="array" ref="AS897">_xlfn.IFS(CleanEmployeeData[[#This Row],[YearsAtCompany]]&lt;=1,"0–1 years",CleanEmployeeData[[#This Row],[YearsAtCompany]]&lt;=5,"2–5 years",CleanEmployeeData[[#This Row],[YearsAtCompany]]&lt;=10,"6–10 years",TRUE,"11+ years")</f>
        <v>6–10 years</v>
      </c>
    </row>
    <row r="898" spans="1:4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cm="1">
        <f t="array" ref="AJ898">_xlfn.SWITCH(CleanEmployeeData[[#This Row],[Education]],1,"Below College",2,"College",3,"Bachelor",4,"Master",5,"Doctor","Unknown")</f>
        <v>Bachelor</v>
      </c>
      <c r="AK898" t="str" cm="1">
        <f t="array" ref="AK898">_xlfn.SWITCH(CleanEmployeeData[[#This Row],[EnvironmentSatisfaction]],1,"Low",2,"Medium",3,"High",4,"Very High","Unknown")</f>
        <v>High</v>
      </c>
      <c r="AL898" t="str" cm="1">
        <f t="array" ref="AL898">_xlfn.SWITCH(CleanEmployeeData[[#This Row],[JobInvolvement]],1,"Low",2,"Medium",3,"High",4,"Very High","Unknown")</f>
        <v>Medium</v>
      </c>
      <c r="AM898" t="str" cm="1">
        <f t="array" ref="AM898">_xlfn.SWITCH(CleanEmployeeData[[#This Row],[JobSatisfaction]],1,"Low",2,"Medium",3,"High",4,"Very High","Unknown")</f>
        <v>Low</v>
      </c>
      <c r="AN898" t="str" cm="1">
        <f t="array" ref="AN898">_xlfn.SWITCH(CleanEmployeeData[[#This Row],[PerformanceRating]],1,"Low",2,"Good",3,"Excellent",4,"Outstanding","Unknown")</f>
        <v>Excellent</v>
      </c>
      <c r="AO898" t="str" cm="1">
        <f t="array" ref="AO898">_xlfn.SWITCH(CleanEmployeeData[[#This Row],[WorkLifeBalance]],1,"Bad",2,"Good",3,"Better",4,"Best","Unknown")</f>
        <v>Better</v>
      </c>
      <c r="AP898">
        <f>IF(CleanEmployeeData[[#This Row],[Attrition]]="Yes",1,IF(CleanEmployeeData[[#This Row],[Attrition]]="No",0,""))</f>
        <v>0</v>
      </c>
      <c r="AQ898" t="str" cm="1">
        <f t="array" ref="AQ898">_xlfn.IFS(CleanEmployeeData[[#This Row],[MonthlyIncome]]&lt;=3000,"0–3,000",CleanEmployeeData[[#This Row],[MonthlyIncome]]&lt;=6000,"3,001–6,000",CleanEmployeeData[[#This Row],[MonthlyIncome]]&lt;=10000,"6,001–10,000",TRUE,"10,001+")</f>
        <v>6,001–10,000</v>
      </c>
      <c r="AR898" t="str" cm="1">
        <f t="array" ref="AR898">_xlfn.IFS(CleanEmployeeData[[#This Row],[DistanceFromHome]]&lt;=5,"0–5 miles",CleanEmployeeData[[#This Row],[DistanceFromHome]]&lt;=10,"6–10 miles",CleanEmployeeData[[#This Row],[DistanceFromHome]]&lt;=15,"11–15 miles",TRUE,"16+ miles")</f>
        <v>16+ miles</v>
      </c>
      <c r="AS898" t="str" cm="1">
        <f t="array" ref="AS898">_xlfn.IFS(CleanEmployeeData[[#This Row],[YearsAtCompany]]&lt;=1,"0–1 years",CleanEmployeeData[[#This Row],[YearsAtCompany]]&lt;=5,"2–5 years",CleanEmployeeData[[#This Row],[YearsAtCompany]]&lt;=10,"6–10 years",TRUE,"11+ years")</f>
        <v>6–10 years</v>
      </c>
    </row>
    <row r="899" spans="1:4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cm="1">
        <f t="array" ref="AJ899">_xlfn.SWITCH(CleanEmployeeData[[#This Row],[Education]],1,"Below College",2,"College",3,"Bachelor",4,"Master",5,"Doctor","Unknown")</f>
        <v>Bachelor</v>
      </c>
      <c r="AK899" t="str" cm="1">
        <f t="array" ref="AK899">_xlfn.SWITCH(CleanEmployeeData[[#This Row],[EnvironmentSatisfaction]],1,"Low",2,"Medium",3,"High",4,"Very High","Unknown")</f>
        <v>High</v>
      </c>
      <c r="AL899" t="str" cm="1">
        <f t="array" ref="AL899">_xlfn.SWITCH(CleanEmployeeData[[#This Row],[JobInvolvement]],1,"Low",2,"Medium",3,"High",4,"Very High","Unknown")</f>
        <v>Medium</v>
      </c>
      <c r="AM899" t="str" cm="1">
        <f t="array" ref="AM899">_xlfn.SWITCH(CleanEmployeeData[[#This Row],[JobSatisfaction]],1,"Low",2,"Medium",3,"High",4,"Very High","Unknown")</f>
        <v>Very High</v>
      </c>
      <c r="AN899" t="str" cm="1">
        <f t="array" ref="AN899">_xlfn.SWITCH(CleanEmployeeData[[#This Row],[PerformanceRating]],1,"Low",2,"Good",3,"Excellent",4,"Outstanding","Unknown")</f>
        <v>Excellent</v>
      </c>
      <c r="AO899" t="str" cm="1">
        <f t="array" ref="AO899">_xlfn.SWITCH(CleanEmployeeData[[#This Row],[WorkLifeBalance]],1,"Bad",2,"Good",3,"Better",4,"Best","Unknown")</f>
        <v>Better</v>
      </c>
      <c r="AP899">
        <f>IF(CleanEmployeeData[[#This Row],[Attrition]]="Yes",1,IF(CleanEmployeeData[[#This Row],[Attrition]]="No",0,""))</f>
        <v>0</v>
      </c>
      <c r="AQ899" t="str" cm="1">
        <f t="array" ref="AQ899">_xlfn.IFS(CleanEmployeeData[[#This Row],[MonthlyIncome]]&lt;=3000,"0–3,000",CleanEmployeeData[[#This Row],[MonthlyIncome]]&lt;=6000,"3,001–6,000",CleanEmployeeData[[#This Row],[MonthlyIncome]]&lt;=10000,"6,001–10,000",TRUE,"10,001+")</f>
        <v>3,001–6,000</v>
      </c>
      <c r="AR899" t="str" cm="1">
        <f t="array" ref="AR899">_xlfn.IFS(CleanEmployeeData[[#This Row],[DistanceFromHome]]&lt;=5,"0–5 miles",CleanEmployeeData[[#This Row],[DistanceFromHome]]&lt;=10,"6–10 miles",CleanEmployeeData[[#This Row],[DistanceFromHome]]&lt;=15,"11–15 miles",TRUE,"16+ miles")</f>
        <v>0–5 miles</v>
      </c>
      <c r="AS899" t="str" cm="1">
        <f t="array" ref="AS899">_xlfn.IFS(CleanEmployeeData[[#This Row],[YearsAtCompany]]&lt;=1,"0–1 years",CleanEmployeeData[[#This Row],[YearsAtCompany]]&lt;=5,"2–5 years",CleanEmployeeData[[#This Row],[YearsAtCompany]]&lt;=10,"6–10 years",TRUE,"11+ years")</f>
        <v>6–10 years</v>
      </c>
    </row>
    <row r="900" spans="1:4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cm="1">
        <f t="array" ref="AJ900">_xlfn.SWITCH(CleanEmployeeData[[#This Row],[Education]],1,"Below College",2,"College",3,"Bachelor",4,"Master",5,"Doctor","Unknown")</f>
        <v>Bachelor</v>
      </c>
      <c r="AK900" t="str" cm="1">
        <f t="array" ref="AK900">_xlfn.SWITCH(CleanEmployeeData[[#This Row],[EnvironmentSatisfaction]],1,"Low",2,"Medium",3,"High",4,"Very High","Unknown")</f>
        <v>High</v>
      </c>
      <c r="AL900" t="str" cm="1">
        <f t="array" ref="AL900">_xlfn.SWITCH(CleanEmployeeData[[#This Row],[JobInvolvement]],1,"Low",2,"Medium",3,"High",4,"Very High","Unknown")</f>
        <v>Low</v>
      </c>
      <c r="AM900" t="str" cm="1">
        <f t="array" ref="AM900">_xlfn.SWITCH(CleanEmployeeData[[#This Row],[JobSatisfaction]],1,"Low",2,"Medium",3,"High",4,"Very High","Unknown")</f>
        <v>Very High</v>
      </c>
      <c r="AN900" t="str" cm="1">
        <f t="array" ref="AN900">_xlfn.SWITCH(CleanEmployeeData[[#This Row],[PerformanceRating]],1,"Low",2,"Good",3,"Excellent",4,"Outstanding","Unknown")</f>
        <v>Excellent</v>
      </c>
      <c r="AO900" t="str" cm="1">
        <f t="array" ref="AO900">_xlfn.SWITCH(CleanEmployeeData[[#This Row],[WorkLifeBalance]],1,"Bad",2,"Good",3,"Better",4,"Best","Unknown")</f>
        <v>Better</v>
      </c>
      <c r="AP900">
        <f>IF(CleanEmployeeData[[#This Row],[Attrition]]="Yes",1,IF(CleanEmployeeData[[#This Row],[Attrition]]="No",0,""))</f>
        <v>0</v>
      </c>
      <c r="AQ900" t="str" cm="1">
        <f t="array" ref="AQ900">_xlfn.IFS(CleanEmployeeData[[#This Row],[MonthlyIncome]]&lt;=3000,"0–3,000",CleanEmployeeData[[#This Row],[MonthlyIncome]]&lt;=6000,"3,001–6,000",CleanEmployeeData[[#This Row],[MonthlyIncome]]&lt;=10000,"6,001–10,000",TRUE,"10,001+")</f>
        <v>10,001+</v>
      </c>
      <c r="AR900" t="str" cm="1">
        <f t="array" ref="AR900">_xlfn.IFS(CleanEmployeeData[[#This Row],[DistanceFromHome]]&lt;=5,"0–5 miles",CleanEmployeeData[[#This Row],[DistanceFromHome]]&lt;=10,"6–10 miles",CleanEmployeeData[[#This Row],[DistanceFromHome]]&lt;=15,"11–15 miles",TRUE,"16+ miles")</f>
        <v>0–5 miles</v>
      </c>
      <c r="AS900" t="str" cm="1">
        <f t="array" ref="AS900">_xlfn.IFS(CleanEmployeeData[[#This Row],[YearsAtCompany]]&lt;=1,"0–1 years",CleanEmployeeData[[#This Row],[YearsAtCompany]]&lt;=5,"2–5 years",CleanEmployeeData[[#This Row],[YearsAtCompany]]&lt;=10,"6–10 years",TRUE,"11+ years")</f>
        <v>6–10 years</v>
      </c>
    </row>
    <row r="901" spans="1:4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cm="1">
        <f t="array" ref="AJ901">_xlfn.SWITCH(CleanEmployeeData[[#This Row],[Education]],1,"Below College",2,"College",3,"Bachelor",4,"Master",5,"Doctor","Unknown")</f>
        <v>College</v>
      </c>
      <c r="AK901" t="str" cm="1">
        <f t="array" ref="AK901">_xlfn.SWITCH(CleanEmployeeData[[#This Row],[EnvironmentSatisfaction]],1,"Low",2,"Medium",3,"High",4,"Very High","Unknown")</f>
        <v>Low</v>
      </c>
      <c r="AL901" t="str" cm="1">
        <f t="array" ref="AL901">_xlfn.SWITCH(CleanEmployeeData[[#This Row],[JobInvolvement]],1,"Low",2,"Medium",3,"High",4,"Very High","Unknown")</f>
        <v>Medium</v>
      </c>
      <c r="AM901" t="str" cm="1">
        <f t="array" ref="AM901">_xlfn.SWITCH(CleanEmployeeData[[#This Row],[JobSatisfaction]],1,"Low",2,"Medium",3,"High",4,"Very High","Unknown")</f>
        <v>High</v>
      </c>
      <c r="AN901" t="str" cm="1">
        <f t="array" ref="AN901">_xlfn.SWITCH(CleanEmployeeData[[#This Row],[PerformanceRating]],1,"Low",2,"Good",3,"Excellent",4,"Outstanding","Unknown")</f>
        <v>Excellent</v>
      </c>
      <c r="AO901" t="str" cm="1">
        <f t="array" ref="AO901">_xlfn.SWITCH(CleanEmployeeData[[#This Row],[WorkLifeBalance]],1,"Bad",2,"Good",3,"Better",4,"Best","Unknown")</f>
        <v>Best</v>
      </c>
      <c r="AP901">
        <f>IF(CleanEmployeeData[[#This Row],[Attrition]]="Yes",1,IF(CleanEmployeeData[[#This Row],[Attrition]]="No",0,""))</f>
        <v>0</v>
      </c>
      <c r="AQ901" t="str" cm="1">
        <f t="array" ref="AQ901">_xlfn.IFS(CleanEmployeeData[[#This Row],[MonthlyIncome]]&lt;=3000,"0–3,000",CleanEmployeeData[[#This Row],[MonthlyIncome]]&lt;=6000,"3,001–6,000",CleanEmployeeData[[#This Row],[MonthlyIncome]]&lt;=10000,"6,001–10,000",TRUE,"10,001+")</f>
        <v>10,001+</v>
      </c>
      <c r="AR901" t="str" cm="1">
        <f t="array" ref="AR901">_xlfn.IFS(CleanEmployeeData[[#This Row],[DistanceFromHome]]&lt;=5,"0–5 miles",CleanEmployeeData[[#This Row],[DistanceFromHome]]&lt;=10,"6–10 miles",CleanEmployeeData[[#This Row],[DistanceFromHome]]&lt;=15,"11–15 miles",TRUE,"16+ miles")</f>
        <v>0–5 miles</v>
      </c>
      <c r="AS901" t="str" cm="1">
        <f t="array" ref="AS901">_xlfn.IFS(CleanEmployeeData[[#This Row],[YearsAtCompany]]&lt;=1,"0–1 years",CleanEmployeeData[[#This Row],[YearsAtCompany]]&lt;=5,"2–5 years",CleanEmployeeData[[#This Row],[YearsAtCompany]]&lt;=10,"6–10 years",TRUE,"11+ years")</f>
        <v>0–1 years</v>
      </c>
    </row>
    <row r="902" spans="1:4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cm="1">
        <f t="array" ref="AJ902">_xlfn.SWITCH(CleanEmployeeData[[#This Row],[Education]],1,"Below College",2,"College",3,"Bachelor",4,"Master",5,"Doctor","Unknown")</f>
        <v>Bachelor</v>
      </c>
      <c r="AK902" t="str" cm="1">
        <f t="array" ref="AK902">_xlfn.SWITCH(CleanEmployeeData[[#This Row],[EnvironmentSatisfaction]],1,"Low",2,"Medium",3,"High",4,"Very High","Unknown")</f>
        <v>High</v>
      </c>
      <c r="AL902" t="str" cm="1">
        <f t="array" ref="AL902">_xlfn.SWITCH(CleanEmployeeData[[#This Row],[JobInvolvement]],1,"Low",2,"Medium",3,"High",4,"Very High","Unknown")</f>
        <v>High</v>
      </c>
      <c r="AM902" t="str" cm="1">
        <f t="array" ref="AM902">_xlfn.SWITCH(CleanEmployeeData[[#This Row],[JobSatisfaction]],1,"Low",2,"Medium",3,"High",4,"Very High","Unknown")</f>
        <v>Medium</v>
      </c>
      <c r="AN902" t="str" cm="1">
        <f t="array" ref="AN902">_xlfn.SWITCH(CleanEmployeeData[[#This Row],[PerformanceRating]],1,"Low",2,"Good",3,"Excellent",4,"Outstanding","Unknown")</f>
        <v>Excellent</v>
      </c>
      <c r="AO902" t="str" cm="1">
        <f t="array" ref="AO902">_xlfn.SWITCH(CleanEmployeeData[[#This Row],[WorkLifeBalance]],1,"Bad",2,"Good",3,"Better",4,"Best","Unknown")</f>
        <v>Good</v>
      </c>
      <c r="AP902">
        <f>IF(CleanEmployeeData[[#This Row],[Attrition]]="Yes",1,IF(CleanEmployeeData[[#This Row],[Attrition]]="No",0,""))</f>
        <v>0</v>
      </c>
      <c r="AQ902" t="str" cm="1">
        <f t="array" ref="AQ902">_xlfn.IFS(CleanEmployeeData[[#This Row],[MonthlyIncome]]&lt;=3000,"0–3,000",CleanEmployeeData[[#This Row],[MonthlyIncome]]&lt;=6000,"3,001–6,000",CleanEmployeeData[[#This Row],[MonthlyIncome]]&lt;=10000,"6,001–10,000",TRUE,"10,001+")</f>
        <v>3,001–6,000</v>
      </c>
      <c r="AR902" t="str" cm="1">
        <f t="array" ref="AR902">_xlfn.IFS(CleanEmployeeData[[#This Row],[DistanceFromHome]]&lt;=5,"0–5 miles",CleanEmployeeData[[#This Row],[DistanceFromHome]]&lt;=10,"6–10 miles",CleanEmployeeData[[#This Row],[DistanceFromHome]]&lt;=15,"11–15 miles",TRUE,"16+ miles")</f>
        <v>0–5 miles</v>
      </c>
      <c r="AS902" t="str" cm="1">
        <f t="array" ref="AS902">_xlfn.IFS(CleanEmployeeData[[#This Row],[YearsAtCompany]]&lt;=1,"0–1 years",CleanEmployeeData[[#This Row],[YearsAtCompany]]&lt;=5,"2–5 years",CleanEmployeeData[[#This Row],[YearsAtCompany]]&lt;=10,"6–10 years",TRUE,"11+ years")</f>
        <v>11+ years</v>
      </c>
    </row>
    <row r="903" spans="1:4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cm="1">
        <f t="array" ref="AJ903">_xlfn.SWITCH(CleanEmployeeData[[#This Row],[Education]],1,"Below College",2,"College",3,"Bachelor",4,"Master",5,"Doctor","Unknown")</f>
        <v>College</v>
      </c>
      <c r="AK903" t="str" cm="1">
        <f t="array" ref="AK903">_xlfn.SWITCH(CleanEmployeeData[[#This Row],[EnvironmentSatisfaction]],1,"Low",2,"Medium",3,"High",4,"Very High","Unknown")</f>
        <v>Very High</v>
      </c>
      <c r="AL903" t="str" cm="1">
        <f t="array" ref="AL903">_xlfn.SWITCH(CleanEmployeeData[[#This Row],[JobInvolvement]],1,"Low",2,"Medium",3,"High",4,"Very High","Unknown")</f>
        <v>Very High</v>
      </c>
      <c r="AM903" t="str" cm="1">
        <f t="array" ref="AM903">_xlfn.SWITCH(CleanEmployeeData[[#This Row],[JobSatisfaction]],1,"Low",2,"Medium",3,"High",4,"Very High","Unknown")</f>
        <v>Medium</v>
      </c>
      <c r="AN903" t="str" cm="1">
        <f t="array" ref="AN903">_xlfn.SWITCH(CleanEmployeeData[[#This Row],[PerformanceRating]],1,"Low",2,"Good",3,"Excellent",4,"Outstanding","Unknown")</f>
        <v>Excellent</v>
      </c>
      <c r="AO903" t="str" cm="1">
        <f t="array" ref="AO903">_xlfn.SWITCH(CleanEmployeeData[[#This Row],[WorkLifeBalance]],1,"Bad",2,"Good",3,"Better",4,"Best","Unknown")</f>
        <v>Good</v>
      </c>
      <c r="AP903">
        <f>IF(CleanEmployeeData[[#This Row],[Attrition]]="Yes",1,IF(CleanEmployeeData[[#This Row],[Attrition]]="No",0,""))</f>
        <v>0</v>
      </c>
      <c r="AQ903" t="str" cm="1">
        <f t="array" ref="AQ903">_xlfn.IFS(CleanEmployeeData[[#This Row],[MonthlyIncome]]&lt;=3000,"0–3,000",CleanEmployeeData[[#This Row],[MonthlyIncome]]&lt;=6000,"3,001–6,000",CleanEmployeeData[[#This Row],[MonthlyIncome]]&lt;=10000,"6,001–10,000",TRUE,"10,001+")</f>
        <v>0–3,000</v>
      </c>
      <c r="AR903" t="str" cm="1">
        <f t="array" ref="AR903">_xlfn.IFS(CleanEmployeeData[[#This Row],[DistanceFromHome]]&lt;=5,"0–5 miles",CleanEmployeeData[[#This Row],[DistanceFromHome]]&lt;=10,"6–10 miles",CleanEmployeeData[[#This Row],[DistanceFromHome]]&lt;=15,"11–15 miles",TRUE,"16+ miles")</f>
        <v>0–5 miles</v>
      </c>
      <c r="AS903" t="str" cm="1">
        <f t="array" ref="AS903">_xlfn.IFS(CleanEmployeeData[[#This Row],[YearsAtCompany]]&lt;=1,"0–1 years",CleanEmployeeData[[#This Row],[YearsAtCompany]]&lt;=5,"2–5 years",CleanEmployeeData[[#This Row],[YearsAtCompany]]&lt;=10,"6–10 years",TRUE,"11+ years")</f>
        <v>0–1 years</v>
      </c>
    </row>
    <row r="904" spans="1:4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cm="1">
        <f t="array" ref="AJ904">_xlfn.SWITCH(CleanEmployeeData[[#This Row],[Education]],1,"Below College",2,"College",3,"Bachelor",4,"Master",5,"Doctor","Unknown")</f>
        <v>College</v>
      </c>
      <c r="AK904" t="str" cm="1">
        <f t="array" ref="AK904">_xlfn.SWITCH(CleanEmployeeData[[#This Row],[EnvironmentSatisfaction]],1,"Low",2,"Medium",3,"High",4,"Very High","Unknown")</f>
        <v>Low</v>
      </c>
      <c r="AL904" t="str" cm="1">
        <f t="array" ref="AL904">_xlfn.SWITCH(CleanEmployeeData[[#This Row],[JobInvolvement]],1,"Low",2,"Medium",3,"High",4,"Very High","Unknown")</f>
        <v>High</v>
      </c>
      <c r="AM904" t="str" cm="1">
        <f t="array" ref="AM904">_xlfn.SWITCH(CleanEmployeeData[[#This Row],[JobSatisfaction]],1,"Low",2,"Medium",3,"High",4,"Very High","Unknown")</f>
        <v>High</v>
      </c>
      <c r="AN904" t="str" cm="1">
        <f t="array" ref="AN904">_xlfn.SWITCH(CleanEmployeeData[[#This Row],[PerformanceRating]],1,"Low",2,"Good",3,"Excellent",4,"Outstanding","Unknown")</f>
        <v>Excellent</v>
      </c>
      <c r="AO904" t="str" cm="1">
        <f t="array" ref="AO904">_xlfn.SWITCH(CleanEmployeeData[[#This Row],[WorkLifeBalance]],1,"Bad",2,"Good",3,"Better",4,"Best","Unknown")</f>
        <v>Better</v>
      </c>
      <c r="AP904">
        <f>IF(CleanEmployeeData[[#This Row],[Attrition]]="Yes",1,IF(CleanEmployeeData[[#This Row],[Attrition]]="No",0,""))</f>
        <v>0</v>
      </c>
      <c r="AQ904" t="str" cm="1">
        <f t="array" ref="AQ904">_xlfn.IFS(CleanEmployeeData[[#This Row],[MonthlyIncome]]&lt;=3000,"0–3,000",CleanEmployeeData[[#This Row],[MonthlyIncome]]&lt;=6000,"3,001–6,000",CleanEmployeeData[[#This Row],[MonthlyIncome]]&lt;=10000,"6,001–10,000",TRUE,"10,001+")</f>
        <v>0–3,000</v>
      </c>
      <c r="AR904" t="str" cm="1">
        <f t="array" ref="AR904">_xlfn.IFS(CleanEmployeeData[[#This Row],[DistanceFromHome]]&lt;=5,"0–5 miles",CleanEmployeeData[[#This Row],[DistanceFromHome]]&lt;=10,"6–10 miles",CleanEmployeeData[[#This Row],[DistanceFromHome]]&lt;=15,"11–15 miles",TRUE,"16+ miles")</f>
        <v>0–5 miles</v>
      </c>
      <c r="AS904" t="str" cm="1">
        <f t="array" ref="AS904">_xlfn.IFS(CleanEmployeeData[[#This Row],[YearsAtCompany]]&lt;=1,"0–1 years",CleanEmployeeData[[#This Row],[YearsAtCompany]]&lt;=5,"2–5 years",CleanEmployeeData[[#This Row],[YearsAtCompany]]&lt;=10,"6–10 years",TRUE,"11+ years")</f>
        <v>2–5 years</v>
      </c>
    </row>
    <row r="905" spans="1:4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cm="1">
        <f t="array" ref="AJ905">_xlfn.SWITCH(CleanEmployeeData[[#This Row],[Education]],1,"Below College",2,"College",3,"Bachelor",4,"Master",5,"Doctor","Unknown")</f>
        <v>Bachelor</v>
      </c>
      <c r="AK905" t="str" cm="1">
        <f t="array" ref="AK905">_xlfn.SWITCH(CleanEmployeeData[[#This Row],[EnvironmentSatisfaction]],1,"Low",2,"Medium",3,"High",4,"Very High","Unknown")</f>
        <v>High</v>
      </c>
      <c r="AL905" t="str" cm="1">
        <f t="array" ref="AL905">_xlfn.SWITCH(CleanEmployeeData[[#This Row],[JobInvolvement]],1,"Low",2,"Medium",3,"High",4,"Very High","Unknown")</f>
        <v>High</v>
      </c>
      <c r="AM905" t="str" cm="1">
        <f t="array" ref="AM905">_xlfn.SWITCH(CleanEmployeeData[[#This Row],[JobSatisfaction]],1,"Low",2,"Medium",3,"High",4,"Very High","Unknown")</f>
        <v>Very High</v>
      </c>
      <c r="AN905" t="str" cm="1">
        <f t="array" ref="AN905">_xlfn.SWITCH(CleanEmployeeData[[#This Row],[PerformanceRating]],1,"Low",2,"Good",3,"Excellent",4,"Outstanding","Unknown")</f>
        <v>Excellent</v>
      </c>
      <c r="AO905" t="str" cm="1">
        <f t="array" ref="AO905">_xlfn.SWITCH(CleanEmployeeData[[#This Row],[WorkLifeBalance]],1,"Bad",2,"Good",3,"Better",4,"Best","Unknown")</f>
        <v>Better</v>
      </c>
      <c r="AP905">
        <f>IF(CleanEmployeeData[[#This Row],[Attrition]]="Yes",1,IF(CleanEmployeeData[[#This Row],[Attrition]]="No",0,""))</f>
        <v>0</v>
      </c>
      <c r="AQ905" t="str" cm="1">
        <f t="array" ref="AQ905">_xlfn.IFS(CleanEmployeeData[[#This Row],[MonthlyIncome]]&lt;=3000,"0–3,000",CleanEmployeeData[[#This Row],[MonthlyIncome]]&lt;=6000,"3,001–6,000",CleanEmployeeData[[#This Row],[MonthlyIncome]]&lt;=10000,"6,001–10,000",TRUE,"10,001+")</f>
        <v>6,001–10,000</v>
      </c>
      <c r="AR905" t="str" cm="1">
        <f t="array" ref="AR905">_xlfn.IFS(CleanEmployeeData[[#This Row],[DistanceFromHome]]&lt;=5,"0–5 miles",CleanEmployeeData[[#This Row],[DistanceFromHome]]&lt;=10,"6–10 miles",CleanEmployeeData[[#This Row],[DistanceFromHome]]&lt;=15,"11–15 miles",TRUE,"16+ miles")</f>
        <v>6–10 miles</v>
      </c>
      <c r="AS905" t="str" cm="1">
        <f t="array" ref="AS905">_xlfn.IFS(CleanEmployeeData[[#This Row],[YearsAtCompany]]&lt;=1,"0–1 years",CleanEmployeeData[[#This Row],[YearsAtCompany]]&lt;=5,"2–5 years",CleanEmployeeData[[#This Row],[YearsAtCompany]]&lt;=10,"6–10 years",TRUE,"11+ years")</f>
        <v>6–10 years</v>
      </c>
    </row>
    <row r="906" spans="1:4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cm="1">
        <f t="array" ref="AJ906">_xlfn.SWITCH(CleanEmployeeData[[#This Row],[Education]],1,"Below College",2,"College",3,"Bachelor",4,"Master",5,"Doctor","Unknown")</f>
        <v>Bachelor</v>
      </c>
      <c r="AK906" t="str" cm="1">
        <f t="array" ref="AK906">_xlfn.SWITCH(CleanEmployeeData[[#This Row],[EnvironmentSatisfaction]],1,"Low",2,"Medium",3,"High",4,"Very High","Unknown")</f>
        <v>Very High</v>
      </c>
      <c r="AL906" t="str" cm="1">
        <f t="array" ref="AL906">_xlfn.SWITCH(CleanEmployeeData[[#This Row],[JobInvolvement]],1,"Low",2,"Medium",3,"High",4,"Very High","Unknown")</f>
        <v>Medium</v>
      </c>
      <c r="AM906" t="str" cm="1">
        <f t="array" ref="AM906">_xlfn.SWITCH(CleanEmployeeData[[#This Row],[JobSatisfaction]],1,"Low",2,"Medium",3,"High",4,"Very High","Unknown")</f>
        <v>Very High</v>
      </c>
      <c r="AN906" t="str" cm="1">
        <f t="array" ref="AN906">_xlfn.SWITCH(CleanEmployeeData[[#This Row],[PerformanceRating]],1,"Low",2,"Good",3,"Excellent",4,"Outstanding","Unknown")</f>
        <v>Excellent</v>
      </c>
      <c r="AO906" t="str" cm="1">
        <f t="array" ref="AO906">_xlfn.SWITCH(CleanEmployeeData[[#This Row],[WorkLifeBalance]],1,"Bad",2,"Good",3,"Better",4,"Best","Unknown")</f>
        <v>Best</v>
      </c>
      <c r="AP906">
        <f>IF(CleanEmployeeData[[#This Row],[Attrition]]="Yes",1,IF(CleanEmployeeData[[#This Row],[Attrition]]="No",0,""))</f>
        <v>0</v>
      </c>
      <c r="AQ906" t="str" cm="1">
        <f t="array" ref="AQ906">_xlfn.IFS(CleanEmployeeData[[#This Row],[MonthlyIncome]]&lt;=3000,"0–3,000",CleanEmployeeData[[#This Row],[MonthlyIncome]]&lt;=6000,"3,001–6,000",CleanEmployeeData[[#This Row],[MonthlyIncome]]&lt;=10000,"6,001–10,000",TRUE,"10,001+")</f>
        <v>10,001+</v>
      </c>
      <c r="AR906" t="str" cm="1">
        <f t="array" ref="AR906">_xlfn.IFS(CleanEmployeeData[[#This Row],[DistanceFromHome]]&lt;=5,"0–5 miles",CleanEmployeeData[[#This Row],[DistanceFromHome]]&lt;=10,"6–10 miles",CleanEmployeeData[[#This Row],[DistanceFromHome]]&lt;=15,"11–15 miles",TRUE,"16+ miles")</f>
        <v>0–5 miles</v>
      </c>
      <c r="AS906" t="str" cm="1">
        <f t="array" ref="AS906">_xlfn.IFS(CleanEmployeeData[[#This Row],[YearsAtCompany]]&lt;=1,"0–1 years",CleanEmployeeData[[#This Row],[YearsAtCompany]]&lt;=5,"2–5 years",CleanEmployeeData[[#This Row],[YearsAtCompany]]&lt;=10,"6–10 years",TRUE,"11+ years")</f>
        <v>0–1 years</v>
      </c>
    </row>
    <row r="907" spans="1:4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cm="1">
        <f t="array" ref="AJ907">_xlfn.SWITCH(CleanEmployeeData[[#This Row],[Education]],1,"Below College",2,"College",3,"Bachelor",4,"Master",5,"Doctor","Unknown")</f>
        <v>Bachelor</v>
      </c>
      <c r="AK907" t="str" cm="1">
        <f t="array" ref="AK907">_xlfn.SWITCH(CleanEmployeeData[[#This Row],[EnvironmentSatisfaction]],1,"Low",2,"Medium",3,"High",4,"Very High","Unknown")</f>
        <v>Very High</v>
      </c>
      <c r="AL907" t="str" cm="1">
        <f t="array" ref="AL907">_xlfn.SWITCH(CleanEmployeeData[[#This Row],[JobInvolvement]],1,"Low",2,"Medium",3,"High",4,"Very High","Unknown")</f>
        <v>Medium</v>
      </c>
      <c r="AM907" t="str" cm="1">
        <f t="array" ref="AM907">_xlfn.SWITCH(CleanEmployeeData[[#This Row],[JobSatisfaction]],1,"Low",2,"Medium",3,"High",4,"Very High","Unknown")</f>
        <v>Very High</v>
      </c>
      <c r="AN907" t="str" cm="1">
        <f t="array" ref="AN907">_xlfn.SWITCH(CleanEmployeeData[[#This Row],[PerformanceRating]],1,"Low",2,"Good",3,"Excellent",4,"Outstanding","Unknown")</f>
        <v>Excellent</v>
      </c>
      <c r="AO907" t="str" cm="1">
        <f t="array" ref="AO907">_xlfn.SWITCH(CleanEmployeeData[[#This Row],[WorkLifeBalance]],1,"Bad",2,"Good",3,"Better",4,"Best","Unknown")</f>
        <v>Good</v>
      </c>
      <c r="AP907">
        <f>IF(CleanEmployeeData[[#This Row],[Attrition]]="Yes",1,IF(CleanEmployeeData[[#This Row],[Attrition]]="No",0,""))</f>
        <v>0</v>
      </c>
      <c r="AQ907" t="str" cm="1">
        <f t="array" ref="AQ907">_xlfn.IFS(CleanEmployeeData[[#This Row],[MonthlyIncome]]&lt;=3000,"0–3,000",CleanEmployeeData[[#This Row],[MonthlyIncome]]&lt;=6000,"3,001–6,000",CleanEmployeeData[[#This Row],[MonthlyIncome]]&lt;=10000,"6,001–10,000",TRUE,"10,001+")</f>
        <v>10,001+</v>
      </c>
      <c r="AR907" t="str" cm="1">
        <f t="array" ref="AR907">_xlfn.IFS(CleanEmployeeData[[#This Row],[DistanceFromHome]]&lt;=5,"0–5 miles",CleanEmployeeData[[#This Row],[DistanceFromHome]]&lt;=10,"6–10 miles",CleanEmployeeData[[#This Row],[DistanceFromHome]]&lt;=15,"11–15 miles",TRUE,"16+ miles")</f>
        <v>0–5 miles</v>
      </c>
      <c r="AS907" t="str" cm="1">
        <f t="array" ref="AS907">_xlfn.IFS(CleanEmployeeData[[#This Row],[YearsAtCompany]]&lt;=1,"0–1 years",CleanEmployeeData[[#This Row],[YearsAtCompany]]&lt;=5,"2–5 years",CleanEmployeeData[[#This Row],[YearsAtCompany]]&lt;=10,"6–10 years",TRUE,"11+ years")</f>
        <v>6–10 years</v>
      </c>
    </row>
    <row r="908" spans="1:4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cm="1">
        <f t="array" ref="AJ908">_xlfn.SWITCH(CleanEmployeeData[[#This Row],[Education]],1,"Below College",2,"College",3,"Bachelor",4,"Master",5,"Doctor","Unknown")</f>
        <v>Bachelor</v>
      </c>
      <c r="AK908" t="str" cm="1">
        <f t="array" ref="AK908">_xlfn.SWITCH(CleanEmployeeData[[#This Row],[EnvironmentSatisfaction]],1,"Low",2,"Medium",3,"High",4,"Very High","Unknown")</f>
        <v>High</v>
      </c>
      <c r="AL908" t="str" cm="1">
        <f t="array" ref="AL908">_xlfn.SWITCH(CleanEmployeeData[[#This Row],[JobInvolvement]],1,"Low",2,"Medium",3,"High",4,"Very High","Unknown")</f>
        <v>Very High</v>
      </c>
      <c r="AM908" t="str" cm="1">
        <f t="array" ref="AM908">_xlfn.SWITCH(CleanEmployeeData[[#This Row],[JobSatisfaction]],1,"Low",2,"Medium",3,"High",4,"Very High","Unknown")</f>
        <v>High</v>
      </c>
      <c r="AN908" t="str" cm="1">
        <f t="array" ref="AN908">_xlfn.SWITCH(CleanEmployeeData[[#This Row],[PerformanceRating]],1,"Low",2,"Good",3,"Excellent",4,"Outstanding","Unknown")</f>
        <v>Excellent</v>
      </c>
      <c r="AO908" t="str" cm="1">
        <f t="array" ref="AO908">_xlfn.SWITCH(CleanEmployeeData[[#This Row],[WorkLifeBalance]],1,"Bad",2,"Good",3,"Better",4,"Best","Unknown")</f>
        <v>Good</v>
      </c>
      <c r="AP908">
        <f>IF(CleanEmployeeData[[#This Row],[Attrition]]="Yes",1,IF(CleanEmployeeData[[#This Row],[Attrition]]="No",0,""))</f>
        <v>0</v>
      </c>
      <c r="AQ908" t="str" cm="1">
        <f t="array" ref="AQ908">_xlfn.IFS(CleanEmployeeData[[#This Row],[MonthlyIncome]]&lt;=3000,"0–3,000",CleanEmployeeData[[#This Row],[MonthlyIncome]]&lt;=6000,"3,001–6,000",CleanEmployeeData[[#This Row],[MonthlyIncome]]&lt;=10000,"6,001–10,000",TRUE,"10,001+")</f>
        <v>0–3,000</v>
      </c>
      <c r="AR908" t="str" cm="1">
        <f t="array" ref="AR908">_xlfn.IFS(CleanEmployeeData[[#This Row],[DistanceFromHome]]&lt;=5,"0–5 miles",CleanEmployeeData[[#This Row],[DistanceFromHome]]&lt;=10,"6–10 miles",CleanEmployeeData[[#This Row],[DistanceFromHome]]&lt;=15,"11–15 miles",TRUE,"16+ miles")</f>
        <v>16+ miles</v>
      </c>
      <c r="AS908" t="str" cm="1">
        <f t="array" ref="AS908">_xlfn.IFS(CleanEmployeeData[[#This Row],[YearsAtCompany]]&lt;=1,"0–1 years",CleanEmployeeData[[#This Row],[YearsAtCompany]]&lt;=5,"2–5 years",CleanEmployeeData[[#This Row],[YearsAtCompany]]&lt;=10,"6–10 years",TRUE,"11+ years")</f>
        <v>0–1 years</v>
      </c>
    </row>
    <row r="909" spans="1:4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cm="1">
        <f t="array" ref="AJ909">_xlfn.SWITCH(CleanEmployeeData[[#This Row],[Education]],1,"Below College",2,"College",3,"Bachelor",4,"Master",5,"Doctor","Unknown")</f>
        <v>Bachelor</v>
      </c>
      <c r="AK909" t="str" cm="1">
        <f t="array" ref="AK909">_xlfn.SWITCH(CleanEmployeeData[[#This Row],[EnvironmentSatisfaction]],1,"Low",2,"Medium",3,"High",4,"Very High","Unknown")</f>
        <v>Medium</v>
      </c>
      <c r="AL909" t="str" cm="1">
        <f t="array" ref="AL909">_xlfn.SWITCH(CleanEmployeeData[[#This Row],[JobInvolvement]],1,"Low",2,"Medium",3,"High",4,"Very High","Unknown")</f>
        <v>High</v>
      </c>
      <c r="AM909" t="str" cm="1">
        <f t="array" ref="AM909">_xlfn.SWITCH(CleanEmployeeData[[#This Row],[JobSatisfaction]],1,"Low",2,"Medium",3,"High",4,"Very High","Unknown")</f>
        <v>Medium</v>
      </c>
      <c r="AN909" t="str" cm="1">
        <f t="array" ref="AN909">_xlfn.SWITCH(CleanEmployeeData[[#This Row],[PerformanceRating]],1,"Low",2,"Good",3,"Excellent",4,"Outstanding","Unknown")</f>
        <v>Excellent</v>
      </c>
      <c r="AO909" t="str" cm="1">
        <f t="array" ref="AO909">_xlfn.SWITCH(CleanEmployeeData[[#This Row],[WorkLifeBalance]],1,"Bad",2,"Good",3,"Better",4,"Best","Unknown")</f>
        <v>Better</v>
      </c>
      <c r="AP909">
        <f>IF(CleanEmployeeData[[#This Row],[Attrition]]="Yes",1,IF(CleanEmployeeData[[#This Row],[Attrition]]="No",0,""))</f>
        <v>0</v>
      </c>
      <c r="AQ909" t="str" cm="1">
        <f t="array" ref="AQ909">_xlfn.IFS(CleanEmployeeData[[#This Row],[MonthlyIncome]]&lt;=3000,"0–3,000",CleanEmployeeData[[#This Row],[MonthlyIncome]]&lt;=6000,"3,001–6,000",CleanEmployeeData[[#This Row],[MonthlyIncome]]&lt;=10000,"6,001–10,000",TRUE,"10,001+")</f>
        <v>10,001+</v>
      </c>
      <c r="AR909" t="str" cm="1">
        <f t="array" ref="AR909">_xlfn.IFS(CleanEmployeeData[[#This Row],[DistanceFromHome]]&lt;=5,"0–5 miles",CleanEmployeeData[[#This Row],[DistanceFromHome]]&lt;=10,"6–10 miles",CleanEmployeeData[[#This Row],[DistanceFromHome]]&lt;=15,"11–15 miles",TRUE,"16+ miles")</f>
        <v>0–5 miles</v>
      </c>
      <c r="AS909" t="str" cm="1">
        <f t="array" ref="AS909">_xlfn.IFS(CleanEmployeeData[[#This Row],[YearsAtCompany]]&lt;=1,"0–1 years",CleanEmployeeData[[#This Row],[YearsAtCompany]]&lt;=5,"2–5 years",CleanEmployeeData[[#This Row],[YearsAtCompany]]&lt;=10,"6–10 years",TRUE,"11+ years")</f>
        <v>11+ years</v>
      </c>
    </row>
    <row r="910" spans="1:4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cm="1">
        <f t="array" ref="AJ910">_xlfn.SWITCH(CleanEmployeeData[[#This Row],[Education]],1,"Below College",2,"College",3,"Bachelor",4,"Master",5,"Doctor","Unknown")</f>
        <v>Doctor</v>
      </c>
      <c r="AK910" t="str" cm="1">
        <f t="array" ref="AK910">_xlfn.SWITCH(CleanEmployeeData[[#This Row],[EnvironmentSatisfaction]],1,"Low",2,"Medium",3,"High",4,"Very High","Unknown")</f>
        <v>Very High</v>
      </c>
      <c r="AL910" t="str" cm="1">
        <f t="array" ref="AL910">_xlfn.SWITCH(CleanEmployeeData[[#This Row],[JobInvolvement]],1,"Low",2,"Medium",3,"High",4,"Very High","Unknown")</f>
        <v>Very High</v>
      </c>
      <c r="AM910" t="str" cm="1">
        <f t="array" ref="AM910">_xlfn.SWITCH(CleanEmployeeData[[#This Row],[JobSatisfaction]],1,"Low",2,"Medium",3,"High",4,"Very High","Unknown")</f>
        <v>High</v>
      </c>
      <c r="AN910" t="str" cm="1">
        <f t="array" ref="AN910">_xlfn.SWITCH(CleanEmployeeData[[#This Row],[PerformanceRating]],1,"Low",2,"Good",3,"Excellent",4,"Outstanding","Unknown")</f>
        <v>Excellent</v>
      </c>
      <c r="AO910" t="str" cm="1">
        <f t="array" ref="AO910">_xlfn.SWITCH(CleanEmployeeData[[#This Row],[WorkLifeBalance]],1,"Bad",2,"Good",3,"Better",4,"Best","Unknown")</f>
        <v>Better</v>
      </c>
      <c r="AP910">
        <f>IF(CleanEmployeeData[[#This Row],[Attrition]]="Yes",1,IF(CleanEmployeeData[[#This Row],[Attrition]]="No",0,""))</f>
        <v>0</v>
      </c>
      <c r="AQ910" t="str" cm="1">
        <f t="array" ref="AQ910">_xlfn.IFS(CleanEmployeeData[[#This Row],[MonthlyIncome]]&lt;=3000,"0–3,000",CleanEmployeeData[[#This Row],[MonthlyIncome]]&lt;=6000,"3,001–6,000",CleanEmployeeData[[#This Row],[MonthlyIncome]]&lt;=10000,"6,001–10,000",TRUE,"10,001+")</f>
        <v>6,001–10,000</v>
      </c>
      <c r="AR910" t="str" cm="1">
        <f t="array" ref="AR910">_xlfn.IFS(CleanEmployeeData[[#This Row],[DistanceFromHome]]&lt;=5,"0–5 miles",CleanEmployeeData[[#This Row],[DistanceFromHome]]&lt;=10,"6–10 miles",CleanEmployeeData[[#This Row],[DistanceFromHome]]&lt;=15,"11–15 miles",TRUE,"16+ miles")</f>
        <v>6–10 miles</v>
      </c>
      <c r="AS910" t="str" cm="1">
        <f t="array" ref="AS910">_xlfn.IFS(CleanEmployeeData[[#This Row],[YearsAtCompany]]&lt;=1,"0–1 years",CleanEmployeeData[[#This Row],[YearsAtCompany]]&lt;=5,"2–5 years",CleanEmployeeData[[#This Row],[YearsAtCompany]]&lt;=10,"6–10 years",TRUE,"11+ years")</f>
        <v>6–10 years</v>
      </c>
    </row>
    <row r="911" spans="1:4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cm="1">
        <f t="array" ref="AJ911">_xlfn.SWITCH(CleanEmployeeData[[#This Row],[Education]],1,"Below College",2,"College",3,"Bachelor",4,"Master",5,"Doctor","Unknown")</f>
        <v>Bachelor</v>
      </c>
      <c r="AK911" t="str" cm="1">
        <f t="array" ref="AK911">_xlfn.SWITCH(CleanEmployeeData[[#This Row],[EnvironmentSatisfaction]],1,"Low",2,"Medium",3,"High",4,"Very High","Unknown")</f>
        <v>Medium</v>
      </c>
      <c r="AL911" t="str" cm="1">
        <f t="array" ref="AL911">_xlfn.SWITCH(CleanEmployeeData[[#This Row],[JobInvolvement]],1,"Low",2,"Medium",3,"High",4,"Very High","Unknown")</f>
        <v>Very High</v>
      </c>
      <c r="AM911" t="str" cm="1">
        <f t="array" ref="AM911">_xlfn.SWITCH(CleanEmployeeData[[#This Row],[JobSatisfaction]],1,"Low",2,"Medium",3,"High",4,"Very High","Unknown")</f>
        <v>Very High</v>
      </c>
      <c r="AN911" t="str" cm="1">
        <f t="array" ref="AN911">_xlfn.SWITCH(CleanEmployeeData[[#This Row],[PerformanceRating]],1,"Low",2,"Good",3,"Excellent",4,"Outstanding","Unknown")</f>
        <v>Excellent</v>
      </c>
      <c r="AO911" t="str" cm="1">
        <f t="array" ref="AO911">_xlfn.SWITCH(CleanEmployeeData[[#This Row],[WorkLifeBalance]],1,"Bad",2,"Good",3,"Better",4,"Best","Unknown")</f>
        <v>Better</v>
      </c>
      <c r="AP911">
        <f>IF(CleanEmployeeData[[#This Row],[Attrition]]="Yes",1,IF(CleanEmployeeData[[#This Row],[Attrition]]="No",0,""))</f>
        <v>0</v>
      </c>
      <c r="AQ911" t="str" cm="1">
        <f t="array" ref="AQ911">_xlfn.IFS(CleanEmployeeData[[#This Row],[MonthlyIncome]]&lt;=3000,"0–3,000",CleanEmployeeData[[#This Row],[MonthlyIncome]]&lt;=6000,"3,001–6,000",CleanEmployeeData[[#This Row],[MonthlyIncome]]&lt;=10000,"6,001–10,000",TRUE,"10,001+")</f>
        <v>0–3,000</v>
      </c>
      <c r="AR911" t="str" cm="1">
        <f t="array" ref="AR911">_xlfn.IFS(CleanEmployeeData[[#This Row],[DistanceFromHome]]&lt;=5,"0–5 miles",CleanEmployeeData[[#This Row],[DistanceFromHome]]&lt;=10,"6–10 miles",CleanEmployeeData[[#This Row],[DistanceFromHome]]&lt;=15,"11–15 miles",TRUE,"16+ miles")</f>
        <v>16+ miles</v>
      </c>
      <c r="AS911" t="str" cm="1">
        <f t="array" ref="AS911">_xlfn.IFS(CleanEmployeeData[[#This Row],[YearsAtCompany]]&lt;=1,"0–1 years",CleanEmployeeData[[#This Row],[YearsAtCompany]]&lt;=5,"2–5 years",CleanEmployeeData[[#This Row],[YearsAtCompany]]&lt;=10,"6–10 years",TRUE,"11+ years")</f>
        <v>0–1 years</v>
      </c>
    </row>
    <row r="912" spans="1:4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cm="1">
        <f t="array" ref="AJ912">_xlfn.SWITCH(CleanEmployeeData[[#This Row],[Education]],1,"Below College",2,"College",3,"Bachelor",4,"Master",5,"Doctor","Unknown")</f>
        <v>College</v>
      </c>
      <c r="AK912" t="str" cm="1">
        <f t="array" ref="AK912">_xlfn.SWITCH(CleanEmployeeData[[#This Row],[EnvironmentSatisfaction]],1,"Low",2,"Medium",3,"High",4,"Very High","Unknown")</f>
        <v>Very High</v>
      </c>
      <c r="AL912" t="str" cm="1">
        <f t="array" ref="AL912">_xlfn.SWITCH(CleanEmployeeData[[#This Row],[JobInvolvement]],1,"Low",2,"Medium",3,"High",4,"Very High","Unknown")</f>
        <v>High</v>
      </c>
      <c r="AM912" t="str" cm="1">
        <f t="array" ref="AM912">_xlfn.SWITCH(CleanEmployeeData[[#This Row],[JobSatisfaction]],1,"Low",2,"Medium",3,"High",4,"Very High","Unknown")</f>
        <v>High</v>
      </c>
      <c r="AN912" t="str" cm="1">
        <f t="array" ref="AN912">_xlfn.SWITCH(CleanEmployeeData[[#This Row],[PerformanceRating]],1,"Low",2,"Good",3,"Excellent",4,"Outstanding","Unknown")</f>
        <v>Outstanding</v>
      </c>
      <c r="AO912" t="str" cm="1">
        <f t="array" ref="AO912">_xlfn.SWITCH(CleanEmployeeData[[#This Row],[WorkLifeBalance]],1,"Bad",2,"Good",3,"Better",4,"Best","Unknown")</f>
        <v>Better</v>
      </c>
      <c r="AP912">
        <f>IF(CleanEmployeeData[[#This Row],[Attrition]]="Yes",1,IF(CleanEmployeeData[[#This Row],[Attrition]]="No",0,""))</f>
        <v>0</v>
      </c>
      <c r="AQ912" t="str" cm="1">
        <f t="array" ref="AQ912">_xlfn.IFS(CleanEmployeeData[[#This Row],[MonthlyIncome]]&lt;=3000,"0–3,000",CleanEmployeeData[[#This Row],[MonthlyIncome]]&lt;=6000,"3,001–6,000",CleanEmployeeData[[#This Row],[MonthlyIncome]]&lt;=10000,"6,001–10,000",TRUE,"10,001+")</f>
        <v>0–3,000</v>
      </c>
      <c r="AR912" t="str" cm="1">
        <f t="array" ref="AR912">_xlfn.IFS(CleanEmployeeData[[#This Row],[DistanceFromHome]]&lt;=5,"0–5 miles",CleanEmployeeData[[#This Row],[DistanceFromHome]]&lt;=10,"6–10 miles",CleanEmployeeData[[#This Row],[DistanceFromHome]]&lt;=15,"11–15 miles",TRUE,"16+ miles")</f>
        <v>0–5 miles</v>
      </c>
      <c r="AS912" t="str" cm="1">
        <f t="array" ref="AS912">_xlfn.IFS(CleanEmployeeData[[#This Row],[YearsAtCompany]]&lt;=1,"0–1 years",CleanEmployeeData[[#This Row],[YearsAtCompany]]&lt;=5,"2–5 years",CleanEmployeeData[[#This Row],[YearsAtCompany]]&lt;=10,"6–10 years",TRUE,"11+ years")</f>
        <v>0–1 years</v>
      </c>
    </row>
    <row r="913" spans="1:4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cm="1">
        <f t="array" ref="AJ913">_xlfn.SWITCH(CleanEmployeeData[[#This Row],[Education]],1,"Below College",2,"College",3,"Bachelor",4,"Master",5,"Doctor","Unknown")</f>
        <v>Below College</v>
      </c>
      <c r="AK913" t="str" cm="1">
        <f t="array" ref="AK913">_xlfn.SWITCH(CleanEmployeeData[[#This Row],[EnvironmentSatisfaction]],1,"Low",2,"Medium",3,"High",4,"Very High","Unknown")</f>
        <v>High</v>
      </c>
      <c r="AL913" t="str" cm="1">
        <f t="array" ref="AL913">_xlfn.SWITCH(CleanEmployeeData[[#This Row],[JobInvolvement]],1,"Low",2,"Medium",3,"High",4,"Very High","Unknown")</f>
        <v>Low</v>
      </c>
      <c r="AM913" t="str" cm="1">
        <f t="array" ref="AM913">_xlfn.SWITCH(CleanEmployeeData[[#This Row],[JobSatisfaction]],1,"Low",2,"Medium",3,"High",4,"Very High","Unknown")</f>
        <v>Very High</v>
      </c>
      <c r="AN913" t="str" cm="1">
        <f t="array" ref="AN913">_xlfn.SWITCH(CleanEmployeeData[[#This Row],[PerformanceRating]],1,"Low",2,"Good",3,"Excellent",4,"Outstanding","Unknown")</f>
        <v>Excellent</v>
      </c>
      <c r="AO913" t="str" cm="1">
        <f t="array" ref="AO913">_xlfn.SWITCH(CleanEmployeeData[[#This Row],[WorkLifeBalance]],1,"Bad",2,"Good",3,"Better",4,"Best","Unknown")</f>
        <v>Better</v>
      </c>
      <c r="AP913">
        <f>IF(CleanEmployeeData[[#This Row],[Attrition]]="Yes",1,IF(CleanEmployeeData[[#This Row],[Attrition]]="No",0,""))</f>
        <v>1</v>
      </c>
      <c r="AQ913" t="str" cm="1">
        <f t="array" ref="AQ913">_xlfn.IFS(CleanEmployeeData[[#This Row],[MonthlyIncome]]&lt;=3000,"0–3,000",CleanEmployeeData[[#This Row],[MonthlyIncome]]&lt;=6000,"3,001–6,000",CleanEmployeeData[[#This Row],[MonthlyIncome]]&lt;=10000,"6,001–10,000",TRUE,"10,001+")</f>
        <v>0–3,000</v>
      </c>
      <c r="AR913" t="str" cm="1">
        <f t="array" ref="AR913">_xlfn.IFS(CleanEmployeeData[[#This Row],[DistanceFromHome]]&lt;=5,"0–5 miles",CleanEmployeeData[[#This Row],[DistanceFromHome]]&lt;=10,"6–10 miles",CleanEmployeeData[[#This Row],[DistanceFromHome]]&lt;=15,"11–15 miles",TRUE,"16+ miles")</f>
        <v>16+ miles</v>
      </c>
      <c r="AS913" t="str" cm="1">
        <f t="array" ref="AS913">_xlfn.IFS(CleanEmployeeData[[#This Row],[YearsAtCompany]]&lt;=1,"0–1 years",CleanEmployeeData[[#This Row],[YearsAtCompany]]&lt;=5,"2–5 years",CleanEmployeeData[[#This Row],[YearsAtCompany]]&lt;=10,"6–10 years",TRUE,"11+ years")</f>
        <v>0–1 years</v>
      </c>
    </row>
    <row r="914" spans="1:4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cm="1">
        <f t="array" ref="AJ914">_xlfn.SWITCH(CleanEmployeeData[[#This Row],[Education]],1,"Below College",2,"College",3,"Bachelor",4,"Master",5,"Doctor","Unknown")</f>
        <v>College</v>
      </c>
      <c r="AK914" t="str" cm="1">
        <f t="array" ref="AK914">_xlfn.SWITCH(CleanEmployeeData[[#This Row],[EnvironmentSatisfaction]],1,"Low",2,"Medium",3,"High",4,"Very High","Unknown")</f>
        <v>High</v>
      </c>
      <c r="AL914" t="str" cm="1">
        <f t="array" ref="AL914">_xlfn.SWITCH(CleanEmployeeData[[#This Row],[JobInvolvement]],1,"Low",2,"Medium",3,"High",4,"Very High","Unknown")</f>
        <v>High</v>
      </c>
      <c r="AM914" t="str" cm="1">
        <f t="array" ref="AM914">_xlfn.SWITCH(CleanEmployeeData[[#This Row],[JobSatisfaction]],1,"Low",2,"Medium",3,"High",4,"Very High","Unknown")</f>
        <v>Very High</v>
      </c>
      <c r="AN914" t="str" cm="1">
        <f t="array" ref="AN914">_xlfn.SWITCH(CleanEmployeeData[[#This Row],[PerformanceRating]],1,"Low",2,"Good",3,"Excellent",4,"Outstanding","Unknown")</f>
        <v>Outstanding</v>
      </c>
      <c r="AO914" t="str" cm="1">
        <f t="array" ref="AO914">_xlfn.SWITCH(CleanEmployeeData[[#This Row],[WorkLifeBalance]],1,"Bad",2,"Good",3,"Better",4,"Best","Unknown")</f>
        <v>Good</v>
      </c>
      <c r="AP914">
        <f>IF(CleanEmployeeData[[#This Row],[Attrition]]="Yes",1,IF(CleanEmployeeData[[#This Row],[Attrition]]="No",0,""))</f>
        <v>0</v>
      </c>
      <c r="AQ914" t="str" cm="1">
        <f t="array" ref="AQ914">_xlfn.IFS(CleanEmployeeData[[#This Row],[MonthlyIncome]]&lt;=3000,"0–3,000",CleanEmployeeData[[#This Row],[MonthlyIncome]]&lt;=6000,"3,001–6,000",CleanEmployeeData[[#This Row],[MonthlyIncome]]&lt;=10000,"6,001–10,000",TRUE,"10,001+")</f>
        <v>0–3,000</v>
      </c>
      <c r="AR914" t="str" cm="1">
        <f t="array" ref="AR914">_xlfn.IFS(CleanEmployeeData[[#This Row],[DistanceFromHome]]&lt;=5,"0–5 miles",CleanEmployeeData[[#This Row],[DistanceFromHome]]&lt;=10,"6–10 miles",CleanEmployeeData[[#This Row],[DistanceFromHome]]&lt;=15,"11–15 miles",TRUE,"16+ miles")</f>
        <v>0–5 miles</v>
      </c>
      <c r="AS914" t="str" cm="1">
        <f t="array" ref="AS914">_xlfn.IFS(CleanEmployeeData[[#This Row],[YearsAtCompany]]&lt;=1,"0–1 years",CleanEmployeeData[[#This Row],[YearsAtCompany]]&lt;=5,"2–5 years",CleanEmployeeData[[#This Row],[YearsAtCompany]]&lt;=10,"6–10 years",TRUE,"11+ years")</f>
        <v>6–10 years</v>
      </c>
    </row>
    <row r="915" spans="1:4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cm="1">
        <f t="array" ref="AJ915">_xlfn.SWITCH(CleanEmployeeData[[#This Row],[Education]],1,"Below College",2,"College",3,"Bachelor",4,"Master",5,"Doctor","Unknown")</f>
        <v>Bachelor</v>
      </c>
      <c r="AK915" t="str" cm="1">
        <f t="array" ref="AK915">_xlfn.SWITCH(CleanEmployeeData[[#This Row],[EnvironmentSatisfaction]],1,"Low",2,"Medium",3,"High",4,"Very High","Unknown")</f>
        <v>Low</v>
      </c>
      <c r="AL915" t="str" cm="1">
        <f t="array" ref="AL915">_xlfn.SWITCH(CleanEmployeeData[[#This Row],[JobInvolvement]],1,"Low",2,"Medium",3,"High",4,"Very High","Unknown")</f>
        <v>Low</v>
      </c>
      <c r="AM915" t="str" cm="1">
        <f t="array" ref="AM915">_xlfn.SWITCH(CleanEmployeeData[[#This Row],[JobSatisfaction]],1,"Low",2,"Medium",3,"High",4,"Very High","Unknown")</f>
        <v>Medium</v>
      </c>
      <c r="AN915" t="str" cm="1">
        <f t="array" ref="AN915">_xlfn.SWITCH(CleanEmployeeData[[#This Row],[PerformanceRating]],1,"Low",2,"Good",3,"Excellent",4,"Outstanding","Unknown")</f>
        <v>Excellent</v>
      </c>
      <c r="AO915" t="str" cm="1">
        <f t="array" ref="AO915">_xlfn.SWITCH(CleanEmployeeData[[#This Row],[WorkLifeBalance]],1,"Bad",2,"Good",3,"Better",4,"Best","Unknown")</f>
        <v>Better</v>
      </c>
      <c r="AP915">
        <f>IF(CleanEmployeeData[[#This Row],[Attrition]]="Yes",1,IF(CleanEmployeeData[[#This Row],[Attrition]]="No",0,""))</f>
        <v>1</v>
      </c>
      <c r="AQ915" t="str" cm="1">
        <f t="array" ref="AQ915">_xlfn.IFS(CleanEmployeeData[[#This Row],[MonthlyIncome]]&lt;=3000,"0–3,000",CleanEmployeeData[[#This Row],[MonthlyIncome]]&lt;=6000,"3,001–6,000",CleanEmployeeData[[#This Row],[MonthlyIncome]]&lt;=10000,"6,001–10,000",TRUE,"10,001+")</f>
        <v>10,001+</v>
      </c>
      <c r="AR915" t="str" cm="1">
        <f t="array" ref="AR915">_xlfn.IFS(CleanEmployeeData[[#This Row],[DistanceFromHome]]&lt;=5,"0–5 miles",CleanEmployeeData[[#This Row],[DistanceFromHome]]&lt;=10,"6–10 miles",CleanEmployeeData[[#This Row],[DistanceFromHome]]&lt;=15,"11–15 miles",TRUE,"16+ miles")</f>
        <v>0–5 miles</v>
      </c>
      <c r="AS915" t="str" cm="1">
        <f t="array" ref="AS915">_xlfn.IFS(CleanEmployeeData[[#This Row],[YearsAtCompany]]&lt;=1,"0–1 years",CleanEmployeeData[[#This Row],[YearsAtCompany]]&lt;=5,"2–5 years",CleanEmployeeData[[#This Row],[YearsAtCompany]]&lt;=10,"6–10 years",TRUE,"11+ years")</f>
        <v>11+ years</v>
      </c>
    </row>
    <row r="916" spans="1:4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cm="1">
        <f t="array" ref="AJ916">_xlfn.SWITCH(CleanEmployeeData[[#This Row],[Education]],1,"Below College",2,"College",3,"Bachelor",4,"Master",5,"Doctor","Unknown")</f>
        <v>Below College</v>
      </c>
      <c r="AK916" t="str" cm="1">
        <f t="array" ref="AK916">_xlfn.SWITCH(CleanEmployeeData[[#This Row],[EnvironmentSatisfaction]],1,"Low",2,"Medium",3,"High",4,"Very High","Unknown")</f>
        <v>Very High</v>
      </c>
      <c r="AL916" t="str" cm="1">
        <f t="array" ref="AL916">_xlfn.SWITCH(CleanEmployeeData[[#This Row],[JobInvolvement]],1,"Low",2,"Medium",3,"High",4,"Very High","Unknown")</f>
        <v>Medium</v>
      </c>
      <c r="AM916" t="str" cm="1">
        <f t="array" ref="AM916">_xlfn.SWITCH(CleanEmployeeData[[#This Row],[JobSatisfaction]],1,"Low",2,"Medium",3,"High",4,"Very High","Unknown")</f>
        <v>Medium</v>
      </c>
      <c r="AN916" t="str" cm="1">
        <f t="array" ref="AN916">_xlfn.SWITCH(CleanEmployeeData[[#This Row],[PerformanceRating]],1,"Low",2,"Good",3,"Excellent",4,"Outstanding","Unknown")</f>
        <v>Excellent</v>
      </c>
      <c r="AO916" t="str" cm="1">
        <f t="array" ref="AO916">_xlfn.SWITCH(CleanEmployeeData[[#This Row],[WorkLifeBalance]],1,"Bad",2,"Good",3,"Better",4,"Best","Unknown")</f>
        <v>Better</v>
      </c>
      <c r="AP916">
        <f>IF(CleanEmployeeData[[#This Row],[Attrition]]="Yes",1,IF(CleanEmployeeData[[#This Row],[Attrition]]="No",0,""))</f>
        <v>0</v>
      </c>
      <c r="AQ916" t="str" cm="1">
        <f t="array" ref="AQ916">_xlfn.IFS(CleanEmployeeData[[#This Row],[MonthlyIncome]]&lt;=3000,"0–3,000",CleanEmployeeData[[#This Row],[MonthlyIncome]]&lt;=6000,"3,001–6,000",CleanEmployeeData[[#This Row],[MonthlyIncome]]&lt;=10000,"6,001–10,000",TRUE,"10,001+")</f>
        <v>10,001+</v>
      </c>
      <c r="AR916" t="str" cm="1">
        <f t="array" ref="AR916">_xlfn.IFS(CleanEmployeeData[[#This Row],[DistanceFromHome]]&lt;=5,"0–5 miles",CleanEmployeeData[[#This Row],[DistanceFromHome]]&lt;=10,"6–10 miles",CleanEmployeeData[[#This Row],[DistanceFromHome]]&lt;=15,"11–15 miles",TRUE,"16+ miles")</f>
        <v>6–10 miles</v>
      </c>
      <c r="AS916" t="str" cm="1">
        <f t="array" ref="AS916">_xlfn.IFS(CleanEmployeeData[[#This Row],[YearsAtCompany]]&lt;=1,"0–1 years",CleanEmployeeData[[#This Row],[YearsAtCompany]]&lt;=5,"2–5 years",CleanEmployeeData[[#This Row],[YearsAtCompany]]&lt;=10,"6–10 years",TRUE,"11+ years")</f>
        <v>11+ years</v>
      </c>
    </row>
    <row r="917" spans="1:4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cm="1">
        <f t="array" ref="AJ917">_xlfn.SWITCH(CleanEmployeeData[[#This Row],[Education]],1,"Below College",2,"College",3,"Bachelor",4,"Master",5,"Doctor","Unknown")</f>
        <v>College</v>
      </c>
      <c r="AK917" t="str" cm="1">
        <f t="array" ref="AK917">_xlfn.SWITCH(CleanEmployeeData[[#This Row],[EnvironmentSatisfaction]],1,"Low",2,"Medium",3,"High",4,"Very High","Unknown")</f>
        <v>Low</v>
      </c>
      <c r="AL917" t="str" cm="1">
        <f t="array" ref="AL917">_xlfn.SWITCH(CleanEmployeeData[[#This Row],[JobInvolvement]],1,"Low",2,"Medium",3,"High",4,"Very High","Unknown")</f>
        <v>Medium</v>
      </c>
      <c r="AM917" t="str" cm="1">
        <f t="array" ref="AM917">_xlfn.SWITCH(CleanEmployeeData[[#This Row],[JobSatisfaction]],1,"Low",2,"Medium",3,"High",4,"Very High","Unknown")</f>
        <v>High</v>
      </c>
      <c r="AN917" t="str" cm="1">
        <f t="array" ref="AN917">_xlfn.SWITCH(CleanEmployeeData[[#This Row],[PerformanceRating]],1,"Low",2,"Good",3,"Excellent",4,"Outstanding","Unknown")</f>
        <v>Outstanding</v>
      </c>
      <c r="AO917" t="str" cm="1">
        <f t="array" ref="AO917">_xlfn.SWITCH(CleanEmployeeData[[#This Row],[WorkLifeBalance]],1,"Bad",2,"Good",3,"Better",4,"Best","Unknown")</f>
        <v>Bad</v>
      </c>
      <c r="AP917">
        <f>IF(CleanEmployeeData[[#This Row],[Attrition]]="Yes",1,IF(CleanEmployeeData[[#This Row],[Attrition]]="No",0,""))</f>
        <v>1</v>
      </c>
      <c r="AQ917" t="str" cm="1">
        <f t="array" ref="AQ917">_xlfn.IFS(CleanEmployeeData[[#This Row],[MonthlyIncome]]&lt;=3000,"0–3,000",CleanEmployeeData[[#This Row],[MonthlyIncome]]&lt;=6000,"3,001–6,000",CleanEmployeeData[[#This Row],[MonthlyIncome]]&lt;=10000,"6,001–10,000",TRUE,"10,001+")</f>
        <v>0–3,000</v>
      </c>
      <c r="AR917" t="str" cm="1">
        <f t="array" ref="AR917">_xlfn.IFS(CleanEmployeeData[[#This Row],[DistanceFromHome]]&lt;=5,"0–5 miles",CleanEmployeeData[[#This Row],[DistanceFromHome]]&lt;=10,"6–10 miles",CleanEmployeeData[[#This Row],[DistanceFromHome]]&lt;=15,"11–15 miles",TRUE,"16+ miles")</f>
        <v>6–10 miles</v>
      </c>
      <c r="AS917" t="str" cm="1">
        <f t="array" ref="AS917">_xlfn.IFS(CleanEmployeeData[[#This Row],[YearsAtCompany]]&lt;=1,"0–1 years",CleanEmployeeData[[#This Row],[YearsAtCompany]]&lt;=5,"2–5 years",CleanEmployeeData[[#This Row],[YearsAtCompany]]&lt;=10,"6–10 years",TRUE,"11+ years")</f>
        <v>2–5 years</v>
      </c>
    </row>
    <row r="918" spans="1:4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cm="1">
        <f t="array" ref="AJ918">_xlfn.SWITCH(CleanEmployeeData[[#This Row],[Education]],1,"Below College",2,"College",3,"Bachelor",4,"Master",5,"Doctor","Unknown")</f>
        <v>College</v>
      </c>
      <c r="AK918" t="str" cm="1">
        <f t="array" ref="AK918">_xlfn.SWITCH(CleanEmployeeData[[#This Row],[EnvironmentSatisfaction]],1,"Low",2,"Medium",3,"High",4,"Very High","Unknown")</f>
        <v>Very High</v>
      </c>
      <c r="AL918" t="str" cm="1">
        <f t="array" ref="AL918">_xlfn.SWITCH(CleanEmployeeData[[#This Row],[JobInvolvement]],1,"Low",2,"Medium",3,"High",4,"Very High","Unknown")</f>
        <v>Medium</v>
      </c>
      <c r="AM918" t="str" cm="1">
        <f t="array" ref="AM918">_xlfn.SWITCH(CleanEmployeeData[[#This Row],[JobSatisfaction]],1,"Low",2,"Medium",3,"High",4,"Very High","Unknown")</f>
        <v>Medium</v>
      </c>
      <c r="AN918" t="str" cm="1">
        <f t="array" ref="AN918">_xlfn.SWITCH(CleanEmployeeData[[#This Row],[PerformanceRating]],1,"Low",2,"Good",3,"Excellent",4,"Outstanding","Unknown")</f>
        <v>Excellent</v>
      </c>
      <c r="AO918" t="str" cm="1">
        <f t="array" ref="AO918">_xlfn.SWITCH(CleanEmployeeData[[#This Row],[WorkLifeBalance]],1,"Bad",2,"Good",3,"Better",4,"Best","Unknown")</f>
        <v>Better</v>
      </c>
      <c r="AP918">
        <f>IF(CleanEmployeeData[[#This Row],[Attrition]]="Yes",1,IF(CleanEmployeeData[[#This Row],[Attrition]]="No",0,""))</f>
        <v>0</v>
      </c>
      <c r="AQ918" t="str" cm="1">
        <f t="array" ref="AQ918">_xlfn.IFS(CleanEmployeeData[[#This Row],[MonthlyIncome]]&lt;=3000,"0–3,000",CleanEmployeeData[[#This Row],[MonthlyIncome]]&lt;=6000,"3,001–6,000",CleanEmployeeData[[#This Row],[MonthlyIncome]]&lt;=10000,"6,001–10,000",TRUE,"10,001+")</f>
        <v>10,001+</v>
      </c>
      <c r="AR918" t="str" cm="1">
        <f t="array" ref="AR918">_xlfn.IFS(CleanEmployeeData[[#This Row],[DistanceFromHome]]&lt;=5,"0–5 miles",CleanEmployeeData[[#This Row],[DistanceFromHome]]&lt;=10,"6–10 miles",CleanEmployeeData[[#This Row],[DistanceFromHome]]&lt;=15,"11–15 miles",TRUE,"16+ miles")</f>
        <v>0–5 miles</v>
      </c>
      <c r="AS918" t="str" cm="1">
        <f t="array" ref="AS918">_xlfn.IFS(CleanEmployeeData[[#This Row],[YearsAtCompany]]&lt;=1,"0–1 years",CleanEmployeeData[[#This Row],[YearsAtCompany]]&lt;=5,"2–5 years",CleanEmployeeData[[#This Row],[YearsAtCompany]]&lt;=10,"6–10 years",TRUE,"11+ years")</f>
        <v>11+ years</v>
      </c>
    </row>
    <row r="919" spans="1:4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cm="1">
        <f t="array" ref="AJ919">_xlfn.SWITCH(CleanEmployeeData[[#This Row],[Education]],1,"Below College",2,"College",3,"Bachelor",4,"Master",5,"Doctor","Unknown")</f>
        <v>Bachelor</v>
      </c>
      <c r="AK919" t="str" cm="1">
        <f t="array" ref="AK919">_xlfn.SWITCH(CleanEmployeeData[[#This Row],[EnvironmentSatisfaction]],1,"Low",2,"Medium",3,"High",4,"Very High","Unknown")</f>
        <v>High</v>
      </c>
      <c r="AL919" t="str" cm="1">
        <f t="array" ref="AL919">_xlfn.SWITCH(CleanEmployeeData[[#This Row],[JobInvolvement]],1,"Low",2,"Medium",3,"High",4,"Very High","Unknown")</f>
        <v>High</v>
      </c>
      <c r="AM919" t="str" cm="1">
        <f t="array" ref="AM919">_xlfn.SWITCH(CleanEmployeeData[[#This Row],[JobSatisfaction]],1,"Low",2,"Medium",3,"High",4,"Very High","Unknown")</f>
        <v>Low</v>
      </c>
      <c r="AN919" t="str" cm="1">
        <f t="array" ref="AN919">_xlfn.SWITCH(CleanEmployeeData[[#This Row],[PerformanceRating]],1,"Low",2,"Good",3,"Excellent",4,"Outstanding","Unknown")</f>
        <v>Excellent</v>
      </c>
      <c r="AO919" t="str" cm="1">
        <f t="array" ref="AO919">_xlfn.SWITCH(CleanEmployeeData[[#This Row],[WorkLifeBalance]],1,"Bad",2,"Good",3,"Better",4,"Best","Unknown")</f>
        <v>Better</v>
      </c>
      <c r="AP919">
        <f>IF(CleanEmployeeData[[#This Row],[Attrition]]="Yes",1,IF(CleanEmployeeData[[#This Row],[Attrition]]="No",0,""))</f>
        <v>0</v>
      </c>
      <c r="AQ919" t="str" cm="1">
        <f t="array" ref="AQ919">_xlfn.IFS(CleanEmployeeData[[#This Row],[MonthlyIncome]]&lt;=3000,"0–3,000",CleanEmployeeData[[#This Row],[MonthlyIncome]]&lt;=6000,"3,001–6,000",CleanEmployeeData[[#This Row],[MonthlyIncome]]&lt;=10000,"6,001–10,000",TRUE,"10,001+")</f>
        <v>3,001–6,000</v>
      </c>
      <c r="AR919" t="str" cm="1">
        <f t="array" ref="AR919">_xlfn.IFS(CleanEmployeeData[[#This Row],[DistanceFromHome]]&lt;=5,"0–5 miles",CleanEmployeeData[[#This Row],[DistanceFromHome]]&lt;=10,"6–10 miles",CleanEmployeeData[[#This Row],[DistanceFromHome]]&lt;=15,"11–15 miles",TRUE,"16+ miles")</f>
        <v>0–5 miles</v>
      </c>
      <c r="AS919" t="str" cm="1">
        <f t="array" ref="AS919">_xlfn.IFS(CleanEmployeeData[[#This Row],[YearsAtCompany]]&lt;=1,"0–1 years",CleanEmployeeData[[#This Row],[YearsAtCompany]]&lt;=5,"2–5 years",CleanEmployeeData[[#This Row],[YearsAtCompany]]&lt;=10,"6–10 years",TRUE,"11+ years")</f>
        <v>2–5 years</v>
      </c>
    </row>
    <row r="920" spans="1:4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cm="1">
        <f t="array" ref="AJ920">_xlfn.SWITCH(CleanEmployeeData[[#This Row],[Education]],1,"Below College",2,"College",3,"Bachelor",4,"Master",5,"Doctor","Unknown")</f>
        <v>Bachelor</v>
      </c>
      <c r="AK920" t="str" cm="1">
        <f t="array" ref="AK920">_xlfn.SWITCH(CleanEmployeeData[[#This Row],[EnvironmentSatisfaction]],1,"Low",2,"Medium",3,"High",4,"Very High","Unknown")</f>
        <v>Very High</v>
      </c>
      <c r="AL920" t="str" cm="1">
        <f t="array" ref="AL920">_xlfn.SWITCH(CleanEmployeeData[[#This Row],[JobInvolvement]],1,"Low",2,"Medium",3,"High",4,"Very High","Unknown")</f>
        <v>High</v>
      </c>
      <c r="AM920" t="str" cm="1">
        <f t="array" ref="AM920">_xlfn.SWITCH(CleanEmployeeData[[#This Row],[JobSatisfaction]],1,"Low",2,"Medium",3,"High",4,"Very High","Unknown")</f>
        <v>Medium</v>
      </c>
      <c r="AN920" t="str" cm="1">
        <f t="array" ref="AN920">_xlfn.SWITCH(CleanEmployeeData[[#This Row],[PerformanceRating]],1,"Low",2,"Good",3,"Excellent",4,"Outstanding","Unknown")</f>
        <v>Outstanding</v>
      </c>
      <c r="AO920" t="str" cm="1">
        <f t="array" ref="AO920">_xlfn.SWITCH(CleanEmployeeData[[#This Row],[WorkLifeBalance]],1,"Bad",2,"Good",3,"Better",4,"Best","Unknown")</f>
        <v>Good</v>
      </c>
      <c r="AP920">
        <f>IF(CleanEmployeeData[[#This Row],[Attrition]]="Yes",1,IF(CleanEmployeeData[[#This Row],[Attrition]]="No",0,""))</f>
        <v>0</v>
      </c>
      <c r="AQ920" t="str" cm="1">
        <f t="array" ref="AQ920">_xlfn.IFS(CleanEmployeeData[[#This Row],[MonthlyIncome]]&lt;=3000,"0–3,000",CleanEmployeeData[[#This Row],[MonthlyIncome]]&lt;=6000,"3,001–6,000",CleanEmployeeData[[#This Row],[MonthlyIncome]]&lt;=10000,"6,001–10,000",TRUE,"10,001+")</f>
        <v>10,001+</v>
      </c>
      <c r="AR920" t="str" cm="1">
        <f t="array" ref="AR920">_xlfn.IFS(CleanEmployeeData[[#This Row],[DistanceFromHome]]&lt;=5,"0–5 miles",CleanEmployeeData[[#This Row],[DistanceFromHome]]&lt;=10,"6–10 miles",CleanEmployeeData[[#This Row],[DistanceFromHome]]&lt;=15,"11–15 miles",TRUE,"16+ miles")</f>
        <v>6–10 miles</v>
      </c>
      <c r="AS920" t="str" cm="1">
        <f t="array" ref="AS920">_xlfn.IFS(CleanEmployeeData[[#This Row],[YearsAtCompany]]&lt;=1,"0–1 years",CleanEmployeeData[[#This Row],[YearsAtCompany]]&lt;=5,"2–5 years",CleanEmployeeData[[#This Row],[YearsAtCompany]]&lt;=10,"6–10 years",TRUE,"11+ years")</f>
        <v>11+ years</v>
      </c>
    </row>
    <row r="921" spans="1:4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cm="1">
        <f t="array" ref="AJ921">_xlfn.SWITCH(CleanEmployeeData[[#This Row],[Education]],1,"Below College",2,"College",3,"Bachelor",4,"Master",5,"Doctor","Unknown")</f>
        <v>Master</v>
      </c>
      <c r="AK921" t="str" cm="1">
        <f t="array" ref="AK921">_xlfn.SWITCH(CleanEmployeeData[[#This Row],[EnvironmentSatisfaction]],1,"Low",2,"Medium",3,"High",4,"Very High","Unknown")</f>
        <v>Very High</v>
      </c>
      <c r="AL921" t="str" cm="1">
        <f t="array" ref="AL921">_xlfn.SWITCH(CleanEmployeeData[[#This Row],[JobInvolvement]],1,"Low",2,"Medium",3,"High",4,"Very High","Unknown")</f>
        <v>High</v>
      </c>
      <c r="AM921" t="str" cm="1">
        <f t="array" ref="AM921">_xlfn.SWITCH(CleanEmployeeData[[#This Row],[JobSatisfaction]],1,"Low",2,"Medium",3,"High",4,"Very High","Unknown")</f>
        <v>Very High</v>
      </c>
      <c r="AN921" t="str" cm="1">
        <f t="array" ref="AN921">_xlfn.SWITCH(CleanEmployeeData[[#This Row],[PerformanceRating]],1,"Low",2,"Good",3,"Excellent",4,"Outstanding","Unknown")</f>
        <v>Excellent</v>
      </c>
      <c r="AO921" t="str" cm="1">
        <f t="array" ref="AO921">_xlfn.SWITCH(CleanEmployeeData[[#This Row],[WorkLifeBalance]],1,"Bad",2,"Good",3,"Better",4,"Best","Unknown")</f>
        <v>Good</v>
      </c>
      <c r="AP921">
        <f>IF(CleanEmployeeData[[#This Row],[Attrition]]="Yes",1,IF(CleanEmployeeData[[#This Row],[Attrition]]="No",0,""))</f>
        <v>0</v>
      </c>
      <c r="AQ921" t="str" cm="1">
        <f t="array" ref="AQ921">_xlfn.IFS(CleanEmployeeData[[#This Row],[MonthlyIncome]]&lt;=3000,"0–3,000",CleanEmployeeData[[#This Row],[MonthlyIncome]]&lt;=6000,"3,001–6,000",CleanEmployeeData[[#This Row],[MonthlyIncome]]&lt;=10000,"6,001–10,000",TRUE,"10,001+")</f>
        <v>10,001+</v>
      </c>
      <c r="AR921" t="str" cm="1">
        <f t="array" ref="AR921">_xlfn.IFS(CleanEmployeeData[[#This Row],[DistanceFromHome]]&lt;=5,"0–5 miles",CleanEmployeeData[[#This Row],[DistanceFromHome]]&lt;=10,"6–10 miles",CleanEmployeeData[[#This Row],[DistanceFromHome]]&lt;=15,"11–15 miles",TRUE,"16+ miles")</f>
        <v>16+ miles</v>
      </c>
      <c r="AS921" t="str" cm="1">
        <f t="array" ref="AS921">_xlfn.IFS(CleanEmployeeData[[#This Row],[YearsAtCompany]]&lt;=1,"0–1 years",CleanEmployeeData[[#This Row],[YearsAtCompany]]&lt;=5,"2–5 years",CleanEmployeeData[[#This Row],[YearsAtCompany]]&lt;=10,"6–10 years",TRUE,"11+ years")</f>
        <v>6–10 years</v>
      </c>
    </row>
    <row r="922" spans="1:4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cm="1">
        <f t="array" ref="AJ922">_xlfn.SWITCH(CleanEmployeeData[[#This Row],[Education]],1,"Below College",2,"College",3,"Bachelor",4,"Master",5,"Doctor","Unknown")</f>
        <v>Bachelor</v>
      </c>
      <c r="AK922" t="str" cm="1">
        <f t="array" ref="AK922">_xlfn.SWITCH(CleanEmployeeData[[#This Row],[EnvironmentSatisfaction]],1,"Low",2,"Medium",3,"High",4,"Very High","Unknown")</f>
        <v>High</v>
      </c>
      <c r="AL922" t="str" cm="1">
        <f t="array" ref="AL922">_xlfn.SWITCH(CleanEmployeeData[[#This Row],[JobInvolvement]],1,"Low",2,"Medium",3,"High",4,"Very High","Unknown")</f>
        <v>High</v>
      </c>
      <c r="AM922" t="str" cm="1">
        <f t="array" ref="AM922">_xlfn.SWITCH(CleanEmployeeData[[#This Row],[JobSatisfaction]],1,"Low",2,"Medium",3,"High",4,"Very High","Unknown")</f>
        <v>Medium</v>
      </c>
      <c r="AN922" t="str" cm="1">
        <f t="array" ref="AN922">_xlfn.SWITCH(CleanEmployeeData[[#This Row],[PerformanceRating]],1,"Low",2,"Good",3,"Excellent",4,"Outstanding","Unknown")</f>
        <v>Excellent</v>
      </c>
      <c r="AO922" t="str" cm="1">
        <f t="array" ref="AO922">_xlfn.SWITCH(CleanEmployeeData[[#This Row],[WorkLifeBalance]],1,"Bad",2,"Good",3,"Better",4,"Best","Unknown")</f>
        <v>Best</v>
      </c>
      <c r="AP922">
        <f>IF(CleanEmployeeData[[#This Row],[Attrition]]="Yes",1,IF(CleanEmployeeData[[#This Row],[Attrition]]="No",0,""))</f>
        <v>0</v>
      </c>
      <c r="AQ922" t="str" cm="1">
        <f t="array" ref="AQ922">_xlfn.IFS(CleanEmployeeData[[#This Row],[MonthlyIncome]]&lt;=3000,"0–3,000",CleanEmployeeData[[#This Row],[MonthlyIncome]]&lt;=6000,"3,001–6,000",CleanEmployeeData[[#This Row],[MonthlyIncome]]&lt;=10000,"6,001–10,000",TRUE,"10,001+")</f>
        <v>3,001–6,000</v>
      </c>
      <c r="AR922" t="str" cm="1">
        <f t="array" ref="AR922">_xlfn.IFS(CleanEmployeeData[[#This Row],[DistanceFromHome]]&lt;=5,"0–5 miles",CleanEmployeeData[[#This Row],[DistanceFromHome]]&lt;=10,"6–10 miles",CleanEmployeeData[[#This Row],[DistanceFromHome]]&lt;=15,"11–15 miles",TRUE,"16+ miles")</f>
        <v>16+ miles</v>
      </c>
      <c r="AS922" t="str" cm="1">
        <f t="array" ref="AS922">_xlfn.IFS(CleanEmployeeData[[#This Row],[YearsAtCompany]]&lt;=1,"0–1 years",CleanEmployeeData[[#This Row],[YearsAtCompany]]&lt;=5,"2–5 years",CleanEmployeeData[[#This Row],[YearsAtCompany]]&lt;=10,"6–10 years",TRUE,"11+ years")</f>
        <v>11+ years</v>
      </c>
    </row>
    <row r="923" spans="1:4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cm="1">
        <f t="array" ref="AJ923">_xlfn.SWITCH(CleanEmployeeData[[#This Row],[Education]],1,"Below College",2,"College",3,"Bachelor",4,"Master",5,"Doctor","Unknown")</f>
        <v>Master</v>
      </c>
      <c r="AK923" t="str" cm="1">
        <f t="array" ref="AK923">_xlfn.SWITCH(CleanEmployeeData[[#This Row],[EnvironmentSatisfaction]],1,"Low",2,"Medium",3,"High",4,"Very High","Unknown")</f>
        <v>Very High</v>
      </c>
      <c r="AL923" t="str" cm="1">
        <f t="array" ref="AL923">_xlfn.SWITCH(CleanEmployeeData[[#This Row],[JobInvolvement]],1,"Low",2,"Medium",3,"High",4,"Very High","Unknown")</f>
        <v>High</v>
      </c>
      <c r="AM923" t="str" cm="1">
        <f t="array" ref="AM923">_xlfn.SWITCH(CleanEmployeeData[[#This Row],[JobSatisfaction]],1,"Low",2,"Medium",3,"High",4,"Very High","Unknown")</f>
        <v>High</v>
      </c>
      <c r="AN923" t="str" cm="1">
        <f t="array" ref="AN923">_xlfn.SWITCH(CleanEmployeeData[[#This Row],[PerformanceRating]],1,"Low",2,"Good",3,"Excellent",4,"Outstanding","Unknown")</f>
        <v>Excellent</v>
      </c>
      <c r="AO923" t="str" cm="1">
        <f t="array" ref="AO923">_xlfn.SWITCH(CleanEmployeeData[[#This Row],[WorkLifeBalance]],1,"Bad",2,"Good",3,"Better",4,"Best","Unknown")</f>
        <v>Good</v>
      </c>
      <c r="AP923">
        <f>IF(CleanEmployeeData[[#This Row],[Attrition]]="Yes",1,IF(CleanEmployeeData[[#This Row],[Attrition]]="No",0,""))</f>
        <v>0</v>
      </c>
      <c r="AQ923" t="str" cm="1">
        <f t="array" ref="AQ923">_xlfn.IFS(CleanEmployeeData[[#This Row],[MonthlyIncome]]&lt;=3000,"0–3,000",CleanEmployeeData[[#This Row],[MonthlyIncome]]&lt;=6000,"3,001–6,000",CleanEmployeeData[[#This Row],[MonthlyIncome]]&lt;=10000,"6,001–10,000",TRUE,"10,001+")</f>
        <v>0–3,000</v>
      </c>
      <c r="AR923" t="str" cm="1">
        <f t="array" ref="AR923">_xlfn.IFS(CleanEmployeeData[[#This Row],[DistanceFromHome]]&lt;=5,"0–5 miles",CleanEmployeeData[[#This Row],[DistanceFromHome]]&lt;=10,"6–10 miles",CleanEmployeeData[[#This Row],[DistanceFromHome]]&lt;=15,"11–15 miles",TRUE,"16+ miles")</f>
        <v>0–5 miles</v>
      </c>
      <c r="AS923" t="str" cm="1">
        <f t="array" ref="AS923">_xlfn.IFS(CleanEmployeeData[[#This Row],[YearsAtCompany]]&lt;=1,"0–1 years",CleanEmployeeData[[#This Row],[YearsAtCompany]]&lt;=5,"2–5 years",CleanEmployeeData[[#This Row],[YearsAtCompany]]&lt;=10,"6–10 years",TRUE,"11+ years")</f>
        <v>2–5 years</v>
      </c>
    </row>
    <row r="924" spans="1:4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cm="1">
        <f t="array" ref="AJ924">_xlfn.SWITCH(CleanEmployeeData[[#This Row],[Education]],1,"Below College",2,"College",3,"Bachelor",4,"Master",5,"Doctor","Unknown")</f>
        <v>College</v>
      </c>
      <c r="AK924" t="str" cm="1">
        <f t="array" ref="AK924">_xlfn.SWITCH(CleanEmployeeData[[#This Row],[EnvironmentSatisfaction]],1,"Low",2,"Medium",3,"High",4,"Very High","Unknown")</f>
        <v>High</v>
      </c>
      <c r="AL924" t="str" cm="1">
        <f t="array" ref="AL924">_xlfn.SWITCH(CleanEmployeeData[[#This Row],[JobInvolvement]],1,"Low",2,"Medium",3,"High",4,"Very High","Unknown")</f>
        <v>Very High</v>
      </c>
      <c r="AM924" t="str" cm="1">
        <f t="array" ref="AM924">_xlfn.SWITCH(CleanEmployeeData[[#This Row],[JobSatisfaction]],1,"Low",2,"Medium",3,"High",4,"Very High","Unknown")</f>
        <v>Low</v>
      </c>
      <c r="AN924" t="str" cm="1">
        <f t="array" ref="AN924">_xlfn.SWITCH(CleanEmployeeData[[#This Row],[PerformanceRating]],1,"Low",2,"Good",3,"Excellent",4,"Outstanding","Unknown")</f>
        <v>Excellent</v>
      </c>
      <c r="AO924" t="str" cm="1">
        <f t="array" ref="AO924">_xlfn.SWITCH(CleanEmployeeData[[#This Row],[WorkLifeBalance]],1,"Bad",2,"Good",3,"Better",4,"Best","Unknown")</f>
        <v>Good</v>
      </c>
      <c r="AP924">
        <f>IF(CleanEmployeeData[[#This Row],[Attrition]]="Yes",1,IF(CleanEmployeeData[[#This Row],[Attrition]]="No",0,""))</f>
        <v>0</v>
      </c>
      <c r="AQ924" t="str" cm="1">
        <f t="array" ref="AQ924">_xlfn.IFS(CleanEmployeeData[[#This Row],[MonthlyIncome]]&lt;=3000,"0–3,000",CleanEmployeeData[[#This Row],[MonthlyIncome]]&lt;=6000,"3,001–6,000",CleanEmployeeData[[#This Row],[MonthlyIncome]]&lt;=10000,"6,001–10,000",TRUE,"10,001+")</f>
        <v>10,001+</v>
      </c>
      <c r="AR924" t="str" cm="1">
        <f t="array" ref="AR924">_xlfn.IFS(CleanEmployeeData[[#This Row],[DistanceFromHome]]&lt;=5,"0–5 miles",CleanEmployeeData[[#This Row],[DistanceFromHome]]&lt;=10,"6–10 miles",CleanEmployeeData[[#This Row],[DistanceFromHome]]&lt;=15,"11–15 miles",TRUE,"16+ miles")</f>
        <v>0–5 miles</v>
      </c>
      <c r="AS924" t="str" cm="1">
        <f t="array" ref="AS924">_xlfn.IFS(CleanEmployeeData[[#This Row],[YearsAtCompany]]&lt;=1,"0–1 years",CleanEmployeeData[[#This Row],[YearsAtCompany]]&lt;=5,"2–5 years",CleanEmployeeData[[#This Row],[YearsAtCompany]]&lt;=10,"6–10 years",TRUE,"11+ years")</f>
        <v>11+ years</v>
      </c>
    </row>
    <row r="925" spans="1:4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cm="1">
        <f t="array" ref="AJ925">_xlfn.SWITCH(CleanEmployeeData[[#This Row],[Education]],1,"Below College",2,"College",3,"Bachelor",4,"Master",5,"Doctor","Unknown")</f>
        <v>Bachelor</v>
      </c>
      <c r="AK925" t="str" cm="1">
        <f t="array" ref="AK925">_xlfn.SWITCH(CleanEmployeeData[[#This Row],[EnvironmentSatisfaction]],1,"Low",2,"Medium",3,"High",4,"Very High","Unknown")</f>
        <v>High</v>
      </c>
      <c r="AL925" t="str" cm="1">
        <f t="array" ref="AL925">_xlfn.SWITCH(CleanEmployeeData[[#This Row],[JobInvolvement]],1,"Low",2,"Medium",3,"High",4,"Very High","Unknown")</f>
        <v>Medium</v>
      </c>
      <c r="AM925" t="str" cm="1">
        <f t="array" ref="AM925">_xlfn.SWITCH(CleanEmployeeData[[#This Row],[JobSatisfaction]],1,"Low",2,"Medium",3,"High",4,"Very High","Unknown")</f>
        <v>Medium</v>
      </c>
      <c r="AN925" t="str" cm="1">
        <f t="array" ref="AN925">_xlfn.SWITCH(CleanEmployeeData[[#This Row],[PerformanceRating]],1,"Low",2,"Good",3,"Excellent",4,"Outstanding","Unknown")</f>
        <v>Excellent</v>
      </c>
      <c r="AO925" t="str" cm="1">
        <f t="array" ref="AO925">_xlfn.SWITCH(CleanEmployeeData[[#This Row],[WorkLifeBalance]],1,"Bad",2,"Good",3,"Better",4,"Best","Unknown")</f>
        <v>Best</v>
      </c>
      <c r="AP925">
        <f>IF(CleanEmployeeData[[#This Row],[Attrition]]="Yes",1,IF(CleanEmployeeData[[#This Row],[Attrition]]="No",0,""))</f>
        <v>0</v>
      </c>
      <c r="AQ925" t="str" cm="1">
        <f t="array" ref="AQ925">_xlfn.IFS(CleanEmployeeData[[#This Row],[MonthlyIncome]]&lt;=3000,"0–3,000",CleanEmployeeData[[#This Row],[MonthlyIncome]]&lt;=6000,"3,001–6,000",CleanEmployeeData[[#This Row],[MonthlyIncome]]&lt;=10000,"6,001–10,000",TRUE,"10,001+")</f>
        <v>3,001–6,000</v>
      </c>
      <c r="AR925" t="str" cm="1">
        <f t="array" ref="AR925">_xlfn.IFS(CleanEmployeeData[[#This Row],[DistanceFromHome]]&lt;=5,"0–5 miles",CleanEmployeeData[[#This Row],[DistanceFromHome]]&lt;=10,"6–10 miles",CleanEmployeeData[[#This Row],[DistanceFromHome]]&lt;=15,"11–15 miles",TRUE,"16+ miles")</f>
        <v>11–15 miles</v>
      </c>
      <c r="AS925" t="str" cm="1">
        <f t="array" ref="AS925">_xlfn.IFS(CleanEmployeeData[[#This Row],[YearsAtCompany]]&lt;=1,"0–1 years",CleanEmployeeData[[#This Row],[YearsAtCompany]]&lt;=5,"2–5 years",CleanEmployeeData[[#This Row],[YearsAtCompany]]&lt;=10,"6–10 years",TRUE,"11+ years")</f>
        <v>6–10 years</v>
      </c>
    </row>
    <row r="926" spans="1:4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cm="1">
        <f t="array" ref="AJ926">_xlfn.SWITCH(CleanEmployeeData[[#This Row],[Education]],1,"Below College",2,"College",3,"Bachelor",4,"Master",5,"Doctor","Unknown")</f>
        <v>Below College</v>
      </c>
      <c r="AK926" t="str" cm="1">
        <f t="array" ref="AK926">_xlfn.SWITCH(CleanEmployeeData[[#This Row],[EnvironmentSatisfaction]],1,"Low",2,"Medium",3,"High",4,"Very High","Unknown")</f>
        <v>High</v>
      </c>
      <c r="AL926" t="str" cm="1">
        <f t="array" ref="AL926">_xlfn.SWITCH(CleanEmployeeData[[#This Row],[JobInvolvement]],1,"Low",2,"Medium",3,"High",4,"Very High","Unknown")</f>
        <v>High</v>
      </c>
      <c r="AM926" t="str" cm="1">
        <f t="array" ref="AM926">_xlfn.SWITCH(CleanEmployeeData[[#This Row],[JobSatisfaction]],1,"Low",2,"Medium",3,"High",4,"Very High","Unknown")</f>
        <v>High</v>
      </c>
      <c r="AN926" t="str" cm="1">
        <f t="array" ref="AN926">_xlfn.SWITCH(CleanEmployeeData[[#This Row],[PerformanceRating]],1,"Low",2,"Good",3,"Excellent",4,"Outstanding","Unknown")</f>
        <v>Excellent</v>
      </c>
      <c r="AO926" t="str" cm="1">
        <f t="array" ref="AO926">_xlfn.SWITCH(CleanEmployeeData[[#This Row],[WorkLifeBalance]],1,"Bad",2,"Good",3,"Better",4,"Best","Unknown")</f>
        <v>Better</v>
      </c>
      <c r="AP926">
        <f>IF(CleanEmployeeData[[#This Row],[Attrition]]="Yes",1,IF(CleanEmployeeData[[#This Row],[Attrition]]="No",0,""))</f>
        <v>0</v>
      </c>
      <c r="AQ926" t="str" cm="1">
        <f t="array" ref="AQ926">_xlfn.IFS(CleanEmployeeData[[#This Row],[MonthlyIncome]]&lt;=3000,"0–3,000",CleanEmployeeData[[#This Row],[MonthlyIncome]]&lt;=6000,"3,001–6,000",CleanEmployeeData[[#This Row],[MonthlyIncome]]&lt;=10000,"6,001–10,000",TRUE,"10,001+")</f>
        <v>3,001–6,000</v>
      </c>
      <c r="AR926" t="str" cm="1">
        <f t="array" ref="AR926">_xlfn.IFS(CleanEmployeeData[[#This Row],[DistanceFromHome]]&lt;=5,"0–5 miles",CleanEmployeeData[[#This Row],[DistanceFromHome]]&lt;=10,"6–10 miles",CleanEmployeeData[[#This Row],[DistanceFromHome]]&lt;=15,"11–15 miles",TRUE,"16+ miles")</f>
        <v>6–10 miles</v>
      </c>
      <c r="AS926" t="str" cm="1">
        <f t="array" ref="AS926">_xlfn.IFS(CleanEmployeeData[[#This Row],[YearsAtCompany]]&lt;=1,"0–1 years",CleanEmployeeData[[#This Row],[YearsAtCompany]]&lt;=5,"2–5 years",CleanEmployeeData[[#This Row],[YearsAtCompany]]&lt;=10,"6–10 years",TRUE,"11+ years")</f>
        <v>2–5 years</v>
      </c>
    </row>
    <row r="927" spans="1:4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cm="1">
        <f t="array" ref="AJ927">_xlfn.SWITCH(CleanEmployeeData[[#This Row],[Education]],1,"Below College",2,"College",3,"Bachelor",4,"Master",5,"Doctor","Unknown")</f>
        <v>Master</v>
      </c>
      <c r="AK927" t="str" cm="1">
        <f t="array" ref="AK927">_xlfn.SWITCH(CleanEmployeeData[[#This Row],[EnvironmentSatisfaction]],1,"Low",2,"Medium",3,"High",4,"Very High","Unknown")</f>
        <v>Medium</v>
      </c>
      <c r="AL927" t="str" cm="1">
        <f t="array" ref="AL927">_xlfn.SWITCH(CleanEmployeeData[[#This Row],[JobInvolvement]],1,"Low",2,"Medium",3,"High",4,"Very High","Unknown")</f>
        <v>Very High</v>
      </c>
      <c r="AM927" t="str" cm="1">
        <f t="array" ref="AM927">_xlfn.SWITCH(CleanEmployeeData[[#This Row],[JobSatisfaction]],1,"Low",2,"Medium",3,"High",4,"Very High","Unknown")</f>
        <v>Medium</v>
      </c>
      <c r="AN927" t="str" cm="1">
        <f t="array" ref="AN927">_xlfn.SWITCH(CleanEmployeeData[[#This Row],[PerformanceRating]],1,"Low",2,"Good",3,"Excellent",4,"Outstanding","Unknown")</f>
        <v>Excellent</v>
      </c>
      <c r="AO927" t="str" cm="1">
        <f t="array" ref="AO927">_xlfn.SWITCH(CleanEmployeeData[[#This Row],[WorkLifeBalance]],1,"Bad",2,"Good",3,"Better",4,"Best","Unknown")</f>
        <v>Better</v>
      </c>
      <c r="AP927">
        <f>IF(CleanEmployeeData[[#This Row],[Attrition]]="Yes",1,IF(CleanEmployeeData[[#This Row],[Attrition]]="No",0,""))</f>
        <v>0</v>
      </c>
      <c r="AQ927" t="str" cm="1">
        <f t="array" ref="AQ927">_xlfn.IFS(CleanEmployeeData[[#This Row],[MonthlyIncome]]&lt;=3000,"0–3,000",CleanEmployeeData[[#This Row],[MonthlyIncome]]&lt;=6000,"3,001–6,000",CleanEmployeeData[[#This Row],[MonthlyIncome]]&lt;=10000,"6,001–10,000",TRUE,"10,001+")</f>
        <v>0–3,000</v>
      </c>
      <c r="AR927" t="str" cm="1">
        <f t="array" ref="AR927">_xlfn.IFS(CleanEmployeeData[[#This Row],[DistanceFromHome]]&lt;=5,"0–5 miles",CleanEmployeeData[[#This Row],[DistanceFromHome]]&lt;=10,"6–10 miles",CleanEmployeeData[[#This Row],[DistanceFromHome]]&lt;=15,"11–15 miles",TRUE,"16+ miles")</f>
        <v>6–10 miles</v>
      </c>
      <c r="AS927" t="str" cm="1">
        <f t="array" ref="AS927">_xlfn.IFS(CleanEmployeeData[[#This Row],[YearsAtCompany]]&lt;=1,"0–1 years",CleanEmployeeData[[#This Row],[YearsAtCompany]]&lt;=5,"2–5 years",CleanEmployeeData[[#This Row],[YearsAtCompany]]&lt;=10,"6–10 years",TRUE,"11+ years")</f>
        <v>0–1 years</v>
      </c>
    </row>
    <row r="928" spans="1:4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cm="1">
        <f t="array" ref="AJ928">_xlfn.SWITCH(CleanEmployeeData[[#This Row],[Education]],1,"Below College",2,"College",3,"Bachelor",4,"Master",5,"Doctor","Unknown")</f>
        <v>Master</v>
      </c>
      <c r="AK928" t="str" cm="1">
        <f t="array" ref="AK928">_xlfn.SWITCH(CleanEmployeeData[[#This Row],[EnvironmentSatisfaction]],1,"Low",2,"Medium",3,"High",4,"Very High","Unknown")</f>
        <v>Very High</v>
      </c>
      <c r="AL928" t="str" cm="1">
        <f t="array" ref="AL928">_xlfn.SWITCH(CleanEmployeeData[[#This Row],[JobInvolvement]],1,"Low",2,"Medium",3,"High",4,"Very High","Unknown")</f>
        <v>Medium</v>
      </c>
      <c r="AM928" t="str" cm="1">
        <f t="array" ref="AM928">_xlfn.SWITCH(CleanEmployeeData[[#This Row],[JobSatisfaction]],1,"Low",2,"Medium",3,"High",4,"Very High","Unknown")</f>
        <v>Very High</v>
      </c>
      <c r="AN928" t="str" cm="1">
        <f t="array" ref="AN928">_xlfn.SWITCH(CleanEmployeeData[[#This Row],[PerformanceRating]],1,"Low",2,"Good",3,"Excellent",4,"Outstanding","Unknown")</f>
        <v>Excellent</v>
      </c>
      <c r="AO928" t="str" cm="1">
        <f t="array" ref="AO928">_xlfn.SWITCH(CleanEmployeeData[[#This Row],[WorkLifeBalance]],1,"Bad",2,"Good",3,"Better",4,"Best","Unknown")</f>
        <v>Best</v>
      </c>
      <c r="AP928">
        <f>IF(CleanEmployeeData[[#This Row],[Attrition]]="Yes",1,IF(CleanEmployeeData[[#This Row],[Attrition]]="No",0,""))</f>
        <v>0</v>
      </c>
      <c r="AQ928" t="str" cm="1">
        <f t="array" ref="AQ928">_xlfn.IFS(CleanEmployeeData[[#This Row],[MonthlyIncome]]&lt;=3000,"0–3,000",CleanEmployeeData[[#This Row],[MonthlyIncome]]&lt;=6000,"3,001–6,000",CleanEmployeeData[[#This Row],[MonthlyIncome]]&lt;=10000,"6,001–10,000",TRUE,"10,001+")</f>
        <v>10,001+</v>
      </c>
      <c r="AR928" t="str" cm="1">
        <f t="array" ref="AR928">_xlfn.IFS(CleanEmployeeData[[#This Row],[DistanceFromHome]]&lt;=5,"0–5 miles",CleanEmployeeData[[#This Row],[DistanceFromHome]]&lt;=10,"6–10 miles",CleanEmployeeData[[#This Row],[DistanceFromHome]]&lt;=15,"11–15 miles",TRUE,"16+ miles")</f>
        <v>0–5 miles</v>
      </c>
      <c r="AS928" t="str" cm="1">
        <f t="array" ref="AS928">_xlfn.IFS(CleanEmployeeData[[#This Row],[YearsAtCompany]]&lt;=1,"0–1 years",CleanEmployeeData[[#This Row],[YearsAtCompany]]&lt;=5,"2–5 years",CleanEmployeeData[[#This Row],[YearsAtCompany]]&lt;=10,"6–10 years",TRUE,"11+ years")</f>
        <v>11+ years</v>
      </c>
    </row>
    <row r="929" spans="1:4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cm="1">
        <f t="array" ref="AJ929">_xlfn.SWITCH(CleanEmployeeData[[#This Row],[Education]],1,"Below College",2,"College",3,"Bachelor",4,"Master",5,"Doctor","Unknown")</f>
        <v>Master</v>
      </c>
      <c r="AK929" t="str" cm="1">
        <f t="array" ref="AK929">_xlfn.SWITCH(CleanEmployeeData[[#This Row],[EnvironmentSatisfaction]],1,"Low",2,"Medium",3,"High",4,"Very High","Unknown")</f>
        <v>High</v>
      </c>
      <c r="AL929" t="str" cm="1">
        <f t="array" ref="AL929">_xlfn.SWITCH(CleanEmployeeData[[#This Row],[JobInvolvement]],1,"Low",2,"Medium",3,"High",4,"Very High","Unknown")</f>
        <v>High</v>
      </c>
      <c r="AM929" t="str" cm="1">
        <f t="array" ref="AM929">_xlfn.SWITCH(CleanEmployeeData[[#This Row],[JobSatisfaction]],1,"Low",2,"Medium",3,"High",4,"Very High","Unknown")</f>
        <v>Medium</v>
      </c>
      <c r="AN929" t="str" cm="1">
        <f t="array" ref="AN929">_xlfn.SWITCH(CleanEmployeeData[[#This Row],[PerformanceRating]],1,"Low",2,"Good",3,"Excellent",4,"Outstanding","Unknown")</f>
        <v>Excellent</v>
      </c>
      <c r="AO929" t="str" cm="1">
        <f t="array" ref="AO929">_xlfn.SWITCH(CleanEmployeeData[[#This Row],[WorkLifeBalance]],1,"Bad",2,"Good",3,"Better",4,"Best","Unknown")</f>
        <v>Better</v>
      </c>
      <c r="AP929">
        <f>IF(CleanEmployeeData[[#This Row],[Attrition]]="Yes",1,IF(CleanEmployeeData[[#This Row],[Attrition]]="No",0,""))</f>
        <v>0</v>
      </c>
      <c r="AQ929" t="str" cm="1">
        <f t="array" ref="AQ929">_xlfn.IFS(CleanEmployeeData[[#This Row],[MonthlyIncome]]&lt;=3000,"0–3,000",CleanEmployeeData[[#This Row],[MonthlyIncome]]&lt;=6000,"3,001–6,000",CleanEmployeeData[[#This Row],[MonthlyIncome]]&lt;=10000,"6,001–10,000",TRUE,"10,001+")</f>
        <v>3,001–6,000</v>
      </c>
      <c r="AR929" t="str" cm="1">
        <f t="array" ref="AR929">_xlfn.IFS(CleanEmployeeData[[#This Row],[DistanceFromHome]]&lt;=5,"0–5 miles",CleanEmployeeData[[#This Row],[DistanceFromHome]]&lt;=10,"6–10 miles",CleanEmployeeData[[#This Row],[DistanceFromHome]]&lt;=15,"11–15 miles",TRUE,"16+ miles")</f>
        <v>0–5 miles</v>
      </c>
      <c r="AS929" t="str" cm="1">
        <f t="array" ref="AS929">_xlfn.IFS(CleanEmployeeData[[#This Row],[YearsAtCompany]]&lt;=1,"0–1 years",CleanEmployeeData[[#This Row],[YearsAtCompany]]&lt;=5,"2–5 years",CleanEmployeeData[[#This Row],[YearsAtCompany]]&lt;=10,"6–10 years",TRUE,"11+ years")</f>
        <v>11+ years</v>
      </c>
    </row>
    <row r="930" spans="1:4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cm="1">
        <f t="array" ref="AJ930">_xlfn.SWITCH(CleanEmployeeData[[#This Row],[Education]],1,"Below College",2,"College",3,"Bachelor",4,"Master",5,"Doctor","Unknown")</f>
        <v>Bachelor</v>
      </c>
      <c r="AK930" t="str" cm="1">
        <f t="array" ref="AK930">_xlfn.SWITCH(CleanEmployeeData[[#This Row],[EnvironmentSatisfaction]],1,"Low",2,"Medium",3,"High",4,"Very High","Unknown")</f>
        <v>Low</v>
      </c>
      <c r="AL930" t="str" cm="1">
        <f t="array" ref="AL930">_xlfn.SWITCH(CleanEmployeeData[[#This Row],[JobInvolvement]],1,"Low",2,"Medium",3,"High",4,"Very High","Unknown")</f>
        <v>High</v>
      </c>
      <c r="AM930" t="str" cm="1">
        <f t="array" ref="AM930">_xlfn.SWITCH(CleanEmployeeData[[#This Row],[JobSatisfaction]],1,"Low",2,"Medium",3,"High",4,"Very High","Unknown")</f>
        <v>Very High</v>
      </c>
      <c r="AN930" t="str" cm="1">
        <f t="array" ref="AN930">_xlfn.SWITCH(CleanEmployeeData[[#This Row],[PerformanceRating]],1,"Low",2,"Good",3,"Excellent",4,"Outstanding","Unknown")</f>
        <v>Excellent</v>
      </c>
      <c r="AO930" t="str" cm="1">
        <f t="array" ref="AO930">_xlfn.SWITCH(CleanEmployeeData[[#This Row],[WorkLifeBalance]],1,"Bad",2,"Good",3,"Better",4,"Best","Unknown")</f>
        <v>Better</v>
      </c>
      <c r="AP930">
        <f>IF(CleanEmployeeData[[#This Row],[Attrition]]="Yes",1,IF(CleanEmployeeData[[#This Row],[Attrition]]="No",0,""))</f>
        <v>1</v>
      </c>
      <c r="AQ930" t="str" cm="1">
        <f t="array" ref="AQ930">_xlfn.IFS(CleanEmployeeData[[#This Row],[MonthlyIncome]]&lt;=3000,"0–3,000",CleanEmployeeData[[#This Row],[MonthlyIncome]]&lt;=6000,"3,001–6,000",CleanEmployeeData[[#This Row],[MonthlyIncome]]&lt;=10000,"6,001–10,000",TRUE,"10,001+")</f>
        <v>6,001–10,000</v>
      </c>
      <c r="AR930" t="str" cm="1">
        <f t="array" ref="AR930">_xlfn.IFS(CleanEmployeeData[[#This Row],[DistanceFromHome]]&lt;=5,"0–5 miles",CleanEmployeeData[[#This Row],[DistanceFromHome]]&lt;=10,"6–10 miles",CleanEmployeeData[[#This Row],[DistanceFromHome]]&lt;=15,"11–15 miles",TRUE,"16+ miles")</f>
        <v>11–15 miles</v>
      </c>
      <c r="AS930" t="str" cm="1">
        <f t="array" ref="AS930">_xlfn.IFS(CleanEmployeeData[[#This Row],[YearsAtCompany]]&lt;=1,"0–1 years",CleanEmployeeData[[#This Row],[YearsAtCompany]]&lt;=5,"2–5 years",CleanEmployeeData[[#This Row],[YearsAtCompany]]&lt;=10,"6–10 years",TRUE,"11+ years")</f>
        <v>6–10 years</v>
      </c>
    </row>
    <row r="931" spans="1:4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cm="1">
        <f t="array" ref="AJ931">_xlfn.SWITCH(CleanEmployeeData[[#This Row],[Education]],1,"Below College",2,"College",3,"Bachelor",4,"Master",5,"Doctor","Unknown")</f>
        <v>Bachelor</v>
      </c>
      <c r="AK931" t="str" cm="1">
        <f t="array" ref="AK931">_xlfn.SWITCH(CleanEmployeeData[[#This Row],[EnvironmentSatisfaction]],1,"Low",2,"Medium",3,"High",4,"Very High","Unknown")</f>
        <v>Very High</v>
      </c>
      <c r="AL931" t="str" cm="1">
        <f t="array" ref="AL931">_xlfn.SWITCH(CleanEmployeeData[[#This Row],[JobInvolvement]],1,"Low",2,"Medium",3,"High",4,"Very High","Unknown")</f>
        <v>Medium</v>
      </c>
      <c r="AM931" t="str" cm="1">
        <f t="array" ref="AM931">_xlfn.SWITCH(CleanEmployeeData[[#This Row],[JobSatisfaction]],1,"Low",2,"Medium",3,"High",4,"Very High","Unknown")</f>
        <v>Very High</v>
      </c>
      <c r="AN931" t="str" cm="1">
        <f t="array" ref="AN931">_xlfn.SWITCH(CleanEmployeeData[[#This Row],[PerformanceRating]],1,"Low",2,"Good",3,"Excellent",4,"Outstanding","Unknown")</f>
        <v>Excellent</v>
      </c>
      <c r="AO931" t="str" cm="1">
        <f t="array" ref="AO931">_xlfn.SWITCH(CleanEmployeeData[[#This Row],[WorkLifeBalance]],1,"Bad",2,"Good",3,"Better",4,"Best","Unknown")</f>
        <v>Better</v>
      </c>
      <c r="AP931">
        <f>IF(CleanEmployeeData[[#This Row],[Attrition]]="Yes",1,IF(CleanEmployeeData[[#This Row],[Attrition]]="No",0,""))</f>
        <v>0</v>
      </c>
      <c r="AQ931" t="str" cm="1">
        <f t="array" ref="AQ931">_xlfn.IFS(CleanEmployeeData[[#This Row],[MonthlyIncome]]&lt;=3000,"0–3,000",CleanEmployeeData[[#This Row],[MonthlyIncome]]&lt;=6000,"3,001–6,000",CleanEmployeeData[[#This Row],[MonthlyIncome]]&lt;=10000,"6,001–10,000",TRUE,"10,001+")</f>
        <v>3,001–6,000</v>
      </c>
      <c r="AR931" t="str" cm="1">
        <f t="array" ref="AR931">_xlfn.IFS(CleanEmployeeData[[#This Row],[DistanceFromHome]]&lt;=5,"0–5 miles",CleanEmployeeData[[#This Row],[DistanceFromHome]]&lt;=10,"6–10 miles",CleanEmployeeData[[#This Row],[DistanceFromHome]]&lt;=15,"11–15 miles",TRUE,"16+ miles")</f>
        <v>0–5 miles</v>
      </c>
      <c r="AS931" t="str" cm="1">
        <f t="array" ref="AS931">_xlfn.IFS(CleanEmployeeData[[#This Row],[YearsAtCompany]]&lt;=1,"0–1 years",CleanEmployeeData[[#This Row],[YearsAtCompany]]&lt;=5,"2–5 years",CleanEmployeeData[[#This Row],[YearsAtCompany]]&lt;=10,"6–10 years",TRUE,"11+ years")</f>
        <v>2–5 years</v>
      </c>
    </row>
    <row r="932" spans="1:4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cm="1">
        <f t="array" ref="AJ932">_xlfn.SWITCH(CleanEmployeeData[[#This Row],[Education]],1,"Below College",2,"College",3,"Bachelor",4,"Master",5,"Doctor","Unknown")</f>
        <v>College</v>
      </c>
      <c r="AK932" t="str" cm="1">
        <f t="array" ref="AK932">_xlfn.SWITCH(CleanEmployeeData[[#This Row],[EnvironmentSatisfaction]],1,"Low",2,"Medium",3,"High",4,"Very High","Unknown")</f>
        <v>Medium</v>
      </c>
      <c r="AL932" t="str" cm="1">
        <f t="array" ref="AL932">_xlfn.SWITCH(CleanEmployeeData[[#This Row],[JobInvolvement]],1,"Low",2,"Medium",3,"High",4,"Very High","Unknown")</f>
        <v>Medium</v>
      </c>
      <c r="AM932" t="str" cm="1">
        <f t="array" ref="AM932">_xlfn.SWITCH(CleanEmployeeData[[#This Row],[JobSatisfaction]],1,"Low",2,"Medium",3,"High",4,"Very High","Unknown")</f>
        <v>High</v>
      </c>
      <c r="AN932" t="str" cm="1">
        <f t="array" ref="AN932">_xlfn.SWITCH(CleanEmployeeData[[#This Row],[PerformanceRating]],1,"Low",2,"Good",3,"Excellent",4,"Outstanding","Unknown")</f>
        <v>Excellent</v>
      </c>
      <c r="AO932" t="str" cm="1">
        <f t="array" ref="AO932">_xlfn.SWITCH(CleanEmployeeData[[#This Row],[WorkLifeBalance]],1,"Bad",2,"Good",3,"Better",4,"Best","Unknown")</f>
        <v>Good</v>
      </c>
      <c r="AP932">
        <f>IF(CleanEmployeeData[[#This Row],[Attrition]]="Yes",1,IF(CleanEmployeeData[[#This Row],[Attrition]]="No",0,""))</f>
        <v>0</v>
      </c>
      <c r="AQ932" t="str" cm="1">
        <f t="array" ref="AQ932">_xlfn.IFS(CleanEmployeeData[[#This Row],[MonthlyIncome]]&lt;=3000,"0–3,000",CleanEmployeeData[[#This Row],[MonthlyIncome]]&lt;=6000,"3,001–6,000",CleanEmployeeData[[#This Row],[MonthlyIncome]]&lt;=10000,"6,001–10,000",TRUE,"10,001+")</f>
        <v>0–3,000</v>
      </c>
      <c r="AR932" t="str" cm="1">
        <f t="array" ref="AR932">_xlfn.IFS(CleanEmployeeData[[#This Row],[DistanceFromHome]]&lt;=5,"0–5 miles",CleanEmployeeData[[#This Row],[DistanceFromHome]]&lt;=10,"6–10 miles",CleanEmployeeData[[#This Row],[DistanceFromHome]]&lt;=15,"11–15 miles",TRUE,"16+ miles")</f>
        <v>6–10 miles</v>
      </c>
      <c r="AS932" t="str" cm="1">
        <f t="array" ref="AS932">_xlfn.IFS(CleanEmployeeData[[#This Row],[YearsAtCompany]]&lt;=1,"0–1 years",CleanEmployeeData[[#This Row],[YearsAtCompany]]&lt;=5,"2–5 years",CleanEmployeeData[[#This Row],[YearsAtCompany]]&lt;=10,"6–10 years",TRUE,"11+ years")</f>
        <v>6–10 years</v>
      </c>
    </row>
    <row r="933" spans="1:4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cm="1">
        <f t="array" ref="AJ933">_xlfn.SWITCH(CleanEmployeeData[[#This Row],[Education]],1,"Below College",2,"College",3,"Bachelor",4,"Master",5,"Doctor","Unknown")</f>
        <v>College</v>
      </c>
      <c r="AK933" t="str" cm="1">
        <f t="array" ref="AK933">_xlfn.SWITCH(CleanEmployeeData[[#This Row],[EnvironmentSatisfaction]],1,"Low",2,"Medium",3,"High",4,"Very High","Unknown")</f>
        <v>High</v>
      </c>
      <c r="AL933" t="str" cm="1">
        <f t="array" ref="AL933">_xlfn.SWITCH(CleanEmployeeData[[#This Row],[JobInvolvement]],1,"Low",2,"Medium",3,"High",4,"Very High","Unknown")</f>
        <v>High</v>
      </c>
      <c r="AM933" t="str" cm="1">
        <f t="array" ref="AM933">_xlfn.SWITCH(CleanEmployeeData[[#This Row],[JobSatisfaction]],1,"Low",2,"Medium",3,"High",4,"Very High","Unknown")</f>
        <v>High</v>
      </c>
      <c r="AN933" t="str" cm="1">
        <f t="array" ref="AN933">_xlfn.SWITCH(CleanEmployeeData[[#This Row],[PerformanceRating]],1,"Low",2,"Good",3,"Excellent",4,"Outstanding","Unknown")</f>
        <v>Excellent</v>
      </c>
      <c r="AO933" t="str" cm="1">
        <f t="array" ref="AO933">_xlfn.SWITCH(CleanEmployeeData[[#This Row],[WorkLifeBalance]],1,"Bad",2,"Good",3,"Better",4,"Best","Unknown")</f>
        <v>Better</v>
      </c>
      <c r="AP933">
        <f>IF(CleanEmployeeData[[#This Row],[Attrition]]="Yes",1,IF(CleanEmployeeData[[#This Row],[Attrition]]="No",0,""))</f>
        <v>0</v>
      </c>
      <c r="AQ933" t="str" cm="1">
        <f t="array" ref="AQ933">_xlfn.IFS(CleanEmployeeData[[#This Row],[MonthlyIncome]]&lt;=3000,"0–3,000",CleanEmployeeData[[#This Row],[MonthlyIncome]]&lt;=6000,"3,001–6,000",CleanEmployeeData[[#This Row],[MonthlyIncome]]&lt;=10000,"6,001–10,000",TRUE,"10,001+")</f>
        <v>3,001–6,000</v>
      </c>
      <c r="AR933" t="str" cm="1">
        <f t="array" ref="AR933">_xlfn.IFS(CleanEmployeeData[[#This Row],[DistanceFromHome]]&lt;=5,"0–5 miles",CleanEmployeeData[[#This Row],[DistanceFromHome]]&lt;=10,"6–10 miles",CleanEmployeeData[[#This Row],[DistanceFromHome]]&lt;=15,"11–15 miles",TRUE,"16+ miles")</f>
        <v>6–10 miles</v>
      </c>
      <c r="AS933" t="str" cm="1">
        <f t="array" ref="AS933">_xlfn.IFS(CleanEmployeeData[[#This Row],[YearsAtCompany]]&lt;=1,"0–1 years",CleanEmployeeData[[#This Row],[YearsAtCompany]]&lt;=5,"2–5 years",CleanEmployeeData[[#This Row],[YearsAtCompany]]&lt;=10,"6–10 years",TRUE,"11+ years")</f>
        <v>6–10 years</v>
      </c>
    </row>
    <row r="934" spans="1:4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cm="1">
        <f t="array" ref="AJ934">_xlfn.SWITCH(CleanEmployeeData[[#This Row],[Education]],1,"Below College",2,"College",3,"Bachelor",4,"Master",5,"Doctor","Unknown")</f>
        <v>Bachelor</v>
      </c>
      <c r="AK934" t="str" cm="1">
        <f t="array" ref="AK934">_xlfn.SWITCH(CleanEmployeeData[[#This Row],[EnvironmentSatisfaction]],1,"Low",2,"Medium",3,"High",4,"Very High","Unknown")</f>
        <v>Medium</v>
      </c>
      <c r="AL934" t="str" cm="1">
        <f t="array" ref="AL934">_xlfn.SWITCH(CleanEmployeeData[[#This Row],[JobInvolvement]],1,"Low",2,"Medium",3,"High",4,"Very High","Unknown")</f>
        <v>High</v>
      </c>
      <c r="AM934" t="str" cm="1">
        <f t="array" ref="AM934">_xlfn.SWITCH(CleanEmployeeData[[#This Row],[JobSatisfaction]],1,"Low",2,"Medium",3,"High",4,"Very High","Unknown")</f>
        <v>High</v>
      </c>
      <c r="AN934" t="str" cm="1">
        <f t="array" ref="AN934">_xlfn.SWITCH(CleanEmployeeData[[#This Row],[PerformanceRating]],1,"Low",2,"Good",3,"Excellent",4,"Outstanding","Unknown")</f>
        <v>Excellent</v>
      </c>
      <c r="AO934" t="str" cm="1">
        <f t="array" ref="AO934">_xlfn.SWITCH(CleanEmployeeData[[#This Row],[WorkLifeBalance]],1,"Bad",2,"Good",3,"Better",4,"Best","Unknown")</f>
        <v>Better</v>
      </c>
      <c r="AP934">
        <f>IF(CleanEmployeeData[[#This Row],[Attrition]]="Yes",1,IF(CleanEmployeeData[[#This Row],[Attrition]]="No",0,""))</f>
        <v>1</v>
      </c>
      <c r="AQ934" t="str" cm="1">
        <f t="array" ref="AQ934">_xlfn.IFS(CleanEmployeeData[[#This Row],[MonthlyIncome]]&lt;=3000,"0–3,000",CleanEmployeeData[[#This Row],[MonthlyIncome]]&lt;=6000,"3,001–6,000",CleanEmployeeData[[#This Row],[MonthlyIncome]]&lt;=10000,"6,001–10,000",TRUE,"10,001+")</f>
        <v>3,001–6,000</v>
      </c>
      <c r="AR934" t="str" cm="1">
        <f t="array" ref="AR934">_xlfn.IFS(CleanEmployeeData[[#This Row],[DistanceFromHome]]&lt;=5,"0–5 miles",CleanEmployeeData[[#This Row],[DistanceFromHome]]&lt;=10,"6–10 miles",CleanEmployeeData[[#This Row],[DistanceFromHome]]&lt;=15,"11–15 miles",TRUE,"16+ miles")</f>
        <v>6–10 miles</v>
      </c>
      <c r="AS934" t="str" cm="1">
        <f t="array" ref="AS934">_xlfn.IFS(CleanEmployeeData[[#This Row],[YearsAtCompany]]&lt;=1,"0–1 years",CleanEmployeeData[[#This Row],[YearsAtCompany]]&lt;=5,"2–5 years",CleanEmployeeData[[#This Row],[YearsAtCompany]]&lt;=10,"6–10 years",TRUE,"11+ years")</f>
        <v>6–10 years</v>
      </c>
    </row>
    <row r="935" spans="1:4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cm="1">
        <f t="array" ref="AJ935">_xlfn.SWITCH(CleanEmployeeData[[#This Row],[Education]],1,"Below College",2,"College",3,"Bachelor",4,"Master",5,"Doctor","Unknown")</f>
        <v>Bachelor</v>
      </c>
      <c r="AK935" t="str" cm="1">
        <f t="array" ref="AK935">_xlfn.SWITCH(CleanEmployeeData[[#This Row],[EnvironmentSatisfaction]],1,"Low",2,"Medium",3,"High",4,"Very High","Unknown")</f>
        <v>Very High</v>
      </c>
      <c r="AL935" t="str" cm="1">
        <f t="array" ref="AL935">_xlfn.SWITCH(CleanEmployeeData[[#This Row],[JobInvolvement]],1,"Low",2,"Medium",3,"High",4,"Very High","Unknown")</f>
        <v>High</v>
      </c>
      <c r="AM935" t="str" cm="1">
        <f t="array" ref="AM935">_xlfn.SWITCH(CleanEmployeeData[[#This Row],[JobSatisfaction]],1,"Low",2,"Medium",3,"High",4,"Very High","Unknown")</f>
        <v>Low</v>
      </c>
      <c r="AN935" t="str" cm="1">
        <f t="array" ref="AN935">_xlfn.SWITCH(CleanEmployeeData[[#This Row],[PerformanceRating]],1,"Low",2,"Good",3,"Excellent",4,"Outstanding","Unknown")</f>
        <v>Excellent</v>
      </c>
      <c r="AO935" t="str" cm="1">
        <f t="array" ref="AO935">_xlfn.SWITCH(CleanEmployeeData[[#This Row],[WorkLifeBalance]],1,"Bad",2,"Good",3,"Better",4,"Best","Unknown")</f>
        <v>Good</v>
      </c>
      <c r="AP935">
        <f>IF(CleanEmployeeData[[#This Row],[Attrition]]="Yes",1,IF(CleanEmployeeData[[#This Row],[Attrition]]="No",0,""))</f>
        <v>0</v>
      </c>
      <c r="AQ935" t="str" cm="1">
        <f t="array" ref="AQ935">_xlfn.IFS(CleanEmployeeData[[#This Row],[MonthlyIncome]]&lt;=3000,"0–3,000",CleanEmployeeData[[#This Row],[MonthlyIncome]]&lt;=6000,"3,001–6,000",CleanEmployeeData[[#This Row],[MonthlyIncome]]&lt;=10000,"6,001–10,000",TRUE,"10,001+")</f>
        <v>0–3,000</v>
      </c>
      <c r="AR935" t="str" cm="1">
        <f t="array" ref="AR935">_xlfn.IFS(CleanEmployeeData[[#This Row],[DistanceFromHome]]&lt;=5,"0–5 miles",CleanEmployeeData[[#This Row],[DistanceFromHome]]&lt;=10,"6–10 miles",CleanEmployeeData[[#This Row],[DistanceFromHome]]&lt;=15,"11–15 miles",TRUE,"16+ miles")</f>
        <v>0–5 miles</v>
      </c>
      <c r="AS935" t="str" cm="1">
        <f t="array" ref="AS935">_xlfn.IFS(CleanEmployeeData[[#This Row],[YearsAtCompany]]&lt;=1,"0–1 years",CleanEmployeeData[[#This Row],[YearsAtCompany]]&lt;=5,"2–5 years",CleanEmployeeData[[#This Row],[YearsAtCompany]]&lt;=10,"6–10 years",TRUE,"11+ years")</f>
        <v>2–5 years</v>
      </c>
    </row>
    <row r="936" spans="1:4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cm="1">
        <f t="array" ref="AJ936">_xlfn.SWITCH(CleanEmployeeData[[#This Row],[Education]],1,"Below College",2,"College",3,"Bachelor",4,"Master",5,"Doctor","Unknown")</f>
        <v>Bachelor</v>
      </c>
      <c r="AK936" t="str" cm="1">
        <f t="array" ref="AK936">_xlfn.SWITCH(CleanEmployeeData[[#This Row],[EnvironmentSatisfaction]],1,"Low",2,"Medium",3,"High",4,"Very High","Unknown")</f>
        <v>Very High</v>
      </c>
      <c r="AL936" t="str" cm="1">
        <f t="array" ref="AL936">_xlfn.SWITCH(CleanEmployeeData[[#This Row],[JobInvolvement]],1,"Low",2,"Medium",3,"High",4,"Very High","Unknown")</f>
        <v>High</v>
      </c>
      <c r="AM936" t="str" cm="1">
        <f t="array" ref="AM936">_xlfn.SWITCH(CleanEmployeeData[[#This Row],[JobSatisfaction]],1,"Low",2,"Medium",3,"High",4,"Very High","Unknown")</f>
        <v>Medium</v>
      </c>
      <c r="AN936" t="str" cm="1">
        <f t="array" ref="AN936">_xlfn.SWITCH(CleanEmployeeData[[#This Row],[PerformanceRating]],1,"Low",2,"Good",3,"Excellent",4,"Outstanding","Unknown")</f>
        <v>Excellent</v>
      </c>
      <c r="AO936" t="str" cm="1">
        <f t="array" ref="AO936">_xlfn.SWITCH(CleanEmployeeData[[#This Row],[WorkLifeBalance]],1,"Bad",2,"Good",3,"Better",4,"Best","Unknown")</f>
        <v>Good</v>
      </c>
      <c r="AP936">
        <f>IF(CleanEmployeeData[[#This Row],[Attrition]]="Yes",1,IF(CleanEmployeeData[[#This Row],[Attrition]]="No",0,""))</f>
        <v>0</v>
      </c>
      <c r="AQ936" t="str" cm="1">
        <f t="array" ref="AQ936">_xlfn.IFS(CleanEmployeeData[[#This Row],[MonthlyIncome]]&lt;=3000,"0–3,000",CleanEmployeeData[[#This Row],[MonthlyIncome]]&lt;=6000,"3,001–6,000",CleanEmployeeData[[#This Row],[MonthlyIncome]]&lt;=10000,"6,001–10,000",TRUE,"10,001+")</f>
        <v>0–3,000</v>
      </c>
      <c r="AR936" t="str" cm="1">
        <f t="array" ref="AR936">_xlfn.IFS(CleanEmployeeData[[#This Row],[DistanceFromHome]]&lt;=5,"0–5 miles",CleanEmployeeData[[#This Row],[DistanceFromHome]]&lt;=10,"6–10 miles",CleanEmployeeData[[#This Row],[DistanceFromHome]]&lt;=15,"11–15 miles",TRUE,"16+ miles")</f>
        <v>0–5 miles</v>
      </c>
      <c r="AS936" t="str" cm="1">
        <f t="array" ref="AS936">_xlfn.IFS(CleanEmployeeData[[#This Row],[YearsAtCompany]]&lt;=1,"0–1 years",CleanEmployeeData[[#This Row],[YearsAtCompany]]&lt;=5,"2–5 years",CleanEmployeeData[[#This Row],[YearsAtCompany]]&lt;=10,"6–10 years",TRUE,"11+ years")</f>
        <v>2–5 years</v>
      </c>
    </row>
    <row r="937" spans="1:4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cm="1">
        <f t="array" ref="AJ937">_xlfn.SWITCH(CleanEmployeeData[[#This Row],[Education]],1,"Below College",2,"College",3,"Bachelor",4,"Master",5,"Doctor","Unknown")</f>
        <v>Bachelor</v>
      </c>
      <c r="AK937" t="str" cm="1">
        <f t="array" ref="AK937">_xlfn.SWITCH(CleanEmployeeData[[#This Row],[EnvironmentSatisfaction]],1,"Low",2,"Medium",3,"High",4,"Very High","Unknown")</f>
        <v>High</v>
      </c>
      <c r="AL937" t="str" cm="1">
        <f t="array" ref="AL937">_xlfn.SWITCH(CleanEmployeeData[[#This Row],[JobInvolvement]],1,"Low",2,"Medium",3,"High",4,"Very High","Unknown")</f>
        <v>Very High</v>
      </c>
      <c r="AM937" t="str" cm="1">
        <f t="array" ref="AM937">_xlfn.SWITCH(CleanEmployeeData[[#This Row],[JobSatisfaction]],1,"Low",2,"Medium",3,"High",4,"Very High","Unknown")</f>
        <v>Very High</v>
      </c>
      <c r="AN937" t="str" cm="1">
        <f t="array" ref="AN937">_xlfn.SWITCH(CleanEmployeeData[[#This Row],[PerformanceRating]],1,"Low",2,"Good",3,"Excellent",4,"Outstanding","Unknown")</f>
        <v>Excellent</v>
      </c>
      <c r="AO937" t="str" cm="1">
        <f t="array" ref="AO937">_xlfn.SWITCH(CleanEmployeeData[[#This Row],[WorkLifeBalance]],1,"Bad",2,"Good",3,"Better",4,"Best","Unknown")</f>
        <v>Best</v>
      </c>
      <c r="AP937">
        <f>IF(CleanEmployeeData[[#This Row],[Attrition]]="Yes",1,IF(CleanEmployeeData[[#This Row],[Attrition]]="No",0,""))</f>
        <v>0</v>
      </c>
      <c r="AQ937" t="str" cm="1">
        <f t="array" ref="AQ937">_xlfn.IFS(CleanEmployeeData[[#This Row],[MonthlyIncome]]&lt;=3000,"0–3,000",CleanEmployeeData[[#This Row],[MonthlyIncome]]&lt;=6000,"3,001–6,000",CleanEmployeeData[[#This Row],[MonthlyIncome]]&lt;=10000,"6,001–10,000",TRUE,"10,001+")</f>
        <v>6,001–10,000</v>
      </c>
      <c r="AR937" t="str" cm="1">
        <f t="array" ref="AR937">_xlfn.IFS(CleanEmployeeData[[#This Row],[DistanceFromHome]]&lt;=5,"0–5 miles",CleanEmployeeData[[#This Row],[DistanceFromHome]]&lt;=10,"6–10 miles",CleanEmployeeData[[#This Row],[DistanceFromHome]]&lt;=15,"11–15 miles",TRUE,"16+ miles")</f>
        <v>6–10 miles</v>
      </c>
      <c r="AS937" t="str" cm="1">
        <f t="array" ref="AS937">_xlfn.IFS(CleanEmployeeData[[#This Row],[YearsAtCompany]]&lt;=1,"0–1 years",CleanEmployeeData[[#This Row],[YearsAtCompany]]&lt;=5,"2–5 years",CleanEmployeeData[[#This Row],[YearsAtCompany]]&lt;=10,"6–10 years",TRUE,"11+ years")</f>
        <v>6–10 years</v>
      </c>
    </row>
    <row r="938" spans="1:4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cm="1">
        <f t="array" ref="AJ938">_xlfn.SWITCH(CleanEmployeeData[[#This Row],[Education]],1,"Below College",2,"College",3,"Bachelor",4,"Master",5,"Doctor","Unknown")</f>
        <v>Bachelor</v>
      </c>
      <c r="AK938" t="str" cm="1">
        <f t="array" ref="AK938">_xlfn.SWITCH(CleanEmployeeData[[#This Row],[EnvironmentSatisfaction]],1,"Low",2,"Medium",3,"High",4,"Very High","Unknown")</f>
        <v>Medium</v>
      </c>
      <c r="AL938" t="str" cm="1">
        <f t="array" ref="AL938">_xlfn.SWITCH(CleanEmployeeData[[#This Row],[JobInvolvement]],1,"Low",2,"Medium",3,"High",4,"Very High","Unknown")</f>
        <v>High</v>
      </c>
      <c r="AM938" t="str" cm="1">
        <f t="array" ref="AM938">_xlfn.SWITCH(CleanEmployeeData[[#This Row],[JobSatisfaction]],1,"Low",2,"Medium",3,"High",4,"Very High","Unknown")</f>
        <v>Medium</v>
      </c>
      <c r="AN938" t="str" cm="1">
        <f t="array" ref="AN938">_xlfn.SWITCH(CleanEmployeeData[[#This Row],[PerformanceRating]],1,"Low",2,"Good",3,"Excellent",4,"Outstanding","Unknown")</f>
        <v>Outstanding</v>
      </c>
      <c r="AO938" t="str" cm="1">
        <f t="array" ref="AO938">_xlfn.SWITCH(CleanEmployeeData[[#This Row],[WorkLifeBalance]],1,"Bad",2,"Good",3,"Better",4,"Best","Unknown")</f>
        <v>Better</v>
      </c>
      <c r="AP938">
        <f>IF(CleanEmployeeData[[#This Row],[Attrition]]="Yes",1,IF(CleanEmployeeData[[#This Row],[Attrition]]="No",0,""))</f>
        <v>0</v>
      </c>
      <c r="AQ938" t="str" cm="1">
        <f t="array" ref="AQ938">_xlfn.IFS(CleanEmployeeData[[#This Row],[MonthlyIncome]]&lt;=3000,"0–3,000",CleanEmployeeData[[#This Row],[MonthlyIncome]]&lt;=6000,"3,001–6,000",CleanEmployeeData[[#This Row],[MonthlyIncome]]&lt;=10000,"6,001–10,000",TRUE,"10,001+")</f>
        <v>10,001+</v>
      </c>
      <c r="AR938" t="str" cm="1">
        <f t="array" ref="AR938">_xlfn.IFS(CleanEmployeeData[[#This Row],[DistanceFromHome]]&lt;=5,"0–5 miles",CleanEmployeeData[[#This Row],[DistanceFromHome]]&lt;=10,"6–10 miles",CleanEmployeeData[[#This Row],[DistanceFromHome]]&lt;=15,"11–15 miles",TRUE,"16+ miles")</f>
        <v>16+ miles</v>
      </c>
      <c r="AS938" t="str" cm="1">
        <f t="array" ref="AS938">_xlfn.IFS(CleanEmployeeData[[#This Row],[YearsAtCompany]]&lt;=1,"0–1 years",CleanEmployeeData[[#This Row],[YearsAtCompany]]&lt;=5,"2–5 years",CleanEmployeeData[[#This Row],[YearsAtCompany]]&lt;=10,"6–10 years",TRUE,"11+ years")</f>
        <v>0–1 years</v>
      </c>
    </row>
    <row r="939" spans="1:4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cm="1">
        <f t="array" ref="AJ939">_xlfn.SWITCH(CleanEmployeeData[[#This Row],[Education]],1,"Below College",2,"College",3,"Bachelor",4,"Master",5,"Doctor","Unknown")</f>
        <v>Master</v>
      </c>
      <c r="AK939" t="str" cm="1">
        <f t="array" ref="AK939">_xlfn.SWITCH(CleanEmployeeData[[#This Row],[EnvironmentSatisfaction]],1,"Low",2,"Medium",3,"High",4,"Very High","Unknown")</f>
        <v>High</v>
      </c>
      <c r="AL939" t="str" cm="1">
        <f t="array" ref="AL939">_xlfn.SWITCH(CleanEmployeeData[[#This Row],[JobInvolvement]],1,"Low",2,"Medium",3,"High",4,"Very High","Unknown")</f>
        <v>Medium</v>
      </c>
      <c r="AM939" t="str" cm="1">
        <f t="array" ref="AM939">_xlfn.SWITCH(CleanEmployeeData[[#This Row],[JobSatisfaction]],1,"Low",2,"Medium",3,"High",4,"Very High","Unknown")</f>
        <v>Medium</v>
      </c>
      <c r="AN939" t="str" cm="1">
        <f t="array" ref="AN939">_xlfn.SWITCH(CleanEmployeeData[[#This Row],[PerformanceRating]],1,"Low",2,"Good",3,"Excellent",4,"Outstanding","Unknown")</f>
        <v>Excellent</v>
      </c>
      <c r="AO939" t="str" cm="1">
        <f t="array" ref="AO939">_xlfn.SWITCH(CleanEmployeeData[[#This Row],[WorkLifeBalance]],1,"Bad",2,"Good",3,"Better",4,"Best","Unknown")</f>
        <v>Better</v>
      </c>
      <c r="AP939">
        <f>IF(CleanEmployeeData[[#This Row],[Attrition]]="Yes",1,IF(CleanEmployeeData[[#This Row],[Attrition]]="No",0,""))</f>
        <v>0</v>
      </c>
      <c r="AQ939" t="str" cm="1">
        <f t="array" ref="AQ939">_xlfn.IFS(CleanEmployeeData[[#This Row],[MonthlyIncome]]&lt;=3000,"0–3,000",CleanEmployeeData[[#This Row],[MonthlyIncome]]&lt;=6000,"3,001–6,000",CleanEmployeeData[[#This Row],[MonthlyIncome]]&lt;=10000,"6,001–10,000",TRUE,"10,001+")</f>
        <v>10,001+</v>
      </c>
      <c r="AR939" t="str" cm="1">
        <f t="array" ref="AR939">_xlfn.IFS(CleanEmployeeData[[#This Row],[DistanceFromHome]]&lt;=5,"0–5 miles",CleanEmployeeData[[#This Row],[DistanceFromHome]]&lt;=10,"6–10 miles",CleanEmployeeData[[#This Row],[DistanceFromHome]]&lt;=15,"11–15 miles",TRUE,"16+ miles")</f>
        <v>11–15 miles</v>
      </c>
      <c r="AS939" t="str" cm="1">
        <f t="array" ref="AS939">_xlfn.IFS(CleanEmployeeData[[#This Row],[YearsAtCompany]]&lt;=1,"0–1 years",CleanEmployeeData[[#This Row],[YearsAtCompany]]&lt;=5,"2–5 years",CleanEmployeeData[[#This Row],[YearsAtCompany]]&lt;=10,"6–10 years",TRUE,"11+ years")</f>
        <v>11+ years</v>
      </c>
    </row>
    <row r="940" spans="1:4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cm="1">
        <f t="array" ref="AJ940">_xlfn.SWITCH(CleanEmployeeData[[#This Row],[Education]],1,"Below College",2,"College",3,"Bachelor",4,"Master",5,"Doctor","Unknown")</f>
        <v>Master</v>
      </c>
      <c r="AK940" t="str" cm="1">
        <f t="array" ref="AK940">_xlfn.SWITCH(CleanEmployeeData[[#This Row],[EnvironmentSatisfaction]],1,"Low",2,"Medium",3,"High",4,"Very High","Unknown")</f>
        <v>Low</v>
      </c>
      <c r="AL940" t="str" cm="1">
        <f t="array" ref="AL940">_xlfn.SWITCH(CleanEmployeeData[[#This Row],[JobInvolvement]],1,"Low",2,"Medium",3,"High",4,"Very High","Unknown")</f>
        <v>High</v>
      </c>
      <c r="AM940" t="str" cm="1">
        <f t="array" ref="AM940">_xlfn.SWITCH(CleanEmployeeData[[#This Row],[JobSatisfaction]],1,"Low",2,"Medium",3,"High",4,"Very High","Unknown")</f>
        <v>High</v>
      </c>
      <c r="AN940" t="str" cm="1">
        <f t="array" ref="AN940">_xlfn.SWITCH(CleanEmployeeData[[#This Row],[PerformanceRating]],1,"Low",2,"Good",3,"Excellent",4,"Outstanding","Unknown")</f>
        <v>Excellent</v>
      </c>
      <c r="AO940" t="str" cm="1">
        <f t="array" ref="AO940">_xlfn.SWITCH(CleanEmployeeData[[#This Row],[WorkLifeBalance]],1,"Bad",2,"Good",3,"Better",4,"Best","Unknown")</f>
        <v>Better</v>
      </c>
      <c r="AP940">
        <f>IF(CleanEmployeeData[[#This Row],[Attrition]]="Yes",1,IF(CleanEmployeeData[[#This Row],[Attrition]]="No",0,""))</f>
        <v>0</v>
      </c>
      <c r="AQ940" t="str" cm="1">
        <f t="array" ref="AQ940">_xlfn.IFS(CleanEmployeeData[[#This Row],[MonthlyIncome]]&lt;=3000,"0–3,000",CleanEmployeeData[[#This Row],[MonthlyIncome]]&lt;=6000,"3,001–6,000",CleanEmployeeData[[#This Row],[MonthlyIncome]]&lt;=10000,"6,001–10,000",TRUE,"10,001+")</f>
        <v>0–3,000</v>
      </c>
      <c r="AR940" t="str" cm="1">
        <f t="array" ref="AR940">_xlfn.IFS(CleanEmployeeData[[#This Row],[DistanceFromHome]]&lt;=5,"0–5 miles",CleanEmployeeData[[#This Row],[DistanceFromHome]]&lt;=10,"6–10 miles",CleanEmployeeData[[#This Row],[DistanceFromHome]]&lt;=15,"11–15 miles",TRUE,"16+ miles")</f>
        <v>16+ miles</v>
      </c>
      <c r="AS940" t="str" cm="1">
        <f t="array" ref="AS940">_xlfn.IFS(CleanEmployeeData[[#This Row],[YearsAtCompany]]&lt;=1,"0–1 years",CleanEmployeeData[[#This Row],[YearsAtCompany]]&lt;=5,"2–5 years",CleanEmployeeData[[#This Row],[YearsAtCompany]]&lt;=10,"6–10 years",TRUE,"11+ years")</f>
        <v>2–5 years</v>
      </c>
    </row>
    <row r="941" spans="1:4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cm="1">
        <f t="array" ref="AJ941">_xlfn.SWITCH(CleanEmployeeData[[#This Row],[Education]],1,"Below College",2,"College",3,"Bachelor",4,"Master",5,"Doctor","Unknown")</f>
        <v>College</v>
      </c>
      <c r="AK941" t="str" cm="1">
        <f t="array" ref="AK941">_xlfn.SWITCH(CleanEmployeeData[[#This Row],[EnvironmentSatisfaction]],1,"Low",2,"Medium",3,"High",4,"Very High","Unknown")</f>
        <v>Very High</v>
      </c>
      <c r="AL941" t="str" cm="1">
        <f t="array" ref="AL941">_xlfn.SWITCH(CleanEmployeeData[[#This Row],[JobInvolvement]],1,"Low",2,"Medium",3,"High",4,"Very High","Unknown")</f>
        <v>High</v>
      </c>
      <c r="AM941" t="str" cm="1">
        <f t="array" ref="AM941">_xlfn.SWITCH(CleanEmployeeData[[#This Row],[JobSatisfaction]],1,"Low",2,"Medium",3,"High",4,"Very High","Unknown")</f>
        <v>High</v>
      </c>
      <c r="AN941" t="str" cm="1">
        <f t="array" ref="AN941">_xlfn.SWITCH(CleanEmployeeData[[#This Row],[PerformanceRating]],1,"Low",2,"Good",3,"Excellent",4,"Outstanding","Unknown")</f>
        <v>Excellent</v>
      </c>
      <c r="AO941" t="str" cm="1">
        <f t="array" ref="AO941">_xlfn.SWITCH(CleanEmployeeData[[#This Row],[WorkLifeBalance]],1,"Bad",2,"Good",3,"Better",4,"Best","Unknown")</f>
        <v>Better</v>
      </c>
      <c r="AP941">
        <f>IF(CleanEmployeeData[[#This Row],[Attrition]]="Yes",1,IF(CleanEmployeeData[[#This Row],[Attrition]]="No",0,""))</f>
        <v>1</v>
      </c>
      <c r="AQ941" t="str" cm="1">
        <f t="array" ref="AQ941">_xlfn.IFS(CleanEmployeeData[[#This Row],[MonthlyIncome]]&lt;=3000,"0–3,000",CleanEmployeeData[[#This Row],[MonthlyIncome]]&lt;=6000,"3,001–6,000",CleanEmployeeData[[#This Row],[MonthlyIncome]]&lt;=10000,"6,001–10,000",TRUE,"10,001+")</f>
        <v>3,001–6,000</v>
      </c>
      <c r="AR941" t="str" cm="1">
        <f t="array" ref="AR941">_xlfn.IFS(CleanEmployeeData[[#This Row],[DistanceFromHome]]&lt;=5,"0–5 miles",CleanEmployeeData[[#This Row],[DistanceFromHome]]&lt;=10,"6–10 miles",CleanEmployeeData[[#This Row],[DistanceFromHome]]&lt;=15,"11–15 miles",TRUE,"16+ miles")</f>
        <v>6–10 miles</v>
      </c>
      <c r="AS941" t="str" cm="1">
        <f t="array" ref="AS941">_xlfn.IFS(CleanEmployeeData[[#This Row],[YearsAtCompany]]&lt;=1,"0–1 years",CleanEmployeeData[[#This Row],[YearsAtCompany]]&lt;=5,"2–5 years",CleanEmployeeData[[#This Row],[YearsAtCompany]]&lt;=10,"6–10 years",TRUE,"11+ years")</f>
        <v>6–10 years</v>
      </c>
    </row>
    <row r="942" spans="1:4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cm="1">
        <f t="array" ref="AJ942">_xlfn.SWITCH(CleanEmployeeData[[#This Row],[Education]],1,"Below College",2,"College",3,"Bachelor",4,"Master",5,"Doctor","Unknown")</f>
        <v>Bachelor</v>
      </c>
      <c r="AK942" t="str" cm="1">
        <f t="array" ref="AK942">_xlfn.SWITCH(CleanEmployeeData[[#This Row],[EnvironmentSatisfaction]],1,"Low",2,"Medium",3,"High",4,"Very High","Unknown")</f>
        <v>High</v>
      </c>
      <c r="AL942" t="str" cm="1">
        <f t="array" ref="AL942">_xlfn.SWITCH(CleanEmployeeData[[#This Row],[JobInvolvement]],1,"Low",2,"Medium",3,"High",4,"Very High","Unknown")</f>
        <v>High</v>
      </c>
      <c r="AM942" t="str" cm="1">
        <f t="array" ref="AM942">_xlfn.SWITCH(CleanEmployeeData[[#This Row],[JobSatisfaction]],1,"Low",2,"Medium",3,"High",4,"Very High","Unknown")</f>
        <v>Low</v>
      </c>
      <c r="AN942" t="str" cm="1">
        <f t="array" ref="AN942">_xlfn.SWITCH(CleanEmployeeData[[#This Row],[PerformanceRating]],1,"Low",2,"Good",3,"Excellent",4,"Outstanding","Unknown")</f>
        <v>Excellent</v>
      </c>
      <c r="AO942" t="str" cm="1">
        <f t="array" ref="AO942">_xlfn.SWITCH(CleanEmployeeData[[#This Row],[WorkLifeBalance]],1,"Bad",2,"Good",3,"Better",4,"Best","Unknown")</f>
        <v>Better</v>
      </c>
      <c r="AP942">
        <f>IF(CleanEmployeeData[[#This Row],[Attrition]]="Yes",1,IF(CleanEmployeeData[[#This Row],[Attrition]]="No",0,""))</f>
        <v>1</v>
      </c>
      <c r="AQ942" t="str" cm="1">
        <f t="array" ref="AQ942">_xlfn.IFS(CleanEmployeeData[[#This Row],[MonthlyIncome]]&lt;=3000,"0–3,000",CleanEmployeeData[[#This Row],[MonthlyIncome]]&lt;=6000,"3,001–6,000",CleanEmployeeData[[#This Row],[MonthlyIncome]]&lt;=10000,"6,001–10,000",TRUE,"10,001+")</f>
        <v>3,001–6,000</v>
      </c>
      <c r="AR942" t="str" cm="1">
        <f t="array" ref="AR942">_xlfn.IFS(CleanEmployeeData[[#This Row],[DistanceFromHome]]&lt;=5,"0–5 miles",CleanEmployeeData[[#This Row],[DistanceFromHome]]&lt;=10,"6–10 miles",CleanEmployeeData[[#This Row],[DistanceFromHome]]&lt;=15,"11–15 miles",TRUE,"16+ miles")</f>
        <v>16+ miles</v>
      </c>
      <c r="AS942" t="str" cm="1">
        <f t="array" ref="AS942">_xlfn.IFS(CleanEmployeeData[[#This Row],[YearsAtCompany]]&lt;=1,"0–1 years",CleanEmployeeData[[#This Row],[YearsAtCompany]]&lt;=5,"2–5 years",CleanEmployeeData[[#This Row],[YearsAtCompany]]&lt;=10,"6–10 years",TRUE,"11+ years")</f>
        <v>2–5 years</v>
      </c>
    </row>
    <row r="943" spans="1:4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cm="1">
        <f t="array" ref="AJ943">_xlfn.SWITCH(CleanEmployeeData[[#This Row],[Education]],1,"Below College",2,"College",3,"Bachelor",4,"Master",5,"Doctor","Unknown")</f>
        <v>Bachelor</v>
      </c>
      <c r="AK943" t="str" cm="1">
        <f t="array" ref="AK943">_xlfn.SWITCH(CleanEmployeeData[[#This Row],[EnvironmentSatisfaction]],1,"Low",2,"Medium",3,"High",4,"Very High","Unknown")</f>
        <v>Low</v>
      </c>
      <c r="AL943" t="str" cm="1">
        <f t="array" ref="AL943">_xlfn.SWITCH(CleanEmployeeData[[#This Row],[JobInvolvement]],1,"Low",2,"Medium",3,"High",4,"Very High","Unknown")</f>
        <v>Medium</v>
      </c>
      <c r="AM943" t="str" cm="1">
        <f t="array" ref="AM943">_xlfn.SWITCH(CleanEmployeeData[[#This Row],[JobSatisfaction]],1,"Low",2,"Medium",3,"High",4,"Very High","Unknown")</f>
        <v>Very High</v>
      </c>
      <c r="AN943" t="str" cm="1">
        <f t="array" ref="AN943">_xlfn.SWITCH(CleanEmployeeData[[#This Row],[PerformanceRating]],1,"Low",2,"Good",3,"Excellent",4,"Outstanding","Unknown")</f>
        <v>Excellent</v>
      </c>
      <c r="AO943" t="str" cm="1">
        <f t="array" ref="AO943">_xlfn.SWITCH(CleanEmployeeData[[#This Row],[WorkLifeBalance]],1,"Bad",2,"Good",3,"Better",4,"Best","Unknown")</f>
        <v>Better</v>
      </c>
      <c r="AP943">
        <f>IF(CleanEmployeeData[[#This Row],[Attrition]]="Yes",1,IF(CleanEmployeeData[[#This Row],[Attrition]]="No",0,""))</f>
        <v>0</v>
      </c>
      <c r="AQ943" t="str" cm="1">
        <f t="array" ref="AQ943">_xlfn.IFS(CleanEmployeeData[[#This Row],[MonthlyIncome]]&lt;=3000,"0–3,000",CleanEmployeeData[[#This Row],[MonthlyIncome]]&lt;=6000,"3,001–6,000",CleanEmployeeData[[#This Row],[MonthlyIncome]]&lt;=10000,"6,001–10,000",TRUE,"10,001+")</f>
        <v>3,001–6,000</v>
      </c>
      <c r="AR943" t="str" cm="1">
        <f t="array" ref="AR943">_xlfn.IFS(CleanEmployeeData[[#This Row],[DistanceFromHome]]&lt;=5,"0–5 miles",CleanEmployeeData[[#This Row],[DistanceFromHome]]&lt;=10,"6–10 miles",CleanEmployeeData[[#This Row],[DistanceFromHome]]&lt;=15,"11–15 miles",TRUE,"16+ miles")</f>
        <v>6–10 miles</v>
      </c>
      <c r="AS943" t="str" cm="1">
        <f t="array" ref="AS943">_xlfn.IFS(CleanEmployeeData[[#This Row],[YearsAtCompany]]&lt;=1,"0–1 years",CleanEmployeeData[[#This Row],[YearsAtCompany]]&lt;=5,"2–5 years",CleanEmployeeData[[#This Row],[YearsAtCompany]]&lt;=10,"6–10 years",TRUE,"11+ years")</f>
        <v>6–10 years</v>
      </c>
    </row>
    <row r="944" spans="1:4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cm="1">
        <f t="array" ref="AJ944">_xlfn.SWITCH(CleanEmployeeData[[#This Row],[Education]],1,"Below College",2,"College",3,"Bachelor",4,"Master",5,"Doctor","Unknown")</f>
        <v>Master</v>
      </c>
      <c r="AK944" t="str" cm="1">
        <f t="array" ref="AK944">_xlfn.SWITCH(CleanEmployeeData[[#This Row],[EnvironmentSatisfaction]],1,"Low",2,"Medium",3,"High",4,"Very High","Unknown")</f>
        <v>Very High</v>
      </c>
      <c r="AL944" t="str" cm="1">
        <f t="array" ref="AL944">_xlfn.SWITCH(CleanEmployeeData[[#This Row],[JobInvolvement]],1,"Low",2,"Medium",3,"High",4,"Very High","Unknown")</f>
        <v>High</v>
      </c>
      <c r="AM944" t="str" cm="1">
        <f t="array" ref="AM944">_xlfn.SWITCH(CleanEmployeeData[[#This Row],[JobSatisfaction]],1,"Low",2,"Medium",3,"High",4,"Very High","Unknown")</f>
        <v>High</v>
      </c>
      <c r="AN944" t="str" cm="1">
        <f t="array" ref="AN944">_xlfn.SWITCH(CleanEmployeeData[[#This Row],[PerformanceRating]],1,"Low",2,"Good",3,"Excellent",4,"Outstanding","Unknown")</f>
        <v>Excellent</v>
      </c>
      <c r="AO944" t="str" cm="1">
        <f t="array" ref="AO944">_xlfn.SWITCH(CleanEmployeeData[[#This Row],[WorkLifeBalance]],1,"Bad",2,"Good",3,"Better",4,"Best","Unknown")</f>
        <v>Better</v>
      </c>
      <c r="AP944">
        <f>IF(CleanEmployeeData[[#This Row],[Attrition]]="Yes",1,IF(CleanEmployeeData[[#This Row],[Attrition]]="No",0,""))</f>
        <v>0</v>
      </c>
      <c r="AQ944" t="str" cm="1">
        <f t="array" ref="AQ944">_xlfn.IFS(CleanEmployeeData[[#This Row],[MonthlyIncome]]&lt;=3000,"0–3,000",CleanEmployeeData[[#This Row],[MonthlyIncome]]&lt;=6000,"3,001–6,000",CleanEmployeeData[[#This Row],[MonthlyIncome]]&lt;=10000,"6,001–10,000",TRUE,"10,001+")</f>
        <v>6,001–10,000</v>
      </c>
      <c r="AR944" t="str" cm="1">
        <f t="array" ref="AR944">_xlfn.IFS(CleanEmployeeData[[#This Row],[DistanceFromHome]]&lt;=5,"0–5 miles",CleanEmployeeData[[#This Row],[DistanceFromHome]]&lt;=10,"6–10 miles",CleanEmployeeData[[#This Row],[DistanceFromHome]]&lt;=15,"11–15 miles",TRUE,"16+ miles")</f>
        <v>6–10 miles</v>
      </c>
      <c r="AS944" t="str" cm="1">
        <f t="array" ref="AS944">_xlfn.IFS(CleanEmployeeData[[#This Row],[YearsAtCompany]]&lt;=1,"0–1 years",CleanEmployeeData[[#This Row],[YearsAtCompany]]&lt;=5,"2–5 years",CleanEmployeeData[[#This Row],[YearsAtCompany]]&lt;=10,"6–10 years",TRUE,"11+ years")</f>
        <v>6–10 years</v>
      </c>
    </row>
    <row r="945" spans="1:4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cm="1">
        <f t="array" ref="AJ945">_xlfn.SWITCH(CleanEmployeeData[[#This Row],[Education]],1,"Below College",2,"College",3,"Bachelor",4,"Master",5,"Doctor","Unknown")</f>
        <v>College</v>
      </c>
      <c r="AK945" t="str" cm="1">
        <f t="array" ref="AK945">_xlfn.SWITCH(CleanEmployeeData[[#This Row],[EnvironmentSatisfaction]],1,"Low",2,"Medium",3,"High",4,"Very High","Unknown")</f>
        <v>Very High</v>
      </c>
      <c r="AL945" t="str" cm="1">
        <f t="array" ref="AL945">_xlfn.SWITCH(CleanEmployeeData[[#This Row],[JobInvolvement]],1,"Low",2,"Medium",3,"High",4,"Very High","Unknown")</f>
        <v>High</v>
      </c>
      <c r="AM945" t="str" cm="1">
        <f t="array" ref="AM945">_xlfn.SWITCH(CleanEmployeeData[[#This Row],[JobSatisfaction]],1,"Low",2,"Medium",3,"High",4,"Very High","Unknown")</f>
        <v>Low</v>
      </c>
      <c r="AN945" t="str" cm="1">
        <f t="array" ref="AN945">_xlfn.SWITCH(CleanEmployeeData[[#This Row],[PerformanceRating]],1,"Low",2,"Good",3,"Excellent",4,"Outstanding","Unknown")</f>
        <v>Excellent</v>
      </c>
      <c r="AO945" t="str" cm="1">
        <f t="array" ref="AO945">_xlfn.SWITCH(CleanEmployeeData[[#This Row],[WorkLifeBalance]],1,"Bad",2,"Good",3,"Better",4,"Best","Unknown")</f>
        <v>Best</v>
      </c>
      <c r="AP945">
        <f>IF(CleanEmployeeData[[#This Row],[Attrition]]="Yes",1,IF(CleanEmployeeData[[#This Row],[Attrition]]="No",0,""))</f>
        <v>0</v>
      </c>
      <c r="AQ945" t="str" cm="1">
        <f t="array" ref="AQ945">_xlfn.IFS(CleanEmployeeData[[#This Row],[MonthlyIncome]]&lt;=3000,"0–3,000",CleanEmployeeData[[#This Row],[MonthlyIncome]]&lt;=6000,"3,001–6,000",CleanEmployeeData[[#This Row],[MonthlyIncome]]&lt;=10000,"6,001–10,000",TRUE,"10,001+")</f>
        <v>3,001–6,000</v>
      </c>
      <c r="AR945" t="str" cm="1">
        <f t="array" ref="AR945">_xlfn.IFS(CleanEmployeeData[[#This Row],[DistanceFromHome]]&lt;=5,"0–5 miles",CleanEmployeeData[[#This Row],[DistanceFromHome]]&lt;=10,"6–10 miles",CleanEmployeeData[[#This Row],[DistanceFromHome]]&lt;=15,"11–15 miles",TRUE,"16+ miles")</f>
        <v>0–5 miles</v>
      </c>
      <c r="AS945" t="str" cm="1">
        <f t="array" ref="AS945">_xlfn.IFS(CleanEmployeeData[[#This Row],[YearsAtCompany]]&lt;=1,"0–1 years",CleanEmployeeData[[#This Row],[YearsAtCompany]]&lt;=5,"2–5 years",CleanEmployeeData[[#This Row],[YearsAtCompany]]&lt;=10,"6–10 years",TRUE,"11+ years")</f>
        <v>6–10 years</v>
      </c>
    </row>
    <row r="946" spans="1:4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cm="1">
        <f t="array" ref="AJ946">_xlfn.SWITCH(CleanEmployeeData[[#This Row],[Education]],1,"Below College",2,"College",3,"Bachelor",4,"Master",5,"Doctor","Unknown")</f>
        <v>Bachelor</v>
      </c>
      <c r="AK946" t="str" cm="1">
        <f t="array" ref="AK946">_xlfn.SWITCH(CleanEmployeeData[[#This Row],[EnvironmentSatisfaction]],1,"Low",2,"Medium",3,"High",4,"Very High","Unknown")</f>
        <v>High</v>
      </c>
      <c r="AL946" t="str" cm="1">
        <f t="array" ref="AL946">_xlfn.SWITCH(CleanEmployeeData[[#This Row],[JobInvolvement]],1,"Low",2,"Medium",3,"High",4,"Very High","Unknown")</f>
        <v>Low</v>
      </c>
      <c r="AM946" t="str" cm="1">
        <f t="array" ref="AM946">_xlfn.SWITCH(CleanEmployeeData[[#This Row],[JobSatisfaction]],1,"Low",2,"Medium",3,"High",4,"Very High","Unknown")</f>
        <v>Very High</v>
      </c>
      <c r="AN946" t="str" cm="1">
        <f t="array" ref="AN946">_xlfn.SWITCH(CleanEmployeeData[[#This Row],[PerformanceRating]],1,"Low",2,"Good",3,"Excellent",4,"Outstanding","Unknown")</f>
        <v>Excellent</v>
      </c>
      <c r="AO946" t="str" cm="1">
        <f t="array" ref="AO946">_xlfn.SWITCH(CleanEmployeeData[[#This Row],[WorkLifeBalance]],1,"Bad",2,"Good",3,"Better",4,"Best","Unknown")</f>
        <v>Better</v>
      </c>
      <c r="AP946">
        <f>IF(CleanEmployeeData[[#This Row],[Attrition]]="Yes",1,IF(CleanEmployeeData[[#This Row],[Attrition]]="No",0,""))</f>
        <v>0</v>
      </c>
      <c r="AQ946" t="str" cm="1">
        <f t="array" ref="AQ946">_xlfn.IFS(CleanEmployeeData[[#This Row],[MonthlyIncome]]&lt;=3000,"0–3,000",CleanEmployeeData[[#This Row],[MonthlyIncome]]&lt;=6000,"3,001–6,000",CleanEmployeeData[[#This Row],[MonthlyIncome]]&lt;=10000,"6,001–10,000",TRUE,"10,001+")</f>
        <v>6,001–10,000</v>
      </c>
      <c r="AR946" t="str" cm="1">
        <f t="array" ref="AR946">_xlfn.IFS(CleanEmployeeData[[#This Row],[DistanceFromHome]]&lt;=5,"0–5 miles",CleanEmployeeData[[#This Row],[DistanceFromHome]]&lt;=10,"6–10 miles",CleanEmployeeData[[#This Row],[DistanceFromHome]]&lt;=15,"11–15 miles",TRUE,"16+ miles")</f>
        <v>0–5 miles</v>
      </c>
      <c r="AS946" t="str" cm="1">
        <f t="array" ref="AS946">_xlfn.IFS(CleanEmployeeData[[#This Row],[YearsAtCompany]]&lt;=1,"0–1 years",CleanEmployeeData[[#This Row],[YearsAtCompany]]&lt;=5,"2–5 years",CleanEmployeeData[[#This Row],[YearsAtCompany]]&lt;=10,"6–10 years",TRUE,"11+ years")</f>
        <v>6–10 years</v>
      </c>
    </row>
    <row r="947" spans="1:4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cm="1">
        <f t="array" ref="AJ947">_xlfn.SWITCH(CleanEmployeeData[[#This Row],[Education]],1,"Below College",2,"College",3,"Bachelor",4,"Master",5,"Doctor","Unknown")</f>
        <v>Bachelor</v>
      </c>
      <c r="AK947" t="str" cm="1">
        <f t="array" ref="AK947">_xlfn.SWITCH(CleanEmployeeData[[#This Row],[EnvironmentSatisfaction]],1,"Low",2,"Medium",3,"High",4,"Very High","Unknown")</f>
        <v>Very High</v>
      </c>
      <c r="AL947" t="str" cm="1">
        <f t="array" ref="AL947">_xlfn.SWITCH(CleanEmployeeData[[#This Row],[JobInvolvement]],1,"Low",2,"Medium",3,"High",4,"Very High","Unknown")</f>
        <v>High</v>
      </c>
      <c r="AM947" t="str" cm="1">
        <f t="array" ref="AM947">_xlfn.SWITCH(CleanEmployeeData[[#This Row],[JobSatisfaction]],1,"Low",2,"Medium",3,"High",4,"Very High","Unknown")</f>
        <v>Low</v>
      </c>
      <c r="AN947" t="str" cm="1">
        <f t="array" ref="AN947">_xlfn.SWITCH(CleanEmployeeData[[#This Row],[PerformanceRating]],1,"Low",2,"Good",3,"Excellent",4,"Outstanding","Unknown")</f>
        <v>Excellent</v>
      </c>
      <c r="AO947" t="str" cm="1">
        <f t="array" ref="AO947">_xlfn.SWITCH(CleanEmployeeData[[#This Row],[WorkLifeBalance]],1,"Bad",2,"Good",3,"Better",4,"Best","Unknown")</f>
        <v>Better</v>
      </c>
      <c r="AP947">
        <f>IF(CleanEmployeeData[[#This Row],[Attrition]]="Yes",1,IF(CleanEmployeeData[[#This Row],[Attrition]]="No",0,""))</f>
        <v>0</v>
      </c>
      <c r="AQ947" t="str" cm="1">
        <f t="array" ref="AQ947">_xlfn.IFS(CleanEmployeeData[[#This Row],[MonthlyIncome]]&lt;=3000,"0–3,000",CleanEmployeeData[[#This Row],[MonthlyIncome]]&lt;=6000,"3,001–6,000",CleanEmployeeData[[#This Row],[MonthlyIncome]]&lt;=10000,"6,001–10,000",TRUE,"10,001+")</f>
        <v>10,001+</v>
      </c>
      <c r="AR947" t="str" cm="1">
        <f t="array" ref="AR947">_xlfn.IFS(CleanEmployeeData[[#This Row],[DistanceFromHome]]&lt;=5,"0–5 miles",CleanEmployeeData[[#This Row],[DistanceFromHome]]&lt;=10,"6–10 miles",CleanEmployeeData[[#This Row],[DistanceFromHome]]&lt;=15,"11–15 miles",TRUE,"16+ miles")</f>
        <v>16+ miles</v>
      </c>
      <c r="AS947" t="str" cm="1">
        <f t="array" ref="AS947">_xlfn.IFS(CleanEmployeeData[[#This Row],[YearsAtCompany]]&lt;=1,"0–1 years",CleanEmployeeData[[#This Row],[YearsAtCompany]]&lt;=5,"2–5 years",CleanEmployeeData[[#This Row],[YearsAtCompany]]&lt;=10,"6–10 years",TRUE,"11+ years")</f>
        <v>2–5 years</v>
      </c>
    </row>
    <row r="948" spans="1:4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cm="1">
        <f t="array" ref="AJ948">_xlfn.SWITCH(CleanEmployeeData[[#This Row],[Education]],1,"Below College",2,"College",3,"Bachelor",4,"Master",5,"Doctor","Unknown")</f>
        <v>Master</v>
      </c>
      <c r="AK948" t="str" cm="1">
        <f t="array" ref="AK948">_xlfn.SWITCH(CleanEmployeeData[[#This Row],[EnvironmentSatisfaction]],1,"Low",2,"Medium",3,"High",4,"Very High","Unknown")</f>
        <v>Very High</v>
      </c>
      <c r="AL948" t="str" cm="1">
        <f t="array" ref="AL948">_xlfn.SWITCH(CleanEmployeeData[[#This Row],[JobInvolvement]],1,"Low",2,"Medium",3,"High",4,"Very High","Unknown")</f>
        <v>Medium</v>
      </c>
      <c r="AM948" t="str" cm="1">
        <f t="array" ref="AM948">_xlfn.SWITCH(CleanEmployeeData[[#This Row],[JobSatisfaction]],1,"Low",2,"Medium",3,"High",4,"Very High","Unknown")</f>
        <v>Medium</v>
      </c>
      <c r="AN948" t="str" cm="1">
        <f t="array" ref="AN948">_xlfn.SWITCH(CleanEmployeeData[[#This Row],[PerformanceRating]],1,"Low",2,"Good",3,"Excellent",4,"Outstanding","Unknown")</f>
        <v>Excellent</v>
      </c>
      <c r="AO948" t="str" cm="1">
        <f t="array" ref="AO948">_xlfn.SWITCH(CleanEmployeeData[[#This Row],[WorkLifeBalance]],1,"Bad",2,"Good",3,"Better",4,"Best","Unknown")</f>
        <v>Better</v>
      </c>
      <c r="AP948">
        <f>IF(CleanEmployeeData[[#This Row],[Attrition]]="Yes",1,IF(CleanEmployeeData[[#This Row],[Attrition]]="No",0,""))</f>
        <v>1</v>
      </c>
      <c r="AQ948" t="str" cm="1">
        <f t="array" ref="AQ948">_xlfn.IFS(CleanEmployeeData[[#This Row],[MonthlyIncome]]&lt;=3000,"0–3,000",CleanEmployeeData[[#This Row],[MonthlyIncome]]&lt;=6000,"3,001–6,000",CleanEmployeeData[[#This Row],[MonthlyIncome]]&lt;=10000,"6,001–10,000",TRUE,"10,001+")</f>
        <v>6,001–10,000</v>
      </c>
      <c r="AR948" t="str" cm="1">
        <f t="array" ref="AR948">_xlfn.IFS(CleanEmployeeData[[#This Row],[DistanceFromHome]]&lt;=5,"0–5 miles",CleanEmployeeData[[#This Row],[DistanceFromHome]]&lt;=10,"6–10 miles",CleanEmployeeData[[#This Row],[DistanceFromHome]]&lt;=15,"11–15 miles",TRUE,"16+ miles")</f>
        <v>16+ miles</v>
      </c>
      <c r="AS948" t="str" cm="1">
        <f t="array" ref="AS948">_xlfn.IFS(CleanEmployeeData[[#This Row],[YearsAtCompany]]&lt;=1,"0–1 years",CleanEmployeeData[[#This Row],[YearsAtCompany]]&lt;=5,"2–5 years",CleanEmployeeData[[#This Row],[YearsAtCompany]]&lt;=10,"6–10 years",TRUE,"11+ years")</f>
        <v>2–5 years</v>
      </c>
    </row>
    <row r="949" spans="1:4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cm="1">
        <f t="array" ref="AJ949">_xlfn.SWITCH(CleanEmployeeData[[#This Row],[Education]],1,"Below College",2,"College",3,"Bachelor",4,"Master",5,"Doctor","Unknown")</f>
        <v>Bachelor</v>
      </c>
      <c r="AK949" t="str" cm="1">
        <f t="array" ref="AK949">_xlfn.SWITCH(CleanEmployeeData[[#This Row],[EnvironmentSatisfaction]],1,"Low",2,"Medium",3,"High",4,"Very High","Unknown")</f>
        <v>Medium</v>
      </c>
      <c r="AL949" t="str" cm="1">
        <f t="array" ref="AL949">_xlfn.SWITCH(CleanEmployeeData[[#This Row],[JobInvolvement]],1,"Low",2,"Medium",3,"High",4,"Very High","Unknown")</f>
        <v>High</v>
      </c>
      <c r="AM949" t="str" cm="1">
        <f t="array" ref="AM949">_xlfn.SWITCH(CleanEmployeeData[[#This Row],[JobSatisfaction]],1,"Low",2,"Medium",3,"High",4,"Very High","Unknown")</f>
        <v>Medium</v>
      </c>
      <c r="AN949" t="str" cm="1">
        <f t="array" ref="AN949">_xlfn.SWITCH(CleanEmployeeData[[#This Row],[PerformanceRating]],1,"Low",2,"Good",3,"Excellent",4,"Outstanding","Unknown")</f>
        <v>Excellent</v>
      </c>
      <c r="AO949" t="str" cm="1">
        <f t="array" ref="AO949">_xlfn.SWITCH(CleanEmployeeData[[#This Row],[WorkLifeBalance]],1,"Bad",2,"Good",3,"Better",4,"Best","Unknown")</f>
        <v>Good</v>
      </c>
      <c r="AP949">
        <f>IF(CleanEmployeeData[[#This Row],[Attrition]]="Yes",1,IF(CleanEmployeeData[[#This Row],[Attrition]]="No",0,""))</f>
        <v>1</v>
      </c>
      <c r="AQ949" t="str" cm="1">
        <f t="array" ref="AQ949">_xlfn.IFS(CleanEmployeeData[[#This Row],[MonthlyIncome]]&lt;=3000,"0–3,000",CleanEmployeeData[[#This Row],[MonthlyIncome]]&lt;=6000,"3,001–6,000",CleanEmployeeData[[#This Row],[MonthlyIncome]]&lt;=10000,"6,001–10,000",TRUE,"10,001+")</f>
        <v>6,001–10,000</v>
      </c>
      <c r="AR949" t="str" cm="1">
        <f t="array" ref="AR949">_xlfn.IFS(CleanEmployeeData[[#This Row],[DistanceFromHome]]&lt;=5,"0–5 miles",CleanEmployeeData[[#This Row],[DistanceFromHome]]&lt;=10,"6–10 miles",CleanEmployeeData[[#This Row],[DistanceFromHome]]&lt;=15,"11–15 miles",TRUE,"16+ miles")</f>
        <v>0–5 miles</v>
      </c>
      <c r="AS949" t="str" cm="1">
        <f t="array" ref="AS949">_xlfn.IFS(CleanEmployeeData[[#This Row],[YearsAtCompany]]&lt;=1,"0–1 years",CleanEmployeeData[[#This Row],[YearsAtCompany]]&lt;=5,"2–5 years",CleanEmployeeData[[#This Row],[YearsAtCompany]]&lt;=10,"6–10 years",TRUE,"11+ years")</f>
        <v>6–10 years</v>
      </c>
    </row>
    <row r="950" spans="1:4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cm="1">
        <f t="array" ref="AJ950">_xlfn.SWITCH(CleanEmployeeData[[#This Row],[Education]],1,"Below College",2,"College",3,"Bachelor",4,"Master",5,"Doctor","Unknown")</f>
        <v>Master</v>
      </c>
      <c r="AK950" t="str" cm="1">
        <f t="array" ref="AK950">_xlfn.SWITCH(CleanEmployeeData[[#This Row],[EnvironmentSatisfaction]],1,"Low",2,"Medium",3,"High",4,"Very High","Unknown")</f>
        <v>Medium</v>
      </c>
      <c r="AL950" t="str" cm="1">
        <f t="array" ref="AL950">_xlfn.SWITCH(CleanEmployeeData[[#This Row],[JobInvolvement]],1,"Low",2,"Medium",3,"High",4,"Very High","Unknown")</f>
        <v>High</v>
      </c>
      <c r="AM950" t="str" cm="1">
        <f t="array" ref="AM950">_xlfn.SWITCH(CleanEmployeeData[[#This Row],[JobSatisfaction]],1,"Low",2,"Medium",3,"High",4,"Very High","Unknown")</f>
        <v>Low</v>
      </c>
      <c r="AN950" t="str" cm="1">
        <f t="array" ref="AN950">_xlfn.SWITCH(CleanEmployeeData[[#This Row],[PerformanceRating]],1,"Low",2,"Good",3,"Excellent",4,"Outstanding","Unknown")</f>
        <v>Outstanding</v>
      </c>
      <c r="AO950" t="str" cm="1">
        <f t="array" ref="AO950">_xlfn.SWITCH(CleanEmployeeData[[#This Row],[WorkLifeBalance]],1,"Bad",2,"Good",3,"Better",4,"Best","Unknown")</f>
        <v>Better</v>
      </c>
      <c r="AP950">
        <f>IF(CleanEmployeeData[[#This Row],[Attrition]]="Yes",1,IF(CleanEmployeeData[[#This Row],[Attrition]]="No",0,""))</f>
        <v>0</v>
      </c>
      <c r="AQ950" t="str" cm="1">
        <f t="array" ref="AQ950">_xlfn.IFS(CleanEmployeeData[[#This Row],[MonthlyIncome]]&lt;=3000,"0–3,000",CleanEmployeeData[[#This Row],[MonthlyIncome]]&lt;=6000,"3,001–6,000",CleanEmployeeData[[#This Row],[MonthlyIncome]]&lt;=10000,"6,001–10,000",TRUE,"10,001+")</f>
        <v>10,001+</v>
      </c>
      <c r="AR950" t="str" cm="1">
        <f t="array" ref="AR950">_xlfn.IFS(CleanEmployeeData[[#This Row],[DistanceFromHome]]&lt;=5,"0–5 miles",CleanEmployeeData[[#This Row],[DistanceFromHome]]&lt;=10,"6–10 miles",CleanEmployeeData[[#This Row],[DistanceFromHome]]&lt;=15,"11–15 miles",TRUE,"16+ miles")</f>
        <v>16+ miles</v>
      </c>
      <c r="AS950" t="str" cm="1">
        <f t="array" ref="AS950">_xlfn.IFS(CleanEmployeeData[[#This Row],[YearsAtCompany]]&lt;=1,"0–1 years",CleanEmployeeData[[#This Row],[YearsAtCompany]]&lt;=5,"2–5 years",CleanEmployeeData[[#This Row],[YearsAtCompany]]&lt;=10,"6–10 years",TRUE,"11+ years")</f>
        <v>6–10 years</v>
      </c>
    </row>
    <row r="951" spans="1:4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cm="1">
        <f t="array" ref="AJ951">_xlfn.SWITCH(CleanEmployeeData[[#This Row],[Education]],1,"Below College",2,"College",3,"Bachelor",4,"Master",5,"Doctor","Unknown")</f>
        <v>College</v>
      </c>
      <c r="AK951" t="str" cm="1">
        <f t="array" ref="AK951">_xlfn.SWITCH(CleanEmployeeData[[#This Row],[EnvironmentSatisfaction]],1,"Low",2,"Medium",3,"High",4,"Very High","Unknown")</f>
        <v>Low</v>
      </c>
      <c r="AL951" t="str" cm="1">
        <f t="array" ref="AL951">_xlfn.SWITCH(CleanEmployeeData[[#This Row],[JobInvolvement]],1,"Low",2,"Medium",3,"High",4,"Very High","Unknown")</f>
        <v>High</v>
      </c>
      <c r="AM951" t="str" cm="1">
        <f t="array" ref="AM951">_xlfn.SWITCH(CleanEmployeeData[[#This Row],[JobSatisfaction]],1,"Low",2,"Medium",3,"High",4,"Very High","Unknown")</f>
        <v>High</v>
      </c>
      <c r="AN951" t="str" cm="1">
        <f t="array" ref="AN951">_xlfn.SWITCH(CleanEmployeeData[[#This Row],[PerformanceRating]],1,"Low",2,"Good",3,"Excellent",4,"Outstanding","Unknown")</f>
        <v>Excellent</v>
      </c>
      <c r="AO951" t="str" cm="1">
        <f t="array" ref="AO951">_xlfn.SWITCH(CleanEmployeeData[[#This Row],[WorkLifeBalance]],1,"Bad",2,"Good",3,"Better",4,"Best","Unknown")</f>
        <v>Better</v>
      </c>
      <c r="AP951">
        <f>IF(CleanEmployeeData[[#This Row],[Attrition]]="Yes",1,IF(CleanEmployeeData[[#This Row],[Attrition]]="No",0,""))</f>
        <v>0</v>
      </c>
      <c r="AQ951" t="str" cm="1">
        <f t="array" ref="AQ951">_xlfn.IFS(CleanEmployeeData[[#This Row],[MonthlyIncome]]&lt;=3000,"0–3,000",CleanEmployeeData[[#This Row],[MonthlyIncome]]&lt;=6000,"3,001–6,000",CleanEmployeeData[[#This Row],[MonthlyIncome]]&lt;=10000,"6,001–10,000",TRUE,"10,001+")</f>
        <v>3,001–6,000</v>
      </c>
      <c r="AR951" t="str" cm="1">
        <f t="array" ref="AR951">_xlfn.IFS(CleanEmployeeData[[#This Row],[DistanceFromHome]]&lt;=5,"0–5 miles",CleanEmployeeData[[#This Row],[DistanceFromHome]]&lt;=10,"6–10 miles",CleanEmployeeData[[#This Row],[DistanceFromHome]]&lt;=15,"11–15 miles",TRUE,"16+ miles")</f>
        <v>16+ miles</v>
      </c>
      <c r="AS951" t="str" cm="1">
        <f t="array" ref="AS951">_xlfn.IFS(CleanEmployeeData[[#This Row],[YearsAtCompany]]&lt;=1,"0–1 years",CleanEmployeeData[[#This Row],[YearsAtCompany]]&lt;=5,"2–5 years",CleanEmployeeData[[#This Row],[YearsAtCompany]]&lt;=10,"6–10 years",TRUE,"11+ years")</f>
        <v>6–10 years</v>
      </c>
    </row>
    <row r="952" spans="1:4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cm="1">
        <f t="array" ref="AJ952">_xlfn.SWITCH(CleanEmployeeData[[#This Row],[Education]],1,"Below College",2,"College",3,"Bachelor",4,"Master",5,"Doctor","Unknown")</f>
        <v>Master</v>
      </c>
      <c r="AK952" t="str" cm="1">
        <f t="array" ref="AK952">_xlfn.SWITCH(CleanEmployeeData[[#This Row],[EnvironmentSatisfaction]],1,"Low",2,"Medium",3,"High",4,"Very High","Unknown")</f>
        <v>Very High</v>
      </c>
      <c r="AL952" t="str" cm="1">
        <f t="array" ref="AL952">_xlfn.SWITCH(CleanEmployeeData[[#This Row],[JobInvolvement]],1,"Low",2,"Medium",3,"High",4,"Very High","Unknown")</f>
        <v>High</v>
      </c>
      <c r="AM952" t="str" cm="1">
        <f t="array" ref="AM952">_xlfn.SWITCH(CleanEmployeeData[[#This Row],[JobSatisfaction]],1,"Low",2,"Medium",3,"High",4,"Very High","Unknown")</f>
        <v>High</v>
      </c>
      <c r="AN952" t="str" cm="1">
        <f t="array" ref="AN952">_xlfn.SWITCH(CleanEmployeeData[[#This Row],[PerformanceRating]],1,"Low",2,"Good",3,"Excellent",4,"Outstanding","Unknown")</f>
        <v>Excellent</v>
      </c>
      <c r="AO952" t="str" cm="1">
        <f t="array" ref="AO952">_xlfn.SWITCH(CleanEmployeeData[[#This Row],[WorkLifeBalance]],1,"Bad",2,"Good",3,"Better",4,"Best","Unknown")</f>
        <v>Good</v>
      </c>
      <c r="AP952">
        <f>IF(CleanEmployeeData[[#This Row],[Attrition]]="Yes",1,IF(CleanEmployeeData[[#This Row],[Attrition]]="No",0,""))</f>
        <v>0</v>
      </c>
      <c r="AQ952" t="str" cm="1">
        <f t="array" ref="AQ952">_xlfn.IFS(CleanEmployeeData[[#This Row],[MonthlyIncome]]&lt;=3000,"0–3,000",CleanEmployeeData[[#This Row],[MonthlyIncome]]&lt;=6000,"3,001–6,000",CleanEmployeeData[[#This Row],[MonthlyIncome]]&lt;=10000,"6,001–10,000",TRUE,"10,001+")</f>
        <v>6,001–10,000</v>
      </c>
      <c r="AR952" t="str" cm="1">
        <f t="array" ref="AR952">_xlfn.IFS(CleanEmployeeData[[#This Row],[DistanceFromHome]]&lt;=5,"0–5 miles",CleanEmployeeData[[#This Row],[DistanceFromHome]]&lt;=10,"6–10 miles",CleanEmployeeData[[#This Row],[DistanceFromHome]]&lt;=15,"11–15 miles",TRUE,"16+ miles")</f>
        <v>0–5 miles</v>
      </c>
      <c r="AS952" t="str" cm="1">
        <f t="array" ref="AS952">_xlfn.IFS(CleanEmployeeData[[#This Row],[YearsAtCompany]]&lt;=1,"0–1 years",CleanEmployeeData[[#This Row],[YearsAtCompany]]&lt;=5,"2–5 years",CleanEmployeeData[[#This Row],[YearsAtCompany]]&lt;=10,"6–10 years",TRUE,"11+ years")</f>
        <v>6–10 years</v>
      </c>
    </row>
    <row r="953" spans="1:4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cm="1">
        <f t="array" ref="AJ953">_xlfn.SWITCH(CleanEmployeeData[[#This Row],[Education]],1,"Below College",2,"College",3,"Bachelor",4,"Master",5,"Doctor","Unknown")</f>
        <v>College</v>
      </c>
      <c r="AK953" t="str" cm="1">
        <f t="array" ref="AK953">_xlfn.SWITCH(CleanEmployeeData[[#This Row],[EnvironmentSatisfaction]],1,"Low",2,"Medium",3,"High",4,"Very High","Unknown")</f>
        <v>High</v>
      </c>
      <c r="AL953" t="str" cm="1">
        <f t="array" ref="AL953">_xlfn.SWITCH(CleanEmployeeData[[#This Row],[JobInvolvement]],1,"Low",2,"Medium",3,"High",4,"Very High","Unknown")</f>
        <v>Low</v>
      </c>
      <c r="AM953" t="str" cm="1">
        <f t="array" ref="AM953">_xlfn.SWITCH(CleanEmployeeData[[#This Row],[JobSatisfaction]],1,"Low",2,"Medium",3,"High",4,"Very High","Unknown")</f>
        <v>Medium</v>
      </c>
      <c r="AN953" t="str" cm="1">
        <f t="array" ref="AN953">_xlfn.SWITCH(CleanEmployeeData[[#This Row],[PerformanceRating]],1,"Low",2,"Good",3,"Excellent",4,"Outstanding","Unknown")</f>
        <v>Excellent</v>
      </c>
      <c r="AO953" t="str" cm="1">
        <f t="array" ref="AO953">_xlfn.SWITCH(CleanEmployeeData[[#This Row],[WorkLifeBalance]],1,"Bad",2,"Good",3,"Better",4,"Best","Unknown")</f>
        <v>Better</v>
      </c>
      <c r="AP953">
        <f>IF(CleanEmployeeData[[#This Row],[Attrition]]="Yes",1,IF(CleanEmployeeData[[#This Row],[Attrition]]="No",0,""))</f>
        <v>0</v>
      </c>
      <c r="AQ953" t="str" cm="1">
        <f t="array" ref="AQ953">_xlfn.IFS(CleanEmployeeData[[#This Row],[MonthlyIncome]]&lt;=3000,"0–3,000",CleanEmployeeData[[#This Row],[MonthlyIncome]]&lt;=6000,"3,001–6,000",CleanEmployeeData[[#This Row],[MonthlyIncome]]&lt;=10000,"6,001–10,000",TRUE,"10,001+")</f>
        <v>6,001–10,000</v>
      </c>
      <c r="AR953" t="str" cm="1">
        <f t="array" ref="AR953">_xlfn.IFS(CleanEmployeeData[[#This Row],[DistanceFromHome]]&lt;=5,"0–5 miles",CleanEmployeeData[[#This Row],[DistanceFromHome]]&lt;=10,"6–10 miles",CleanEmployeeData[[#This Row],[DistanceFromHome]]&lt;=15,"11–15 miles",TRUE,"16+ miles")</f>
        <v>6–10 miles</v>
      </c>
      <c r="AS953" t="str" cm="1">
        <f t="array" ref="AS953">_xlfn.IFS(CleanEmployeeData[[#This Row],[YearsAtCompany]]&lt;=1,"0–1 years",CleanEmployeeData[[#This Row],[YearsAtCompany]]&lt;=5,"2–5 years",CleanEmployeeData[[#This Row],[YearsAtCompany]]&lt;=10,"6–10 years",TRUE,"11+ years")</f>
        <v>11+ years</v>
      </c>
    </row>
    <row r="954" spans="1:4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cm="1">
        <f t="array" ref="AJ954">_xlfn.SWITCH(CleanEmployeeData[[#This Row],[Education]],1,"Below College",2,"College",3,"Bachelor",4,"Master",5,"Doctor","Unknown")</f>
        <v>Bachelor</v>
      </c>
      <c r="AK954" t="str" cm="1">
        <f t="array" ref="AK954">_xlfn.SWITCH(CleanEmployeeData[[#This Row],[EnvironmentSatisfaction]],1,"Low",2,"Medium",3,"High",4,"Very High","Unknown")</f>
        <v>Very High</v>
      </c>
      <c r="AL954" t="str" cm="1">
        <f t="array" ref="AL954">_xlfn.SWITCH(CleanEmployeeData[[#This Row],[JobInvolvement]],1,"Low",2,"Medium",3,"High",4,"Very High","Unknown")</f>
        <v>High</v>
      </c>
      <c r="AM954" t="str" cm="1">
        <f t="array" ref="AM954">_xlfn.SWITCH(CleanEmployeeData[[#This Row],[JobSatisfaction]],1,"Low",2,"Medium",3,"High",4,"Very High","Unknown")</f>
        <v>Medium</v>
      </c>
      <c r="AN954" t="str" cm="1">
        <f t="array" ref="AN954">_xlfn.SWITCH(CleanEmployeeData[[#This Row],[PerformanceRating]],1,"Low",2,"Good",3,"Excellent",4,"Outstanding","Unknown")</f>
        <v>Excellent</v>
      </c>
      <c r="AO954" t="str" cm="1">
        <f t="array" ref="AO954">_xlfn.SWITCH(CleanEmployeeData[[#This Row],[WorkLifeBalance]],1,"Bad",2,"Good",3,"Better",4,"Best","Unknown")</f>
        <v>Best</v>
      </c>
      <c r="AP954">
        <f>IF(CleanEmployeeData[[#This Row],[Attrition]]="Yes",1,IF(CleanEmployeeData[[#This Row],[Attrition]]="No",0,""))</f>
        <v>1</v>
      </c>
      <c r="AQ954" t="str" cm="1">
        <f t="array" ref="AQ954">_xlfn.IFS(CleanEmployeeData[[#This Row],[MonthlyIncome]]&lt;=3000,"0–3,000",CleanEmployeeData[[#This Row],[MonthlyIncome]]&lt;=6000,"3,001–6,000",CleanEmployeeData[[#This Row],[MonthlyIncome]]&lt;=10000,"6,001–10,000",TRUE,"10,001+")</f>
        <v>0–3,000</v>
      </c>
      <c r="AR954" t="str" cm="1">
        <f t="array" ref="AR954">_xlfn.IFS(CleanEmployeeData[[#This Row],[DistanceFromHome]]&lt;=5,"0–5 miles",CleanEmployeeData[[#This Row],[DistanceFromHome]]&lt;=10,"6–10 miles",CleanEmployeeData[[#This Row],[DistanceFromHome]]&lt;=15,"11–15 miles",TRUE,"16+ miles")</f>
        <v>0–5 miles</v>
      </c>
      <c r="AS954" t="str" cm="1">
        <f t="array" ref="AS954">_xlfn.IFS(CleanEmployeeData[[#This Row],[YearsAtCompany]]&lt;=1,"0–1 years",CleanEmployeeData[[#This Row],[YearsAtCompany]]&lt;=5,"2–5 years",CleanEmployeeData[[#This Row],[YearsAtCompany]]&lt;=10,"6–10 years",TRUE,"11+ years")</f>
        <v>2–5 years</v>
      </c>
    </row>
    <row r="955" spans="1:4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cm="1">
        <f t="array" ref="AJ955">_xlfn.SWITCH(CleanEmployeeData[[#This Row],[Education]],1,"Below College",2,"College",3,"Bachelor",4,"Master",5,"Doctor","Unknown")</f>
        <v>Bachelor</v>
      </c>
      <c r="AK955" t="str" cm="1">
        <f t="array" ref="AK955">_xlfn.SWITCH(CleanEmployeeData[[#This Row],[EnvironmentSatisfaction]],1,"Low",2,"Medium",3,"High",4,"Very High","Unknown")</f>
        <v>Low</v>
      </c>
      <c r="AL955" t="str" cm="1">
        <f t="array" ref="AL955">_xlfn.SWITCH(CleanEmployeeData[[#This Row],[JobInvolvement]],1,"Low",2,"Medium",3,"High",4,"Very High","Unknown")</f>
        <v>High</v>
      </c>
      <c r="AM955" t="str" cm="1">
        <f t="array" ref="AM955">_xlfn.SWITCH(CleanEmployeeData[[#This Row],[JobSatisfaction]],1,"Low",2,"Medium",3,"High",4,"Very High","Unknown")</f>
        <v>Low</v>
      </c>
      <c r="AN955" t="str" cm="1">
        <f t="array" ref="AN955">_xlfn.SWITCH(CleanEmployeeData[[#This Row],[PerformanceRating]],1,"Low",2,"Good",3,"Excellent",4,"Outstanding","Unknown")</f>
        <v>Excellent</v>
      </c>
      <c r="AO955" t="str" cm="1">
        <f t="array" ref="AO955">_xlfn.SWITCH(CleanEmployeeData[[#This Row],[WorkLifeBalance]],1,"Bad",2,"Good",3,"Better",4,"Best","Unknown")</f>
        <v>Best</v>
      </c>
      <c r="AP955">
        <f>IF(CleanEmployeeData[[#This Row],[Attrition]]="Yes",1,IF(CleanEmployeeData[[#This Row],[Attrition]]="No",0,""))</f>
        <v>1</v>
      </c>
      <c r="AQ955" t="str" cm="1">
        <f t="array" ref="AQ955">_xlfn.IFS(CleanEmployeeData[[#This Row],[MonthlyIncome]]&lt;=3000,"0–3,000",CleanEmployeeData[[#This Row],[MonthlyIncome]]&lt;=6000,"3,001–6,000",CleanEmployeeData[[#This Row],[MonthlyIncome]]&lt;=10000,"6,001–10,000",TRUE,"10,001+")</f>
        <v>0–3,000</v>
      </c>
      <c r="AR955" t="str" cm="1">
        <f t="array" ref="AR955">_xlfn.IFS(CleanEmployeeData[[#This Row],[DistanceFromHome]]&lt;=5,"0–5 miles",CleanEmployeeData[[#This Row],[DistanceFromHome]]&lt;=10,"6–10 miles",CleanEmployeeData[[#This Row],[DistanceFromHome]]&lt;=15,"11–15 miles",TRUE,"16+ miles")</f>
        <v>0–5 miles</v>
      </c>
      <c r="AS955" t="str" cm="1">
        <f t="array" ref="AS955">_xlfn.IFS(CleanEmployeeData[[#This Row],[YearsAtCompany]]&lt;=1,"0–1 years",CleanEmployeeData[[#This Row],[YearsAtCompany]]&lt;=5,"2–5 years",CleanEmployeeData[[#This Row],[YearsAtCompany]]&lt;=10,"6–10 years",TRUE,"11+ years")</f>
        <v>2–5 years</v>
      </c>
    </row>
    <row r="956" spans="1:4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cm="1">
        <f t="array" ref="AJ956">_xlfn.SWITCH(CleanEmployeeData[[#This Row],[Education]],1,"Below College",2,"College",3,"Bachelor",4,"Master",5,"Doctor","Unknown")</f>
        <v>Below College</v>
      </c>
      <c r="AK956" t="str" cm="1">
        <f t="array" ref="AK956">_xlfn.SWITCH(CleanEmployeeData[[#This Row],[EnvironmentSatisfaction]],1,"Low",2,"Medium",3,"High",4,"Very High","Unknown")</f>
        <v>High</v>
      </c>
      <c r="AL956" t="str" cm="1">
        <f t="array" ref="AL956">_xlfn.SWITCH(CleanEmployeeData[[#This Row],[JobInvolvement]],1,"Low",2,"Medium",3,"High",4,"Very High","Unknown")</f>
        <v>High</v>
      </c>
      <c r="AM956" t="str" cm="1">
        <f t="array" ref="AM956">_xlfn.SWITCH(CleanEmployeeData[[#This Row],[JobSatisfaction]],1,"Low",2,"Medium",3,"High",4,"Very High","Unknown")</f>
        <v>High</v>
      </c>
      <c r="AN956" t="str" cm="1">
        <f t="array" ref="AN956">_xlfn.SWITCH(CleanEmployeeData[[#This Row],[PerformanceRating]],1,"Low",2,"Good",3,"Excellent",4,"Outstanding","Unknown")</f>
        <v>Excellent</v>
      </c>
      <c r="AO956" t="str" cm="1">
        <f t="array" ref="AO956">_xlfn.SWITCH(CleanEmployeeData[[#This Row],[WorkLifeBalance]],1,"Bad",2,"Good",3,"Better",4,"Best","Unknown")</f>
        <v>Good</v>
      </c>
      <c r="AP956">
        <f>IF(CleanEmployeeData[[#This Row],[Attrition]]="Yes",1,IF(CleanEmployeeData[[#This Row],[Attrition]]="No",0,""))</f>
        <v>0</v>
      </c>
      <c r="AQ956" t="str" cm="1">
        <f t="array" ref="AQ956">_xlfn.IFS(CleanEmployeeData[[#This Row],[MonthlyIncome]]&lt;=3000,"0–3,000",CleanEmployeeData[[#This Row],[MonthlyIncome]]&lt;=6000,"3,001–6,000",CleanEmployeeData[[#This Row],[MonthlyIncome]]&lt;=10000,"6,001–10,000",TRUE,"10,001+")</f>
        <v>10,001+</v>
      </c>
      <c r="AR956" t="str" cm="1">
        <f t="array" ref="AR956">_xlfn.IFS(CleanEmployeeData[[#This Row],[DistanceFromHome]]&lt;=5,"0–5 miles",CleanEmployeeData[[#This Row],[DistanceFromHome]]&lt;=10,"6–10 miles",CleanEmployeeData[[#This Row],[DistanceFromHome]]&lt;=15,"11–15 miles",TRUE,"16+ miles")</f>
        <v>0–5 miles</v>
      </c>
      <c r="AS956" t="str" cm="1">
        <f t="array" ref="AS956">_xlfn.IFS(CleanEmployeeData[[#This Row],[YearsAtCompany]]&lt;=1,"0–1 years",CleanEmployeeData[[#This Row],[YearsAtCompany]]&lt;=5,"2–5 years",CleanEmployeeData[[#This Row],[YearsAtCompany]]&lt;=10,"6–10 years",TRUE,"11+ years")</f>
        <v>11+ years</v>
      </c>
    </row>
    <row r="957" spans="1:4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cm="1">
        <f t="array" ref="AJ957">_xlfn.SWITCH(CleanEmployeeData[[#This Row],[Education]],1,"Below College",2,"College",3,"Bachelor",4,"Master",5,"Doctor","Unknown")</f>
        <v>College</v>
      </c>
      <c r="AK957" t="str" cm="1">
        <f t="array" ref="AK957">_xlfn.SWITCH(CleanEmployeeData[[#This Row],[EnvironmentSatisfaction]],1,"Low",2,"Medium",3,"High",4,"Very High","Unknown")</f>
        <v>Very High</v>
      </c>
      <c r="AL957" t="str" cm="1">
        <f t="array" ref="AL957">_xlfn.SWITCH(CleanEmployeeData[[#This Row],[JobInvolvement]],1,"Low",2,"Medium",3,"High",4,"Very High","Unknown")</f>
        <v>Low</v>
      </c>
      <c r="AM957" t="str" cm="1">
        <f t="array" ref="AM957">_xlfn.SWITCH(CleanEmployeeData[[#This Row],[JobSatisfaction]],1,"Low",2,"Medium",3,"High",4,"Very High","Unknown")</f>
        <v>High</v>
      </c>
      <c r="AN957" t="str" cm="1">
        <f t="array" ref="AN957">_xlfn.SWITCH(CleanEmployeeData[[#This Row],[PerformanceRating]],1,"Low",2,"Good",3,"Excellent",4,"Outstanding","Unknown")</f>
        <v>Excellent</v>
      </c>
      <c r="AO957" t="str" cm="1">
        <f t="array" ref="AO957">_xlfn.SWITCH(CleanEmployeeData[[#This Row],[WorkLifeBalance]],1,"Bad",2,"Good",3,"Better",4,"Best","Unknown")</f>
        <v>Better</v>
      </c>
      <c r="AP957">
        <f>IF(CleanEmployeeData[[#This Row],[Attrition]]="Yes",1,IF(CleanEmployeeData[[#This Row],[Attrition]]="No",0,""))</f>
        <v>0</v>
      </c>
      <c r="AQ957" t="str" cm="1">
        <f t="array" ref="AQ957">_xlfn.IFS(CleanEmployeeData[[#This Row],[MonthlyIncome]]&lt;=3000,"0–3,000",CleanEmployeeData[[#This Row],[MonthlyIncome]]&lt;=6000,"3,001–6,000",CleanEmployeeData[[#This Row],[MonthlyIncome]]&lt;=10000,"6,001–10,000",TRUE,"10,001+")</f>
        <v>10,001+</v>
      </c>
      <c r="AR957" t="str" cm="1">
        <f t="array" ref="AR957">_xlfn.IFS(CleanEmployeeData[[#This Row],[DistanceFromHome]]&lt;=5,"0–5 miles",CleanEmployeeData[[#This Row],[DistanceFromHome]]&lt;=10,"6–10 miles",CleanEmployeeData[[#This Row],[DistanceFromHome]]&lt;=15,"11–15 miles",TRUE,"16+ miles")</f>
        <v>0–5 miles</v>
      </c>
      <c r="AS957" t="str" cm="1">
        <f t="array" ref="AS957">_xlfn.IFS(CleanEmployeeData[[#This Row],[YearsAtCompany]]&lt;=1,"0–1 years",CleanEmployeeData[[#This Row],[YearsAtCompany]]&lt;=5,"2–5 years",CleanEmployeeData[[#This Row],[YearsAtCompany]]&lt;=10,"6–10 years",TRUE,"11+ years")</f>
        <v>11+ years</v>
      </c>
    </row>
    <row r="958" spans="1:4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cm="1">
        <f t="array" ref="AJ958">_xlfn.SWITCH(CleanEmployeeData[[#This Row],[Education]],1,"Below College",2,"College",3,"Bachelor",4,"Master",5,"Doctor","Unknown")</f>
        <v>Master</v>
      </c>
      <c r="AK958" t="str" cm="1">
        <f t="array" ref="AK958">_xlfn.SWITCH(CleanEmployeeData[[#This Row],[EnvironmentSatisfaction]],1,"Low",2,"Medium",3,"High",4,"Very High","Unknown")</f>
        <v>Very High</v>
      </c>
      <c r="AL958" t="str" cm="1">
        <f t="array" ref="AL958">_xlfn.SWITCH(CleanEmployeeData[[#This Row],[JobInvolvement]],1,"Low",2,"Medium",3,"High",4,"Very High","Unknown")</f>
        <v>High</v>
      </c>
      <c r="AM958" t="str" cm="1">
        <f t="array" ref="AM958">_xlfn.SWITCH(CleanEmployeeData[[#This Row],[JobSatisfaction]],1,"Low",2,"Medium",3,"High",4,"Very High","Unknown")</f>
        <v>Medium</v>
      </c>
      <c r="AN958" t="str" cm="1">
        <f t="array" ref="AN958">_xlfn.SWITCH(CleanEmployeeData[[#This Row],[PerformanceRating]],1,"Low",2,"Good",3,"Excellent",4,"Outstanding","Unknown")</f>
        <v>Excellent</v>
      </c>
      <c r="AO958" t="str" cm="1">
        <f t="array" ref="AO958">_xlfn.SWITCH(CleanEmployeeData[[#This Row],[WorkLifeBalance]],1,"Bad",2,"Good",3,"Better",4,"Best","Unknown")</f>
        <v>Better</v>
      </c>
      <c r="AP958">
        <f>IF(CleanEmployeeData[[#This Row],[Attrition]]="Yes",1,IF(CleanEmployeeData[[#This Row],[Attrition]]="No",0,""))</f>
        <v>0</v>
      </c>
      <c r="AQ958" t="str" cm="1">
        <f t="array" ref="AQ958">_xlfn.IFS(CleanEmployeeData[[#This Row],[MonthlyIncome]]&lt;=3000,"0–3,000",CleanEmployeeData[[#This Row],[MonthlyIncome]]&lt;=6000,"3,001–6,000",CleanEmployeeData[[#This Row],[MonthlyIncome]]&lt;=10000,"6,001–10,000",TRUE,"10,001+")</f>
        <v>10,001+</v>
      </c>
      <c r="AR958" t="str" cm="1">
        <f t="array" ref="AR958">_xlfn.IFS(CleanEmployeeData[[#This Row],[DistanceFromHome]]&lt;=5,"0–5 miles",CleanEmployeeData[[#This Row],[DistanceFromHome]]&lt;=10,"6–10 miles",CleanEmployeeData[[#This Row],[DistanceFromHome]]&lt;=15,"11–15 miles",TRUE,"16+ miles")</f>
        <v>6–10 miles</v>
      </c>
      <c r="AS958" t="str" cm="1">
        <f t="array" ref="AS958">_xlfn.IFS(CleanEmployeeData[[#This Row],[YearsAtCompany]]&lt;=1,"0–1 years",CleanEmployeeData[[#This Row],[YearsAtCompany]]&lt;=5,"2–5 years",CleanEmployeeData[[#This Row],[YearsAtCompany]]&lt;=10,"6–10 years",TRUE,"11+ years")</f>
        <v>6–10 years</v>
      </c>
    </row>
    <row r="959" spans="1:4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cm="1">
        <f t="array" ref="AJ959">_xlfn.SWITCH(CleanEmployeeData[[#This Row],[Education]],1,"Below College",2,"College",3,"Bachelor",4,"Master",5,"Doctor","Unknown")</f>
        <v>College</v>
      </c>
      <c r="AK959" t="str" cm="1">
        <f t="array" ref="AK959">_xlfn.SWITCH(CleanEmployeeData[[#This Row],[EnvironmentSatisfaction]],1,"Low",2,"Medium",3,"High",4,"Very High","Unknown")</f>
        <v>High</v>
      </c>
      <c r="AL959" t="str" cm="1">
        <f t="array" ref="AL959">_xlfn.SWITCH(CleanEmployeeData[[#This Row],[JobInvolvement]],1,"Low",2,"Medium",3,"High",4,"Very High","Unknown")</f>
        <v>High</v>
      </c>
      <c r="AM959" t="str" cm="1">
        <f t="array" ref="AM959">_xlfn.SWITCH(CleanEmployeeData[[#This Row],[JobSatisfaction]],1,"Low",2,"Medium",3,"High",4,"Very High","Unknown")</f>
        <v>High</v>
      </c>
      <c r="AN959" t="str" cm="1">
        <f t="array" ref="AN959">_xlfn.SWITCH(CleanEmployeeData[[#This Row],[PerformanceRating]],1,"Low",2,"Good",3,"Excellent",4,"Outstanding","Unknown")</f>
        <v>Excellent</v>
      </c>
      <c r="AO959" t="str" cm="1">
        <f t="array" ref="AO959">_xlfn.SWITCH(CleanEmployeeData[[#This Row],[WorkLifeBalance]],1,"Bad",2,"Good",3,"Better",4,"Best","Unknown")</f>
        <v>Better</v>
      </c>
      <c r="AP959">
        <f>IF(CleanEmployeeData[[#This Row],[Attrition]]="Yes",1,IF(CleanEmployeeData[[#This Row],[Attrition]]="No",0,""))</f>
        <v>0</v>
      </c>
      <c r="AQ959" t="str" cm="1">
        <f t="array" ref="AQ959">_xlfn.IFS(CleanEmployeeData[[#This Row],[MonthlyIncome]]&lt;=3000,"0–3,000",CleanEmployeeData[[#This Row],[MonthlyIncome]]&lt;=6000,"3,001–6,000",CleanEmployeeData[[#This Row],[MonthlyIncome]]&lt;=10000,"6,001–10,000",TRUE,"10,001+")</f>
        <v>3,001–6,000</v>
      </c>
      <c r="AR959" t="str" cm="1">
        <f t="array" ref="AR959">_xlfn.IFS(CleanEmployeeData[[#This Row],[DistanceFromHome]]&lt;=5,"0–5 miles",CleanEmployeeData[[#This Row],[DistanceFromHome]]&lt;=10,"6–10 miles",CleanEmployeeData[[#This Row],[DistanceFromHome]]&lt;=15,"11–15 miles",TRUE,"16+ miles")</f>
        <v>16+ miles</v>
      </c>
      <c r="AS959" t="str" cm="1">
        <f t="array" ref="AS959">_xlfn.IFS(CleanEmployeeData[[#This Row],[YearsAtCompany]]&lt;=1,"0–1 years",CleanEmployeeData[[#This Row],[YearsAtCompany]]&lt;=5,"2–5 years",CleanEmployeeData[[#This Row],[YearsAtCompany]]&lt;=10,"6–10 years",TRUE,"11+ years")</f>
        <v>2–5 years</v>
      </c>
    </row>
    <row r="960" spans="1:4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cm="1">
        <f t="array" ref="AJ960">_xlfn.SWITCH(CleanEmployeeData[[#This Row],[Education]],1,"Below College",2,"College",3,"Bachelor",4,"Master",5,"Doctor","Unknown")</f>
        <v>Bachelor</v>
      </c>
      <c r="AK960" t="str" cm="1">
        <f t="array" ref="AK960">_xlfn.SWITCH(CleanEmployeeData[[#This Row],[EnvironmentSatisfaction]],1,"Low",2,"Medium",3,"High",4,"Very High","Unknown")</f>
        <v>Very High</v>
      </c>
      <c r="AL960" t="str" cm="1">
        <f t="array" ref="AL960">_xlfn.SWITCH(CleanEmployeeData[[#This Row],[JobInvolvement]],1,"Low",2,"Medium",3,"High",4,"Very High","Unknown")</f>
        <v>High</v>
      </c>
      <c r="AM960" t="str" cm="1">
        <f t="array" ref="AM960">_xlfn.SWITCH(CleanEmployeeData[[#This Row],[JobSatisfaction]],1,"Low",2,"Medium",3,"High",4,"Very High","Unknown")</f>
        <v>Very High</v>
      </c>
      <c r="AN960" t="str" cm="1">
        <f t="array" ref="AN960">_xlfn.SWITCH(CleanEmployeeData[[#This Row],[PerformanceRating]],1,"Low",2,"Good",3,"Excellent",4,"Outstanding","Unknown")</f>
        <v>Excellent</v>
      </c>
      <c r="AO960" t="str" cm="1">
        <f t="array" ref="AO960">_xlfn.SWITCH(CleanEmployeeData[[#This Row],[WorkLifeBalance]],1,"Bad",2,"Good",3,"Better",4,"Best","Unknown")</f>
        <v>Good</v>
      </c>
      <c r="AP960">
        <f>IF(CleanEmployeeData[[#This Row],[Attrition]]="Yes",1,IF(CleanEmployeeData[[#This Row],[Attrition]]="No",0,""))</f>
        <v>0</v>
      </c>
      <c r="AQ960" t="str" cm="1">
        <f t="array" ref="AQ960">_xlfn.IFS(CleanEmployeeData[[#This Row],[MonthlyIncome]]&lt;=3000,"0–3,000",CleanEmployeeData[[#This Row],[MonthlyIncome]]&lt;=6000,"3,001–6,000",CleanEmployeeData[[#This Row],[MonthlyIncome]]&lt;=10000,"6,001–10,000",TRUE,"10,001+")</f>
        <v>6,001–10,000</v>
      </c>
      <c r="AR960" t="str" cm="1">
        <f t="array" ref="AR960">_xlfn.IFS(CleanEmployeeData[[#This Row],[DistanceFromHome]]&lt;=5,"0–5 miles",CleanEmployeeData[[#This Row],[DistanceFromHome]]&lt;=10,"6–10 miles",CleanEmployeeData[[#This Row],[DistanceFromHome]]&lt;=15,"11–15 miles",TRUE,"16+ miles")</f>
        <v>6–10 miles</v>
      </c>
      <c r="AS960" t="str" cm="1">
        <f t="array" ref="AS960">_xlfn.IFS(CleanEmployeeData[[#This Row],[YearsAtCompany]]&lt;=1,"0–1 years",CleanEmployeeData[[#This Row],[YearsAtCompany]]&lt;=5,"2–5 years",CleanEmployeeData[[#This Row],[YearsAtCompany]]&lt;=10,"6–10 years",TRUE,"11+ years")</f>
        <v>6–10 years</v>
      </c>
    </row>
    <row r="961" spans="1:4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cm="1">
        <f t="array" ref="AJ961">_xlfn.SWITCH(CleanEmployeeData[[#This Row],[Education]],1,"Below College",2,"College",3,"Bachelor",4,"Master",5,"Doctor","Unknown")</f>
        <v>Bachelor</v>
      </c>
      <c r="AK961" t="str" cm="1">
        <f t="array" ref="AK961">_xlfn.SWITCH(CleanEmployeeData[[#This Row],[EnvironmentSatisfaction]],1,"Low",2,"Medium",3,"High",4,"Very High","Unknown")</f>
        <v>High</v>
      </c>
      <c r="AL961" t="str" cm="1">
        <f t="array" ref="AL961">_xlfn.SWITCH(CleanEmployeeData[[#This Row],[JobInvolvement]],1,"Low",2,"Medium",3,"High",4,"Very High","Unknown")</f>
        <v>High</v>
      </c>
      <c r="AM961" t="str" cm="1">
        <f t="array" ref="AM961">_xlfn.SWITCH(CleanEmployeeData[[#This Row],[JobSatisfaction]],1,"Low",2,"Medium",3,"High",4,"Very High","Unknown")</f>
        <v>Very High</v>
      </c>
      <c r="AN961" t="str" cm="1">
        <f t="array" ref="AN961">_xlfn.SWITCH(CleanEmployeeData[[#This Row],[PerformanceRating]],1,"Low",2,"Good",3,"Excellent",4,"Outstanding","Unknown")</f>
        <v>Excellent</v>
      </c>
      <c r="AO961" t="str" cm="1">
        <f t="array" ref="AO961">_xlfn.SWITCH(CleanEmployeeData[[#This Row],[WorkLifeBalance]],1,"Bad",2,"Good",3,"Better",4,"Best","Unknown")</f>
        <v>Better</v>
      </c>
      <c r="AP961">
        <f>IF(CleanEmployeeData[[#This Row],[Attrition]]="Yes",1,IF(CleanEmployeeData[[#This Row],[Attrition]]="No",0,""))</f>
        <v>0</v>
      </c>
      <c r="AQ961" t="str" cm="1">
        <f t="array" ref="AQ961">_xlfn.IFS(CleanEmployeeData[[#This Row],[MonthlyIncome]]&lt;=3000,"0–3,000",CleanEmployeeData[[#This Row],[MonthlyIncome]]&lt;=6000,"3,001–6,000",CleanEmployeeData[[#This Row],[MonthlyIncome]]&lt;=10000,"6,001–10,000",TRUE,"10,001+")</f>
        <v>3,001–6,000</v>
      </c>
      <c r="AR961" t="str" cm="1">
        <f t="array" ref="AR961">_xlfn.IFS(CleanEmployeeData[[#This Row],[DistanceFromHome]]&lt;=5,"0–5 miles",CleanEmployeeData[[#This Row],[DistanceFromHome]]&lt;=10,"6–10 miles",CleanEmployeeData[[#This Row],[DistanceFromHome]]&lt;=15,"11–15 miles",TRUE,"16+ miles")</f>
        <v>0–5 miles</v>
      </c>
      <c r="AS961" t="str" cm="1">
        <f t="array" ref="AS961">_xlfn.IFS(CleanEmployeeData[[#This Row],[YearsAtCompany]]&lt;=1,"0–1 years",CleanEmployeeData[[#This Row],[YearsAtCompany]]&lt;=5,"2–5 years",CleanEmployeeData[[#This Row],[YearsAtCompany]]&lt;=10,"6–10 years",TRUE,"11+ years")</f>
        <v>6–10 years</v>
      </c>
    </row>
    <row r="962" spans="1:4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cm="1">
        <f t="array" ref="AJ962">_xlfn.SWITCH(CleanEmployeeData[[#This Row],[Education]],1,"Below College",2,"College",3,"Bachelor",4,"Master",5,"Doctor","Unknown")</f>
        <v>Bachelor</v>
      </c>
      <c r="AK962" t="str" cm="1">
        <f t="array" ref="AK962">_xlfn.SWITCH(CleanEmployeeData[[#This Row],[EnvironmentSatisfaction]],1,"Low",2,"Medium",3,"High",4,"Very High","Unknown")</f>
        <v>High</v>
      </c>
      <c r="AL962" t="str" cm="1">
        <f t="array" ref="AL962">_xlfn.SWITCH(CleanEmployeeData[[#This Row],[JobInvolvement]],1,"Low",2,"Medium",3,"High",4,"Very High","Unknown")</f>
        <v>High</v>
      </c>
      <c r="AM962" t="str" cm="1">
        <f t="array" ref="AM962">_xlfn.SWITCH(CleanEmployeeData[[#This Row],[JobSatisfaction]],1,"Low",2,"Medium",3,"High",4,"Very High","Unknown")</f>
        <v>Low</v>
      </c>
      <c r="AN962" t="str" cm="1">
        <f t="array" ref="AN962">_xlfn.SWITCH(CleanEmployeeData[[#This Row],[PerformanceRating]],1,"Low",2,"Good",3,"Excellent",4,"Outstanding","Unknown")</f>
        <v>Excellent</v>
      </c>
      <c r="AO962" t="str" cm="1">
        <f t="array" ref="AO962">_xlfn.SWITCH(CleanEmployeeData[[#This Row],[WorkLifeBalance]],1,"Bad",2,"Good",3,"Better",4,"Best","Unknown")</f>
        <v>Better</v>
      </c>
      <c r="AP962">
        <f>IF(CleanEmployeeData[[#This Row],[Attrition]]="Yes",1,IF(CleanEmployeeData[[#This Row],[Attrition]]="No",0,""))</f>
        <v>0</v>
      </c>
      <c r="AQ962" t="str" cm="1">
        <f t="array" ref="AQ962">_xlfn.IFS(CleanEmployeeData[[#This Row],[MonthlyIncome]]&lt;=3000,"0–3,000",CleanEmployeeData[[#This Row],[MonthlyIncome]]&lt;=6000,"3,001–6,000",CleanEmployeeData[[#This Row],[MonthlyIncome]]&lt;=10000,"6,001–10,000",TRUE,"10,001+")</f>
        <v>3,001–6,000</v>
      </c>
      <c r="AR962" t="str" cm="1">
        <f t="array" ref="AR962">_xlfn.IFS(CleanEmployeeData[[#This Row],[DistanceFromHome]]&lt;=5,"0–5 miles",CleanEmployeeData[[#This Row],[DistanceFromHome]]&lt;=10,"6–10 miles",CleanEmployeeData[[#This Row],[DistanceFromHome]]&lt;=15,"11–15 miles",TRUE,"16+ miles")</f>
        <v>0–5 miles</v>
      </c>
      <c r="AS962" t="str" cm="1">
        <f t="array" ref="AS962">_xlfn.IFS(CleanEmployeeData[[#This Row],[YearsAtCompany]]&lt;=1,"0–1 years",CleanEmployeeData[[#This Row],[YearsAtCompany]]&lt;=5,"2–5 years",CleanEmployeeData[[#This Row],[YearsAtCompany]]&lt;=10,"6–10 years",TRUE,"11+ years")</f>
        <v>6–10 years</v>
      </c>
    </row>
    <row r="963" spans="1:4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cm="1">
        <f t="array" ref="AJ963">_xlfn.SWITCH(CleanEmployeeData[[#This Row],[Education]],1,"Below College",2,"College",3,"Bachelor",4,"Master",5,"Doctor","Unknown")</f>
        <v>Master</v>
      </c>
      <c r="AK963" t="str" cm="1">
        <f t="array" ref="AK963">_xlfn.SWITCH(CleanEmployeeData[[#This Row],[EnvironmentSatisfaction]],1,"Low",2,"Medium",3,"High",4,"Very High","Unknown")</f>
        <v>High</v>
      </c>
      <c r="AL963" t="str" cm="1">
        <f t="array" ref="AL963">_xlfn.SWITCH(CleanEmployeeData[[#This Row],[JobInvolvement]],1,"Low",2,"Medium",3,"High",4,"Very High","Unknown")</f>
        <v>High</v>
      </c>
      <c r="AM963" t="str" cm="1">
        <f t="array" ref="AM963">_xlfn.SWITCH(CleanEmployeeData[[#This Row],[JobSatisfaction]],1,"Low",2,"Medium",3,"High",4,"Very High","Unknown")</f>
        <v>High</v>
      </c>
      <c r="AN963" t="str" cm="1">
        <f t="array" ref="AN963">_xlfn.SWITCH(CleanEmployeeData[[#This Row],[PerformanceRating]],1,"Low",2,"Good",3,"Excellent",4,"Outstanding","Unknown")</f>
        <v>Excellent</v>
      </c>
      <c r="AO963" t="str" cm="1">
        <f t="array" ref="AO963">_xlfn.SWITCH(CleanEmployeeData[[#This Row],[WorkLifeBalance]],1,"Bad",2,"Good",3,"Better",4,"Best","Unknown")</f>
        <v>Better</v>
      </c>
      <c r="AP963">
        <f>IF(CleanEmployeeData[[#This Row],[Attrition]]="Yes",1,IF(CleanEmployeeData[[#This Row],[Attrition]]="No",0,""))</f>
        <v>0</v>
      </c>
      <c r="AQ963" t="str" cm="1">
        <f t="array" ref="AQ963">_xlfn.IFS(CleanEmployeeData[[#This Row],[MonthlyIncome]]&lt;=3000,"0–3,000",CleanEmployeeData[[#This Row],[MonthlyIncome]]&lt;=6000,"3,001–6,000",CleanEmployeeData[[#This Row],[MonthlyIncome]]&lt;=10000,"6,001–10,000",TRUE,"10,001+")</f>
        <v>3,001–6,000</v>
      </c>
      <c r="AR963" t="str" cm="1">
        <f t="array" ref="AR963">_xlfn.IFS(CleanEmployeeData[[#This Row],[DistanceFromHome]]&lt;=5,"0–5 miles",CleanEmployeeData[[#This Row],[DistanceFromHome]]&lt;=10,"6–10 miles",CleanEmployeeData[[#This Row],[DistanceFromHome]]&lt;=15,"11–15 miles",TRUE,"16+ miles")</f>
        <v>0–5 miles</v>
      </c>
      <c r="AS963" t="str" cm="1">
        <f t="array" ref="AS963">_xlfn.IFS(CleanEmployeeData[[#This Row],[YearsAtCompany]]&lt;=1,"0–1 years",CleanEmployeeData[[#This Row],[YearsAtCompany]]&lt;=5,"2–5 years",CleanEmployeeData[[#This Row],[YearsAtCompany]]&lt;=10,"6–10 years",TRUE,"11+ years")</f>
        <v>6–10 years</v>
      </c>
    </row>
    <row r="964" spans="1:4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cm="1">
        <f t="array" ref="AJ964">_xlfn.SWITCH(CleanEmployeeData[[#This Row],[Education]],1,"Below College",2,"College",3,"Bachelor",4,"Master",5,"Doctor","Unknown")</f>
        <v>Bachelor</v>
      </c>
      <c r="AK964" t="str" cm="1">
        <f t="array" ref="AK964">_xlfn.SWITCH(CleanEmployeeData[[#This Row],[EnvironmentSatisfaction]],1,"Low",2,"Medium",3,"High",4,"Very High","Unknown")</f>
        <v>High</v>
      </c>
      <c r="AL964" t="str" cm="1">
        <f t="array" ref="AL964">_xlfn.SWITCH(CleanEmployeeData[[#This Row],[JobInvolvement]],1,"Low",2,"Medium",3,"High",4,"Very High","Unknown")</f>
        <v>High</v>
      </c>
      <c r="AM964" t="str" cm="1">
        <f t="array" ref="AM964">_xlfn.SWITCH(CleanEmployeeData[[#This Row],[JobSatisfaction]],1,"Low",2,"Medium",3,"High",4,"Very High","Unknown")</f>
        <v>Medium</v>
      </c>
      <c r="AN964" t="str" cm="1">
        <f t="array" ref="AN964">_xlfn.SWITCH(CleanEmployeeData[[#This Row],[PerformanceRating]],1,"Low",2,"Good",3,"Excellent",4,"Outstanding","Unknown")</f>
        <v>Excellent</v>
      </c>
      <c r="AO964" t="str" cm="1">
        <f t="array" ref="AO964">_xlfn.SWITCH(CleanEmployeeData[[#This Row],[WorkLifeBalance]],1,"Bad",2,"Good",3,"Better",4,"Best","Unknown")</f>
        <v>Better</v>
      </c>
      <c r="AP964">
        <f>IF(CleanEmployeeData[[#This Row],[Attrition]]="Yes",1,IF(CleanEmployeeData[[#This Row],[Attrition]]="No",0,""))</f>
        <v>0</v>
      </c>
      <c r="AQ964" t="str" cm="1">
        <f t="array" ref="AQ964">_xlfn.IFS(CleanEmployeeData[[#This Row],[MonthlyIncome]]&lt;=3000,"0–3,000",CleanEmployeeData[[#This Row],[MonthlyIncome]]&lt;=6000,"3,001–6,000",CleanEmployeeData[[#This Row],[MonthlyIncome]]&lt;=10000,"6,001–10,000",TRUE,"10,001+")</f>
        <v>10,001+</v>
      </c>
      <c r="AR964" t="str" cm="1">
        <f t="array" ref="AR964">_xlfn.IFS(CleanEmployeeData[[#This Row],[DistanceFromHome]]&lt;=5,"0–5 miles",CleanEmployeeData[[#This Row],[DistanceFromHome]]&lt;=10,"6–10 miles",CleanEmployeeData[[#This Row],[DistanceFromHome]]&lt;=15,"11–15 miles",TRUE,"16+ miles")</f>
        <v>0–5 miles</v>
      </c>
      <c r="AS964" t="str" cm="1">
        <f t="array" ref="AS964">_xlfn.IFS(CleanEmployeeData[[#This Row],[YearsAtCompany]]&lt;=1,"0–1 years",CleanEmployeeData[[#This Row],[YearsAtCompany]]&lt;=5,"2–5 years",CleanEmployeeData[[#This Row],[YearsAtCompany]]&lt;=10,"6–10 years",TRUE,"11+ years")</f>
        <v>11+ years</v>
      </c>
    </row>
    <row r="965" spans="1:4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cm="1">
        <f t="array" ref="AJ965">_xlfn.SWITCH(CleanEmployeeData[[#This Row],[Education]],1,"Below College",2,"College",3,"Bachelor",4,"Master",5,"Doctor","Unknown")</f>
        <v>College</v>
      </c>
      <c r="AK965" t="str" cm="1">
        <f t="array" ref="AK965">_xlfn.SWITCH(CleanEmployeeData[[#This Row],[EnvironmentSatisfaction]],1,"Low",2,"Medium",3,"High",4,"Very High","Unknown")</f>
        <v>Medium</v>
      </c>
      <c r="AL965" t="str" cm="1">
        <f t="array" ref="AL965">_xlfn.SWITCH(CleanEmployeeData[[#This Row],[JobInvolvement]],1,"Low",2,"Medium",3,"High",4,"Very High","Unknown")</f>
        <v>High</v>
      </c>
      <c r="AM965" t="str" cm="1">
        <f t="array" ref="AM965">_xlfn.SWITCH(CleanEmployeeData[[#This Row],[JobSatisfaction]],1,"Low",2,"Medium",3,"High",4,"Very High","Unknown")</f>
        <v>Low</v>
      </c>
      <c r="AN965" t="str" cm="1">
        <f t="array" ref="AN965">_xlfn.SWITCH(CleanEmployeeData[[#This Row],[PerformanceRating]],1,"Low",2,"Good",3,"Excellent",4,"Outstanding","Unknown")</f>
        <v>Excellent</v>
      </c>
      <c r="AO965" t="str" cm="1">
        <f t="array" ref="AO965">_xlfn.SWITCH(CleanEmployeeData[[#This Row],[WorkLifeBalance]],1,"Bad",2,"Good",3,"Better",4,"Best","Unknown")</f>
        <v>Better</v>
      </c>
      <c r="AP965">
        <f>IF(CleanEmployeeData[[#This Row],[Attrition]]="Yes",1,IF(CleanEmployeeData[[#This Row],[Attrition]]="No",0,""))</f>
        <v>0</v>
      </c>
      <c r="AQ965" t="str" cm="1">
        <f t="array" ref="AQ965">_xlfn.IFS(CleanEmployeeData[[#This Row],[MonthlyIncome]]&lt;=3000,"0–3,000",CleanEmployeeData[[#This Row],[MonthlyIncome]]&lt;=6000,"3,001–6,000",CleanEmployeeData[[#This Row],[MonthlyIncome]]&lt;=10000,"6,001–10,000",TRUE,"10,001+")</f>
        <v>6,001–10,000</v>
      </c>
      <c r="AR965" t="str" cm="1">
        <f t="array" ref="AR965">_xlfn.IFS(CleanEmployeeData[[#This Row],[DistanceFromHome]]&lt;=5,"0–5 miles",CleanEmployeeData[[#This Row],[DistanceFromHome]]&lt;=10,"6–10 miles",CleanEmployeeData[[#This Row],[DistanceFromHome]]&lt;=15,"11–15 miles",TRUE,"16+ miles")</f>
        <v>0–5 miles</v>
      </c>
      <c r="AS965" t="str" cm="1">
        <f t="array" ref="AS965">_xlfn.IFS(CleanEmployeeData[[#This Row],[YearsAtCompany]]&lt;=1,"0–1 years",CleanEmployeeData[[#This Row],[YearsAtCompany]]&lt;=5,"2–5 years",CleanEmployeeData[[#This Row],[YearsAtCompany]]&lt;=10,"6–10 years",TRUE,"11+ years")</f>
        <v>6–10 years</v>
      </c>
    </row>
    <row r="966" spans="1:4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cm="1">
        <f t="array" ref="AJ966">_xlfn.SWITCH(CleanEmployeeData[[#This Row],[Education]],1,"Below College",2,"College",3,"Bachelor",4,"Master",5,"Doctor","Unknown")</f>
        <v>College</v>
      </c>
      <c r="AK966" t="str" cm="1">
        <f t="array" ref="AK966">_xlfn.SWITCH(CleanEmployeeData[[#This Row],[EnvironmentSatisfaction]],1,"Low",2,"Medium",3,"High",4,"Very High","Unknown")</f>
        <v>High</v>
      </c>
      <c r="AL966" t="str" cm="1">
        <f t="array" ref="AL966">_xlfn.SWITCH(CleanEmployeeData[[#This Row],[JobInvolvement]],1,"Low",2,"Medium",3,"High",4,"Very High","Unknown")</f>
        <v>High</v>
      </c>
      <c r="AM966" t="str" cm="1">
        <f t="array" ref="AM966">_xlfn.SWITCH(CleanEmployeeData[[#This Row],[JobSatisfaction]],1,"Low",2,"Medium",3,"High",4,"Very High","Unknown")</f>
        <v>Low</v>
      </c>
      <c r="AN966" t="str" cm="1">
        <f t="array" ref="AN966">_xlfn.SWITCH(CleanEmployeeData[[#This Row],[PerformanceRating]],1,"Low",2,"Good",3,"Excellent",4,"Outstanding","Unknown")</f>
        <v>Excellent</v>
      </c>
      <c r="AO966" t="str" cm="1">
        <f t="array" ref="AO966">_xlfn.SWITCH(CleanEmployeeData[[#This Row],[WorkLifeBalance]],1,"Bad",2,"Good",3,"Better",4,"Best","Unknown")</f>
        <v>Best</v>
      </c>
      <c r="AP966">
        <f>IF(CleanEmployeeData[[#This Row],[Attrition]]="Yes",1,IF(CleanEmployeeData[[#This Row],[Attrition]]="No",0,""))</f>
        <v>0</v>
      </c>
      <c r="AQ966" t="str" cm="1">
        <f t="array" ref="AQ966">_xlfn.IFS(CleanEmployeeData[[#This Row],[MonthlyIncome]]&lt;=3000,"0–3,000",CleanEmployeeData[[#This Row],[MonthlyIncome]]&lt;=6000,"3,001–6,000",CleanEmployeeData[[#This Row],[MonthlyIncome]]&lt;=10000,"6,001–10,000",TRUE,"10,001+")</f>
        <v>6,001–10,000</v>
      </c>
      <c r="AR966" t="str" cm="1">
        <f t="array" ref="AR966">_xlfn.IFS(CleanEmployeeData[[#This Row],[DistanceFromHome]]&lt;=5,"0–5 miles",CleanEmployeeData[[#This Row],[DistanceFromHome]]&lt;=10,"6–10 miles",CleanEmployeeData[[#This Row],[DistanceFromHome]]&lt;=15,"11–15 miles",TRUE,"16+ miles")</f>
        <v>11–15 miles</v>
      </c>
      <c r="AS966" t="str" cm="1">
        <f t="array" ref="AS966">_xlfn.IFS(CleanEmployeeData[[#This Row],[YearsAtCompany]]&lt;=1,"0–1 years",CleanEmployeeData[[#This Row],[YearsAtCompany]]&lt;=5,"2–5 years",CleanEmployeeData[[#This Row],[YearsAtCompany]]&lt;=10,"6–10 years",TRUE,"11+ years")</f>
        <v>6–10 years</v>
      </c>
    </row>
    <row r="967" spans="1:4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cm="1">
        <f t="array" ref="AJ967">_xlfn.SWITCH(CleanEmployeeData[[#This Row],[Education]],1,"Below College",2,"College",3,"Bachelor",4,"Master",5,"Doctor","Unknown")</f>
        <v>Below College</v>
      </c>
      <c r="AK967" t="str" cm="1">
        <f t="array" ref="AK967">_xlfn.SWITCH(CleanEmployeeData[[#This Row],[EnvironmentSatisfaction]],1,"Low",2,"Medium",3,"High",4,"Very High","Unknown")</f>
        <v>Very High</v>
      </c>
      <c r="AL967" t="str" cm="1">
        <f t="array" ref="AL967">_xlfn.SWITCH(CleanEmployeeData[[#This Row],[JobInvolvement]],1,"Low",2,"Medium",3,"High",4,"Very High","Unknown")</f>
        <v>High</v>
      </c>
      <c r="AM967" t="str" cm="1">
        <f t="array" ref="AM967">_xlfn.SWITCH(CleanEmployeeData[[#This Row],[JobSatisfaction]],1,"Low",2,"Medium",3,"High",4,"Very High","Unknown")</f>
        <v>Very High</v>
      </c>
      <c r="AN967" t="str" cm="1">
        <f t="array" ref="AN967">_xlfn.SWITCH(CleanEmployeeData[[#This Row],[PerformanceRating]],1,"Low",2,"Good",3,"Excellent",4,"Outstanding","Unknown")</f>
        <v>Excellent</v>
      </c>
      <c r="AO967" t="str" cm="1">
        <f t="array" ref="AO967">_xlfn.SWITCH(CleanEmployeeData[[#This Row],[WorkLifeBalance]],1,"Bad",2,"Good",3,"Better",4,"Best","Unknown")</f>
        <v>Good</v>
      </c>
      <c r="AP967">
        <f>IF(CleanEmployeeData[[#This Row],[Attrition]]="Yes",1,IF(CleanEmployeeData[[#This Row],[Attrition]]="No",0,""))</f>
        <v>0</v>
      </c>
      <c r="AQ967" t="str" cm="1">
        <f t="array" ref="AQ967">_xlfn.IFS(CleanEmployeeData[[#This Row],[MonthlyIncome]]&lt;=3000,"0–3,000",CleanEmployeeData[[#This Row],[MonthlyIncome]]&lt;=6000,"3,001–6,000",CleanEmployeeData[[#This Row],[MonthlyIncome]]&lt;=10000,"6,001–10,000",TRUE,"10,001+")</f>
        <v>3,001–6,000</v>
      </c>
      <c r="AR967" t="str" cm="1">
        <f t="array" ref="AR967">_xlfn.IFS(CleanEmployeeData[[#This Row],[DistanceFromHome]]&lt;=5,"0–5 miles",CleanEmployeeData[[#This Row],[DistanceFromHome]]&lt;=10,"6–10 miles",CleanEmployeeData[[#This Row],[DistanceFromHome]]&lt;=15,"11–15 miles",TRUE,"16+ miles")</f>
        <v>16+ miles</v>
      </c>
      <c r="AS967" t="str" cm="1">
        <f t="array" ref="AS967">_xlfn.IFS(CleanEmployeeData[[#This Row],[YearsAtCompany]]&lt;=1,"0–1 years",CleanEmployeeData[[#This Row],[YearsAtCompany]]&lt;=5,"2–5 years",CleanEmployeeData[[#This Row],[YearsAtCompany]]&lt;=10,"6–10 years",TRUE,"11+ years")</f>
        <v>2–5 years</v>
      </c>
    </row>
    <row r="968" spans="1:4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cm="1">
        <f t="array" ref="AJ968">_xlfn.SWITCH(CleanEmployeeData[[#This Row],[Education]],1,"Below College",2,"College",3,"Bachelor",4,"Master",5,"Doctor","Unknown")</f>
        <v>Master</v>
      </c>
      <c r="AK968" t="str" cm="1">
        <f t="array" ref="AK968">_xlfn.SWITCH(CleanEmployeeData[[#This Row],[EnvironmentSatisfaction]],1,"Low",2,"Medium",3,"High",4,"Very High","Unknown")</f>
        <v>High</v>
      </c>
      <c r="AL968" t="str" cm="1">
        <f t="array" ref="AL968">_xlfn.SWITCH(CleanEmployeeData[[#This Row],[JobInvolvement]],1,"Low",2,"Medium",3,"High",4,"Very High","Unknown")</f>
        <v>Medium</v>
      </c>
      <c r="AM968" t="str" cm="1">
        <f t="array" ref="AM968">_xlfn.SWITCH(CleanEmployeeData[[#This Row],[JobSatisfaction]],1,"Low",2,"Medium",3,"High",4,"Very High","Unknown")</f>
        <v>Low</v>
      </c>
      <c r="AN968" t="str" cm="1">
        <f t="array" ref="AN968">_xlfn.SWITCH(CleanEmployeeData[[#This Row],[PerformanceRating]],1,"Low",2,"Good",3,"Excellent",4,"Outstanding","Unknown")</f>
        <v>Excellent</v>
      </c>
      <c r="AO968" t="str" cm="1">
        <f t="array" ref="AO968">_xlfn.SWITCH(CleanEmployeeData[[#This Row],[WorkLifeBalance]],1,"Bad",2,"Good",3,"Better",4,"Best","Unknown")</f>
        <v>Good</v>
      </c>
      <c r="AP968">
        <f>IF(CleanEmployeeData[[#This Row],[Attrition]]="Yes",1,IF(CleanEmployeeData[[#This Row],[Attrition]]="No",0,""))</f>
        <v>1</v>
      </c>
      <c r="AQ968" t="str" cm="1">
        <f t="array" ref="AQ968">_xlfn.IFS(CleanEmployeeData[[#This Row],[MonthlyIncome]]&lt;=3000,"0–3,000",CleanEmployeeData[[#This Row],[MonthlyIncome]]&lt;=6000,"3,001–6,000",CleanEmployeeData[[#This Row],[MonthlyIncome]]&lt;=10000,"6,001–10,000",TRUE,"10,001+")</f>
        <v>10,001+</v>
      </c>
      <c r="AR968" t="str" cm="1">
        <f t="array" ref="AR968">_xlfn.IFS(CleanEmployeeData[[#This Row],[DistanceFromHome]]&lt;=5,"0–5 miles",CleanEmployeeData[[#This Row],[DistanceFromHome]]&lt;=10,"6–10 miles",CleanEmployeeData[[#This Row],[DistanceFromHome]]&lt;=15,"11–15 miles",TRUE,"16+ miles")</f>
        <v>6–10 miles</v>
      </c>
      <c r="AS968" t="str" cm="1">
        <f t="array" ref="AS968">_xlfn.IFS(CleanEmployeeData[[#This Row],[YearsAtCompany]]&lt;=1,"0–1 years",CleanEmployeeData[[#This Row],[YearsAtCompany]]&lt;=5,"2–5 years",CleanEmployeeData[[#This Row],[YearsAtCompany]]&lt;=10,"6–10 years",TRUE,"11+ years")</f>
        <v>6–10 years</v>
      </c>
    </row>
    <row r="969" spans="1:4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cm="1">
        <f t="array" ref="AJ969">_xlfn.SWITCH(CleanEmployeeData[[#This Row],[Education]],1,"Below College",2,"College",3,"Bachelor",4,"Master",5,"Doctor","Unknown")</f>
        <v>Master</v>
      </c>
      <c r="AK969" t="str" cm="1">
        <f t="array" ref="AK969">_xlfn.SWITCH(CleanEmployeeData[[#This Row],[EnvironmentSatisfaction]],1,"Low",2,"Medium",3,"High",4,"Very High","Unknown")</f>
        <v>Medium</v>
      </c>
      <c r="AL969" t="str" cm="1">
        <f t="array" ref="AL969">_xlfn.SWITCH(CleanEmployeeData[[#This Row],[JobInvolvement]],1,"Low",2,"Medium",3,"High",4,"Very High","Unknown")</f>
        <v>High</v>
      </c>
      <c r="AM969" t="str" cm="1">
        <f t="array" ref="AM969">_xlfn.SWITCH(CleanEmployeeData[[#This Row],[JobSatisfaction]],1,"Low",2,"Medium",3,"High",4,"Very High","Unknown")</f>
        <v>Medium</v>
      </c>
      <c r="AN969" t="str" cm="1">
        <f t="array" ref="AN969">_xlfn.SWITCH(CleanEmployeeData[[#This Row],[PerformanceRating]],1,"Low",2,"Good",3,"Excellent",4,"Outstanding","Unknown")</f>
        <v>Outstanding</v>
      </c>
      <c r="AO969" t="str" cm="1">
        <f t="array" ref="AO969">_xlfn.SWITCH(CleanEmployeeData[[#This Row],[WorkLifeBalance]],1,"Bad",2,"Good",3,"Better",4,"Best","Unknown")</f>
        <v>Better</v>
      </c>
      <c r="AP969">
        <f>IF(CleanEmployeeData[[#This Row],[Attrition]]="Yes",1,IF(CleanEmployeeData[[#This Row],[Attrition]]="No",0,""))</f>
        <v>0</v>
      </c>
      <c r="AQ969" t="str" cm="1">
        <f t="array" ref="AQ969">_xlfn.IFS(CleanEmployeeData[[#This Row],[MonthlyIncome]]&lt;=3000,"0–3,000",CleanEmployeeData[[#This Row],[MonthlyIncome]]&lt;=6000,"3,001–6,000",CleanEmployeeData[[#This Row],[MonthlyIncome]]&lt;=10000,"6,001–10,000",TRUE,"10,001+")</f>
        <v>0–3,000</v>
      </c>
      <c r="AR969" t="str" cm="1">
        <f t="array" ref="AR969">_xlfn.IFS(CleanEmployeeData[[#This Row],[DistanceFromHome]]&lt;=5,"0–5 miles",CleanEmployeeData[[#This Row],[DistanceFromHome]]&lt;=10,"6–10 miles",CleanEmployeeData[[#This Row],[DistanceFromHome]]&lt;=15,"11–15 miles",TRUE,"16+ miles")</f>
        <v>0–5 miles</v>
      </c>
      <c r="AS969" t="str" cm="1">
        <f t="array" ref="AS969">_xlfn.IFS(CleanEmployeeData[[#This Row],[YearsAtCompany]]&lt;=1,"0–1 years",CleanEmployeeData[[#This Row],[YearsAtCompany]]&lt;=5,"2–5 years",CleanEmployeeData[[#This Row],[YearsAtCompany]]&lt;=10,"6–10 years",TRUE,"11+ years")</f>
        <v>2–5 years</v>
      </c>
    </row>
    <row r="970" spans="1:4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cm="1">
        <f t="array" ref="AJ970">_xlfn.SWITCH(CleanEmployeeData[[#This Row],[Education]],1,"Below College",2,"College",3,"Bachelor",4,"Master",5,"Doctor","Unknown")</f>
        <v>Bachelor</v>
      </c>
      <c r="AK970" t="str" cm="1">
        <f t="array" ref="AK970">_xlfn.SWITCH(CleanEmployeeData[[#This Row],[EnvironmentSatisfaction]],1,"Low",2,"Medium",3,"High",4,"Very High","Unknown")</f>
        <v>Low</v>
      </c>
      <c r="AL970" t="str" cm="1">
        <f t="array" ref="AL970">_xlfn.SWITCH(CleanEmployeeData[[#This Row],[JobInvolvement]],1,"Low",2,"Medium",3,"High",4,"Very High","Unknown")</f>
        <v>Very High</v>
      </c>
      <c r="AM970" t="str" cm="1">
        <f t="array" ref="AM970">_xlfn.SWITCH(CleanEmployeeData[[#This Row],[JobSatisfaction]],1,"Low",2,"Medium",3,"High",4,"Very High","Unknown")</f>
        <v>Low</v>
      </c>
      <c r="AN970" t="str" cm="1">
        <f t="array" ref="AN970">_xlfn.SWITCH(CleanEmployeeData[[#This Row],[PerformanceRating]],1,"Low",2,"Good",3,"Excellent",4,"Outstanding","Unknown")</f>
        <v>Excellent</v>
      </c>
      <c r="AO970" t="str" cm="1">
        <f t="array" ref="AO970">_xlfn.SWITCH(CleanEmployeeData[[#This Row],[WorkLifeBalance]],1,"Bad",2,"Good",3,"Better",4,"Best","Unknown")</f>
        <v>Good</v>
      </c>
      <c r="AP970">
        <f>IF(CleanEmployeeData[[#This Row],[Attrition]]="Yes",1,IF(CleanEmployeeData[[#This Row],[Attrition]]="No",0,""))</f>
        <v>0</v>
      </c>
      <c r="AQ970" t="str" cm="1">
        <f t="array" ref="AQ970">_xlfn.IFS(CleanEmployeeData[[#This Row],[MonthlyIncome]]&lt;=3000,"0–3,000",CleanEmployeeData[[#This Row],[MonthlyIncome]]&lt;=6000,"3,001–6,000",CleanEmployeeData[[#This Row],[MonthlyIncome]]&lt;=10000,"6,001–10,000",TRUE,"10,001+")</f>
        <v>3,001–6,000</v>
      </c>
      <c r="AR970" t="str" cm="1">
        <f t="array" ref="AR970">_xlfn.IFS(CleanEmployeeData[[#This Row],[DistanceFromHome]]&lt;=5,"0–5 miles",CleanEmployeeData[[#This Row],[DistanceFromHome]]&lt;=10,"6–10 miles",CleanEmployeeData[[#This Row],[DistanceFromHome]]&lt;=15,"11–15 miles",TRUE,"16+ miles")</f>
        <v>6–10 miles</v>
      </c>
      <c r="AS970" t="str" cm="1">
        <f t="array" ref="AS970">_xlfn.IFS(CleanEmployeeData[[#This Row],[YearsAtCompany]]&lt;=1,"0–1 years",CleanEmployeeData[[#This Row],[YearsAtCompany]]&lt;=5,"2–5 years",CleanEmployeeData[[#This Row],[YearsAtCompany]]&lt;=10,"6–10 years",TRUE,"11+ years")</f>
        <v>11+ years</v>
      </c>
    </row>
    <row r="971" spans="1:4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cm="1">
        <f t="array" ref="AJ971">_xlfn.SWITCH(CleanEmployeeData[[#This Row],[Education]],1,"Below College",2,"College",3,"Bachelor",4,"Master",5,"Doctor","Unknown")</f>
        <v>Bachelor</v>
      </c>
      <c r="AK971" t="str" cm="1">
        <f t="array" ref="AK971">_xlfn.SWITCH(CleanEmployeeData[[#This Row],[EnvironmentSatisfaction]],1,"Low",2,"Medium",3,"High",4,"Very High","Unknown")</f>
        <v>Very High</v>
      </c>
      <c r="AL971" t="str" cm="1">
        <f t="array" ref="AL971">_xlfn.SWITCH(CleanEmployeeData[[#This Row],[JobInvolvement]],1,"Low",2,"Medium",3,"High",4,"Very High","Unknown")</f>
        <v>High</v>
      </c>
      <c r="AM971" t="str" cm="1">
        <f t="array" ref="AM971">_xlfn.SWITCH(CleanEmployeeData[[#This Row],[JobSatisfaction]],1,"Low",2,"Medium",3,"High",4,"Very High","Unknown")</f>
        <v>Very High</v>
      </c>
      <c r="AN971" t="str" cm="1">
        <f t="array" ref="AN971">_xlfn.SWITCH(CleanEmployeeData[[#This Row],[PerformanceRating]],1,"Low",2,"Good",3,"Excellent",4,"Outstanding","Unknown")</f>
        <v>Excellent</v>
      </c>
      <c r="AO971" t="str" cm="1">
        <f t="array" ref="AO971">_xlfn.SWITCH(CleanEmployeeData[[#This Row],[WorkLifeBalance]],1,"Bad",2,"Good",3,"Better",4,"Best","Unknown")</f>
        <v>Better</v>
      </c>
      <c r="AP971">
        <f>IF(CleanEmployeeData[[#This Row],[Attrition]]="Yes",1,IF(CleanEmployeeData[[#This Row],[Attrition]]="No",0,""))</f>
        <v>0</v>
      </c>
      <c r="AQ971" t="str" cm="1">
        <f t="array" ref="AQ971">_xlfn.IFS(CleanEmployeeData[[#This Row],[MonthlyIncome]]&lt;=3000,"0–3,000",CleanEmployeeData[[#This Row],[MonthlyIncome]]&lt;=6000,"3,001–6,000",CleanEmployeeData[[#This Row],[MonthlyIncome]]&lt;=10000,"6,001–10,000",TRUE,"10,001+")</f>
        <v>6,001–10,000</v>
      </c>
      <c r="AR971" t="str" cm="1">
        <f t="array" ref="AR971">_xlfn.IFS(CleanEmployeeData[[#This Row],[DistanceFromHome]]&lt;=5,"0–5 miles",CleanEmployeeData[[#This Row],[DistanceFromHome]]&lt;=10,"6–10 miles",CleanEmployeeData[[#This Row],[DistanceFromHome]]&lt;=15,"11–15 miles",TRUE,"16+ miles")</f>
        <v>0–5 miles</v>
      </c>
      <c r="AS971" t="str" cm="1">
        <f t="array" ref="AS971">_xlfn.IFS(CleanEmployeeData[[#This Row],[YearsAtCompany]]&lt;=1,"0–1 years",CleanEmployeeData[[#This Row],[YearsAtCompany]]&lt;=5,"2–5 years",CleanEmployeeData[[#This Row],[YearsAtCompany]]&lt;=10,"6–10 years",TRUE,"11+ years")</f>
        <v>6–10 years</v>
      </c>
    </row>
    <row r="972" spans="1:4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cm="1">
        <f t="array" ref="AJ972">_xlfn.SWITCH(CleanEmployeeData[[#This Row],[Education]],1,"Below College",2,"College",3,"Bachelor",4,"Master",5,"Doctor","Unknown")</f>
        <v>Bachelor</v>
      </c>
      <c r="AK972" t="str" cm="1">
        <f t="array" ref="AK972">_xlfn.SWITCH(CleanEmployeeData[[#This Row],[EnvironmentSatisfaction]],1,"Low",2,"Medium",3,"High",4,"Very High","Unknown")</f>
        <v>High</v>
      </c>
      <c r="AL972" t="str" cm="1">
        <f t="array" ref="AL972">_xlfn.SWITCH(CleanEmployeeData[[#This Row],[JobInvolvement]],1,"Low",2,"Medium",3,"High",4,"Very High","Unknown")</f>
        <v>Very High</v>
      </c>
      <c r="AM972" t="str" cm="1">
        <f t="array" ref="AM972">_xlfn.SWITCH(CleanEmployeeData[[#This Row],[JobSatisfaction]],1,"Low",2,"Medium",3,"High",4,"Very High","Unknown")</f>
        <v>Very High</v>
      </c>
      <c r="AN972" t="str" cm="1">
        <f t="array" ref="AN972">_xlfn.SWITCH(CleanEmployeeData[[#This Row],[PerformanceRating]],1,"Low",2,"Good",3,"Excellent",4,"Outstanding","Unknown")</f>
        <v>Excellent</v>
      </c>
      <c r="AO972" t="str" cm="1">
        <f t="array" ref="AO972">_xlfn.SWITCH(CleanEmployeeData[[#This Row],[WorkLifeBalance]],1,"Bad",2,"Good",3,"Better",4,"Best","Unknown")</f>
        <v>Better</v>
      </c>
      <c r="AP972">
        <f>IF(CleanEmployeeData[[#This Row],[Attrition]]="Yes",1,IF(CleanEmployeeData[[#This Row],[Attrition]]="No",0,""))</f>
        <v>0</v>
      </c>
      <c r="AQ972" t="str" cm="1">
        <f t="array" ref="AQ972">_xlfn.IFS(CleanEmployeeData[[#This Row],[MonthlyIncome]]&lt;=3000,"0–3,000",CleanEmployeeData[[#This Row],[MonthlyIncome]]&lt;=6000,"3,001–6,000",CleanEmployeeData[[#This Row],[MonthlyIncome]]&lt;=10000,"6,001–10,000",TRUE,"10,001+")</f>
        <v>0–3,000</v>
      </c>
      <c r="AR972" t="str" cm="1">
        <f t="array" ref="AR972">_xlfn.IFS(CleanEmployeeData[[#This Row],[DistanceFromHome]]&lt;=5,"0–5 miles",CleanEmployeeData[[#This Row],[DistanceFromHome]]&lt;=10,"6–10 miles",CleanEmployeeData[[#This Row],[DistanceFromHome]]&lt;=15,"11–15 miles",TRUE,"16+ miles")</f>
        <v>11–15 miles</v>
      </c>
      <c r="AS972" t="str" cm="1">
        <f t="array" ref="AS972">_xlfn.IFS(CleanEmployeeData[[#This Row],[YearsAtCompany]]&lt;=1,"0–1 years",CleanEmployeeData[[#This Row],[YearsAtCompany]]&lt;=5,"2–5 years",CleanEmployeeData[[#This Row],[YearsAtCompany]]&lt;=10,"6–10 years",TRUE,"11+ years")</f>
        <v>0–1 years</v>
      </c>
    </row>
    <row r="973" spans="1:4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cm="1">
        <f t="array" ref="AJ973">_xlfn.SWITCH(CleanEmployeeData[[#This Row],[Education]],1,"Below College",2,"College",3,"Bachelor",4,"Master",5,"Doctor","Unknown")</f>
        <v>College</v>
      </c>
      <c r="AK973" t="str" cm="1">
        <f t="array" ref="AK973">_xlfn.SWITCH(CleanEmployeeData[[#This Row],[EnvironmentSatisfaction]],1,"Low",2,"Medium",3,"High",4,"Very High","Unknown")</f>
        <v>Very High</v>
      </c>
      <c r="AL973" t="str" cm="1">
        <f t="array" ref="AL973">_xlfn.SWITCH(CleanEmployeeData[[#This Row],[JobInvolvement]],1,"Low",2,"Medium",3,"High",4,"Very High","Unknown")</f>
        <v>Medium</v>
      </c>
      <c r="AM973" t="str" cm="1">
        <f t="array" ref="AM973">_xlfn.SWITCH(CleanEmployeeData[[#This Row],[JobSatisfaction]],1,"Low",2,"Medium",3,"High",4,"Very High","Unknown")</f>
        <v>Medium</v>
      </c>
      <c r="AN973" t="str" cm="1">
        <f t="array" ref="AN973">_xlfn.SWITCH(CleanEmployeeData[[#This Row],[PerformanceRating]],1,"Low",2,"Good",3,"Excellent",4,"Outstanding","Unknown")</f>
        <v>Excellent</v>
      </c>
      <c r="AO973" t="str" cm="1">
        <f t="array" ref="AO973">_xlfn.SWITCH(CleanEmployeeData[[#This Row],[WorkLifeBalance]],1,"Bad",2,"Good",3,"Better",4,"Best","Unknown")</f>
        <v>Good</v>
      </c>
      <c r="AP973">
        <f>IF(CleanEmployeeData[[#This Row],[Attrition]]="Yes",1,IF(CleanEmployeeData[[#This Row],[Attrition]]="No",0,""))</f>
        <v>0</v>
      </c>
      <c r="AQ973" t="str" cm="1">
        <f t="array" ref="AQ973">_xlfn.IFS(CleanEmployeeData[[#This Row],[MonthlyIncome]]&lt;=3000,"0–3,000",CleanEmployeeData[[#This Row],[MonthlyIncome]]&lt;=6000,"3,001–6,000",CleanEmployeeData[[#This Row],[MonthlyIncome]]&lt;=10000,"6,001–10,000",TRUE,"10,001+")</f>
        <v>10,001+</v>
      </c>
      <c r="AR973" t="str" cm="1">
        <f t="array" ref="AR973">_xlfn.IFS(CleanEmployeeData[[#This Row],[DistanceFromHome]]&lt;=5,"0–5 miles",CleanEmployeeData[[#This Row],[DistanceFromHome]]&lt;=10,"6–10 miles",CleanEmployeeData[[#This Row],[DistanceFromHome]]&lt;=15,"11–15 miles",TRUE,"16+ miles")</f>
        <v>11–15 miles</v>
      </c>
      <c r="AS973" t="str" cm="1">
        <f t="array" ref="AS973">_xlfn.IFS(CleanEmployeeData[[#This Row],[YearsAtCompany]]&lt;=1,"0–1 years",CleanEmployeeData[[#This Row],[YearsAtCompany]]&lt;=5,"2–5 years",CleanEmployeeData[[#This Row],[YearsAtCompany]]&lt;=10,"6–10 years",TRUE,"11+ years")</f>
        <v>2–5 years</v>
      </c>
    </row>
    <row r="974" spans="1:4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cm="1">
        <f t="array" ref="AJ974">_xlfn.SWITCH(CleanEmployeeData[[#This Row],[Education]],1,"Below College",2,"College",3,"Bachelor",4,"Master",5,"Doctor","Unknown")</f>
        <v>Bachelor</v>
      </c>
      <c r="AK974" t="str" cm="1">
        <f t="array" ref="AK974">_xlfn.SWITCH(CleanEmployeeData[[#This Row],[EnvironmentSatisfaction]],1,"Low",2,"Medium",3,"High",4,"Very High","Unknown")</f>
        <v>Very High</v>
      </c>
      <c r="AL974" t="str" cm="1">
        <f t="array" ref="AL974">_xlfn.SWITCH(CleanEmployeeData[[#This Row],[JobInvolvement]],1,"Low",2,"Medium",3,"High",4,"Very High","Unknown")</f>
        <v>High</v>
      </c>
      <c r="AM974" t="str" cm="1">
        <f t="array" ref="AM974">_xlfn.SWITCH(CleanEmployeeData[[#This Row],[JobSatisfaction]],1,"Low",2,"Medium",3,"High",4,"Very High","Unknown")</f>
        <v>Very High</v>
      </c>
      <c r="AN974" t="str" cm="1">
        <f t="array" ref="AN974">_xlfn.SWITCH(CleanEmployeeData[[#This Row],[PerformanceRating]],1,"Low",2,"Good",3,"Excellent",4,"Outstanding","Unknown")</f>
        <v>Excellent</v>
      </c>
      <c r="AO974" t="str" cm="1">
        <f t="array" ref="AO974">_xlfn.SWITCH(CleanEmployeeData[[#This Row],[WorkLifeBalance]],1,"Bad",2,"Good",3,"Better",4,"Best","Unknown")</f>
        <v>Best</v>
      </c>
      <c r="AP974">
        <f>IF(CleanEmployeeData[[#This Row],[Attrition]]="Yes",1,IF(CleanEmployeeData[[#This Row],[Attrition]]="No",0,""))</f>
        <v>0</v>
      </c>
      <c r="AQ974" t="str" cm="1">
        <f t="array" ref="AQ974">_xlfn.IFS(CleanEmployeeData[[#This Row],[MonthlyIncome]]&lt;=3000,"0–3,000",CleanEmployeeData[[#This Row],[MonthlyIncome]]&lt;=6000,"3,001–6,000",CleanEmployeeData[[#This Row],[MonthlyIncome]]&lt;=10000,"6,001–10,000",TRUE,"10,001+")</f>
        <v>0–3,000</v>
      </c>
      <c r="AR974" t="str" cm="1">
        <f t="array" ref="AR974">_xlfn.IFS(CleanEmployeeData[[#This Row],[DistanceFromHome]]&lt;=5,"0–5 miles",CleanEmployeeData[[#This Row],[DistanceFromHome]]&lt;=10,"6–10 miles",CleanEmployeeData[[#This Row],[DistanceFromHome]]&lt;=15,"11–15 miles",TRUE,"16+ miles")</f>
        <v>0–5 miles</v>
      </c>
      <c r="AS974" t="str" cm="1">
        <f t="array" ref="AS974">_xlfn.IFS(CleanEmployeeData[[#This Row],[YearsAtCompany]]&lt;=1,"0–1 years",CleanEmployeeData[[#This Row],[YearsAtCompany]]&lt;=5,"2–5 years",CleanEmployeeData[[#This Row],[YearsAtCompany]]&lt;=10,"6–10 years",TRUE,"11+ years")</f>
        <v>0–1 years</v>
      </c>
    </row>
    <row r="975" spans="1:4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cm="1">
        <f t="array" ref="AJ975">_xlfn.SWITCH(CleanEmployeeData[[#This Row],[Education]],1,"Below College",2,"College",3,"Bachelor",4,"Master",5,"Doctor","Unknown")</f>
        <v>Bachelor</v>
      </c>
      <c r="AK975" t="str" cm="1">
        <f t="array" ref="AK975">_xlfn.SWITCH(CleanEmployeeData[[#This Row],[EnvironmentSatisfaction]],1,"Low",2,"Medium",3,"High",4,"Very High","Unknown")</f>
        <v>Very High</v>
      </c>
      <c r="AL975" t="str" cm="1">
        <f t="array" ref="AL975">_xlfn.SWITCH(CleanEmployeeData[[#This Row],[JobInvolvement]],1,"Low",2,"Medium",3,"High",4,"Very High","Unknown")</f>
        <v>Medium</v>
      </c>
      <c r="AM975" t="str" cm="1">
        <f t="array" ref="AM975">_xlfn.SWITCH(CleanEmployeeData[[#This Row],[JobSatisfaction]],1,"Low",2,"Medium",3,"High",4,"Very High","Unknown")</f>
        <v>Very High</v>
      </c>
      <c r="AN975" t="str" cm="1">
        <f t="array" ref="AN975">_xlfn.SWITCH(CleanEmployeeData[[#This Row],[PerformanceRating]],1,"Low",2,"Good",3,"Excellent",4,"Outstanding","Unknown")</f>
        <v>Excellent</v>
      </c>
      <c r="AO975" t="str" cm="1">
        <f t="array" ref="AO975">_xlfn.SWITCH(CleanEmployeeData[[#This Row],[WorkLifeBalance]],1,"Bad",2,"Good",3,"Better",4,"Best","Unknown")</f>
        <v>Better</v>
      </c>
      <c r="AP975">
        <f>IF(CleanEmployeeData[[#This Row],[Attrition]]="Yes",1,IF(CleanEmployeeData[[#This Row],[Attrition]]="No",0,""))</f>
        <v>0</v>
      </c>
      <c r="AQ975" t="str" cm="1">
        <f t="array" ref="AQ975">_xlfn.IFS(CleanEmployeeData[[#This Row],[MonthlyIncome]]&lt;=3000,"0–3,000",CleanEmployeeData[[#This Row],[MonthlyIncome]]&lt;=6000,"3,001–6,000",CleanEmployeeData[[#This Row],[MonthlyIncome]]&lt;=10000,"6,001–10,000",TRUE,"10,001+")</f>
        <v>3,001–6,000</v>
      </c>
      <c r="AR975" t="str" cm="1">
        <f t="array" ref="AR975">_xlfn.IFS(CleanEmployeeData[[#This Row],[DistanceFromHome]]&lt;=5,"0–5 miles",CleanEmployeeData[[#This Row],[DistanceFromHome]]&lt;=10,"6–10 miles",CleanEmployeeData[[#This Row],[DistanceFromHome]]&lt;=15,"11–15 miles",TRUE,"16+ miles")</f>
        <v>0–5 miles</v>
      </c>
      <c r="AS975" t="str" cm="1">
        <f t="array" ref="AS975">_xlfn.IFS(CleanEmployeeData[[#This Row],[YearsAtCompany]]&lt;=1,"0–1 years",CleanEmployeeData[[#This Row],[YearsAtCompany]]&lt;=5,"2–5 years",CleanEmployeeData[[#This Row],[YearsAtCompany]]&lt;=10,"6–10 years",TRUE,"11+ years")</f>
        <v>6–10 years</v>
      </c>
    </row>
    <row r="976" spans="1:4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cm="1">
        <f t="array" ref="AJ976">_xlfn.SWITCH(CleanEmployeeData[[#This Row],[Education]],1,"Below College",2,"College",3,"Bachelor",4,"Master",5,"Doctor","Unknown")</f>
        <v>Below College</v>
      </c>
      <c r="AK976" t="str" cm="1">
        <f t="array" ref="AK976">_xlfn.SWITCH(CleanEmployeeData[[#This Row],[EnvironmentSatisfaction]],1,"Low",2,"Medium",3,"High",4,"Very High","Unknown")</f>
        <v>Very High</v>
      </c>
      <c r="AL976" t="str" cm="1">
        <f t="array" ref="AL976">_xlfn.SWITCH(CleanEmployeeData[[#This Row],[JobInvolvement]],1,"Low",2,"Medium",3,"High",4,"Very High","Unknown")</f>
        <v>Low</v>
      </c>
      <c r="AM976" t="str" cm="1">
        <f t="array" ref="AM976">_xlfn.SWITCH(CleanEmployeeData[[#This Row],[JobSatisfaction]],1,"Low",2,"Medium",3,"High",4,"Very High","Unknown")</f>
        <v>Very High</v>
      </c>
      <c r="AN976" t="str" cm="1">
        <f t="array" ref="AN976">_xlfn.SWITCH(CleanEmployeeData[[#This Row],[PerformanceRating]],1,"Low",2,"Good",3,"Excellent",4,"Outstanding","Unknown")</f>
        <v>Outstanding</v>
      </c>
      <c r="AO976" t="str" cm="1">
        <f t="array" ref="AO976">_xlfn.SWITCH(CleanEmployeeData[[#This Row],[WorkLifeBalance]],1,"Bad",2,"Good",3,"Better",4,"Best","Unknown")</f>
        <v>Better</v>
      </c>
      <c r="AP976">
        <f>IF(CleanEmployeeData[[#This Row],[Attrition]]="Yes",1,IF(CleanEmployeeData[[#This Row],[Attrition]]="No",0,""))</f>
        <v>0</v>
      </c>
      <c r="AQ976" t="str" cm="1">
        <f t="array" ref="AQ976">_xlfn.IFS(CleanEmployeeData[[#This Row],[MonthlyIncome]]&lt;=3000,"0–3,000",CleanEmployeeData[[#This Row],[MonthlyIncome]]&lt;=6000,"3,001–6,000",CleanEmployeeData[[#This Row],[MonthlyIncome]]&lt;=10000,"6,001–10,000",TRUE,"10,001+")</f>
        <v>3,001–6,000</v>
      </c>
      <c r="AR976" t="str" cm="1">
        <f t="array" ref="AR976">_xlfn.IFS(CleanEmployeeData[[#This Row],[DistanceFromHome]]&lt;=5,"0–5 miles",CleanEmployeeData[[#This Row],[DistanceFromHome]]&lt;=10,"6–10 miles",CleanEmployeeData[[#This Row],[DistanceFromHome]]&lt;=15,"11–15 miles",TRUE,"16+ miles")</f>
        <v>0–5 miles</v>
      </c>
      <c r="AS976" t="str" cm="1">
        <f t="array" ref="AS976">_xlfn.IFS(CleanEmployeeData[[#This Row],[YearsAtCompany]]&lt;=1,"0–1 years",CleanEmployeeData[[#This Row],[YearsAtCompany]]&lt;=5,"2–5 years",CleanEmployeeData[[#This Row],[YearsAtCompany]]&lt;=10,"6–10 years",TRUE,"11+ years")</f>
        <v>6–10 years</v>
      </c>
    </row>
    <row r="977" spans="1:4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cm="1">
        <f t="array" ref="AJ977">_xlfn.SWITCH(CleanEmployeeData[[#This Row],[Education]],1,"Below College",2,"College",3,"Bachelor",4,"Master",5,"Doctor","Unknown")</f>
        <v>Master</v>
      </c>
      <c r="AK977" t="str" cm="1">
        <f t="array" ref="AK977">_xlfn.SWITCH(CleanEmployeeData[[#This Row],[EnvironmentSatisfaction]],1,"Low",2,"Medium",3,"High",4,"Very High","Unknown")</f>
        <v>Low</v>
      </c>
      <c r="AL977" t="str" cm="1">
        <f t="array" ref="AL977">_xlfn.SWITCH(CleanEmployeeData[[#This Row],[JobInvolvement]],1,"Low",2,"Medium",3,"High",4,"Very High","Unknown")</f>
        <v>Very High</v>
      </c>
      <c r="AM977" t="str" cm="1">
        <f t="array" ref="AM977">_xlfn.SWITCH(CleanEmployeeData[[#This Row],[JobSatisfaction]],1,"Low",2,"Medium",3,"High",4,"Very High","Unknown")</f>
        <v>High</v>
      </c>
      <c r="AN977" t="str" cm="1">
        <f t="array" ref="AN977">_xlfn.SWITCH(CleanEmployeeData[[#This Row],[PerformanceRating]],1,"Low",2,"Good",3,"Excellent",4,"Outstanding","Unknown")</f>
        <v>Excellent</v>
      </c>
      <c r="AO977" t="str" cm="1">
        <f t="array" ref="AO977">_xlfn.SWITCH(CleanEmployeeData[[#This Row],[WorkLifeBalance]],1,"Bad",2,"Good",3,"Better",4,"Best","Unknown")</f>
        <v>Good</v>
      </c>
      <c r="AP977">
        <f>IF(CleanEmployeeData[[#This Row],[Attrition]]="Yes",1,IF(CleanEmployeeData[[#This Row],[Attrition]]="No",0,""))</f>
        <v>1</v>
      </c>
      <c r="AQ977" t="str" cm="1">
        <f t="array" ref="AQ977">_xlfn.IFS(CleanEmployeeData[[#This Row],[MonthlyIncome]]&lt;=3000,"0–3,000",CleanEmployeeData[[#This Row],[MonthlyIncome]]&lt;=6000,"3,001–6,000",CleanEmployeeData[[#This Row],[MonthlyIncome]]&lt;=10000,"6,001–10,000",TRUE,"10,001+")</f>
        <v>10,001+</v>
      </c>
      <c r="AR977" t="str" cm="1">
        <f t="array" ref="AR977">_xlfn.IFS(CleanEmployeeData[[#This Row],[DistanceFromHome]]&lt;=5,"0–5 miles",CleanEmployeeData[[#This Row],[DistanceFromHome]]&lt;=10,"6–10 miles",CleanEmployeeData[[#This Row],[DistanceFromHome]]&lt;=15,"11–15 miles",TRUE,"16+ miles")</f>
        <v>11–15 miles</v>
      </c>
      <c r="AS977" t="str" cm="1">
        <f t="array" ref="AS977">_xlfn.IFS(CleanEmployeeData[[#This Row],[YearsAtCompany]]&lt;=1,"0–1 years",CleanEmployeeData[[#This Row],[YearsAtCompany]]&lt;=5,"2–5 years",CleanEmployeeData[[#This Row],[YearsAtCompany]]&lt;=10,"6–10 years",TRUE,"11+ years")</f>
        <v>11+ years</v>
      </c>
    </row>
    <row r="978" spans="1:4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cm="1">
        <f t="array" ref="AJ978">_xlfn.SWITCH(CleanEmployeeData[[#This Row],[Education]],1,"Below College",2,"College",3,"Bachelor",4,"Master",5,"Doctor","Unknown")</f>
        <v>Bachelor</v>
      </c>
      <c r="AK978" t="str" cm="1">
        <f t="array" ref="AK978">_xlfn.SWITCH(CleanEmployeeData[[#This Row],[EnvironmentSatisfaction]],1,"Low",2,"Medium",3,"High",4,"Very High","Unknown")</f>
        <v>Very High</v>
      </c>
      <c r="AL978" t="str" cm="1">
        <f t="array" ref="AL978">_xlfn.SWITCH(CleanEmployeeData[[#This Row],[JobInvolvement]],1,"Low",2,"Medium",3,"High",4,"Very High","Unknown")</f>
        <v>High</v>
      </c>
      <c r="AM978" t="str" cm="1">
        <f t="array" ref="AM978">_xlfn.SWITCH(CleanEmployeeData[[#This Row],[JobSatisfaction]],1,"Low",2,"Medium",3,"High",4,"Very High","Unknown")</f>
        <v>Medium</v>
      </c>
      <c r="AN978" t="str" cm="1">
        <f t="array" ref="AN978">_xlfn.SWITCH(CleanEmployeeData[[#This Row],[PerformanceRating]],1,"Low",2,"Good",3,"Excellent",4,"Outstanding","Unknown")</f>
        <v>Excellent</v>
      </c>
      <c r="AO978" t="str" cm="1">
        <f t="array" ref="AO978">_xlfn.SWITCH(CleanEmployeeData[[#This Row],[WorkLifeBalance]],1,"Bad",2,"Good",3,"Better",4,"Best","Unknown")</f>
        <v>Better</v>
      </c>
      <c r="AP978">
        <f>IF(CleanEmployeeData[[#This Row],[Attrition]]="Yes",1,IF(CleanEmployeeData[[#This Row],[Attrition]]="No",0,""))</f>
        <v>0</v>
      </c>
      <c r="AQ978" t="str" cm="1">
        <f t="array" ref="AQ978">_xlfn.IFS(CleanEmployeeData[[#This Row],[MonthlyIncome]]&lt;=3000,"0–3,000",CleanEmployeeData[[#This Row],[MonthlyIncome]]&lt;=6000,"3,001–6,000",CleanEmployeeData[[#This Row],[MonthlyIncome]]&lt;=10000,"6,001–10,000",TRUE,"10,001+")</f>
        <v>10,001+</v>
      </c>
      <c r="AR978" t="str" cm="1">
        <f t="array" ref="AR978">_xlfn.IFS(CleanEmployeeData[[#This Row],[DistanceFromHome]]&lt;=5,"0–5 miles",CleanEmployeeData[[#This Row],[DistanceFromHome]]&lt;=10,"6–10 miles",CleanEmployeeData[[#This Row],[DistanceFromHome]]&lt;=15,"11–15 miles",TRUE,"16+ miles")</f>
        <v>16+ miles</v>
      </c>
      <c r="AS978" t="str" cm="1">
        <f t="array" ref="AS978">_xlfn.IFS(CleanEmployeeData[[#This Row],[YearsAtCompany]]&lt;=1,"0–1 years",CleanEmployeeData[[#This Row],[YearsAtCompany]]&lt;=5,"2–5 years",CleanEmployeeData[[#This Row],[YearsAtCompany]]&lt;=10,"6–10 years",TRUE,"11+ years")</f>
        <v>11+ years</v>
      </c>
    </row>
    <row r="979" spans="1:4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cm="1">
        <f t="array" ref="AJ979">_xlfn.SWITCH(CleanEmployeeData[[#This Row],[Education]],1,"Below College",2,"College",3,"Bachelor",4,"Master",5,"Doctor","Unknown")</f>
        <v>Below College</v>
      </c>
      <c r="AK979" t="str" cm="1">
        <f t="array" ref="AK979">_xlfn.SWITCH(CleanEmployeeData[[#This Row],[EnvironmentSatisfaction]],1,"Low",2,"Medium",3,"High",4,"Very High","Unknown")</f>
        <v>Low</v>
      </c>
      <c r="AL979" t="str" cm="1">
        <f t="array" ref="AL979">_xlfn.SWITCH(CleanEmployeeData[[#This Row],[JobInvolvement]],1,"Low",2,"Medium",3,"High",4,"Very High","Unknown")</f>
        <v>Medium</v>
      </c>
      <c r="AM979" t="str" cm="1">
        <f t="array" ref="AM979">_xlfn.SWITCH(CleanEmployeeData[[#This Row],[JobSatisfaction]],1,"Low",2,"Medium",3,"High",4,"Very High","Unknown")</f>
        <v>High</v>
      </c>
      <c r="AN979" t="str" cm="1">
        <f t="array" ref="AN979">_xlfn.SWITCH(CleanEmployeeData[[#This Row],[PerformanceRating]],1,"Low",2,"Good",3,"Excellent",4,"Outstanding","Unknown")</f>
        <v>Outstanding</v>
      </c>
      <c r="AO979" t="str" cm="1">
        <f t="array" ref="AO979">_xlfn.SWITCH(CleanEmployeeData[[#This Row],[WorkLifeBalance]],1,"Bad",2,"Good",3,"Better",4,"Best","Unknown")</f>
        <v>Better</v>
      </c>
      <c r="AP979">
        <f>IF(CleanEmployeeData[[#This Row],[Attrition]]="Yes",1,IF(CleanEmployeeData[[#This Row],[Attrition]]="No",0,""))</f>
        <v>0</v>
      </c>
      <c r="AQ979" t="str" cm="1">
        <f t="array" ref="AQ979">_xlfn.IFS(CleanEmployeeData[[#This Row],[MonthlyIncome]]&lt;=3000,"0–3,000",CleanEmployeeData[[#This Row],[MonthlyIncome]]&lt;=6000,"3,001–6,000",CleanEmployeeData[[#This Row],[MonthlyIncome]]&lt;=10000,"6,001–10,000",TRUE,"10,001+")</f>
        <v>0–3,000</v>
      </c>
      <c r="AR979" t="str" cm="1">
        <f t="array" ref="AR979">_xlfn.IFS(CleanEmployeeData[[#This Row],[DistanceFromHome]]&lt;=5,"0–5 miles",CleanEmployeeData[[#This Row],[DistanceFromHome]]&lt;=10,"6–10 miles",CleanEmployeeData[[#This Row],[DistanceFromHome]]&lt;=15,"11–15 miles",TRUE,"16+ miles")</f>
        <v>16+ miles</v>
      </c>
      <c r="AS979" t="str" cm="1">
        <f t="array" ref="AS979">_xlfn.IFS(CleanEmployeeData[[#This Row],[YearsAtCompany]]&lt;=1,"0–1 years",CleanEmployeeData[[#This Row],[YearsAtCompany]]&lt;=5,"2–5 years",CleanEmployeeData[[#This Row],[YearsAtCompany]]&lt;=10,"6–10 years",TRUE,"11+ years")</f>
        <v>2–5 years</v>
      </c>
    </row>
    <row r="980" spans="1:4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cm="1">
        <f t="array" ref="AJ980">_xlfn.SWITCH(CleanEmployeeData[[#This Row],[Education]],1,"Below College",2,"College",3,"Bachelor",4,"Master",5,"Doctor","Unknown")</f>
        <v>Below College</v>
      </c>
      <c r="AK980" t="str" cm="1">
        <f t="array" ref="AK980">_xlfn.SWITCH(CleanEmployeeData[[#This Row],[EnvironmentSatisfaction]],1,"Low",2,"Medium",3,"High",4,"Very High","Unknown")</f>
        <v>Medium</v>
      </c>
      <c r="AL980" t="str" cm="1">
        <f t="array" ref="AL980">_xlfn.SWITCH(CleanEmployeeData[[#This Row],[JobInvolvement]],1,"Low",2,"Medium",3,"High",4,"Very High","Unknown")</f>
        <v>Very High</v>
      </c>
      <c r="AM980" t="str" cm="1">
        <f t="array" ref="AM980">_xlfn.SWITCH(CleanEmployeeData[[#This Row],[JobSatisfaction]],1,"Low",2,"Medium",3,"High",4,"Very High","Unknown")</f>
        <v>High</v>
      </c>
      <c r="AN980" t="str" cm="1">
        <f t="array" ref="AN980">_xlfn.SWITCH(CleanEmployeeData[[#This Row],[PerformanceRating]],1,"Low",2,"Good",3,"Excellent",4,"Outstanding","Unknown")</f>
        <v>Outstanding</v>
      </c>
      <c r="AO980" t="str" cm="1">
        <f t="array" ref="AO980">_xlfn.SWITCH(CleanEmployeeData[[#This Row],[WorkLifeBalance]],1,"Bad",2,"Good",3,"Better",4,"Best","Unknown")</f>
        <v>Better</v>
      </c>
      <c r="AP980">
        <f>IF(CleanEmployeeData[[#This Row],[Attrition]]="Yes",1,IF(CleanEmployeeData[[#This Row],[Attrition]]="No",0,""))</f>
        <v>0</v>
      </c>
      <c r="AQ980" t="str" cm="1">
        <f t="array" ref="AQ980">_xlfn.IFS(CleanEmployeeData[[#This Row],[MonthlyIncome]]&lt;=3000,"0–3,000",CleanEmployeeData[[#This Row],[MonthlyIncome]]&lt;=6000,"3,001–6,000",CleanEmployeeData[[#This Row],[MonthlyIncome]]&lt;=10000,"6,001–10,000",TRUE,"10,001+")</f>
        <v>6,001–10,000</v>
      </c>
      <c r="AR980" t="str" cm="1">
        <f t="array" ref="AR980">_xlfn.IFS(CleanEmployeeData[[#This Row],[DistanceFromHome]]&lt;=5,"0–5 miles",CleanEmployeeData[[#This Row],[DistanceFromHome]]&lt;=10,"6–10 miles",CleanEmployeeData[[#This Row],[DistanceFromHome]]&lt;=15,"11–15 miles",TRUE,"16+ miles")</f>
        <v>0–5 miles</v>
      </c>
      <c r="AS980" t="str" cm="1">
        <f t="array" ref="AS980">_xlfn.IFS(CleanEmployeeData[[#This Row],[YearsAtCompany]]&lt;=1,"0–1 years",CleanEmployeeData[[#This Row],[YearsAtCompany]]&lt;=5,"2–5 years",CleanEmployeeData[[#This Row],[YearsAtCompany]]&lt;=10,"6–10 years",TRUE,"11+ years")</f>
        <v>11+ years</v>
      </c>
    </row>
    <row r="981" spans="1:4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cm="1">
        <f t="array" ref="AJ981">_xlfn.SWITCH(CleanEmployeeData[[#This Row],[Education]],1,"Below College",2,"College",3,"Bachelor",4,"Master",5,"Doctor","Unknown")</f>
        <v>Bachelor</v>
      </c>
      <c r="AK981" t="str" cm="1">
        <f t="array" ref="AK981">_xlfn.SWITCH(CleanEmployeeData[[#This Row],[EnvironmentSatisfaction]],1,"Low",2,"Medium",3,"High",4,"Very High","Unknown")</f>
        <v>Medium</v>
      </c>
      <c r="AL981" t="str" cm="1">
        <f t="array" ref="AL981">_xlfn.SWITCH(CleanEmployeeData[[#This Row],[JobInvolvement]],1,"Low",2,"Medium",3,"High",4,"Very High","Unknown")</f>
        <v>High</v>
      </c>
      <c r="AM981" t="str" cm="1">
        <f t="array" ref="AM981">_xlfn.SWITCH(CleanEmployeeData[[#This Row],[JobSatisfaction]],1,"Low",2,"Medium",3,"High",4,"Very High","Unknown")</f>
        <v>High</v>
      </c>
      <c r="AN981" t="str" cm="1">
        <f t="array" ref="AN981">_xlfn.SWITCH(CleanEmployeeData[[#This Row],[PerformanceRating]],1,"Low",2,"Good",3,"Excellent",4,"Outstanding","Unknown")</f>
        <v>Excellent</v>
      </c>
      <c r="AO981" t="str" cm="1">
        <f t="array" ref="AO981">_xlfn.SWITCH(CleanEmployeeData[[#This Row],[WorkLifeBalance]],1,"Bad",2,"Good",3,"Better",4,"Best","Unknown")</f>
        <v>Better</v>
      </c>
      <c r="AP981">
        <f>IF(CleanEmployeeData[[#This Row],[Attrition]]="Yes",1,IF(CleanEmployeeData[[#This Row],[Attrition]]="No",0,""))</f>
        <v>0</v>
      </c>
      <c r="AQ981" t="str" cm="1">
        <f t="array" ref="AQ981">_xlfn.IFS(CleanEmployeeData[[#This Row],[MonthlyIncome]]&lt;=3000,"0–3,000",CleanEmployeeData[[#This Row],[MonthlyIncome]]&lt;=6000,"3,001–6,000",CleanEmployeeData[[#This Row],[MonthlyIncome]]&lt;=10000,"6,001–10,000",TRUE,"10,001+")</f>
        <v>3,001–6,000</v>
      </c>
      <c r="AR981" t="str" cm="1">
        <f t="array" ref="AR981">_xlfn.IFS(CleanEmployeeData[[#This Row],[DistanceFromHome]]&lt;=5,"0–5 miles",CleanEmployeeData[[#This Row],[DistanceFromHome]]&lt;=10,"6–10 miles",CleanEmployeeData[[#This Row],[DistanceFromHome]]&lt;=15,"11–15 miles",TRUE,"16+ miles")</f>
        <v>16+ miles</v>
      </c>
      <c r="AS981" t="str" cm="1">
        <f t="array" ref="AS981">_xlfn.IFS(CleanEmployeeData[[#This Row],[YearsAtCompany]]&lt;=1,"0–1 years",CleanEmployeeData[[#This Row],[YearsAtCompany]]&lt;=5,"2–5 years",CleanEmployeeData[[#This Row],[YearsAtCompany]]&lt;=10,"6–10 years",TRUE,"11+ years")</f>
        <v>6–10 years</v>
      </c>
    </row>
    <row r="982" spans="1:4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cm="1">
        <f t="array" ref="AJ982">_xlfn.SWITCH(CleanEmployeeData[[#This Row],[Education]],1,"Below College",2,"College",3,"Bachelor",4,"Master",5,"Doctor","Unknown")</f>
        <v>Bachelor</v>
      </c>
      <c r="AK982" t="str" cm="1">
        <f t="array" ref="AK982">_xlfn.SWITCH(CleanEmployeeData[[#This Row],[EnvironmentSatisfaction]],1,"Low",2,"Medium",3,"High",4,"Very High","Unknown")</f>
        <v>High</v>
      </c>
      <c r="AL982" t="str" cm="1">
        <f t="array" ref="AL982">_xlfn.SWITCH(CleanEmployeeData[[#This Row],[JobInvolvement]],1,"Low",2,"Medium",3,"High",4,"Very High","Unknown")</f>
        <v>Medium</v>
      </c>
      <c r="AM982" t="str" cm="1">
        <f t="array" ref="AM982">_xlfn.SWITCH(CleanEmployeeData[[#This Row],[JobSatisfaction]],1,"Low",2,"Medium",3,"High",4,"Very High","Unknown")</f>
        <v>Very High</v>
      </c>
      <c r="AN982" t="str" cm="1">
        <f t="array" ref="AN982">_xlfn.SWITCH(CleanEmployeeData[[#This Row],[PerformanceRating]],1,"Low",2,"Good",3,"Excellent",4,"Outstanding","Unknown")</f>
        <v>Excellent</v>
      </c>
      <c r="AO982" t="str" cm="1">
        <f t="array" ref="AO982">_xlfn.SWITCH(CleanEmployeeData[[#This Row],[WorkLifeBalance]],1,"Bad",2,"Good",3,"Better",4,"Best","Unknown")</f>
        <v>Best</v>
      </c>
      <c r="AP982">
        <f>IF(CleanEmployeeData[[#This Row],[Attrition]]="Yes",1,IF(CleanEmployeeData[[#This Row],[Attrition]]="No",0,""))</f>
        <v>1</v>
      </c>
      <c r="AQ982" t="str" cm="1">
        <f t="array" ref="AQ982">_xlfn.IFS(CleanEmployeeData[[#This Row],[MonthlyIncome]]&lt;=3000,"0–3,000",CleanEmployeeData[[#This Row],[MonthlyIncome]]&lt;=6000,"3,001–6,000",CleanEmployeeData[[#This Row],[MonthlyIncome]]&lt;=10000,"6,001–10,000",TRUE,"10,001+")</f>
        <v>0–3,000</v>
      </c>
      <c r="AR982" t="str" cm="1">
        <f t="array" ref="AR982">_xlfn.IFS(CleanEmployeeData[[#This Row],[DistanceFromHome]]&lt;=5,"0–5 miles",CleanEmployeeData[[#This Row],[DistanceFromHome]]&lt;=10,"6–10 miles",CleanEmployeeData[[#This Row],[DistanceFromHome]]&lt;=15,"11–15 miles",TRUE,"16+ miles")</f>
        <v>0–5 miles</v>
      </c>
      <c r="AS982" t="str" cm="1">
        <f t="array" ref="AS982">_xlfn.IFS(CleanEmployeeData[[#This Row],[YearsAtCompany]]&lt;=1,"0–1 years",CleanEmployeeData[[#This Row],[YearsAtCompany]]&lt;=5,"2–5 years",CleanEmployeeData[[#This Row],[YearsAtCompany]]&lt;=10,"6–10 years",TRUE,"11+ years")</f>
        <v>0–1 years</v>
      </c>
    </row>
    <row r="983" spans="1:4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cm="1">
        <f t="array" ref="AJ983">_xlfn.SWITCH(CleanEmployeeData[[#This Row],[Education]],1,"Below College",2,"College",3,"Bachelor",4,"Master",5,"Doctor","Unknown")</f>
        <v>Master</v>
      </c>
      <c r="AK983" t="str" cm="1">
        <f t="array" ref="AK983">_xlfn.SWITCH(CleanEmployeeData[[#This Row],[EnvironmentSatisfaction]],1,"Low",2,"Medium",3,"High",4,"Very High","Unknown")</f>
        <v>Very High</v>
      </c>
      <c r="AL983" t="str" cm="1">
        <f t="array" ref="AL983">_xlfn.SWITCH(CleanEmployeeData[[#This Row],[JobInvolvement]],1,"Low",2,"Medium",3,"High",4,"Very High","Unknown")</f>
        <v>High</v>
      </c>
      <c r="AM983" t="str" cm="1">
        <f t="array" ref="AM983">_xlfn.SWITCH(CleanEmployeeData[[#This Row],[JobSatisfaction]],1,"Low",2,"Medium",3,"High",4,"Very High","Unknown")</f>
        <v>High</v>
      </c>
      <c r="AN983" t="str" cm="1">
        <f t="array" ref="AN983">_xlfn.SWITCH(CleanEmployeeData[[#This Row],[PerformanceRating]],1,"Low",2,"Good",3,"Excellent",4,"Outstanding","Unknown")</f>
        <v>Excellent</v>
      </c>
      <c r="AO983" t="str" cm="1">
        <f t="array" ref="AO983">_xlfn.SWITCH(CleanEmployeeData[[#This Row],[WorkLifeBalance]],1,"Bad",2,"Good",3,"Better",4,"Best","Unknown")</f>
        <v>Good</v>
      </c>
      <c r="AP983">
        <f>IF(CleanEmployeeData[[#This Row],[Attrition]]="Yes",1,IF(CleanEmployeeData[[#This Row],[Attrition]]="No",0,""))</f>
        <v>1</v>
      </c>
      <c r="AQ983" t="str" cm="1">
        <f t="array" ref="AQ983">_xlfn.IFS(CleanEmployeeData[[#This Row],[MonthlyIncome]]&lt;=3000,"0–3,000",CleanEmployeeData[[#This Row],[MonthlyIncome]]&lt;=6000,"3,001–6,000",CleanEmployeeData[[#This Row],[MonthlyIncome]]&lt;=10000,"6,001–10,000",TRUE,"10,001+")</f>
        <v>3,001–6,000</v>
      </c>
      <c r="AR983" t="str" cm="1">
        <f t="array" ref="AR983">_xlfn.IFS(CleanEmployeeData[[#This Row],[DistanceFromHome]]&lt;=5,"0–5 miles",CleanEmployeeData[[#This Row],[DistanceFromHome]]&lt;=10,"6–10 miles",CleanEmployeeData[[#This Row],[DistanceFromHome]]&lt;=15,"11–15 miles",TRUE,"16+ miles")</f>
        <v>16+ miles</v>
      </c>
      <c r="AS983" t="str" cm="1">
        <f t="array" ref="AS983">_xlfn.IFS(CleanEmployeeData[[#This Row],[YearsAtCompany]]&lt;=1,"0–1 years",CleanEmployeeData[[#This Row],[YearsAtCompany]]&lt;=5,"2–5 years",CleanEmployeeData[[#This Row],[YearsAtCompany]]&lt;=10,"6–10 years",TRUE,"11+ years")</f>
        <v>2–5 years</v>
      </c>
    </row>
    <row r="984" spans="1:4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cm="1">
        <f t="array" ref="AJ984">_xlfn.SWITCH(CleanEmployeeData[[#This Row],[Education]],1,"Below College",2,"College",3,"Bachelor",4,"Master",5,"Doctor","Unknown")</f>
        <v>Bachelor</v>
      </c>
      <c r="AK984" t="str" cm="1">
        <f t="array" ref="AK984">_xlfn.SWITCH(CleanEmployeeData[[#This Row],[EnvironmentSatisfaction]],1,"Low",2,"Medium",3,"High",4,"Very High","Unknown")</f>
        <v>Very High</v>
      </c>
      <c r="AL984" t="str" cm="1">
        <f t="array" ref="AL984">_xlfn.SWITCH(CleanEmployeeData[[#This Row],[JobInvolvement]],1,"Low",2,"Medium",3,"High",4,"Very High","Unknown")</f>
        <v>Very High</v>
      </c>
      <c r="AM984" t="str" cm="1">
        <f t="array" ref="AM984">_xlfn.SWITCH(CleanEmployeeData[[#This Row],[JobSatisfaction]],1,"Low",2,"Medium",3,"High",4,"Very High","Unknown")</f>
        <v>High</v>
      </c>
      <c r="AN984" t="str" cm="1">
        <f t="array" ref="AN984">_xlfn.SWITCH(CleanEmployeeData[[#This Row],[PerformanceRating]],1,"Low",2,"Good",3,"Excellent",4,"Outstanding","Unknown")</f>
        <v>Excellent</v>
      </c>
      <c r="AO984" t="str" cm="1">
        <f t="array" ref="AO984">_xlfn.SWITCH(CleanEmployeeData[[#This Row],[WorkLifeBalance]],1,"Bad",2,"Good",3,"Better",4,"Best","Unknown")</f>
        <v>Better</v>
      </c>
      <c r="AP984">
        <f>IF(CleanEmployeeData[[#This Row],[Attrition]]="Yes",1,IF(CleanEmployeeData[[#This Row],[Attrition]]="No",0,""))</f>
        <v>0</v>
      </c>
      <c r="AQ984" t="str" cm="1">
        <f t="array" ref="AQ984">_xlfn.IFS(CleanEmployeeData[[#This Row],[MonthlyIncome]]&lt;=3000,"0–3,000",CleanEmployeeData[[#This Row],[MonthlyIncome]]&lt;=6000,"3,001–6,000",CleanEmployeeData[[#This Row],[MonthlyIncome]]&lt;=10000,"6,001–10,000",TRUE,"10,001+")</f>
        <v>0–3,000</v>
      </c>
      <c r="AR984" t="str" cm="1">
        <f t="array" ref="AR984">_xlfn.IFS(CleanEmployeeData[[#This Row],[DistanceFromHome]]&lt;=5,"0–5 miles",CleanEmployeeData[[#This Row],[DistanceFromHome]]&lt;=10,"6–10 miles",CleanEmployeeData[[#This Row],[DistanceFromHome]]&lt;=15,"11–15 miles",TRUE,"16+ miles")</f>
        <v>6–10 miles</v>
      </c>
      <c r="AS984" t="str" cm="1">
        <f t="array" ref="AS984">_xlfn.IFS(CleanEmployeeData[[#This Row],[YearsAtCompany]]&lt;=1,"0–1 years",CleanEmployeeData[[#This Row],[YearsAtCompany]]&lt;=5,"2–5 years",CleanEmployeeData[[#This Row],[YearsAtCompany]]&lt;=10,"6–10 years",TRUE,"11+ years")</f>
        <v>2–5 years</v>
      </c>
    </row>
    <row r="985" spans="1:4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cm="1">
        <f t="array" ref="AJ985">_xlfn.SWITCH(CleanEmployeeData[[#This Row],[Education]],1,"Below College",2,"College",3,"Bachelor",4,"Master",5,"Doctor","Unknown")</f>
        <v>Master</v>
      </c>
      <c r="AK985" t="str" cm="1">
        <f t="array" ref="AK985">_xlfn.SWITCH(CleanEmployeeData[[#This Row],[EnvironmentSatisfaction]],1,"Low",2,"Medium",3,"High",4,"Very High","Unknown")</f>
        <v>High</v>
      </c>
      <c r="AL985" t="str" cm="1">
        <f t="array" ref="AL985">_xlfn.SWITCH(CleanEmployeeData[[#This Row],[JobInvolvement]],1,"Low",2,"Medium",3,"High",4,"Very High","Unknown")</f>
        <v>High</v>
      </c>
      <c r="AM985" t="str" cm="1">
        <f t="array" ref="AM985">_xlfn.SWITCH(CleanEmployeeData[[#This Row],[JobSatisfaction]],1,"Low",2,"Medium",3,"High",4,"Very High","Unknown")</f>
        <v>Very High</v>
      </c>
      <c r="AN985" t="str" cm="1">
        <f t="array" ref="AN985">_xlfn.SWITCH(CleanEmployeeData[[#This Row],[PerformanceRating]],1,"Low",2,"Good",3,"Excellent",4,"Outstanding","Unknown")</f>
        <v>Excellent</v>
      </c>
      <c r="AO985" t="str" cm="1">
        <f t="array" ref="AO985">_xlfn.SWITCH(CleanEmployeeData[[#This Row],[WorkLifeBalance]],1,"Bad",2,"Good",3,"Better",4,"Best","Unknown")</f>
        <v>Best</v>
      </c>
      <c r="AP985">
        <f>IF(CleanEmployeeData[[#This Row],[Attrition]]="Yes",1,IF(CleanEmployeeData[[#This Row],[Attrition]]="No",0,""))</f>
        <v>0</v>
      </c>
      <c r="AQ985" t="str" cm="1">
        <f t="array" ref="AQ985">_xlfn.IFS(CleanEmployeeData[[#This Row],[MonthlyIncome]]&lt;=3000,"0–3,000",CleanEmployeeData[[#This Row],[MonthlyIncome]]&lt;=6000,"3,001–6,000",CleanEmployeeData[[#This Row],[MonthlyIncome]]&lt;=10000,"6,001–10,000",TRUE,"10,001+")</f>
        <v>6,001–10,000</v>
      </c>
      <c r="AR985" t="str" cm="1">
        <f t="array" ref="AR985">_xlfn.IFS(CleanEmployeeData[[#This Row],[DistanceFromHome]]&lt;=5,"0–5 miles",CleanEmployeeData[[#This Row],[DistanceFromHome]]&lt;=10,"6–10 miles",CleanEmployeeData[[#This Row],[DistanceFromHome]]&lt;=15,"11–15 miles",TRUE,"16+ miles")</f>
        <v>0–5 miles</v>
      </c>
      <c r="AS985" t="str" cm="1">
        <f t="array" ref="AS985">_xlfn.IFS(CleanEmployeeData[[#This Row],[YearsAtCompany]]&lt;=1,"0–1 years",CleanEmployeeData[[#This Row],[YearsAtCompany]]&lt;=5,"2–5 years",CleanEmployeeData[[#This Row],[YearsAtCompany]]&lt;=10,"6–10 years",TRUE,"11+ years")</f>
        <v>11+ years</v>
      </c>
    </row>
    <row r="986" spans="1:4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cm="1">
        <f t="array" ref="AJ986">_xlfn.SWITCH(CleanEmployeeData[[#This Row],[Education]],1,"Below College",2,"College",3,"Bachelor",4,"Master",5,"Doctor","Unknown")</f>
        <v>Bachelor</v>
      </c>
      <c r="AK986" t="str" cm="1">
        <f t="array" ref="AK986">_xlfn.SWITCH(CleanEmployeeData[[#This Row],[EnvironmentSatisfaction]],1,"Low",2,"Medium",3,"High",4,"Very High","Unknown")</f>
        <v>High</v>
      </c>
      <c r="AL986" t="str" cm="1">
        <f t="array" ref="AL986">_xlfn.SWITCH(CleanEmployeeData[[#This Row],[JobInvolvement]],1,"Low",2,"Medium",3,"High",4,"Very High","Unknown")</f>
        <v>Medium</v>
      </c>
      <c r="AM986" t="str" cm="1">
        <f t="array" ref="AM986">_xlfn.SWITCH(CleanEmployeeData[[#This Row],[JobSatisfaction]],1,"Low",2,"Medium",3,"High",4,"Very High","Unknown")</f>
        <v>Low</v>
      </c>
      <c r="AN986" t="str" cm="1">
        <f t="array" ref="AN986">_xlfn.SWITCH(CleanEmployeeData[[#This Row],[PerformanceRating]],1,"Low",2,"Good",3,"Excellent",4,"Outstanding","Unknown")</f>
        <v>Excellent</v>
      </c>
      <c r="AO986" t="str" cm="1">
        <f t="array" ref="AO986">_xlfn.SWITCH(CleanEmployeeData[[#This Row],[WorkLifeBalance]],1,"Bad",2,"Good",3,"Better",4,"Best","Unknown")</f>
        <v>Better</v>
      </c>
      <c r="AP986">
        <f>IF(CleanEmployeeData[[#This Row],[Attrition]]="Yes",1,IF(CleanEmployeeData[[#This Row],[Attrition]]="No",0,""))</f>
        <v>0</v>
      </c>
      <c r="AQ986" t="str" cm="1">
        <f t="array" ref="AQ986">_xlfn.IFS(CleanEmployeeData[[#This Row],[MonthlyIncome]]&lt;=3000,"0–3,000",CleanEmployeeData[[#This Row],[MonthlyIncome]]&lt;=6000,"3,001–6,000",CleanEmployeeData[[#This Row],[MonthlyIncome]]&lt;=10000,"6,001–10,000",TRUE,"10,001+")</f>
        <v>3,001–6,000</v>
      </c>
      <c r="AR986" t="str" cm="1">
        <f t="array" ref="AR986">_xlfn.IFS(CleanEmployeeData[[#This Row],[DistanceFromHome]]&lt;=5,"0–5 miles",CleanEmployeeData[[#This Row],[DistanceFromHome]]&lt;=10,"6–10 miles",CleanEmployeeData[[#This Row],[DistanceFromHome]]&lt;=15,"11–15 miles",TRUE,"16+ miles")</f>
        <v>16+ miles</v>
      </c>
      <c r="AS986" t="str" cm="1">
        <f t="array" ref="AS986">_xlfn.IFS(CleanEmployeeData[[#This Row],[YearsAtCompany]]&lt;=1,"0–1 years",CleanEmployeeData[[#This Row],[YearsAtCompany]]&lt;=5,"2–5 years",CleanEmployeeData[[#This Row],[YearsAtCompany]]&lt;=10,"6–10 years",TRUE,"11+ years")</f>
        <v>2–5 years</v>
      </c>
    </row>
    <row r="987" spans="1:4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cm="1">
        <f t="array" ref="AJ987">_xlfn.SWITCH(CleanEmployeeData[[#This Row],[Education]],1,"Below College",2,"College",3,"Bachelor",4,"Master",5,"Doctor","Unknown")</f>
        <v>Master</v>
      </c>
      <c r="AK987" t="str" cm="1">
        <f t="array" ref="AK987">_xlfn.SWITCH(CleanEmployeeData[[#This Row],[EnvironmentSatisfaction]],1,"Low",2,"Medium",3,"High",4,"Very High","Unknown")</f>
        <v>Very High</v>
      </c>
      <c r="AL987" t="str" cm="1">
        <f t="array" ref="AL987">_xlfn.SWITCH(CleanEmployeeData[[#This Row],[JobInvolvement]],1,"Low",2,"Medium",3,"High",4,"Very High","Unknown")</f>
        <v>High</v>
      </c>
      <c r="AM987" t="str" cm="1">
        <f t="array" ref="AM987">_xlfn.SWITCH(CleanEmployeeData[[#This Row],[JobSatisfaction]],1,"Low",2,"Medium",3,"High",4,"Very High","Unknown")</f>
        <v>High</v>
      </c>
      <c r="AN987" t="str" cm="1">
        <f t="array" ref="AN987">_xlfn.SWITCH(CleanEmployeeData[[#This Row],[PerformanceRating]],1,"Low",2,"Good",3,"Excellent",4,"Outstanding","Unknown")</f>
        <v>Excellent</v>
      </c>
      <c r="AO987" t="str" cm="1">
        <f t="array" ref="AO987">_xlfn.SWITCH(CleanEmployeeData[[#This Row],[WorkLifeBalance]],1,"Bad",2,"Good",3,"Better",4,"Best","Unknown")</f>
        <v>Good</v>
      </c>
      <c r="AP987">
        <f>IF(CleanEmployeeData[[#This Row],[Attrition]]="Yes",1,IF(CleanEmployeeData[[#This Row],[Attrition]]="No",0,""))</f>
        <v>1</v>
      </c>
      <c r="AQ987" t="str" cm="1">
        <f t="array" ref="AQ987">_xlfn.IFS(CleanEmployeeData[[#This Row],[MonthlyIncome]]&lt;=3000,"0–3,000",CleanEmployeeData[[#This Row],[MonthlyIncome]]&lt;=6000,"3,001–6,000",CleanEmployeeData[[#This Row],[MonthlyIncome]]&lt;=10000,"6,001–10,000",TRUE,"10,001+")</f>
        <v>6,001–10,000</v>
      </c>
      <c r="AR987" t="str" cm="1">
        <f t="array" ref="AR987">_xlfn.IFS(CleanEmployeeData[[#This Row],[DistanceFromHome]]&lt;=5,"0–5 miles",CleanEmployeeData[[#This Row],[DistanceFromHome]]&lt;=10,"6–10 miles",CleanEmployeeData[[#This Row],[DistanceFromHome]]&lt;=15,"11–15 miles",TRUE,"16+ miles")</f>
        <v>16+ miles</v>
      </c>
      <c r="AS987" t="str" cm="1">
        <f t="array" ref="AS987">_xlfn.IFS(CleanEmployeeData[[#This Row],[YearsAtCompany]]&lt;=1,"0–1 years",CleanEmployeeData[[#This Row],[YearsAtCompany]]&lt;=5,"2–5 years",CleanEmployeeData[[#This Row],[YearsAtCompany]]&lt;=10,"6–10 years",TRUE,"11+ years")</f>
        <v>6–10 years</v>
      </c>
    </row>
    <row r="988" spans="1:4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cm="1">
        <f t="array" ref="AJ988">_xlfn.SWITCH(CleanEmployeeData[[#This Row],[Education]],1,"Below College",2,"College",3,"Bachelor",4,"Master",5,"Doctor","Unknown")</f>
        <v>Master</v>
      </c>
      <c r="AK988" t="str" cm="1">
        <f t="array" ref="AK988">_xlfn.SWITCH(CleanEmployeeData[[#This Row],[EnvironmentSatisfaction]],1,"Low",2,"Medium",3,"High",4,"Very High","Unknown")</f>
        <v>Low</v>
      </c>
      <c r="AL988" t="str" cm="1">
        <f t="array" ref="AL988">_xlfn.SWITCH(CleanEmployeeData[[#This Row],[JobInvolvement]],1,"Low",2,"Medium",3,"High",4,"Very High","Unknown")</f>
        <v>Medium</v>
      </c>
      <c r="AM988" t="str" cm="1">
        <f t="array" ref="AM988">_xlfn.SWITCH(CleanEmployeeData[[#This Row],[JobSatisfaction]],1,"Low",2,"Medium",3,"High",4,"Very High","Unknown")</f>
        <v>Very High</v>
      </c>
      <c r="AN988" t="str" cm="1">
        <f t="array" ref="AN988">_xlfn.SWITCH(CleanEmployeeData[[#This Row],[PerformanceRating]],1,"Low",2,"Good",3,"Excellent",4,"Outstanding","Unknown")</f>
        <v>Excellent</v>
      </c>
      <c r="AO988" t="str" cm="1">
        <f t="array" ref="AO988">_xlfn.SWITCH(CleanEmployeeData[[#This Row],[WorkLifeBalance]],1,"Bad",2,"Good",3,"Better",4,"Best","Unknown")</f>
        <v>Best</v>
      </c>
      <c r="AP988">
        <f>IF(CleanEmployeeData[[#This Row],[Attrition]]="Yes",1,IF(CleanEmployeeData[[#This Row],[Attrition]]="No",0,""))</f>
        <v>0</v>
      </c>
      <c r="AQ988" t="str" cm="1">
        <f t="array" ref="AQ988">_xlfn.IFS(CleanEmployeeData[[#This Row],[MonthlyIncome]]&lt;=3000,"0–3,000",CleanEmployeeData[[#This Row],[MonthlyIncome]]&lt;=6000,"3,001–6,000",CleanEmployeeData[[#This Row],[MonthlyIncome]]&lt;=10000,"6,001–10,000",TRUE,"10,001+")</f>
        <v>6,001–10,000</v>
      </c>
      <c r="AR988" t="str" cm="1">
        <f t="array" ref="AR988">_xlfn.IFS(CleanEmployeeData[[#This Row],[DistanceFromHome]]&lt;=5,"0–5 miles",CleanEmployeeData[[#This Row],[DistanceFromHome]]&lt;=10,"6–10 miles",CleanEmployeeData[[#This Row],[DistanceFromHome]]&lt;=15,"11–15 miles",TRUE,"16+ miles")</f>
        <v>16+ miles</v>
      </c>
      <c r="AS988" t="str" cm="1">
        <f t="array" ref="AS988">_xlfn.IFS(CleanEmployeeData[[#This Row],[YearsAtCompany]]&lt;=1,"0–1 years",CleanEmployeeData[[#This Row],[YearsAtCompany]]&lt;=5,"2–5 years",CleanEmployeeData[[#This Row],[YearsAtCompany]]&lt;=10,"6–10 years",TRUE,"11+ years")</f>
        <v>2–5 years</v>
      </c>
    </row>
    <row r="989" spans="1:4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cm="1">
        <f t="array" ref="AJ989">_xlfn.SWITCH(CleanEmployeeData[[#This Row],[Education]],1,"Below College",2,"College",3,"Bachelor",4,"Master",5,"Doctor","Unknown")</f>
        <v>Bachelor</v>
      </c>
      <c r="AK989" t="str" cm="1">
        <f t="array" ref="AK989">_xlfn.SWITCH(CleanEmployeeData[[#This Row],[EnvironmentSatisfaction]],1,"Low",2,"Medium",3,"High",4,"Very High","Unknown")</f>
        <v>Medium</v>
      </c>
      <c r="AL989" t="str" cm="1">
        <f t="array" ref="AL989">_xlfn.SWITCH(CleanEmployeeData[[#This Row],[JobInvolvement]],1,"Low",2,"Medium",3,"High",4,"Very High","Unknown")</f>
        <v>High</v>
      </c>
      <c r="AM989" t="str" cm="1">
        <f t="array" ref="AM989">_xlfn.SWITCH(CleanEmployeeData[[#This Row],[JobSatisfaction]],1,"Low",2,"Medium",3,"High",4,"Very High","Unknown")</f>
        <v>Medium</v>
      </c>
      <c r="AN989" t="str" cm="1">
        <f t="array" ref="AN989">_xlfn.SWITCH(CleanEmployeeData[[#This Row],[PerformanceRating]],1,"Low",2,"Good",3,"Excellent",4,"Outstanding","Unknown")</f>
        <v>Excellent</v>
      </c>
      <c r="AO989" t="str" cm="1">
        <f t="array" ref="AO989">_xlfn.SWITCH(CleanEmployeeData[[#This Row],[WorkLifeBalance]],1,"Bad",2,"Good",3,"Better",4,"Best","Unknown")</f>
        <v>Better</v>
      </c>
      <c r="AP989">
        <f>IF(CleanEmployeeData[[#This Row],[Attrition]]="Yes",1,IF(CleanEmployeeData[[#This Row],[Attrition]]="No",0,""))</f>
        <v>0</v>
      </c>
      <c r="AQ989" t="str" cm="1">
        <f t="array" ref="AQ989">_xlfn.IFS(CleanEmployeeData[[#This Row],[MonthlyIncome]]&lt;=3000,"0–3,000",CleanEmployeeData[[#This Row],[MonthlyIncome]]&lt;=6000,"3,001–6,000",CleanEmployeeData[[#This Row],[MonthlyIncome]]&lt;=10000,"6,001–10,000",TRUE,"10,001+")</f>
        <v>10,001+</v>
      </c>
      <c r="AR989" t="str" cm="1">
        <f t="array" ref="AR989">_xlfn.IFS(CleanEmployeeData[[#This Row],[DistanceFromHome]]&lt;=5,"0–5 miles",CleanEmployeeData[[#This Row],[DistanceFromHome]]&lt;=10,"6–10 miles",CleanEmployeeData[[#This Row],[DistanceFromHome]]&lt;=15,"11–15 miles",TRUE,"16+ miles")</f>
        <v>0–5 miles</v>
      </c>
      <c r="AS989" t="str" cm="1">
        <f t="array" ref="AS989">_xlfn.IFS(CleanEmployeeData[[#This Row],[YearsAtCompany]]&lt;=1,"0–1 years",CleanEmployeeData[[#This Row],[YearsAtCompany]]&lt;=5,"2–5 years",CleanEmployeeData[[#This Row],[YearsAtCompany]]&lt;=10,"6–10 years",TRUE,"11+ years")</f>
        <v>2–5 years</v>
      </c>
    </row>
    <row r="990" spans="1:4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cm="1">
        <f t="array" ref="AJ990">_xlfn.SWITCH(CleanEmployeeData[[#This Row],[Education]],1,"Below College",2,"College",3,"Bachelor",4,"Master",5,"Doctor","Unknown")</f>
        <v>Bachelor</v>
      </c>
      <c r="AK990" t="str" cm="1">
        <f t="array" ref="AK990">_xlfn.SWITCH(CleanEmployeeData[[#This Row],[EnvironmentSatisfaction]],1,"Low",2,"Medium",3,"High",4,"Very High","Unknown")</f>
        <v>Very High</v>
      </c>
      <c r="AL990" t="str" cm="1">
        <f t="array" ref="AL990">_xlfn.SWITCH(CleanEmployeeData[[#This Row],[JobInvolvement]],1,"Low",2,"Medium",3,"High",4,"Very High","Unknown")</f>
        <v>High</v>
      </c>
      <c r="AM990" t="str" cm="1">
        <f t="array" ref="AM990">_xlfn.SWITCH(CleanEmployeeData[[#This Row],[JobSatisfaction]],1,"Low",2,"Medium",3,"High",4,"Very High","Unknown")</f>
        <v>Very High</v>
      </c>
      <c r="AN990" t="str" cm="1">
        <f t="array" ref="AN990">_xlfn.SWITCH(CleanEmployeeData[[#This Row],[PerformanceRating]],1,"Low",2,"Good",3,"Excellent",4,"Outstanding","Unknown")</f>
        <v>Excellent</v>
      </c>
      <c r="AO990" t="str" cm="1">
        <f t="array" ref="AO990">_xlfn.SWITCH(CleanEmployeeData[[#This Row],[WorkLifeBalance]],1,"Bad",2,"Good",3,"Better",4,"Best","Unknown")</f>
        <v>Good</v>
      </c>
      <c r="AP990">
        <f>IF(CleanEmployeeData[[#This Row],[Attrition]]="Yes",1,IF(CleanEmployeeData[[#This Row],[Attrition]]="No",0,""))</f>
        <v>0</v>
      </c>
      <c r="AQ990" t="str" cm="1">
        <f t="array" ref="AQ990">_xlfn.IFS(CleanEmployeeData[[#This Row],[MonthlyIncome]]&lt;=3000,"0–3,000",CleanEmployeeData[[#This Row],[MonthlyIncome]]&lt;=6000,"3,001–6,000",CleanEmployeeData[[#This Row],[MonthlyIncome]]&lt;=10000,"6,001–10,000",TRUE,"10,001+")</f>
        <v>3,001–6,000</v>
      </c>
      <c r="AR990" t="str" cm="1">
        <f t="array" ref="AR990">_xlfn.IFS(CleanEmployeeData[[#This Row],[DistanceFromHome]]&lt;=5,"0–5 miles",CleanEmployeeData[[#This Row],[DistanceFromHome]]&lt;=10,"6–10 miles",CleanEmployeeData[[#This Row],[DistanceFromHome]]&lt;=15,"11–15 miles",TRUE,"16+ miles")</f>
        <v>16+ miles</v>
      </c>
      <c r="AS990" t="str" cm="1">
        <f t="array" ref="AS990">_xlfn.IFS(CleanEmployeeData[[#This Row],[YearsAtCompany]]&lt;=1,"0–1 years",CleanEmployeeData[[#This Row],[YearsAtCompany]]&lt;=5,"2–5 years",CleanEmployeeData[[#This Row],[YearsAtCompany]]&lt;=10,"6–10 years",TRUE,"11+ years")</f>
        <v>6–10 years</v>
      </c>
    </row>
    <row r="991" spans="1:4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cm="1">
        <f t="array" ref="AJ991">_xlfn.SWITCH(CleanEmployeeData[[#This Row],[Education]],1,"Below College",2,"College",3,"Bachelor",4,"Master",5,"Doctor","Unknown")</f>
        <v>Below College</v>
      </c>
      <c r="AK991" t="str" cm="1">
        <f t="array" ref="AK991">_xlfn.SWITCH(CleanEmployeeData[[#This Row],[EnvironmentSatisfaction]],1,"Low",2,"Medium",3,"High",4,"Very High","Unknown")</f>
        <v>High</v>
      </c>
      <c r="AL991" t="str" cm="1">
        <f t="array" ref="AL991">_xlfn.SWITCH(CleanEmployeeData[[#This Row],[JobInvolvement]],1,"Low",2,"Medium",3,"High",4,"Very High","Unknown")</f>
        <v>High</v>
      </c>
      <c r="AM991" t="str" cm="1">
        <f t="array" ref="AM991">_xlfn.SWITCH(CleanEmployeeData[[#This Row],[JobSatisfaction]],1,"Low",2,"Medium",3,"High",4,"Very High","Unknown")</f>
        <v>High</v>
      </c>
      <c r="AN991" t="str" cm="1">
        <f t="array" ref="AN991">_xlfn.SWITCH(CleanEmployeeData[[#This Row],[PerformanceRating]],1,"Low",2,"Good",3,"Excellent",4,"Outstanding","Unknown")</f>
        <v>Excellent</v>
      </c>
      <c r="AO991" t="str" cm="1">
        <f t="array" ref="AO991">_xlfn.SWITCH(CleanEmployeeData[[#This Row],[WorkLifeBalance]],1,"Bad",2,"Good",3,"Better",4,"Best","Unknown")</f>
        <v>Better</v>
      </c>
      <c r="AP991">
        <f>IF(CleanEmployeeData[[#This Row],[Attrition]]="Yes",1,IF(CleanEmployeeData[[#This Row],[Attrition]]="No",0,""))</f>
        <v>0</v>
      </c>
      <c r="AQ991" t="str" cm="1">
        <f t="array" ref="AQ991">_xlfn.IFS(CleanEmployeeData[[#This Row],[MonthlyIncome]]&lt;=3000,"0–3,000",CleanEmployeeData[[#This Row],[MonthlyIncome]]&lt;=6000,"3,001–6,000",CleanEmployeeData[[#This Row],[MonthlyIncome]]&lt;=10000,"6,001–10,000",TRUE,"10,001+")</f>
        <v>0–3,000</v>
      </c>
      <c r="AR991" t="str" cm="1">
        <f t="array" ref="AR991">_xlfn.IFS(CleanEmployeeData[[#This Row],[DistanceFromHome]]&lt;=5,"0–5 miles",CleanEmployeeData[[#This Row],[DistanceFromHome]]&lt;=10,"6–10 miles",CleanEmployeeData[[#This Row],[DistanceFromHome]]&lt;=15,"11–15 miles",TRUE,"16+ miles")</f>
        <v>0–5 miles</v>
      </c>
      <c r="AS991" t="str" cm="1">
        <f t="array" ref="AS991">_xlfn.IFS(CleanEmployeeData[[#This Row],[YearsAtCompany]]&lt;=1,"0–1 years",CleanEmployeeData[[#This Row],[YearsAtCompany]]&lt;=5,"2–5 years",CleanEmployeeData[[#This Row],[YearsAtCompany]]&lt;=10,"6–10 years",TRUE,"11+ years")</f>
        <v>6–10 years</v>
      </c>
    </row>
    <row r="992" spans="1:4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cm="1">
        <f t="array" ref="AJ992">_xlfn.SWITCH(CleanEmployeeData[[#This Row],[Education]],1,"Below College",2,"College",3,"Bachelor",4,"Master",5,"Doctor","Unknown")</f>
        <v>Below College</v>
      </c>
      <c r="AK992" t="str" cm="1">
        <f t="array" ref="AK992">_xlfn.SWITCH(CleanEmployeeData[[#This Row],[EnvironmentSatisfaction]],1,"Low",2,"Medium",3,"High",4,"Very High","Unknown")</f>
        <v>Medium</v>
      </c>
      <c r="AL992" t="str" cm="1">
        <f t="array" ref="AL992">_xlfn.SWITCH(CleanEmployeeData[[#This Row],[JobInvolvement]],1,"Low",2,"Medium",3,"High",4,"Very High","Unknown")</f>
        <v>High</v>
      </c>
      <c r="AM992" t="str" cm="1">
        <f t="array" ref="AM992">_xlfn.SWITCH(CleanEmployeeData[[#This Row],[JobSatisfaction]],1,"Low",2,"Medium",3,"High",4,"Very High","Unknown")</f>
        <v>Very High</v>
      </c>
      <c r="AN992" t="str" cm="1">
        <f t="array" ref="AN992">_xlfn.SWITCH(CleanEmployeeData[[#This Row],[PerformanceRating]],1,"Low",2,"Good",3,"Excellent",4,"Outstanding","Unknown")</f>
        <v>Excellent</v>
      </c>
      <c r="AO992" t="str" cm="1">
        <f t="array" ref="AO992">_xlfn.SWITCH(CleanEmployeeData[[#This Row],[WorkLifeBalance]],1,"Bad",2,"Good",3,"Better",4,"Best","Unknown")</f>
        <v>Best</v>
      </c>
      <c r="AP992">
        <f>IF(CleanEmployeeData[[#This Row],[Attrition]]="Yes",1,IF(CleanEmployeeData[[#This Row],[Attrition]]="No",0,""))</f>
        <v>0</v>
      </c>
      <c r="AQ992" t="str" cm="1">
        <f t="array" ref="AQ992">_xlfn.IFS(CleanEmployeeData[[#This Row],[MonthlyIncome]]&lt;=3000,"0–3,000",CleanEmployeeData[[#This Row],[MonthlyIncome]]&lt;=6000,"3,001–6,000",CleanEmployeeData[[#This Row],[MonthlyIncome]]&lt;=10000,"6,001–10,000",TRUE,"10,001+")</f>
        <v>6,001–10,000</v>
      </c>
      <c r="AR992" t="str" cm="1">
        <f t="array" ref="AR992">_xlfn.IFS(CleanEmployeeData[[#This Row],[DistanceFromHome]]&lt;=5,"0–5 miles",CleanEmployeeData[[#This Row],[DistanceFromHome]]&lt;=10,"6–10 miles",CleanEmployeeData[[#This Row],[DistanceFromHome]]&lt;=15,"11–15 miles",TRUE,"16+ miles")</f>
        <v>0–5 miles</v>
      </c>
      <c r="AS992" t="str" cm="1">
        <f t="array" ref="AS992">_xlfn.IFS(CleanEmployeeData[[#This Row],[YearsAtCompany]]&lt;=1,"0–1 years",CleanEmployeeData[[#This Row],[YearsAtCompany]]&lt;=5,"2–5 years",CleanEmployeeData[[#This Row],[YearsAtCompany]]&lt;=10,"6–10 years",TRUE,"11+ years")</f>
        <v>2–5 years</v>
      </c>
    </row>
    <row r="993" spans="1:4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cm="1">
        <f t="array" ref="AJ993">_xlfn.SWITCH(CleanEmployeeData[[#This Row],[Education]],1,"Below College",2,"College",3,"Bachelor",4,"Master",5,"Doctor","Unknown")</f>
        <v>Below College</v>
      </c>
      <c r="AK993" t="str" cm="1">
        <f t="array" ref="AK993">_xlfn.SWITCH(CleanEmployeeData[[#This Row],[EnvironmentSatisfaction]],1,"Low",2,"Medium",3,"High",4,"Very High","Unknown")</f>
        <v>High</v>
      </c>
      <c r="AL993" t="str" cm="1">
        <f t="array" ref="AL993">_xlfn.SWITCH(CleanEmployeeData[[#This Row],[JobInvolvement]],1,"Low",2,"Medium",3,"High",4,"Very High","Unknown")</f>
        <v>High</v>
      </c>
      <c r="AM993" t="str" cm="1">
        <f t="array" ref="AM993">_xlfn.SWITCH(CleanEmployeeData[[#This Row],[JobSatisfaction]],1,"Low",2,"Medium",3,"High",4,"Very High","Unknown")</f>
        <v>Medium</v>
      </c>
      <c r="AN993" t="str" cm="1">
        <f t="array" ref="AN993">_xlfn.SWITCH(CleanEmployeeData[[#This Row],[PerformanceRating]],1,"Low",2,"Good",3,"Excellent",4,"Outstanding","Unknown")</f>
        <v>Excellent</v>
      </c>
      <c r="AO993" t="str" cm="1">
        <f t="array" ref="AO993">_xlfn.SWITCH(CleanEmployeeData[[#This Row],[WorkLifeBalance]],1,"Bad",2,"Good",3,"Better",4,"Best","Unknown")</f>
        <v>Good</v>
      </c>
      <c r="AP993">
        <f>IF(CleanEmployeeData[[#This Row],[Attrition]]="Yes",1,IF(CleanEmployeeData[[#This Row],[Attrition]]="No",0,""))</f>
        <v>0</v>
      </c>
      <c r="AQ993" t="str" cm="1">
        <f t="array" ref="AQ993">_xlfn.IFS(CleanEmployeeData[[#This Row],[MonthlyIncome]]&lt;=3000,"0–3,000",CleanEmployeeData[[#This Row],[MonthlyIncome]]&lt;=6000,"3,001–6,000",CleanEmployeeData[[#This Row],[MonthlyIncome]]&lt;=10000,"6,001–10,000",TRUE,"10,001+")</f>
        <v>3,001–6,000</v>
      </c>
      <c r="AR993" t="str" cm="1">
        <f t="array" ref="AR993">_xlfn.IFS(CleanEmployeeData[[#This Row],[DistanceFromHome]]&lt;=5,"0–5 miles",CleanEmployeeData[[#This Row],[DistanceFromHome]]&lt;=10,"6–10 miles",CleanEmployeeData[[#This Row],[DistanceFromHome]]&lt;=15,"11–15 miles",TRUE,"16+ miles")</f>
        <v>0–5 miles</v>
      </c>
      <c r="AS993" t="str" cm="1">
        <f t="array" ref="AS993">_xlfn.IFS(CleanEmployeeData[[#This Row],[YearsAtCompany]]&lt;=1,"0–1 years",CleanEmployeeData[[#This Row],[YearsAtCompany]]&lt;=5,"2–5 years",CleanEmployeeData[[#This Row],[YearsAtCompany]]&lt;=10,"6–10 years",TRUE,"11+ years")</f>
        <v>2–5 years</v>
      </c>
    </row>
    <row r="994" spans="1:4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cm="1">
        <f t="array" ref="AJ994">_xlfn.SWITCH(CleanEmployeeData[[#This Row],[Education]],1,"Below College",2,"College",3,"Bachelor",4,"Master",5,"Doctor","Unknown")</f>
        <v>College</v>
      </c>
      <c r="AK994" t="str" cm="1">
        <f t="array" ref="AK994">_xlfn.SWITCH(CleanEmployeeData[[#This Row],[EnvironmentSatisfaction]],1,"Low",2,"Medium",3,"High",4,"Very High","Unknown")</f>
        <v>High</v>
      </c>
      <c r="AL994" t="str" cm="1">
        <f t="array" ref="AL994">_xlfn.SWITCH(CleanEmployeeData[[#This Row],[JobInvolvement]],1,"Low",2,"Medium",3,"High",4,"Very High","Unknown")</f>
        <v>High</v>
      </c>
      <c r="AM994" t="str" cm="1">
        <f t="array" ref="AM994">_xlfn.SWITCH(CleanEmployeeData[[#This Row],[JobSatisfaction]],1,"Low",2,"Medium",3,"High",4,"Very High","Unknown")</f>
        <v>High</v>
      </c>
      <c r="AN994" t="str" cm="1">
        <f t="array" ref="AN994">_xlfn.SWITCH(CleanEmployeeData[[#This Row],[PerformanceRating]],1,"Low",2,"Good",3,"Excellent",4,"Outstanding","Unknown")</f>
        <v>Outstanding</v>
      </c>
      <c r="AO994" t="str" cm="1">
        <f t="array" ref="AO994">_xlfn.SWITCH(CleanEmployeeData[[#This Row],[WorkLifeBalance]],1,"Bad",2,"Good",3,"Better",4,"Best","Unknown")</f>
        <v>Better</v>
      </c>
      <c r="AP994">
        <f>IF(CleanEmployeeData[[#This Row],[Attrition]]="Yes",1,IF(CleanEmployeeData[[#This Row],[Attrition]]="No",0,""))</f>
        <v>0</v>
      </c>
      <c r="AQ994" t="str" cm="1">
        <f t="array" ref="AQ994">_xlfn.IFS(CleanEmployeeData[[#This Row],[MonthlyIncome]]&lt;=3000,"0–3,000",CleanEmployeeData[[#This Row],[MonthlyIncome]]&lt;=6000,"3,001–6,000",CleanEmployeeData[[#This Row],[MonthlyIncome]]&lt;=10000,"6,001–10,000",TRUE,"10,001+")</f>
        <v>10,001+</v>
      </c>
      <c r="AR994" t="str" cm="1">
        <f t="array" ref="AR994">_xlfn.IFS(CleanEmployeeData[[#This Row],[DistanceFromHome]]&lt;=5,"0–5 miles",CleanEmployeeData[[#This Row],[DistanceFromHome]]&lt;=10,"6–10 miles",CleanEmployeeData[[#This Row],[DistanceFromHome]]&lt;=15,"11–15 miles",TRUE,"16+ miles")</f>
        <v>16+ miles</v>
      </c>
      <c r="AS994" t="str" cm="1">
        <f t="array" ref="AS994">_xlfn.IFS(CleanEmployeeData[[#This Row],[YearsAtCompany]]&lt;=1,"0–1 years",CleanEmployeeData[[#This Row],[YearsAtCompany]]&lt;=5,"2–5 years",CleanEmployeeData[[#This Row],[YearsAtCompany]]&lt;=10,"6–10 years",TRUE,"11+ years")</f>
        <v>6–10 years</v>
      </c>
    </row>
    <row r="995" spans="1:4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cm="1">
        <f t="array" ref="AJ995">_xlfn.SWITCH(CleanEmployeeData[[#This Row],[Education]],1,"Below College",2,"College",3,"Bachelor",4,"Master",5,"Doctor","Unknown")</f>
        <v>Below College</v>
      </c>
      <c r="AK995" t="str" cm="1">
        <f t="array" ref="AK995">_xlfn.SWITCH(CleanEmployeeData[[#This Row],[EnvironmentSatisfaction]],1,"Low",2,"Medium",3,"High",4,"Very High","Unknown")</f>
        <v>Low</v>
      </c>
      <c r="AL995" t="str" cm="1">
        <f t="array" ref="AL995">_xlfn.SWITCH(CleanEmployeeData[[#This Row],[JobInvolvement]],1,"Low",2,"Medium",3,"High",4,"Very High","Unknown")</f>
        <v>Very High</v>
      </c>
      <c r="AM995" t="str" cm="1">
        <f t="array" ref="AM995">_xlfn.SWITCH(CleanEmployeeData[[#This Row],[JobSatisfaction]],1,"Low",2,"Medium",3,"High",4,"Very High","Unknown")</f>
        <v>High</v>
      </c>
      <c r="AN995" t="str" cm="1">
        <f t="array" ref="AN995">_xlfn.SWITCH(CleanEmployeeData[[#This Row],[PerformanceRating]],1,"Low",2,"Good",3,"Excellent",4,"Outstanding","Unknown")</f>
        <v>Excellent</v>
      </c>
      <c r="AO995" t="str" cm="1">
        <f t="array" ref="AO995">_xlfn.SWITCH(CleanEmployeeData[[#This Row],[WorkLifeBalance]],1,"Bad",2,"Good",3,"Better",4,"Best","Unknown")</f>
        <v>Good</v>
      </c>
      <c r="AP995">
        <f>IF(CleanEmployeeData[[#This Row],[Attrition]]="Yes",1,IF(CleanEmployeeData[[#This Row],[Attrition]]="No",0,""))</f>
        <v>0</v>
      </c>
      <c r="AQ995" t="str" cm="1">
        <f t="array" ref="AQ995">_xlfn.IFS(CleanEmployeeData[[#This Row],[MonthlyIncome]]&lt;=3000,"0–3,000",CleanEmployeeData[[#This Row],[MonthlyIncome]]&lt;=6000,"3,001–6,000",CleanEmployeeData[[#This Row],[MonthlyIncome]]&lt;=10000,"6,001–10,000",TRUE,"10,001+")</f>
        <v>6,001–10,000</v>
      </c>
      <c r="AR995" t="str" cm="1">
        <f t="array" ref="AR995">_xlfn.IFS(CleanEmployeeData[[#This Row],[DistanceFromHome]]&lt;=5,"0–5 miles",CleanEmployeeData[[#This Row],[DistanceFromHome]]&lt;=10,"6–10 miles",CleanEmployeeData[[#This Row],[DistanceFromHome]]&lt;=15,"11–15 miles",TRUE,"16+ miles")</f>
        <v>16+ miles</v>
      </c>
      <c r="AS995" t="str" cm="1">
        <f t="array" ref="AS995">_xlfn.IFS(CleanEmployeeData[[#This Row],[YearsAtCompany]]&lt;=1,"0–1 years",CleanEmployeeData[[#This Row],[YearsAtCompany]]&lt;=5,"2–5 years",CleanEmployeeData[[#This Row],[YearsAtCompany]]&lt;=10,"6–10 years",TRUE,"11+ years")</f>
        <v>2–5 years</v>
      </c>
    </row>
    <row r="996" spans="1:4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cm="1">
        <f t="array" ref="AJ996">_xlfn.SWITCH(CleanEmployeeData[[#This Row],[Education]],1,"Below College",2,"College",3,"Bachelor",4,"Master",5,"Doctor","Unknown")</f>
        <v>College</v>
      </c>
      <c r="AK996" t="str" cm="1">
        <f t="array" ref="AK996">_xlfn.SWITCH(CleanEmployeeData[[#This Row],[EnvironmentSatisfaction]],1,"Low",2,"Medium",3,"High",4,"Very High","Unknown")</f>
        <v>Very High</v>
      </c>
      <c r="AL996" t="str" cm="1">
        <f t="array" ref="AL996">_xlfn.SWITCH(CleanEmployeeData[[#This Row],[JobInvolvement]],1,"Low",2,"Medium",3,"High",4,"Very High","Unknown")</f>
        <v>Very High</v>
      </c>
      <c r="AM996" t="str" cm="1">
        <f t="array" ref="AM996">_xlfn.SWITCH(CleanEmployeeData[[#This Row],[JobSatisfaction]],1,"Low",2,"Medium",3,"High",4,"Very High","Unknown")</f>
        <v>High</v>
      </c>
      <c r="AN996" t="str" cm="1">
        <f t="array" ref="AN996">_xlfn.SWITCH(CleanEmployeeData[[#This Row],[PerformanceRating]],1,"Low",2,"Good",3,"Excellent",4,"Outstanding","Unknown")</f>
        <v>Excellent</v>
      </c>
      <c r="AO996" t="str" cm="1">
        <f t="array" ref="AO996">_xlfn.SWITCH(CleanEmployeeData[[#This Row],[WorkLifeBalance]],1,"Bad",2,"Good",3,"Better",4,"Best","Unknown")</f>
        <v>Good</v>
      </c>
      <c r="AP996">
        <f>IF(CleanEmployeeData[[#This Row],[Attrition]]="Yes",1,IF(CleanEmployeeData[[#This Row],[Attrition]]="No",0,""))</f>
        <v>0</v>
      </c>
      <c r="AQ996" t="str" cm="1">
        <f t="array" ref="AQ996">_xlfn.IFS(CleanEmployeeData[[#This Row],[MonthlyIncome]]&lt;=3000,"0–3,000",CleanEmployeeData[[#This Row],[MonthlyIncome]]&lt;=6000,"3,001–6,000",CleanEmployeeData[[#This Row],[MonthlyIncome]]&lt;=10000,"6,001–10,000",TRUE,"10,001+")</f>
        <v>10,001+</v>
      </c>
      <c r="AR996" t="str" cm="1">
        <f t="array" ref="AR996">_xlfn.IFS(CleanEmployeeData[[#This Row],[DistanceFromHome]]&lt;=5,"0–5 miles",CleanEmployeeData[[#This Row],[DistanceFromHome]]&lt;=10,"6–10 miles",CleanEmployeeData[[#This Row],[DistanceFromHome]]&lt;=15,"11–15 miles",TRUE,"16+ miles")</f>
        <v>16+ miles</v>
      </c>
      <c r="AS996" t="str" cm="1">
        <f t="array" ref="AS996">_xlfn.IFS(CleanEmployeeData[[#This Row],[YearsAtCompany]]&lt;=1,"0–1 years",CleanEmployeeData[[#This Row],[YearsAtCompany]]&lt;=5,"2–5 years",CleanEmployeeData[[#This Row],[YearsAtCompany]]&lt;=10,"6–10 years",TRUE,"11+ years")</f>
        <v>2–5 years</v>
      </c>
    </row>
    <row r="997" spans="1:4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cm="1">
        <f t="array" ref="AJ997">_xlfn.SWITCH(CleanEmployeeData[[#This Row],[Education]],1,"Below College",2,"College",3,"Bachelor",4,"Master",5,"Doctor","Unknown")</f>
        <v>Bachelor</v>
      </c>
      <c r="AK997" t="str" cm="1">
        <f t="array" ref="AK997">_xlfn.SWITCH(CleanEmployeeData[[#This Row],[EnvironmentSatisfaction]],1,"Low",2,"Medium",3,"High",4,"Very High","Unknown")</f>
        <v>Low</v>
      </c>
      <c r="AL997" t="str" cm="1">
        <f t="array" ref="AL997">_xlfn.SWITCH(CleanEmployeeData[[#This Row],[JobInvolvement]],1,"Low",2,"Medium",3,"High",4,"Very High","Unknown")</f>
        <v>Medium</v>
      </c>
      <c r="AM997" t="str" cm="1">
        <f t="array" ref="AM997">_xlfn.SWITCH(CleanEmployeeData[[#This Row],[JobSatisfaction]],1,"Low",2,"Medium",3,"High",4,"Very High","Unknown")</f>
        <v>High</v>
      </c>
      <c r="AN997" t="str" cm="1">
        <f t="array" ref="AN997">_xlfn.SWITCH(CleanEmployeeData[[#This Row],[PerformanceRating]],1,"Low",2,"Good",3,"Excellent",4,"Outstanding","Unknown")</f>
        <v>Excellent</v>
      </c>
      <c r="AO997" t="str" cm="1">
        <f t="array" ref="AO997">_xlfn.SWITCH(CleanEmployeeData[[#This Row],[WorkLifeBalance]],1,"Bad",2,"Good",3,"Better",4,"Best","Unknown")</f>
        <v>Bad</v>
      </c>
      <c r="AP997">
        <f>IF(CleanEmployeeData[[#This Row],[Attrition]]="Yes",1,IF(CleanEmployeeData[[#This Row],[Attrition]]="No",0,""))</f>
        <v>0</v>
      </c>
      <c r="AQ997" t="str" cm="1">
        <f t="array" ref="AQ997">_xlfn.IFS(CleanEmployeeData[[#This Row],[MonthlyIncome]]&lt;=3000,"0–3,000",CleanEmployeeData[[#This Row],[MonthlyIncome]]&lt;=6000,"3,001–6,000",CleanEmployeeData[[#This Row],[MonthlyIncome]]&lt;=10000,"6,001–10,000",TRUE,"10,001+")</f>
        <v>3,001–6,000</v>
      </c>
      <c r="AR997" t="str" cm="1">
        <f t="array" ref="AR997">_xlfn.IFS(CleanEmployeeData[[#This Row],[DistanceFromHome]]&lt;=5,"0–5 miles",CleanEmployeeData[[#This Row],[DistanceFromHome]]&lt;=10,"6–10 miles",CleanEmployeeData[[#This Row],[DistanceFromHome]]&lt;=15,"11–15 miles",TRUE,"16+ miles")</f>
        <v>6–10 miles</v>
      </c>
      <c r="AS997" t="str" cm="1">
        <f t="array" ref="AS997">_xlfn.IFS(CleanEmployeeData[[#This Row],[YearsAtCompany]]&lt;=1,"0–1 years",CleanEmployeeData[[#This Row],[YearsAtCompany]]&lt;=5,"2–5 years",CleanEmployeeData[[#This Row],[YearsAtCompany]]&lt;=10,"6–10 years",TRUE,"11+ years")</f>
        <v>11+ years</v>
      </c>
    </row>
    <row r="998" spans="1:4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cm="1">
        <f t="array" ref="AJ998">_xlfn.SWITCH(CleanEmployeeData[[#This Row],[Education]],1,"Below College",2,"College",3,"Bachelor",4,"Master",5,"Doctor","Unknown")</f>
        <v>Bachelor</v>
      </c>
      <c r="AK998" t="str" cm="1">
        <f t="array" ref="AK998">_xlfn.SWITCH(CleanEmployeeData[[#This Row],[EnvironmentSatisfaction]],1,"Low",2,"Medium",3,"High",4,"Very High","Unknown")</f>
        <v>Very High</v>
      </c>
      <c r="AL998" t="str" cm="1">
        <f t="array" ref="AL998">_xlfn.SWITCH(CleanEmployeeData[[#This Row],[JobInvolvement]],1,"Low",2,"Medium",3,"High",4,"Very High","Unknown")</f>
        <v>Medium</v>
      </c>
      <c r="AM998" t="str" cm="1">
        <f t="array" ref="AM998">_xlfn.SWITCH(CleanEmployeeData[[#This Row],[JobSatisfaction]],1,"Low",2,"Medium",3,"High",4,"Very High","Unknown")</f>
        <v>Very High</v>
      </c>
      <c r="AN998" t="str" cm="1">
        <f t="array" ref="AN998">_xlfn.SWITCH(CleanEmployeeData[[#This Row],[PerformanceRating]],1,"Low",2,"Good",3,"Excellent",4,"Outstanding","Unknown")</f>
        <v>Excellent</v>
      </c>
      <c r="AO998" t="str" cm="1">
        <f t="array" ref="AO998">_xlfn.SWITCH(CleanEmployeeData[[#This Row],[WorkLifeBalance]],1,"Bad",2,"Good",3,"Better",4,"Best","Unknown")</f>
        <v>Better</v>
      </c>
      <c r="AP998">
        <f>IF(CleanEmployeeData[[#This Row],[Attrition]]="Yes",1,IF(CleanEmployeeData[[#This Row],[Attrition]]="No",0,""))</f>
        <v>0</v>
      </c>
      <c r="AQ998" t="str" cm="1">
        <f t="array" ref="AQ998">_xlfn.IFS(CleanEmployeeData[[#This Row],[MonthlyIncome]]&lt;=3000,"0–3,000",CleanEmployeeData[[#This Row],[MonthlyIncome]]&lt;=6000,"3,001–6,000",CleanEmployeeData[[#This Row],[MonthlyIncome]]&lt;=10000,"6,001–10,000",TRUE,"10,001+")</f>
        <v>3,001–6,000</v>
      </c>
      <c r="AR998" t="str" cm="1">
        <f t="array" ref="AR998">_xlfn.IFS(CleanEmployeeData[[#This Row],[DistanceFromHome]]&lt;=5,"0–5 miles",CleanEmployeeData[[#This Row],[DistanceFromHome]]&lt;=10,"6–10 miles",CleanEmployeeData[[#This Row],[DistanceFromHome]]&lt;=15,"11–15 miles",TRUE,"16+ miles")</f>
        <v>6–10 miles</v>
      </c>
      <c r="AS998" t="str" cm="1">
        <f t="array" ref="AS998">_xlfn.IFS(CleanEmployeeData[[#This Row],[YearsAtCompany]]&lt;=1,"0–1 years",CleanEmployeeData[[#This Row],[YearsAtCompany]]&lt;=5,"2–5 years",CleanEmployeeData[[#This Row],[YearsAtCompany]]&lt;=10,"6–10 years",TRUE,"11+ years")</f>
        <v>6–10 years</v>
      </c>
    </row>
    <row r="999" spans="1:4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cm="1">
        <f t="array" ref="AJ999">_xlfn.SWITCH(CleanEmployeeData[[#This Row],[Education]],1,"Below College",2,"College",3,"Bachelor",4,"Master",5,"Doctor","Unknown")</f>
        <v>Master</v>
      </c>
      <c r="AK999" t="str" cm="1">
        <f t="array" ref="AK999">_xlfn.SWITCH(CleanEmployeeData[[#This Row],[EnvironmentSatisfaction]],1,"Low",2,"Medium",3,"High",4,"Very High","Unknown")</f>
        <v>Very High</v>
      </c>
      <c r="AL999" t="str" cm="1">
        <f t="array" ref="AL999">_xlfn.SWITCH(CleanEmployeeData[[#This Row],[JobInvolvement]],1,"Low",2,"Medium",3,"High",4,"Very High","Unknown")</f>
        <v>High</v>
      </c>
      <c r="AM999" t="str" cm="1">
        <f t="array" ref="AM999">_xlfn.SWITCH(CleanEmployeeData[[#This Row],[JobSatisfaction]],1,"Low",2,"Medium",3,"High",4,"Very High","Unknown")</f>
        <v>High</v>
      </c>
      <c r="AN999" t="str" cm="1">
        <f t="array" ref="AN999">_xlfn.SWITCH(CleanEmployeeData[[#This Row],[PerformanceRating]],1,"Low",2,"Good",3,"Excellent",4,"Outstanding","Unknown")</f>
        <v>Excellent</v>
      </c>
      <c r="AO999" t="str" cm="1">
        <f t="array" ref="AO999">_xlfn.SWITCH(CleanEmployeeData[[#This Row],[WorkLifeBalance]],1,"Bad",2,"Good",3,"Better",4,"Best","Unknown")</f>
        <v>Better</v>
      </c>
      <c r="AP999">
        <f>IF(CleanEmployeeData[[#This Row],[Attrition]]="Yes",1,IF(CleanEmployeeData[[#This Row],[Attrition]]="No",0,""))</f>
        <v>1</v>
      </c>
      <c r="AQ999" t="str" cm="1">
        <f t="array" ref="AQ999">_xlfn.IFS(CleanEmployeeData[[#This Row],[MonthlyIncome]]&lt;=3000,"0–3,000",CleanEmployeeData[[#This Row],[MonthlyIncome]]&lt;=6000,"3,001–6,000",CleanEmployeeData[[#This Row],[MonthlyIncome]]&lt;=10000,"6,001–10,000",TRUE,"10,001+")</f>
        <v>0–3,000</v>
      </c>
      <c r="AR999" t="str" cm="1">
        <f t="array" ref="AR999">_xlfn.IFS(CleanEmployeeData[[#This Row],[DistanceFromHome]]&lt;=5,"0–5 miles",CleanEmployeeData[[#This Row],[DistanceFromHome]]&lt;=10,"6–10 miles",CleanEmployeeData[[#This Row],[DistanceFromHome]]&lt;=15,"11–15 miles",TRUE,"16+ miles")</f>
        <v>16+ miles</v>
      </c>
      <c r="AS999" t="str" cm="1">
        <f t="array" ref="AS999">_xlfn.IFS(CleanEmployeeData[[#This Row],[YearsAtCompany]]&lt;=1,"0–1 years",CleanEmployeeData[[#This Row],[YearsAtCompany]]&lt;=5,"2–5 years",CleanEmployeeData[[#This Row],[YearsAtCompany]]&lt;=10,"6–10 years",TRUE,"11+ years")</f>
        <v>6–10 years</v>
      </c>
    </row>
    <row r="1000" spans="1:4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cm="1">
        <f t="array" ref="AJ1000">_xlfn.SWITCH(CleanEmployeeData[[#This Row],[Education]],1,"Below College",2,"College",3,"Bachelor",4,"Master",5,"Doctor","Unknown")</f>
        <v>Below College</v>
      </c>
      <c r="AK1000" t="str" cm="1">
        <f t="array" ref="AK1000">_xlfn.SWITCH(CleanEmployeeData[[#This Row],[EnvironmentSatisfaction]],1,"Low",2,"Medium",3,"High",4,"Very High","Unknown")</f>
        <v>Low</v>
      </c>
      <c r="AL1000" t="str" cm="1">
        <f t="array" ref="AL1000">_xlfn.SWITCH(CleanEmployeeData[[#This Row],[JobInvolvement]],1,"Low",2,"Medium",3,"High",4,"Very High","Unknown")</f>
        <v>Medium</v>
      </c>
      <c r="AM1000" t="str" cm="1">
        <f t="array" ref="AM1000">_xlfn.SWITCH(CleanEmployeeData[[#This Row],[JobSatisfaction]],1,"Low",2,"Medium",3,"High",4,"Very High","Unknown")</f>
        <v>Very High</v>
      </c>
      <c r="AN1000" t="str" cm="1">
        <f t="array" ref="AN1000">_xlfn.SWITCH(CleanEmployeeData[[#This Row],[PerformanceRating]],1,"Low",2,"Good",3,"Excellent",4,"Outstanding","Unknown")</f>
        <v>Excellent</v>
      </c>
      <c r="AO1000" t="str" cm="1">
        <f t="array" ref="AO1000">_xlfn.SWITCH(CleanEmployeeData[[#This Row],[WorkLifeBalance]],1,"Bad",2,"Good",3,"Better",4,"Best","Unknown")</f>
        <v>Better</v>
      </c>
      <c r="AP1000">
        <f>IF(CleanEmployeeData[[#This Row],[Attrition]]="Yes",1,IF(CleanEmployeeData[[#This Row],[Attrition]]="No",0,""))</f>
        <v>0</v>
      </c>
      <c r="AQ1000" t="str" cm="1">
        <f t="array" ref="AQ1000">_xlfn.IFS(CleanEmployeeData[[#This Row],[MonthlyIncome]]&lt;=3000,"0–3,000",CleanEmployeeData[[#This Row],[MonthlyIncome]]&lt;=6000,"3,001–6,000",CleanEmployeeData[[#This Row],[MonthlyIncome]]&lt;=10000,"6,001–10,000",TRUE,"10,001+")</f>
        <v>3,001–6,000</v>
      </c>
      <c r="AR1000" t="str" cm="1">
        <f t="array" ref="AR1000">_xlfn.IFS(CleanEmployeeData[[#This Row],[DistanceFromHome]]&lt;=5,"0–5 miles",CleanEmployeeData[[#This Row],[DistanceFromHome]]&lt;=10,"6–10 miles",CleanEmployeeData[[#This Row],[DistanceFromHome]]&lt;=15,"11–15 miles",TRUE,"16+ miles")</f>
        <v>0–5 miles</v>
      </c>
      <c r="AS1000" t="str" cm="1">
        <f t="array" ref="AS1000">_xlfn.IFS(CleanEmployeeData[[#This Row],[YearsAtCompany]]&lt;=1,"0–1 years",CleanEmployeeData[[#This Row],[YearsAtCompany]]&lt;=5,"2–5 years",CleanEmployeeData[[#This Row],[YearsAtCompany]]&lt;=10,"6–10 years",TRUE,"11+ years")</f>
        <v>2–5 years</v>
      </c>
    </row>
    <row r="1001" spans="1:4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cm="1">
        <f t="array" ref="AJ1001">_xlfn.SWITCH(CleanEmployeeData[[#This Row],[Education]],1,"Below College",2,"College",3,"Bachelor",4,"Master",5,"Doctor","Unknown")</f>
        <v>Bachelor</v>
      </c>
      <c r="AK1001" t="str" cm="1">
        <f t="array" ref="AK1001">_xlfn.SWITCH(CleanEmployeeData[[#This Row],[EnvironmentSatisfaction]],1,"Low",2,"Medium",3,"High",4,"Very High","Unknown")</f>
        <v>High</v>
      </c>
      <c r="AL1001" t="str" cm="1">
        <f t="array" ref="AL1001">_xlfn.SWITCH(CleanEmployeeData[[#This Row],[JobInvolvement]],1,"Low",2,"Medium",3,"High",4,"Very High","Unknown")</f>
        <v>High</v>
      </c>
      <c r="AM1001" t="str" cm="1">
        <f t="array" ref="AM1001">_xlfn.SWITCH(CleanEmployeeData[[#This Row],[JobSatisfaction]],1,"Low",2,"Medium",3,"High",4,"Very High","Unknown")</f>
        <v>Low</v>
      </c>
      <c r="AN1001" t="str" cm="1">
        <f t="array" ref="AN1001">_xlfn.SWITCH(CleanEmployeeData[[#This Row],[PerformanceRating]],1,"Low",2,"Good",3,"Excellent",4,"Outstanding","Unknown")</f>
        <v>Excellent</v>
      </c>
      <c r="AO1001" t="str" cm="1">
        <f t="array" ref="AO1001">_xlfn.SWITCH(CleanEmployeeData[[#This Row],[WorkLifeBalance]],1,"Bad",2,"Good",3,"Better",4,"Best","Unknown")</f>
        <v>Better</v>
      </c>
      <c r="AP1001">
        <f>IF(CleanEmployeeData[[#This Row],[Attrition]]="Yes",1,IF(CleanEmployeeData[[#This Row],[Attrition]]="No",0,""))</f>
        <v>0</v>
      </c>
      <c r="AQ1001" t="str" cm="1">
        <f t="array" ref="AQ1001">_xlfn.IFS(CleanEmployeeData[[#This Row],[MonthlyIncome]]&lt;=3000,"0–3,000",CleanEmployeeData[[#This Row],[MonthlyIncome]]&lt;=6000,"3,001–6,000",CleanEmployeeData[[#This Row],[MonthlyIncome]]&lt;=10000,"6,001–10,000",TRUE,"10,001+")</f>
        <v>10,001+</v>
      </c>
      <c r="AR1001" t="str" cm="1">
        <f t="array" ref="AR1001">_xlfn.IFS(CleanEmployeeData[[#This Row],[DistanceFromHome]]&lt;=5,"0–5 miles",CleanEmployeeData[[#This Row],[DistanceFromHome]]&lt;=10,"6–10 miles",CleanEmployeeData[[#This Row],[DistanceFromHome]]&lt;=15,"11–15 miles",TRUE,"16+ miles")</f>
        <v>6–10 miles</v>
      </c>
      <c r="AS1001" t="str" cm="1">
        <f t="array" ref="AS1001">_xlfn.IFS(CleanEmployeeData[[#This Row],[YearsAtCompany]]&lt;=1,"0–1 years",CleanEmployeeData[[#This Row],[YearsAtCompany]]&lt;=5,"2–5 years",CleanEmployeeData[[#This Row],[YearsAtCompany]]&lt;=10,"6–10 years",TRUE,"11+ years")</f>
        <v>11+ years</v>
      </c>
    </row>
    <row r="1002" spans="1:4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cm="1">
        <f t="array" ref="AJ1002">_xlfn.SWITCH(CleanEmployeeData[[#This Row],[Education]],1,"Below College",2,"College",3,"Bachelor",4,"Master",5,"Doctor","Unknown")</f>
        <v>Master</v>
      </c>
      <c r="AK1002" t="str" cm="1">
        <f t="array" ref="AK1002">_xlfn.SWITCH(CleanEmployeeData[[#This Row],[EnvironmentSatisfaction]],1,"Low",2,"Medium",3,"High",4,"Very High","Unknown")</f>
        <v>High</v>
      </c>
      <c r="AL1002" t="str" cm="1">
        <f t="array" ref="AL1002">_xlfn.SWITCH(CleanEmployeeData[[#This Row],[JobInvolvement]],1,"Low",2,"Medium",3,"High",4,"Very High","Unknown")</f>
        <v>High</v>
      </c>
      <c r="AM1002" t="str" cm="1">
        <f t="array" ref="AM1002">_xlfn.SWITCH(CleanEmployeeData[[#This Row],[JobSatisfaction]],1,"Low",2,"Medium",3,"High",4,"Very High","Unknown")</f>
        <v>Low</v>
      </c>
      <c r="AN1002" t="str" cm="1">
        <f t="array" ref="AN1002">_xlfn.SWITCH(CleanEmployeeData[[#This Row],[PerformanceRating]],1,"Low",2,"Good",3,"Excellent",4,"Outstanding","Unknown")</f>
        <v>Excellent</v>
      </c>
      <c r="AO1002" t="str" cm="1">
        <f t="array" ref="AO1002">_xlfn.SWITCH(CleanEmployeeData[[#This Row],[WorkLifeBalance]],1,"Bad",2,"Good",3,"Better",4,"Best","Unknown")</f>
        <v>Bad</v>
      </c>
      <c r="AP1002">
        <f>IF(CleanEmployeeData[[#This Row],[Attrition]]="Yes",1,IF(CleanEmployeeData[[#This Row],[Attrition]]="No",0,""))</f>
        <v>0</v>
      </c>
      <c r="AQ1002" t="str" cm="1">
        <f t="array" ref="AQ1002">_xlfn.IFS(CleanEmployeeData[[#This Row],[MonthlyIncome]]&lt;=3000,"0–3,000",CleanEmployeeData[[#This Row],[MonthlyIncome]]&lt;=6000,"3,001–6,000",CleanEmployeeData[[#This Row],[MonthlyIncome]]&lt;=10000,"6,001–10,000",TRUE,"10,001+")</f>
        <v>0–3,000</v>
      </c>
      <c r="AR1002" t="str" cm="1">
        <f t="array" ref="AR1002">_xlfn.IFS(CleanEmployeeData[[#This Row],[DistanceFromHome]]&lt;=5,"0–5 miles",CleanEmployeeData[[#This Row],[DistanceFromHome]]&lt;=10,"6–10 miles",CleanEmployeeData[[#This Row],[DistanceFromHome]]&lt;=15,"11–15 miles",TRUE,"16+ miles")</f>
        <v>6–10 miles</v>
      </c>
      <c r="AS1002" t="str" cm="1">
        <f t="array" ref="AS1002">_xlfn.IFS(CleanEmployeeData[[#This Row],[YearsAtCompany]]&lt;=1,"0–1 years",CleanEmployeeData[[#This Row],[YearsAtCompany]]&lt;=5,"2–5 years",CleanEmployeeData[[#This Row],[YearsAtCompany]]&lt;=10,"6–10 years",TRUE,"11+ years")</f>
        <v>2–5 years</v>
      </c>
    </row>
    <row r="1003" spans="1:4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cm="1">
        <f t="array" ref="AJ1003">_xlfn.SWITCH(CleanEmployeeData[[#This Row],[Education]],1,"Below College",2,"College",3,"Bachelor",4,"Master",5,"Doctor","Unknown")</f>
        <v>Bachelor</v>
      </c>
      <c r="AK1003" t="str" cm="1">
        <f t="array" ref="AK1003">_xlfn.SWITCH(CleanEmployeeData[[#This Row],[EnvironmentSatisfaction]],1,"Low",2,"Medium",3,"High",4,"Very High","Unknown")</f>
        <v>Low</v>
      </c>
      <c r="AL1003" t="str" cm="1">
        <f t="array" ref="AL1003">_xlfn.SWITCH(CleanEmployeeData[[#This Row],[JobInvolvement]],1,"Low",2,"Medium",3,"High",4,"Very High","Unknown")</f>
        <v>High</v>
      </c>
      <c r="AM1003" t="str" cm="1">
        <f t="array" ref="AM1003">_xlfn.SWITCH(CleanEmployeeData[[#This Row],[JobSatisfaction]],1,"Low",2,"Medium",3,"High",4,"Very High","Unknown")</f>
        <v>High</v>
      </c>
      <c r="AN1003" t="str" cm="1">
        <f t="array" ref="AN1003">_xlfn.SWITCH(CleanEmployeeData[[#This Row],[PerformanceRating]],1,"Low",2,"Good",3,"Excellent",4,"Outstanding","Unknown")</f>
        <v>Excellent</v>
      </c>
      <c r="AO1003" t="str" cm="1">
        <f t="array" ref="AO1003">_xlfn.SWITCH(CleanEmployeeData[[#This Row],[WorkLifeBalance]],1,"Bad",2,"Good",3,"Better",4,"Best","Unknown")</f>
        <v>Better</v>
      </c>
      <c r="AP1003">
        <f>IF(CleanEmployeeData[[#This Row],[Attrition]]="Yes",1,IF(CleanEmployeeData[[#This Row],[Attrition]]="No",0,""))</f>
        <v>0</v>
      </c>
      <c r="AQ1003" t="str" cm="1">
        <f t="array" ref="AQ1003">_xlfn.IFS(CleanEmployeeData[[#This Row],[MonthlyIncome]]&lt;=3000,"0–3,000",CleanEmployeeData[[#This Row],[MonthlyIncome]]&lt;=6000,"3,001–6,000",CleanEmployeeData[[#This Row],[MonthlyIncome]]&lt;=10000,"6,001–10,000",TRUE,"10,001+")</f>
        <v>3,001–6,000</v>
      </c>
      <c r="AR1003" t="str" cm="1">
        <f t="array" ref="AR1003">_xlfn.IFS(CleanEmployeeData[[#This Row],[DistanceFromHome]]&lt;=5,"0–5 miles",CleanEmployeeData[[#This Row],[DistanceFromHome]]&lt;=10,"6–10 miles",CleanEmployeeData[[#This Row],[DistanceFromHome]]&lt;=15,"11–15 miles",TRUE,"16+ miles")</f>
        <v>11–15 miles</v>
      </c>
      <c r="AS1003" t="str" cm="1">
        <f t="array" ref="AS1003">_xlfn.IFS(CleanEmployeeData[[#This Row],[YearsAtCompany]]&lt;=1,"0–1 years",CleanEmployeeData[[#This Row],[YearsAtCompany]]&lt;=5,"2–5 years",CleanEmployeeData[[#This Row],[YearsAtCompany]]&lt;=10,"6–10 years",TRUE,"11+ years")</f>
        <v>2–5 years</v>
      </c>
    </row>
    <row r="1004" spans="1:4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cm="1">
        <f t="array" ref="AJ1004">_xlfn.SWITCH(CleanEmployeeData[[#This Row],[Education]],1,"Below College",2,"College",3,"Bachelor",4,"Master",5,"Doctor","Unknown")</f>
        <v>College</v>
      </c>
      <c r="AK1004" t="str" cm="1">
        <f t="array" ref="AK1004">_xlfn.SWITCH(CleanEmployeeData[[#This Row],[EnvironmentSatisfaction]],1,"Low",2,"Medium",3,"High",4,"Very High","Unknown")</f>
        <v>High</v>
      </c>
      <c r="AL1004" t="str" cm="1">
        <f t="array" ref="AL1004">_xlfn.SWITCH(CleanEmployeeData[[#This Row],[JobInvolvement]],1,"Low",2,"Medium",3,"High",4,"Very High","Unknown")</f>
        <v>High</v>
      </c>
      <c r="AM1004" t="str" cm="1">
        <f t="array" ref="AM1004">_xlfn.SWITCH(CleanEmployeeData[[#This Row],[JobSatisfaction]],1,"Low",2,"Medium",3,"High",4,"Very High","Unknown")</f>
        <v>Very High</v>
      </c>
      <c r="AN1004" t="str" cm="1">
        <f t="array" ref="AN1004">_xlfn.SWITCH(CleanEmployeeData[[#This Row],[PerformanceRating]],1,"Low",2,"Good",3,"Excellent",4,"Outstanding","Unknown")</f>
        <v>Excellent</v>
      </c>
      <c r="AO1004" t="str" cm="1">
        <f t="array" ref="AO1004">_xlfn.SWITCH(CleanEmployeeData[[#This Row],[WorkLifeBalance]],1,"Bad",2,"Good",3,"Better",4,"Best","Unknown")</f>
        <v>Better</v>
      </c>
      <c r="AP1004">
        <f>IF(CleanEmployeeData[[#This Row],[Attrition]]="Yes",1,IF(CleanEmployeeData[[#This Row],[Attrition]]="No",0,""))</f>
        <v>0</v>
      </c>
      <c r="AQ1004" t="str" cm="1">
        <f t="array" ref="AQ1004">_xlfn.IFS(CleanEmployeeData[[#This Row],[MonthlyIncome]]&lt;=3000,"0–3,000",CleanEmployeeData[[#This Row],[MonthlyIncome]]&lt;=6000,"3,001–6,000",CleanEmployeeData[[#This Row],[MonthlyIncome]]&lt;=10000,"6,001–10,000",TRUE,"10,001+")</f>
        <v>6,001–10,000</v>
      </c>
      <c r="AR1004" t="str" cm="1">
        <f t="array" ref="AR1004">_xlfn.IFS(CleanEmployeeData[[#This Row],[DistanceFromHome]]&lt;=5,"0–5 miles",CleanEmployeeData[[#This Row],[DistanceFromHome]]&lt;=10,"6–10 miles",CleanEmployeeData[[#This Row],[DistanceFromHome]]&lt;=15,"11–15 miles",TRUE,"16+ miles")</f>
        <v>16+ miles</v>
      </c>
      <c r="AS1004" t="str" cm="1">
        <f t="array" ref="AS1004">_xlfn.IFS(CleanEmployeeData[[#This Row],[YearsAtCompany]]&lt;=1,"0–1 years",CleanEmployeeData[[#This Row],[YearsAtCompany]]&lt;=5,"2–5 years",CleanEmployeeData[[#This Row],[YearsAtCompany]]&lt;=10,"6–10 years",TRUE,"11+ years")</f>
        <v>2–5 years</v>
      </c>
    </row>
    <row r="1005" spans="1:4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cm="1">
        <f t="array" ref="AJ1005">_xlfn.SWITCH(CleanEmployeeData[[#This Row],[Education]],1,"Below College",2,"College",3,"Bachelor",4,"Master",5,"Doctor","Unknown")</f>
        <v>Bachelor</v>
      </c>
      <c r="AK1005" t="str" cm="1">
        <f t="array" ref="AK1005">_xlfn.SWITCH(CleanEmployeeData[[#This Row],[EnvironmentSatisfaction]],1,"Low",2,"Medium",3,"High",4,"Very High","Unknown")</f>
        <v>Low</v>
      </c>
      <c r="AL1005" t="str" cm="1">
        <f t="array" ref="AL1005">_xlfn.SWITCH(CleanEmployeeData[[#This Row],[JobInvolvement]],1,"Low",2,"Medium",3,"High",4,"Very High","Unknown")</f>
        <v>High</v>
      </c>
      <c r="AM1005" t="str" cm="1">
        <f t="array" ref="AM1005">_xlfn.SWITCH(CleanEmployeeData[[#This Row],[JobSatisfaction]],1,"Low",2,"Medium",3,"High",4,"Very High","Unknown")</f>
        <v>Very High</v>
      </c>
      <c r="AN1005" t="str" cm="1">
        <f t="array" ref="AN1005">_xlfn.SWITCH(CleanEmployeeData[[#This Row],[PerformanceRating]],1,"Low",2,"Good",3,"Excellent",4,"Outstanding","Unknown")</f>
        <v>Excellent</v>
      </c>
      <c r="AO1005" t="str" cm="1">
        <f t="array" ref="AO1005">_xlfn.SWITCH(CleanEmployeeData[[#This Row],[WorkLifeBalance]],1,"Bad",2,"Good",3,"Better",4,"Best","Unknown")</f>
        <v>Good</v>
      </c>
      <c r="AP1005">
        <f>IF(CleanEmployeeData[[#This Row],[Attrition]]="Yes",1,IF(CleanEmployeeData[[#This Row],[Attrition]]="No",0,""))</f>
        <v>0</v>
      </c>
      <c r="AQ1005" t="str" cm="1">
        <f t="array" ref="AQ1005">_xlfn.IFS(CleanEmployeeData[[#This Row],[MonthlyIncome]]&lt;=3000,"0–3,000",CleanEmployeeData[[#This Row],[MonthlyIncome]]&lt;=6000,"3,001–6,000",CleanEmployeeData[[#This Row],[MonthlyIncome]]&lt;=10000,"6,001–10,000",TRUE,"10,001+")</f>
        <v>3,001–6,000</v>
      </c>
      <c r="AR1005" t="str" cm="1">
        <f t="array" ref="AR1005">_xlfn.IFS(CleanEmployeeData[[#This Row],[DistanceFromHome]]&lt;=5,"0–5 miles",CleanEmployeeData[[#This Row],[DistanceFromHome]]&lt;=10,"6–10 miles",CleanEmployeeData[[#This Row],[DistanceFromHome]]&lt;=15,"11–15 miles",TRUE,"16+ miles")</f>
        <v>0–5 miles</v>
      </c>
      <c r="AS1005" t="str" cm="1">
        <f t="array" ref="AS1005">_xlfn.IFS(CleanEmployeeData[[#This Row],[YearsAtCompany]]&lt;=1,"0–1 years",CleanEmployeeData[[#This Row],[YearsAtCompany]]&lt;=5,"2–5 years",CleanEmployeeData[[#This Row],[YearsAtCompany]]&lt;=10,"6–10 years",TRUE,"11+ years")</f>
        <v>2–5 years</v>
      </c>
    </row>
    <row r="1006" spans="1:4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cm="1">
        <f t="array" ref="AJ1006">_xlfn.SWITCH(CleanEmployeeData[[#This Row],[Education]],1,"Below College",2,"College",3,"Bachelor",4,"Master",5,"Doctor","Unknown")</f>
        <v>Bachelor</v>
      </c>
      <c r="AK1006" t="str" cm="1">
        <f t="array" ref="AK1006">_xlfn.SWITCH(CleanEmployeeData[[#This Row],[EnvironmentSatisfaction]],1,"Low",2,"Medium",3,"High",4,"Very High","Unknown")</f>
        <v>High</v>
      </c>
      <c r="AL1006" t="str" cm="1">
        <f t="array" ref="AL1006">_xlfn.SWITCH(CleanEmployeeData[[#This Row],[JobInvolvement]],1,"Low",2,"Medium",3,"High",4,"Very High","Unknown")</f>
        <v>Very High</v>
      </c>
      <c r="AM1006" t="str" cm="1">
        <f t="array" ref="AM1006">_xlfn.SWITCH(CleanEmployeeData[[#This Row],[JobSatisfaction]],1,"Low",2,"Medium",3,"High",4,"Very High","Unknown")</f>
        <v>Low</v>
      </c>
      <c r="AN1006" t="str" cm="1">
        <f t="array" ref="AN1006">_xlfn.SWITCH(CleanEmployeeData[[#This Row],[PerformanceRating]],1,"Low",2,"Good",3,"Excellent",4,"Outstanding","Unknown")</f>
        <v>Excellent</v>
      </c>
      <c r="AO1006" t="str" cm="1">
        <f t="array" ref="AO1006">_xlfn.SWITCH(CleanEmployeeData[[#This Row],[WorkLifeBalance]],1,"Bad",2,"Good",3,"Better",4,"Best","Unknown")</f>
        <v>Better</v>
      </c>
      <c r="AP1006">
        <f>IF(CleanEmployeeData[[#This Row],[Attrition]]="Yes",1,IF(CleanEmployeeData[[#This Row],[Attrition]]="No",0,""))</f>
        <v>0</v>
      </c>
      <c r="AQ1006" t="str" cm="1">
        <f t="array" ref="AQ1006">_xlfn.IFS(CleanEmployeeData[[#This Row],[MonthlyIncome]]&lt;=3000,"0–3,000",CleanEmployeeData[[#This Row],[MonthlyIncome]]&lt;=6000,"3,001–6,000",CleanEmployeeData[[#This Row],[MonthlyIncome]]&lt;=10000,"6,001–10,000",TRUE,"10,001+")</f>
        <v>3,001–6,000</v>
      </c>
      <c r="AR1006" t="str" cm="1">
        <f t="array" ref="AR1006">_xlfn.IFS(CleanEmployeeData[[#This Row],[DistanceFromHome]]&lt;=5,"0–5 miles",CleanEmployeeData[[#This Row],[DistanceFromHome]]&lt;=10,"6–10 miles",CleanEmployeeData[[#This Row],[DistanceFromHome]]&lt;=15,"11–15 miles",TRUE,"16+ miles")</f>
        <v>6–10 miles</v>
      </c>
      <c r="AS1006" t="str" cm="1">
        <f t="array" ref="AS1006">_xlfn.IFS(CleanEmployeeData[[#This Row],[YearsAtCompany]]&lt;=1,"0–1 years",CleanEmployeeData[[#This Row],[YearsAtCompany]]&lt;=5,"2–5 years",CleanEmployeeData[[#This Row],[YearsAtCompany]]&lt;=10,"6–10 years",TRUE,"11+ years")</f>
        <v>6–10 years</v>
      </c>
    </row>
    <row r="1007" spans="1:4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cm="1">
        <f t="array" ref="AJ1007">_xlfn.SWITCH(CleanEmployeeData[[#This Row],[Education]],1,"Below College",2,"College",3,"Bachelor",4,"Master",5,"Doctor","Unknown")</f>
        <v>Bachelor</v>
      </c>
      <c r="AK1007" t="str" cm="1">
        <f t="array" ref="AK1007">_xlfn.SWITCH(CleanEmployeeData[[#This Row],[EnvironmentSatisfaction]],1,"Low",2,"Medium",3,"High",4,"Very High","Unknown")</f>
        <v>Medium</v>
      </c>
      <c r="AL1007" t="str" cm="1">
        <f t="array" ref="AL1007">_xlfn.SWITCH(CleanEmployeeData[[#This Row],[JobInvolvement]],1,"Low",2,"Medium",3,"High",4,"Very High","Unknown")</f>
        <v>Medium</v>
      </c>
      <c r="AM1007" t="str" cm="1">
        <f t="array" ref="AM1007">_xlfn.SWITCH(CleanEmployeeData[[#This Row],[JobSatisfaction]],1,"Low",2,"Medium",3,"High",4,"Very High","Unknown")</f>
        <v>Low</v>
      </c>
      <c r="AN1007" t="str" cm="1">
        <f t="array" ref="AN1007">_xlfn.SWITCH(CleanEmployeeData[[#This Row],[PerformanceRating]],1,"Low",2,"Good",3,"Excellent",4,"Outstanding","Unknown")</f>
        <v>Excellent</v>
      </c>
      <c r="AO1007" t="str" cm="1">
        <f t="array" ref="AO1007">_xlfn.SWITCH(CleanEmployeeData[[#This Row],[WorkLifeBalance]],1,"Bad",2,"Good",3,"Better",4,"Best","Unknown")</f>
        <v>Good</v>
      </c>
      <c r="AP1007">
        <f>IF(CleanEmployeeData[[#This Row],[Attrition]]="Yes",1,IF(CleanEmployeeData[[#This Row],[Attrition]]="No",0,""))</f>
        <v>0</v>
      </c>
      <c r="AQ1007" t="str" cm="1">
        <f t="array" ref="AQ1007">_xlfn.IFS(CleanEmployeeData[[#This Row],[MonthlyIncome]]&lt;=3000,"0–3,000",CleanEmployeeData[[#This Row],[MonthlyIncome]]&lt;=6000,"3,001–6,000",CleanEmployeeData[[#This Row],[MonthlyIncome]]&lt;=10000,"6,001–10,000",TRUE,"10,001+")</f>
        <v>6,001–10,000</v>
      </c>
      <c r="AR1007" t="str" cm="1">
        <f t="array" ref="AR1007">_xlfn.IFS(CleanEmployeeData[[#This Row],[DistanceFromHome]]&lt;=5,"0–5 miles",CleanEmployeeData[[#This Row],[DistanceFromHome]]&lt;=10,"6–10 miles",CleanEmployeeData[[#This Row],[DistanceFromHome]]&lt;=15,"11–15 miles",TRUE,"16+ miles")</f>
        <v>16+ miles</v>
      </c>
      <c r="AS1007" t="str" cm="1">
        <f t="array" ref="AS1007">_xlfn.IFS(CleanEmployeeData[[#This Row],[YearsAtCompany]]&lt;=1,"0–1 years",CleanEmployeeData[[#This Row],[YearsAtCompany]]&lt;=5,"2–5 years",CleanEmployeeData[[#This Row],[YearsAtCompany]]&lt;=10,"6–10 years",TRUE,"11+ years")</f>
        <v>6–10 years</v>
      </c>
    </row>
    <row r="1008" spans="1:4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cm="1">
        <f t="array" ref="AJ1008">_xlfn.SWITCH(CleanEmployeeData[[#This Row],[Education]],1,"Below College",2,"College",3,"Bachelor",4,"Master",5,"Doctor","Unknown")</f>
        <v>College</v>
      </c>
      <c r="AK1008" t="str" cm="1">
        <f t="array" ref="AK1008">_xlfn.SWITCH(CleanEmployeeData[[#This Row],[EnvironmentSatisfaction]],1,"Low",2,"Medium",3,"High",4,"Very High","Unknown")</f>
        <v>Low</v>
      </c>
      <c r="AL1008" t="str" cm="1">
        <f t="array" ref="AL1008">_xlfn.SWITCH(CleanEmployeeData[[#This Row],[JobInvolvement]],1,"Low",2,"Medium",3,"High",4,"Very High","Unknown")</f>
        <v>Medium</v>
      </c>
      <c r="AM1008" t="str" cm="1">
        <f t="array" ref="AM1008">_xlfn.SWITCH(CleanEmployeeData[[#This Row],[JobSatisfaction]],1,"Low",2,"Medium",3,"High",4,"Very High","Unknown")</f>
        <v>Low</v>
      </c>
      <c r="AN1008" t="str" cm="1">
        <f t="array" ref="AN1008">_xlfn.SWITCH(CleanEmployeeData[[#This Row],[PerformanceRating]],1,"Low",2,"Good",3,"Excellent",4,"Outstanding","Unknown")</f>
        <v>Outstanding</v>
      </c>
      <c r="AO1008" t="str" cm="1">
        <f t="array" ref="AO1008">_xlfn.SWITCH(CleanEmployeeData[[#This Row],[WorkLifeBalance]],1,"Bad",2,"Good",3,"Better",4,"Best","Unknown")</f>
        <v>Better</v>
      </c>
      <c r="AP1008">
        <f>IF(CleanEmployeeData[[#This Row],[Attrition]]="Yes",1,IF(CleanEmployeeData[[#This Row],[Attrition]]="No",0,""))</f>
        <v>1</v>
      </c>
      <c r="AQ1008" t="str" cm="1">
        <f t="array" ref="AQ1008">_xlfn.IFS(CleanEmployeeData[[#This Row],[MonthlyIncome]]&lt;=3000,"0–3,000",CleanEmployeeData[[#This Row],[MonthlyIncome]]&lt;=6000,"3,001–6,000",CleanEmployeeData[[#This Row],[MonthlyIncome]]&lt;=10000,"6,001–10,000",TRUE,"10,001+")</f>
        <v>3,001–6,000</v>
      </c>
      <c r="AR1008" t="str" cm="1">
        <f t="array" ref="AR1008">_xlfn.IFS(CleanEmployeeData[[#This Row],[DistanceFromHome]]&lt;=5,"0–5 miles",CleanEmployeeData[[#This Row],[DistanceFromHome]]&lt;=10,"6–10 miles",CleanEmployeeData[[#This Row],[DistanceFromHome]]&lt;=15,"11–15 miles",TRUE,"16+ miles")</f>
        <v>16+ miles</v>
      </c>
      <c r="AS1008" t="str" cm="1">
        <f t="array" ref="AS1008">_xlfn.IFS(CleanEmployeeData[[#This Row],[YearsAtCompany]]&lt;=1,"0–1 years",CleanEmployeeData[[#This Row],[YearsAtCompany]]&lt;=5,"2–5 years",CleanEmployeeData[[#This Row],[YearsAtCompany]]&lt;=10,"6–10 years",TRUE,"11+ years")</f>
        <v>2–5 years</v>
      </c>
    </row>
    <row r="1009" spans="1:4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cm="1">
        <f t="array" ref="AJ1009">_xlfn.SWITCH(CleanEmployeeData[[#This Row],[Education]],1,"Below College",2,"College",3,"Bachelor",4,"Master",5,"Doctor","Unknown")</f>
        <v>Below College</v>
      </c>
      <c r="AK1009" t="str" cm="1">
        <f t="array" ref="AK1009">_xlfn.SWITCH(CleanEmployeeData[[#This Row],[EnvironmentSatisfaction]],1,"Low",2,"Medium",3,"High",4,"Very High","Unknown")</f>
        <v>High</v>
      </c>
      <c r="AL1009" t="str" cm="1">
        <f t="array" ref="AL1009">_xlfn.SWITCH(CleanEmployeeData[[#This Row],[JobInvolvement]],1,"Low",2,"Medium",3,"High",4,"Very High","Unknown")</f>
        <v>High</v>
      </c>
      <c r="AM1009" t="str" cm="1">
        <f t="array" ref="AM1009">_xlfn.SWITCH(CleanEmployeeData[[#This Row],[JobSatisfaction]],1,"Low",2,"Medium",3,"High",4,"Very High","Unknown")</f>
        <v>Very High</v>
      </c>
      <c r="AN1009" t="str" cm="1">
        <f t="array" ref="AN1009">_xlfn.SWITCH(CleanEmployeeData[[#This Row],[PerformanceRating]],1,"Low",2,"Good",3,"Excellent",4,"Outstanding","Unknown")</f>
        <v>Excellent</v>
      </c>
      <c r="AO1009" t="str" cm="1">
        <f t="array" ref="AO1009">_xlfn.SWITCH(CleanEmployeeData[[#This Row],[WorkLifeBalance]],1,"Bad",2,"Good",3,"Better",4,"Best","Unknown")</f>
        <v>Better</v>
      </c>
      <c r="AP1009">
        <f>IF(CleanEmployeeData[[#This Row],[Attrition]]="Yes",1,IF(CleanEmployeeData[[#This Row],[Attrition]]="No",0,""))</f>
        <v>1</v>
      </c>
      <c r="AQ1009" t="str" cm="1">
        <f t="array" ref="AQ1009">_xlfn.IFS(CleanEmployeeData[[#This Row],[MonthlyIncome]]&lt;=3000,"0–3,000",CleanEmployeeData[[#This Row],[MonthlyIncome]]&lt;=6000,"3,001–6,000",CleanEmployeeData[[#This Row],[MonthlyIncome]]&lt;=10000,"6,001–10,000",TRUE,"10,001+")</f>
        <v>6,001–10,000</v>
      </c>
      <c r="AR1009" t="str" cm="1">
        <f t="array" ref="AR1009">_xlfn.IFS(CleanEmployeeData[[#This Row],[DistanceFromHome]]&lt;=5,"0–5 miles",CleanEmployeeData[[#This Row],[DistanceFromHome]]&lt;=10,"6–10 miles",CleanEmployeeData[[#This Row],[DistanceFromHome]]&lt;=15,"11–15 miles",TRUE,"16+ miles")</f>
        <v>11–15 miles</v>
      </c>
      <c r="AS1009" t="str" cm="1">
        <f t="array" ref="AS1009">_xlfn.IFS(CleanEmployeeData[[#This Row],[YearsAtCompany]]&lt;=1,"0–1 years",CleanEmployeeData[[#This Row],[YearsAtCompany]]&lt;=5,"2–5 years",CleanEmployeeData[[#This Row],[YearsAtCompany]]&lt;=10,"6–10 years",TRUE,"11+ years")</f>
        <v>6–10 years</v>
      </c>
    </row>
    <row r="1010" spans="1:4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cm="1">
        <f t="array" ref="AJ1010">_xlfn.SWITCH(CleanEmployeeData[[#This Row],[Education]],1,"Below College",2,"College",3,"Bachelor",4,"Master",5,"Doctor","Unknown")</f>
        <v>Bachelor</v>
      </c>
      <c r="AK1010" t="str" cm="1">
        <f t="array" ref="AK1010">_xlfn.SWITCH(CleanEmployeeData[[#This Row],[EnvironmentSatisfaction]],1,"Low",2,"Medium",3,"High",4,"Very High","Unknown")</f>
        <v>Very High</v>
      </c>
      <c r="AL1010" t="str" cm="1">
        <f t="array" ref="AL1010">_xlfn.SWITCH(CleanEmployeeData[[#This Row],[JobInvolvement]],1,"Low",2,"Medium",3,"High",4,"Very High","Unknown")</f>
        <v>High</v>
      </c>
      <c r="AM1010" t="str" cm="1">
        <f t="array" ref="AM1010">_xlfn.SWITCH(CleanEmployeeData[[#This Row],[JobSatisfaction]],1,"Low",2,"Medium",3,"High",4,"Very High","Unknown")</f>
        <v>Very High</v>
      </c>
      <c r="AN1010" t="str" cm="1">
        <f t="array" ref="AN1010">_xlfn.SWITCH(CleanEmployeeData[[#This Row],[PerformanceRating]],1,"Low",2,"Good",3,"Excellent",4,"Outstanding","Unknown")</f>
        <v>Excellent</v>
      </c>
      <c r="AO1010" t="str" cm="1">
        <f t="array" ref="AO1010">_xlfn.SWITCH(CleanEmployeeData[[#This Row],[WorkLifeBalance]],1,"Bad",2,"Good",3,"Better",4,"Best","Unknown")</f>
        <v>Good</v>
      </c>
      <c r="AP1010">
        <f>IF(CleanEmployeeData[[#This Row],[Attrition]]="Yes",1,IF(CleanEmployeeData[[#This Row],[Attrition]]="No",0,""))</f>
        <v>0</v>
      </c>
      <c r="AQ1010" t="str" cm="1">
        <f t="array" ref="AQ1010">_xlfn.IFS(CleanEmployeeData[[#This Row],[MonthlyIncome]]&lt;=3000,"0–3,000",CleanEmployeeData[[#This Row],[MonthlyIncome]]&lt;=6000,"3,001–6,000",CleanEmployeeData[[#This Row],[MonthlyIncome]]&lt;=10000,"6,001–10,000",TRUE,"10,001+")</f>
        <v>10,001+</v>
      </c>
      <c r="AR1010" t="str" cm="1">
        <f t="array" ref="AR1010">_xlfn.IFS(CleanEmployeeData[[#This Row],[DistanceFromHome]]&lt;=5,"0–5 miles",CleanEmployeeData[[#This Row],[DistanceFromHome]]&lt;=10,"6–10 miles",CleanEmployeeData[[#This Row],[DistanceFromHome]]&lt;=15,"11–15 miles",TRUE,"16+ miles")</f>
        <v>0–5 miles</v>
      </c>
      <c r="AS1010" t="str" cm="1">
        <f t="array" ref="AS1010">_xlfn.IFS(CleanEmployeeData[[#This Row],[YearsAtCompany]]&lt;=1,"0–1 years",CleanEmployeeData[[#This Row],[YearsAtCompany]]&lt;=5,"2–5 years",CleanEmployeeData[[#This Row],[YearsAtCompany]]&lt;=10,"6–10 years",TRUE,"11+ years")</f>
        <v>11+ years</v>
      </c>
    </row>
    <row r="1011" spans="1:4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cm="1">
        <f t="array" ref="AJ1011">_xlfn.SWITCH(CleanEmployeeData[[#This Row],[Education]],1,"Below College",2,"College",3,"Bachelor",4,"Master",5,"Doctor","Unknown")</f>
        <v>Bachelor</v>
      </c>
      <c r="AK1011" t="str" cm="1">
        <f t="array" ref="AK1011">_xlfn.SWITCH(CleanEmployeeData[[#This Row],[EnvironmentSatisfaction]],1,"Low",2,"Medium",3,"High",4,"Very High","Unknown")</f>
        <v>Very High</v>
      </c>
      <c r="AL1011" t="str" cm="1">
        <f t="array" ref="AL1011">_xlfn.SWITCH(CleanEmployeeData[[#This Row],[JobInvolvement]],1,"Low",2,"Medium",3,"High",4,"Very High","Unknown")</f>
        <v>High</v>
      </c>
      <c r="AM1011" t="str" cm="1">
        <f t="array" ref="AM1011">_xlfn.SWITCH(CleanEmployeeData[[#This Row],[JobSatisfaction]],1,"Low",2,"Medium",3,"High",4,"Very High","Unknown")</f>
        <v>Low</v>
      </c>
      <c r="AN1011" t="str" cm="1">
        <f t="array" ref="AN1011">_xlfn.SWITCH(CleanEmployeeData[[#This Row],[PerformanceRating]],1,"Low",2,"Good",3,"Excellent",4,"Outstanding","Unknown")</f>
        <v>Outstanding</v>
      </c>
      <c r="AO1011" t="str" cm="1">
        <f t="array" ref="AO1011">_xlfn.SWITCH(CleanEmployeeData[[#This Row],[WorkLifeBalance]],1,"Bad",2,"Good",3,"Better",4,"Best","Unknown")</f>
        <v>Better</v>
      </c>
      <c r="AP1011">
        <f>IF(CleanEmployeeData[[#This Row],[Attrition]]="Yes",1,IF(CleanEmployeeData[[#This Row],[Attrition]]="No",0,""))</f>
        <v>0</v>
      </c>
      <c r="AQ1011" t="str" cm="1">
        <f t="array" ref="AQ1011">_xlfn.IFS(CleanEmployeeData[[#This Row],[MonthlyIncome]]&lt;=3000,"0–3,000",CleanEmployeeData[[#This Row],[MonthlyIncome]]&lt;=6000,"3,001–6,000",CleanEmployeeData[[#This Row],[MonthlyIncome]]&lt;=10000,"6,001–10,000",TRUE,"10,001+")</f>
        <v>10,001+</v>
      </c>
      <c r="AR1011" t="str" cm="1">
        <f t="array" ref="AR1011">_xlfn.IFS(CleanEmployeeData[[#This Row],[DistanceFromHome]]&lt;=5,"0–5 miles",CleanEmployeeData[[#This Row],[DistanceFromHome]]&lt;=10,"6–10 miles",CleanEmployeeData[[#This Row],[DistanceFromHome]]&lt;=15,"11–15 miles",TRUE,"16+ miles")</f>
        <v>0–5 miles</v>
      </c>
      <c r="AS1011" t="str" cm="1">
        <f t="array" ref="AS1011">_xlfn.IFS(CleanEmployeeData[[#This Row],[YearsAtCompany]]&lt;=1,"0–1 years",CleanEmployeeData[[#This Row],[YearsAtCompany]]&lt;=5,"2–5 years",CleanEmployeeData[[#This Row],[YearsAtCompany]]&lt;=10,"6–10 years",TRUE,"11+ years")</f>
        <v>6–10 years</v>
      </c>
    </row>
    <row r="1012" spans="1:4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cm="1">
        <f t="array" ref="AJ1012">_xlfn.SWITCH(CleanEmployeeData[[#This Row],[Education]],1,"Below College",2,"College",3,"Bachelor",4,"Master",5,"Doctor","Unknown")</f>
        <v>Master</v>
      </c>
      <c r="AK1012" t="str" cm="1">
        <f t="array" ref="AK1012">_xlfn.SWITCH(CleanEmployeeData[[#This Row],[EnvironmentSatisfaction]],1,"Low",2,"Medium",3,"High",4,"Very High","Unknown")</f>
        <v>Medium</v>
      </c>
      <c r="AL1012" t="str" cm="1">
        <f t="array" ref="AL1012">_xlfn.SWITCH(CleanEmployeeData[[#This Row],[JobInvolvement]],1,"Low",2,"Medium",3,"High",4,"Very High","Unknown")</f>
        <v>Very High</v>
      </c>
      <c r="AM1012" t="str" cm="1">
        <f t="array" ref="AM1012">_xlfn.SWITCH(CleanEmployeeData[[#This Row],[JobSatisfaction]],1,"Low",2,"Medium",3,"High",4,"Very High","Unknown")</f>
        <v>Very High</v>
      </c>
      <c r="AN1012" t="str" cm="1">
        <f t="array" ref="AN1012">_xlfn.SWITCH(CleanEmployeeData[[#This Row],[PerformanceRating]],1,"Low",2,"Good",3,"Excellent",4,"Outstanding","Unknown")</f>
        <v>Excellent</v>
      </c>
      <c r="AO1012" t="str" cm="1">
        <f t="array" ref="AO1012">_xlfn.SWITCH(CleanEmployeeData[[#This Row],[WorkLifeBalance]],1,"Bad",2,"Good",3,"Better",4,"Best","Unknown")</f>
        <v>Best</v>
      </c>
      <c r="AP1012">
        <f>IF(CleanEmployeeData[[#This Row],[Attrition]]="Yes",1,IF(CleanEmployeeData[[#This Row],[Attrition]]="No",0,""))</f>
        <v>0</v>
      </c>
      <c r="AQ1012" t="str" cm="1">
        <f t="array" ref="AQ1012">_xlfn.IFS(CleanEmployeeData[[#This Row],[MonthlyIncome]]&lt;=3000,"0–3,000",CleanEmployeeData[[#This Row],[MonthlyIncome]]&lt;=6000,"3,001–6,000",CleanEmployeeData[[#This Row],[MonthlyIncome]]&lt;=10000,"6,001–10,000",TRUE,"10,001+")</f>
        <v>10,001+</v>
      </c>
      <c r="AR1012" t="str" cm="1">
        <f t="array" ref="AR1012">_xlfn.IFS(CleanEmployeeData[[#This Row],[DistanceFromHome]]&lt;=5,"0–5 miles",CleanEmployeeData[[#This Row],[DistanceFromHome]]&lt;=10,"6–10 miles",CleanEmployeeData[[#This Row],[DistanceFromHome]]&lt;=15,"11–15 miles",TRUE,"16+ miles")</f>
        <v>0–5 miles</v>
      </c>
      <c r="AS1012" t="str" cm="1">
        <f t="array" ref="AS1012">_xlfn.IFS(CleanEmployeeData[[#This Row],[YearsAtCompany]]&lt;=1,"0–1 years",CleanEmployeeData[[#This Row],[YearsAtCompany]]&lt;=5,"2–5 years",CleanEmployeeData[[#This Row],[YearsAtCompany]]&lt;=10,"6–10 years",TRUE,"11+ years")</f>
        <v>6–10 years</v>
      </c>
    </row>
    <row r="1013" spans="1:4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cm="1">
        <f t="array" ref="AJ1013">_xlfn.SWITCH(CleanEmployeeData[[#This Row],[Education]],1,"Below College",2,"College",3,"Bachelor",4,"Master",5,"Doctor","Unknown")</f>
        <v>Master</v>
      </c>
      <c r="AK1013" t="str" cm="1">
        <f t="array" ref="AK1013">_xlfn.SWITCH(CleanEmployeeData[[#This Row],[EnvironmentSatisfaction]],1,"Low",2,"Medium",3,"High",4,"Very High","Unknown")</f>
        <v>Low</v>
      </c>
      <c r="AL1013" t="str" cm="1">
        <f t="array" ref="AL1013">_xlfn.SWITCH(CleanEmployeeData[[#This Row],[JobInvolvement]],1,"Low",2,"Medium",3,"High",4,"Very High","Unknown")</f>
        <v>High</v>
      </c>
      <c r="AM1013" t="str" cm="1">
        <f t="array" ref="AM1013">_xlfn.SWITCH(CleanEmployeeData[[#This Row],[JobSatisfaction]],1,"Low",2,"Medium",3,"High",4,"Very High","Unknown")</f>
        <v>Medium</v>
      </c>
      <c r="AN1013" t="str" cm="1">
        <f t="array" ref="AN1013">_xlfn.SWITCH(CleanEmployeeData[[#This Row],[PerformanceRating]],1,"Low",2,"Good",3,"Excellent",4,"Outstanding","Unknown")</f>
        <v>Excellent</v>
      </c>
      <c r="AO1013" t="str" cm="1">
        <f t="array" ref="AO1013">_xlfn.SWITCH(CleanEmployeeData[[#This Row],[WorkLifeBalance]],1,"Bad",2,"Good",3,"Better",4,"Best","Unknown")</f>
        <v>Better</v>
      </c>
      <c r="AP1013">
        <f>IF(CleanEmployeeData[[#This Row],[Attrition]]="Yes",1,IF(CleanEmployeeData[[#This Row],[Attrition]]="No",0,""))</f>
        <v>0</v>
      </c>
      <c r="AQ1013" t="str" cm="1">
        <f t="array" ref="AQ1013">_xlfn.IFS(CleanEmployeeData[[#This Row],[MonthlyIncome]]&lt;=3000,"0–3,000",CleanEmployeeData[[#This Row],[MonthlyIncome]]&lt;=6000,"3,001–6,000",CleanEmployeeData[[#This Row],[MonthlyIncome]]&lt;=10000,"6,001–10,000",TRUE,"10,001+")</f>
        <v>6,001–10,000</v>
      </c>
      <c r="AR1013" t="str" cm="1">
        <f t="array" ref="AR1013">_xlfn.IFS(CleanEmployeeData[[#This Row],[DistanceFromHome]]&lt;=5,"0–5 miles",CleanEmployeeData[[#This Row],[DistanceFromHome]]&lt;=10,"6–10 miles",CleanEmployeeData[[#This Row],[DistanceFromHome]]&lt;=15,"11–15 miles",TRUE,"16+ miles")</f>
        <v>0–5 miles</v>
      </c>
      <c r="AS1013" t="str" cm="1">
        <f t="array" ref="AS1013">_xlfn.IFS(CleanEmployeeData[[#This Row],[YearsAtCompany]]&lt;=1,"0–1 years",CleanEmployeeData[[#This Row],[YearsAtCompany]]&lt;=5,"2–5 years",CleanEmployeeData[[#This Row],[YearsAtCompany]]&lt;=10,"6–10 years",TRUE,"11+ years")</f>
        <v>2–5 years</v>
      </c>
    </row>
    <row r="1014" spans="1:4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cm="1">
        <f t="array" ref="AJ1014">_xlfn.SWITCH(CleanEmployeeData[[#This Row],[Education]],1,"Below College",2,"College",3,"Bachelor",4,"Master",5,"Doctor","Unknown")</f>
        <v>Master</v>
      </c>
      <c r="AK1014" t="str" cm="1">
        <f t="array" ref="AK1014">_xlfn.SWITCH(CleanEmployeeData[[#This Row],[EnvironmentSatisfaction]],1,"Low",2,"Medium",3,"High",4,"Very High","Unknown")</f>
        <v>Medium</v>
      </c>
      <c r="AL1014" t="str" cm="1">
        <f t="array" ref="AL1014">_xlfn.SWITCH(CleanEmployeeData[[#This Row],[JobInvolvement]],1,"Low",2,"Medium",3,"High",4,"Very High","Unknown")</f>
        <v>Low</v>
      </c>
      <c r="AM1014" t="str" cm="1">
        <f t="array" ref="AM1014">_xlfn.SWITCH(CleanEmployeeData[[#This Row],[JobSatisfaction]],1,"Low",2,"Medium",3,"High",4,"Very High","Unknown")</f>
        <v>High</v>
      </c>
      <c r="AN1014" t="str" cm="1">
        <f t="array" ref="AN1014">_xlfn.SWITCH(CleanEmployeeData[[#This Row],[PerformanceRating]],1,"Low",2,"Good",3,"Excellent",4,"Outstanding","Unknown")</f>
        <v>Excellent</v>
      </c>
      <c r="AO1014" t="str" cm="1">
        <f t="array" ref="AO1014">_xlfn.SWITCH(CleanEmployeeData[[#This Row],[WorkLifeBalance]],1,"Bad",2,"Good",3,"Better",4,"Best","Unknown")</f>
        <v>Better</v>
      </c>
      <c r="AP1014">
        <f>IF(CleanEmployeeData[[#This Row],[Attrition]]="Yes",1,IF(CleanEmployeeData[[#This Row],[Attrition]]="No",0,""))</f>
        <v>1</v>
      </c>
      <c r="AQ1014" t="str" cm="1">
        <f t="array" ref="AQ1014">_xlfn.IFS(CleanEmployeeData[[#This Row],[MonthlyIncome]]&lt;=3000,"0–3,000",CleanEmployeeData[[#This Row],[MonthlyIncome]]&lt;=6000,"3,001–6,000",CleanEmployeeData[[#This Row],[MonthlyIncome]]&lt;=10000,"6,001–10,000",TRUE,"10,001+")</f>
        <v>0–3,000</v>
      </c>
      <c r="AR1014" t="str" cm="1">
        <f t="array" ref="AR1014">_xlfn.IFS(CleanEmployeeData[[#This Row],[DistanceFromHome]]&lt;=5,"0–5 miles",CleanEmployeeData[[#This Row],[DistanceFromHome]]&lt;=10,"6–10 miles",CleanEmployeeData[[#This Row],[DistanceFromHome]]&lt;=15,"11–15 miles",TRUE,"16+ miles")</f>
        <v>0–5 miles</v>
      </c>
      <c r="AS1014" t="str" cm="1">
        <f t="array" ref="AS1014">_xlfn.IFS(CleanEmployeeData[[#This Row],[YearsAtCompany]]&lt;=1,"0–1 years",CleanEmployeeData[[#This Row],[YearsAtCompany]]&lt;=5,"2–5 years",CleanEmployeeData[[#This Row],[YearsAtCompany]]&lt;=10,"6–10 years",TRUE,"11+ years")</f>
        <v>0–1 years</v>
      </c>
    </row>
    <row r="1015" spans="1:4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cm="1">
        <f t="array" ref="AJ1015">_xlfn.SWITCH(CleanEmployeeData[[#This Row],[Education]],1,"Below College",2,"College",3,"Bachelor",4,"Master",5,"Doctor","Unknown")</f>
        <v>Master</v>
      </c>
      <c r="AK1015" t="str" cm="1">
        <f t="array" ref="AK1015">_xlfn.SWITCH(CleanEmployeeData[[#This Row],[EnvironmentSatisfaction]],1,"Low",2,"Medium",3,"High",4,"Very High","Unknown")</f>
        <v>Very High</v>
      </c>
      <c r="AL1015" t="str" cm="1">
        <f t="array" ref="AL1015">_xlfn.SWITCH(CleanEmployeeData[[#This Row],[JobInvolvement]],1,"Low",2,"Medium",3,"High",4,"Very High","Unknown")</f>
        <v>High</v>
      </c>
      <c r="AM1015" t="str" cm="1">
        <f t="array" ref="AM1015">_xlfn.SWITCH(CleanEmployeeData[[#This Row],[JobSatisfaction]],1,"Low",2,"Medium",3,"High",4,"Very High","Unknown")</f>
        <v>Low</v>
      </c>
      <c r="AN1015" t="str" cm="1">
        <f t="array" ref="AN1015">_xlfn.SWITCH(CleanEmployeeData[[#This Row],[PerformanceRating]],1,"Low",2,"Good",3,"Excellent",4,"Outstanding","Unknown")</f>
        <v>Excellent</v>
      </c>
      <c r="AO1015" t="str" cm="1">
        <f t="array" ref="AO1015">_xlfn.SWITCH(CleanEmployeeData[[#This Row],[WorkLifeBalance]],1,"Bad",2,"Good",3,"Better",4,"Best","Unknown")</f>
        <v>Better</v>
      </c>
      <c r="AP1015">
        <f>IF(CleanEmployeeData[[#This Row],[Attrition]]="Yes",1,IF(CleanEmployeeData[[#This Row],[Attrition]]="No",0,""))</f>
        <v>0</v>
      </c>
      <c r="AQ1015" t="str" cm="1">
        <f t="array" ref="AQ1015">_xlfn.IFS(CleanEmployeeData[[#This Row],[MonthlyIncome]]&lt;=3000,"0–3,000",CleanEmployeeData[[#This Row],[MonthlyIncome]]&lt;=6000,"3,001–6,000",CleanEmployeeData[[#This Row],[MonthlyIncome]]&lt;=10000,"6,001–10,000",TRUE,"10,001+")</f>
        <v>3,001–6,000</v>
      </c>
      <c r="AR1015" t="str" cm="1">
        <f t="array" ref="AR1015">_xlfn.IFS(CleanEmployeeData[[#This Row],[DistanceFromHome]]&lt;=5,"0–5 miles",CleanEmployeeData[[#This Row],[DistanceFromHome]]&lt;=10,"6–10 miles",CleanEmployeeData[[#This Row],[DistanceFromHome]]&lt;=15,"11–15 miles",TRUE,"16+ miles")</f>
        <v>6–10 miles</v>
      </c>
      <c r="AS1015" t="str" cm="1">
        <f t="array" ref="AS1015">_xlfn.IFS(CleanEmployeeData[[#This Row],[YearsAtCompany]]&lt;=1,"0–1 years",CleanEmployeeData[[#This Row],[YearsAtCompany]]&lt;=5,"2–5 years",CleanEmployeeData[[#This Row],[YearsAtCompany]]&lt;=10,"6–10 years",TRUE,"11+ years")</f>
        <v>2–5 years</v>
      </c>
    </row>
    <row r="1016" spans="1:4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cm="1">
        <f t="array" ref="AJ1016">_xlfn.SWITCH(CleanEmployeeData[[#This Row],[Education]],1,"Below College",2,"College",3,"Bachelor",4,"Master",5,"Doctor","Unknown")</f>
        <v>Doctor</v>
      </c>
      <c r="AK1016" t="str" cm="1">
        <f t="array" ref="AK1016">_xlfn.SWITCH(CleanEmployeeData[[#This Row],[EnvironmentSatisfaction]],1,"Low",2,"Medium",3,"High",4,"Very High","Unknown")</f>
        <v>Low</v>
      </c>
      <c r="AL1016" t="str" cm="1">
        <f t="array" ref="AL1016">_xlfn.SWITCH(CleanEmployeeData[[#This Row],[JobInvolvement]],1,"Low",2,"Medium",3,"High",4,"Very High","Unknown")</f>
        <v>High</v>
      </c>
      <c r="AM1016" t="str" cm="1">
        <f t="array" ref="AM1016">_xlfn.SWITCH(CleanEmployeeData[[#This Row],[JobSatisfaction]],1,"Low",2,"Medium",3,"High",4,"Very High","Unknown")</f>
        <v>Medium</v>
      </c>
      <c r="AN1016" t="str" cm="1">
        <f t="array" ref="AN1016">_xlfn.SWITCH(CleanEmployeeData[[#This Row],[PerformanceRating]],1,"Low",2,"Good",3,"Excellent",4,"Outstanding","Unknown")</f>
        <v>Excellent</v>
      </c>
      <c r="AO1016" t="str" cm="1">
        <f t="array" ref="AO1016">_xlfn.SWITCH(CleanEmployeeData[[#This Row],[WorkLifeBalance]],1,"Bad",2,"Good",3,"Better",4,"Best","Unknown")</f>
        <v>Best</v>
      </c>
      <c r="AP1016">
        <f>IF(CleanEmployeeData[[#This Row],[Attrition]]="Yes",1,IF(CleanEmployeeData[[#This Row],[Attrition]]="No",0,""))</f>
        <v>0</v>
      </c>
      <c r="AQ1016" t="str" cm="1">
        <f t="array" ref="AQ1016">_xlfn.IFS(CleanEmployeeData[[#This Row],[MonthlyIncome]]&lt;=3000,"0–3,000",CleanEmployeeData[[#This Row],[MonthlyIncome]]&lt;=6000,"3,001–6,000",CleanEmployeeData[[#This Row],[MonthlyIncome]]&lt;=10000,"6,001–10,000",TRUE,"10,001+")</f>
        <v>10,001+</v>
      </c>
      <c r="AR1016" t="str" cm="1">
        <f t="array" ref="AR1016">_xlfn.IFS(CleanEmployeeData[[#This Row],[DistanceFromHome]]&lt;=5,"0–5 miles",CleanEmployeeData[[#This Row],[DistanceFromHome]]&lt;=10,"6–10 miles",CleanEmployeeData[[#This Row],[DistanceFromHome]]&lt;=15,"11–15 miles",TRUE,"16+ miles")</f>
        <v>6–10 miles</v>
      </c>
      <c r="AS1016" t="str" cm="1">
        <f t="array" ref="AS1016">_xlfn.IFS(CleanEmployeeData[[#This Row],[YearsAtCompany]]&lt;=1,"0–1 years",CleanEmployeeData[[#This Row],[YearsAtCompany]]&lt;=5,"2–5 years",CleanEmployeeData[[#This Row],[YearsAtCompany]]&lt;=10,"6–10 years",TRUE,"11+ years")</f>
        <v>2–5 years</v>
      </c>
    </row>
    <row r="1017" spans="1:4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cm="1">
        <f t="array" ref="AJ1017">_xlfn.SWITCH(CleanEmployeeData[[#This Row],[Education]],1,"Below College",2,"College",3,"Bachelor",4,"Master",5,"Doctor","Unknown")</f>
        <v>Master</v>
      </c>
      <c r="AK1017" t="str" cm="1">
        <f t="array" ref="AK1017">_xlfn.SWITCH(CleanEmployeeData[[#This Row],[EnvironmentSatisfaction]],1,"Low",2,"Medium",3,"High",4,"Very High","Unknown")</f>
        <v>Very High</v>
      </c>
      <c r="AL1017" t="str" cm="1">
        <f t="array" ref="AL1017">_xlfn.SWITCH(CleanEmployeeData[[#This Row],[JobInvolvement]],1,"Low",2,"Medium",3,"High",4,"Very High","Unknown")</f>
        <v>High</v>
      </c>
      <c r="AM1017" t="str" cm="1">
        <f t="array" ref="AM1017">_xlfn.SWITCH(CleanEmployeeData[[#This Row],[JobSatisfaction]],1,"Low",2,"Medium",3,"High",4,"Very High","Unknown")</f>
        <v>Low</v>
      </c>
      <c r="AN1017" t="str" cm="1">
        <f t="array" ref="AN1017">_xlfn.SWITCH(CleanEmployeeData[[#This Row],[PerformanceRating]],1,"Low",2,"Good",3,"Excellent",4,"Outstanding","Unknown")</f>
        <v>Excellent</v>
      </c>
      <c r="AO1017" t="str" cm="1">
        <f t="array" ref="AO1017">_xlfn.SWITCH(CleanEmployeeData[[#This Row],[WorkLifeBalance]],1,"Bad",2,"Good",3,"Better",4,"Best","Unknown")</f>
        <v>Better</v>
      </c>
      <c r="AP1017">
        <f>IF(CleanEmployeeData[[#This Row],[Attrition]]="Yes",1,IF(CleanEmployeeData[[#This Row],[Attrition]]="No",0,""))</f>
        <v>0</v>
      </c>
      <c r="AQ1017" t="str" cm="1">
        <f t="array" ref="AQ1017">_xlfn.IFS(CleanEmployeeData[[#This Row],[MonthlyIncome]]&lt;=3000,"0–3,000",CleanEmployeeData[[#This Row],[MonthlyIncome]]&lt;=6000,"3,001–6,000",CleanEmployeeData[[#This Row],[MonthlyIncome]]&lt;=10000,"6,001–10,000",TRUE,"10,001+")</f>
        <v>0–3,000</v>
      </c>
      <c r="AR1017" t="str" cm="1">
        <f t="array" ref="AR1017">_xlfn.IFS(CleanEmployeeData[[#This Row],[DistanceFromHome]]&lt;=5,"0–5 miles",CleanEmployeeData[[#This Row],[DistanceFromHome]]&lt;=10,"6–10 miles",CleanEmployeeData[[#This Row],[DistanceFromHome]]&lt;=15,"11–15 miles",TRUE,"16+ miles")</f>
        <v>0–5 miles</v>
      </c>
      <c r="AS1017" t="str" cm="1">
        <f t="array" ref="AS1017">_xlfn.IFS(CleanEmployeeData[[#This Row],[YearsAtCompany]]&lt;=1,"0–1 years",CleanEmployeeData[[#This Row],[YearsAtCompany]]&lt;=5,"2–5 years",CleanEmployeeData[[#This Row],[YearsAtCompany]]&lt;=10,"6–10 years",TRUE,"11+ years")</f>
        <v>2–5 years</v>
      </c>
    </row>
    <row r="1018" spans="1:4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cm="1">
        <f t="array" ref="AJ1018">_xlfn.SWITCH(CleanEmployeeData[[#This Row],[Education]],1,"Below College",2,"College",3,"Bachelor",4,"Master",5,"Doctor","Unknown")</f>
        <v>Bachelor</v>
      </c>
      <c r="AK1018" t="str" cm="1">
        <f t="array" ref="AK1018">_xlfn.SWITCH(CleanEmployeeData[[#This Row],[EnvironmentSatisfaction]],1,"Low",2,"Medium",3,"High",4,"Very High","Unknown")</f>
        <v>Low</v>
      </c>
      <c r="AL1018" t="str" cm="1">
        <f t="array" ref="AL1018">_xlfn.SWITCH(CleanEmployeeData[[#This Row],[JobInvolvement]],1,"Low",2,"Medium",3,"High",4,"Very High","Unknown")</f>
        <v>Medium</v>
      </c>
      <c r="AM1018" t="str" cm="1">
        <f t="array" ref="AM1018">_xlfn.SWITCH(CleanEmployeeData[[#This Row],[JobSatisfaction]],1,"Low",2,"Medium",3,"High",4,"Very High","Unknown")</f>
        <v>Medium</v>
      </c>
      <c r="AN1018" t="str" cm="1">
        <f t="array" ref="AN1018">_xlfn.SWITCH(CleanEmployeeData[[#This Row],[PerformanceRating]],1,"Low",2,"Good",3,"Excellent",4,"Outstanding","Unknown")</f>
        <v>Excellent</v>
      </c>
      <c r="AO1018" t="str" cm="1">
        <f t="array" ref="AO1018">_xlfn.SWITCH(CleanEmployeeData[[#This Row],[WorkLifeBalance]],1,"Bad",2,"Good",3,"Better",4,"Best","Unknown")</f>
        <v>Best</v>
      </c>
      <c r="AP1018">
        <f>IF(CleanEmployeeData[[#This Row],[Attrition]]="Yes",1,IF(CleanEmployeeData[[#This Row],[Attrition]]="No",0,""))</f>
        <v>1</v>
      </c>
      <c r="AQ1018" t="str" cm="1">
        <f t="array" ref="AQ1018">_xlfn.IFS(CleanEmployeeData[[#This Row],[MonthlyIncome]]&lt;=3000,"0–3,000",CleanEmployeeData[[#This Row],[MonthlyIncome]]&lt;=6000,"3,001–6,000",CleanEmployeeData[[#This Row],[MonthlyIncome]]&lt;=10000,"6,001–10,000",TRUE,"10,001+")</f>
        <v>0–3,000</v>
      </c>
      <c r="AR1018" t="str" cm="1">
        <f t="array" ref="AR1018">_xlfn.IFS(CleanEmployeeData[[#This Row],[DistanceFromHome]]&lt;=5,"0–5 miles",CleanEmployeeData[[#This Row],[DistanceFromHome]]&lt;=10,"6–10 miles",CleanEmployeeData[[#This Row],[DistanceFromHome]]&lt;=15,"11–15 miles",TRUE,"16+ miles")</f>
        <v>6–10 miles</v>
      </c>
      <c r="AS1018" t="str" cm="1">
        <f t="array" ref="AS1018">_xlfn.IFS(CleanEmployeeData[[#This Row],[YearsAtCompany]]&lt;=1,"0–1 years",CleanEmployeeData[[#This Row],[YearsAtCompany]]&lt;=5,"2–5 years",CleanEmployeeData[[#This Row],[YearsAtCompany]]&lt;=10,"6–10 years",TRUE,"11+ years")</f>
        <v>0–1 years</v>
      </c>
    </row>
    <row r="1019" spans="1:4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cm="1">
        <f t="array" ref="AJ1019">_xlfn.SWITCH(CleanEmployeeData[[#This Row],[Education]],1,"Below College",2,"College",3,"Bachelor",4,"Master",5,"Doctor","Unknown")</f>
        <v>Below College</v>
      </c>
      <c r="AK1019" t="str" cm="1">
        <f t="array" ref="AK1019">_xlfn.SWITCH(CleanEmployeeData[[#This Row],[EnvironmentSatisfaction]],1,"Low",2,"Medium",3,"High",4,"Very High","Unknown")</f>
        <v>Medium</v>
      </c>
      <c r="AL1019" t="str" cm="1">
        <f t="array" ref="AL1019">_xlfn.SWITCH(CleanEmployeeData[[#This Row],[JobInvolvement]],1,"Low",2,"Medium",3,"High",4,"Very High","Unknown")</f>
        <v>High</v>
      </c>
      <c r="AM1019" t="str" cm="1">
        <f t="array" ref="AM1019">_xlfn.SWITCH(CleanEmployeeData[[#This Row],[JobSatisfaction]],1,"Low",2,"Medium",3,"High",4,"Very High","Unknown")</f>
        <v>Low</v>
      </c>
      <c r="AN1019" t="str" cm="1">
        <f t="array" ref="AN1019">_xlfn.SWITCH(CleanEmployeeData[[#This Row],[PerformanceRating]],1,"Low",2,"Good",3,"Excellent",4,"Outstanding","Unknown")</f>
        <v>Excellent</v>
      </c>
      <c r="AO1019" t="str" cm="1">
        <f t="array" ref="AO1019">_xlfn.SWITCH(CleanEmployeeData[[#This Row],[WorkLifeBalance]],1,"Bad",2,"Good",3,"Better",4,"Best","Unknown")</f>
        <v>Best</v>
      </c>
      <c r="AP1019">
        <f>IF(CleanEmployeeData[[#This Row],[Attrition]]="Yes",1,IF(CleanEmployeeData[[#This Row],[Attrition]]="No",0,""))</f>
        <v>0</v>
      </c>
      <c r="AQ1019" t="str" cm="1">
        <f t="array" ref="AQ1019">_xlfn.IFS(CleanEmployeeData[[#This Row],[MonthlyIncome]]&lt;=3000,"0–3,000",CleanEmployeeData[[#This Row],[MonthlyIncome]]&lt;=6000,"3,001–6,000",CleanEmployeeData[[#This Row],[MonthlyIncome]]&lt;=10000,"6,001–10,000",TRUE,"10,001+")</f>
        <v>0–3,000</v>
      </c>
      <c r="AR1019" t="str" cm="1">
        <f t="array" ref="AR1019">_xlfn.IFS(CleanEmployeeData[[#This Row],[DistanceFromHome]]&lt;=5,"0–5 miles",CleanEmployeeData[[#This Row],[DistanceFromHome]]&lt;=10,"6–10 miles",CleanEmployeeData[[#This Row],[DistanceFromHome]]&lt;=15,"11–15 miles",TRUE,"16+ miles")</f>
        <v>11–15 miles</v>
      </c>
      <c r="AS1019" t="str" cm="1">
        <f t="array" ref="AS1019">_xlfn.IFS(CleanEmployeeData[[#This Row],[YearsAtCompany]]&lt;=1,"0–1 years",CleanEmployeeData[[#This Row],[YearsAtCompany]]&lt;=5,"2–5 years",CleanEmployeeData[[#This Row],[YearsAtCompany]]&lt;=10,"6–10 years",TRUE,"11+ years")</f>
        <v>2–5 years</v>
      </c>
    </row>
    <row r="1020" spans="1:4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cm="1">
        <f t="array" ref="AJ1020">_xlfn.SWITCH(CleanEmployeeData[[#This Row],[Education]],1,"Below College",2,"College",3,"Bachelor",4,"Master",5,"Doctor","Unknown")</f>
        <v>Master</v>
      </c>
      <c r="AK1020" t="str" cm="1">
        <f t="array" ref="AK1020">_xlfn.SWITCH(CleanEmployeeData[[#This Row],[EnvironmentSatisfaction]],1,"Low",2,"Medium",3,"High",4,"Very High","Unknown")</f>
        <v>Low</v>
      </c>
      <c r="AL1020" t="str" cm="1">
        <f t="array" ref="AL1020">_xlfn.SWITCH(CleanEmployeeData[[#This Row],[JobInvolvement]],1,"Low",2,"Medium",3,"High",4,"Very High","Unknown")</f>
        <v>Medium</v>
      </c>
      <c r="AM1020" t="str" cm="1">
        <f t="array" ref="AM1020">_xlfn.SWITCH(CleanEmployeeData[[#This Row],[JobSatisfaction]],1,"Low",2,"Medium",3,"High",4,"Very High","Unknown")</f>
        <v>Very High</v>
      </c>
      <c r="AN1020" t="str" cm="1">
        <f t="array" ref="AN1020">_xlfn.SWITCH(CleanEmployeeData[[#This Row],[PerformanceRating]],1,"Low",2,"Good",3,"Excellent",4,"Outstanding","Unknown")</f>
        <v>Excellent</v>
      </c>
      <c r="AO1020" t="str" cm="1">
        <f t="array" ref="AO1020">_xlfn.SWITCH(CleanEmployeeData[[#This Row],[WorkLifeBalance]],1,"Bad",2,"Good",3,"Better",4,"Best","Unknown")</f>
        <v>Good</v>
      </c>
      <c r="AP1020">
        <f>IF(CleanEmployeeData[[#This Row],[Attrition]]="Yes",1,IF(CleanEmployeeData[[#This Row],[Attrition]]="No",0,""))</f>
        <v>0</v>
      </c>
      <c r="AQ1020" t="str" cm="1">
        <f t="array" ref="AQ1020">_xlfn.IFS(CleanEmployeeData[[#This Row],[MonthlyIncome]]&lt;=3000,"0–3,000",CleanEmployeeData[[#This Row],[MonthlyIncome]]&lt;=6000,"3,001–6,000",CleanEmployeeData[[#This Row],[MonthlyIncome]]&lt;=10000,"6,001–10,000",TRUE,"10,001+")</f>
        <v>3,001–6,000</v>
      </c>
      <c r="AR1020" t="str" cm="1">
        <f t="array" ref="AR1020">_xlfn.IFS(CleanEmployeeData[[#This Row],[DistanceFromHome]]&lt;=5,"0–5 miles",CleanEmployeeData[[#This Row],[DistanceFromHome]]&lt;=10,"6–10 miles",CleanEmployeeData[[#This Row],[DistanceFromHome]]&lt;=15,"11–15 miles",TRUE,"16+ miles")</f>
        <v>0–5 miles</v>
      </c>
      <c r="AS1020" t="str" cm="1">
        <f t="array" ref="AS1020">_xlfn.IFS(CleanEmployeeData[[#This Row],[YearsAtCompany]]&lt;=1,"0–1 years",CleanEmployeeData[[#This Row],[YearsAtCompany]]&lt;=5,"2–5 years",CleanEmployeeData[[#This Row],[YearsAtCompany]]&lt;=10,"6–10 years",TRUE,"11+ years")</f>
        <v>6–10 years</v>
      </c>
    </row>
    <row r="1021" spans="1:4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cm="1">
        <f t="array" ref="AJ1021">_xlfn.SWITCH(CleanEmployeeData[[#This Row],[Education]],1,"Below College",2,"College",3,"Bachelor",4,"Master",5,"Doctor","Unknown")</f>
        <v>Master</v>
      </c>
      <c r="AK1021" t="str" cm="1">
        <f t="array" ref="AK1021">_xlfn.SWITCH(CleanEmployeeData[[#This Row],[EnvironmentSatisfaction]],1,"Low",2,"Medium",3,"High",4,"Very High","Unknown")</f>
        <v>High</v>
      </c>
      <c r="AL1021" t="str" cm="1">
        <f t="array" ref="AL1021">_xlfn.SWITCH(CleanEmployeeData[[#This Row],[JobInvolvement]],1,"Low",2,"Medium",3,"High",4,"Very High","Unknown")</f>
        <v>Medium</v>
      </c>
      <c r="AM1021" t="str" cm="1">
        <f t="array" ref="AM1021">_xlfn.SWITCH(CleanEmployeeData[[#This Row],[JobSatisfaction]],1,"Low",2,"Medium",3,"High",4,"Very High","Unknown")</f>
        <v>Low</v>
      </c>
      <c r="AN1021" t="str" cm="1">
        <f t="array" ref="AN1021">_xlfn.SWITCH(CleanEmployeeData[[#This Row],[PerformanceRating]],1,"Low",2,"Good",3,"Excellent",4,"Outstanding","Unknown")</f>
        <v>Excellent</v>
      </c>
      <c r="AO1021" t="str" cm="1">
        <f t="array" ref="AO1021">_xlfn.SWITCH(CleanEmployeeData[[#This Row],[WorkLifeBalance]],1,"Bad",2,"Good",3,"Better",4,"Best","Unknown")</f>
        <v>Good</v>
      </c>
      <c r="AP1021">
        <f>IF(CleanEmployeeData[[#This Row],[Attrition]]="Yes",1,IF(CleanEmployeeData[[#This Row],[Attrition]]="No",0,""))</f>
        <v>0</v>
      </c>
      <c r="AQ1021" t="str" cm="1">
        <f t="array" ref="AQ1021">_xlfn.IFS(CleanEmployeeData[[#This Row],[MonthlyIncome]]&lt;=3000,"0–3,000",CleanEmployeeData[[#This Row],[MonthlyIncome]]&lt;=6000,"3,001–6,000",CleanEmployeeData[[#This Row],[MonthlyIncome]]&lt;=10000,"6,001–10,000",TRUE,"10,001+")</f>
        <v>3,001–6,000</v>
      </c>
      <c r="AR1021" t="str" cm="1">
        <f t="array" ref="AR1021">_xlfn.IFS(CleanEmployeeData[[#This Row],[DistanceFromHome]]&lt;=5,"0–5 miles",CleanEmployeeData[[#This Row],[DistanceFromHome]]&lt;=10,"6–10 miles",CleanEmployeeData[[#This Row],[DistanceFromHome]]&lt;=15,"11–15 miles",TRUE,"16+ miles")</f>
        <v>16+ miles</v>
      </c>
      <c r="AS1021" t="str" cm="1">
        <f t="array" ref="AS1021">_xlfn.IFS(CleanEmployeeData[[#This Row],[YearsAtCompany]]&lt;=1,"0–1 years",CleanEmployeeData[[#This Row],[YearsAtCompany]]&lt;=5,"2–5 years",CleanEmployeeData[[#This Row],[YearsAtCompany]]&lt;=10,"6–10 years",TRUE,"11+ years")</f>
        <v>2–5 years</v>
      </c>
    </row>
    <row r="1022" spans="1:4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cm="1">
        <f t="array" ref="AJ1022">_xlfn.SWITCH(CleanEmployeeData[[#This Row],[Education]],1,"Below College",2,"College",3,"Bachelor",4,"Master",5,"Doctor","Unknown")</f>
        <v>Bachelor</v>
      </c>
      <c r="AK1022" t="str" cm="1">
        <f t="array" ref="AK1022">_xlfn.SWITCH(CleanEmployeeData[[#This Row],[EnvironmentSatisfaction]],1,"Low",2,"Medium",3,"High",4,"Very High","Unknown")</f>
        <v>Low</v>
      </c>
      <c r="AL1022" t="str" cm="1">
        <f t="array" ref="AL1022">_xlfn.SWITCH(CleanEmployeeData[[#This Row],[JobInvolvement]],1,"Low",2,"Medium",3,"High",4,"Very High","Unknown")</f>
        <v>High</v>
      </c>
      <c r="AM1022" t="str" cm="1">
        <f t="array" ref="AM1022">_xlfn.SWITCH(CleanEmployeeData[[#This Row],[JobSatisfaction]],1,"Low",2,"Medium",3,"High",4,"Very High","Unknown")</f>
        <v>Very High</v>
      </c>
      <c r="AN1022" t="str" cm="1">
        <f t="array" ref="AN1022">_xlfn.SWITCH(CleanEmployeeData[[#This Row],[PerformanceRating]],1,"Low",2,"Good",3,"Excellent",4,"Outstanding","Unknown")</f>
        <v>Excellent</v>
      </c>
      <c r="AO1022" t="str" cm="1">
        <f t="array" ref="AO1022">_xlfn.SWITCH(CleanEmployeeData[[#This Row],[WorkLifeBalance]],1,"Bad",2,"Good",3,"Better",4,"Best","Unknown")</f>
        <v>Good</v>
      </c>
      <c r="AP1022">
        <f>IF(CleanEmployeeData[[#This Row],[Attrition]]="Yes",1,IF(CleanEmployeeData[[#This Row],[Attrition]]="No",0,""))</f>
        <v>0</v>
      </c>
      <c r="AQ1022" t="str" cm="1">
        <f t="array" ref="AQ1022">_xlfn.IFS(CleanEmployeeData[[#This Row],[MonthlyIncome]]&lt;=3000,"0–3,000",CleanEmployeeData[[#This Row],[MonthlyIncome]]&lt;=6000,"3,001–6,000",CleanEmployeeData[[#This Row],[MonthlyIncome]]&lt;=10000,"6,001–10,000",TRUE,"10,001+")</f>
        <v>3,001–6,000</v>
      </c>
      <c r="AR1022" t="str" cm="1">
        <f t="array" ref="AR1022">_xlfn.IFS(CleanEmployeeData[[#This Row],[DistanceFromHome]]&lt;=5,"0–5 miles",CleanEmployeeData[[#This Row],[DistanceFromHome]]&lt;=10,"6–10 miles",CleanEmployeeData[[#This Row],[DistanceFromHome]]&lt;=15,"11–15 miles",TRUE,"16+ miles")</f>
        <v>0–5 miles</v>
      </c>
      <c r="AS1022" t="str" cm="1">
        <f t="array" ref="AS1022">_xlfn.IFS(CleanEmployeeData[[#This Row],[YearsAtCompany]]&lt;=1,"0–1 years",CleanEmployeeData[[#This Row],[YearsAtCompany]]&lt;=5,"2–5 years",CleanEmployeeData[[#This Row],[YearsAtCompany]]&lt;=10,"6–10 years",TRUE,"11+ years")</f>
        <v>6–10 years</v>
      </c>
    </row>
    <row r="1023" spans="1:4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cm="1">
        <f t="array" ref="AJ1023">_xlfn.SWITCH(CleanEmployeeData[[#This Row],[Education]],1,"Below College",2,"College",3,"Bachelor",4,"Master",5,"Doctor","Unknown")</f>
        <v>College</v>
      </c>
      <c r="AK1023" t="str" cm="1">
        <f t="array" ref="AK1023">_xlfn.SWITCH(CleanEmployeeData[[#This Row],[EnvironmentSatisfaction]],1,"Low",2,"Medium",3,"High",4,"Very High","Unknown")</f>
        <v>Low</v>
      </c>
      <c r="AL1023" t="str" cm="1">
        <f t="array" ref="AL1023">_xlfn.SWITCH(CleanEmployeeData[[#This Row],[JobInvolvement]],1,"Low",2,"Medium",3,"High",4,"Very High","Unknown")</f>
        <v>Medium</v>
      </c>
      <c r="AM1023" t="str" cm="1">
        <f t="array" ref="AM1023">_xlfn.SWITCH(CleanEmployeeData[[#This Row],[JobSatisfaction]],1,"Low",2,"Medium",3,"High",4,"Very High","Unknown")</f>
        <v>Low</v>
      </c>
      <c r="AN1023" t="str" cm="1">
        <f t="array" ref="AN1023">_xlfn.SWITCH(CleanEmployeeData[[#This Row],[PerformanceRating]],1,"Low",2,"Good",3,"Excellent",4,"Outstanding","Unknown")</f>
        <v>Excellent</v>
      </c>
      <c r="AO1023" t="str" cm="1">
        <f t="array" ref="AO1023">_xlfn.SWITCH(CleanEmployeeData[[#This Row],[WorkLifeBalance]],1,"Bad",2,"Good",3,"Better",4,"Best","Unknown")</f>
        <v>Better</v>
      </c>
      <c r="AP1023">
        <f>IF(CleanEmployeeData[[#This Row],[Attrition]]="Yes",1,IF(CleanEmployeeData[[#This Row],[Attrition]]="No",0,""))</f>
        <v>1</v>
      </c>
      <c r="AQ1023" t="str" cm="1">
        <f t="array" ref="AQ1023">_xlfn.IFS(CleanEmployeeData[[#This Row],[MonthlyIncome]]&lt;=3000,"0–3,000",CleanEmployeeData[[#This Row],[MonthlyIncome]]&lt;=6000,"3,001–6,000",CleanEmployeeData[[#This Row],[MonthlyIncome]]&lt;=10000,"6,001–10,000",TRUE,"10,001+")</f>
        <v>3,001–6,000</v>
      </c>
      <c r="AR1023" t="str" cm="1">
        <f t="array" ref="AR1023">_xlfn.IFS(CleanEmployeeData[[#This Row],[DistanceFromHome]]&lt;=5,"0–5 miles",CleanEmployeeData[[#This Row],[DistanceFromHome]]&lt;=10,"6–10 miles",CleanEmployeeData[[#This Row],[DistanceFromHome]]&lt;=15,"11–15 miles",TRUE,"16+ miles")</f>
        <v>6–10 miles</v>
      </c>
      <c r="AS1023" t="str" cm="1">
        <f t="array" ref="AS1023">_xlfn.IFS(CleanEmployeeData[[#This Row],[YearsAtCompany]]&lt;=1,"0–1 years",CleanEmployeeData[[#This Row],[YearsAtCompany]]&lt;=5,"2–5 years",CleanEmployeeData[[#This Row],[YearsAtCompany]]&lt;=10,"6–10 years",TRUE,"11+ years")</f>
        <v>2–5 years</v>
      </c>
    </row>
    <row r="1024" spans="1:4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cm="1">
        <f t="array" ref="AJ1024">_xlfn.SWITCH(CleanEmployeeData[[#This Row],[Education]],1,"Below College",2,"College",3,"Bachelor",4,"Master",5,"Doctor","Unknown")</f>
        <v>College</v>
      </c>
      <c r="AK1024" t="str" cm="1">
        <f t="array" ref="AK1024">_xlfn.SWITCH(CleanEmployeeData[[#This Row],[EnvironmentSatisfaction]],1,"Low",2,"Medium",3,"High",4,"Very High","Unknown")</f>
        <v>High</v>
      </c>
      <c r="AL1024" t="str" cm="1">
        <f t="array" ref="AL1024">_xlfn.SWITCH(CleanEmployeeData[[#This Row],[JobInvolvement]],1,"Low",2,"Medium",3,"High",4,"Very High","Unknown")</f>
        <v>Very High</v>
      </c>
      <c r="AM1024" t="str" cm="1">
        <f t="array" ref="AM1024">_xlfn.SWITCH(CleanEmployeeData[[#This Row],[JobSatisfaction]],1,"Low",2,"Medium",3,"High",4,"Very High","Unknown")</f>
        <v>High</v>
      </c>
      <c r="AN1024" t="str" cm="1">
        <f t="array" ref="AN1024">_xlfn.SWITCH(CleanEmployeeData[[#This Row],[PerformanceRating]],1,"Low",2,"Good",3,"Excellent",4,"Outstanding","Unknown")</f>
        <v>Excellent</v>
      </c>
      <c r="AO1024" t="str" cm="1">
        <f t="array" ref="AO1024">_xlfn.SWITCH(CleanEmployeeData[[#This Row],[WorkLifeBalance]],1,"Bad",2,"Good",3,"Better",4,"Best","Unknown")</f>
        <v>Bad</v>
      </c>
      <c r="AP1024">
        <f>IF(CleanEmployeeData[[#This Row],[Attrition]]="Yes",1,IF(CleanEmployeeData[[#This Row],[Attrition]]="No",0,""))</f>
        <v>0</v>
      </c>
      <c r="AQ1024" t="str" cm="1">
        <f t="array" ref="AQ1024">_xlfn.IFS(CleanEmployeeData[[#This Row],[MonthlyIncome]]&lt;=3000,"0–3,000",CleanEmployeeData[[#This Row],[MonthlyIncome]]&lt;=6000,"3,001–6,000",CleanEmployeeData[[#This Row],[MonthlyIncome]]&lt;=10000,"6,001–10,000",TRUE,"10,001+")</f>
        <v>3,001–6,000</v>
      </c>
      <c r="AR1024" t="str" cm="1">
        <f t="array" ref="AR1024">_xlfn.IFS(CleanEmployeeData[[#This Row],[DistanceFromHome]]&lt;=5,"0–5 miles",CleanEmployeeData[[#This Row],[DistanceFromHome]]&lt;=10,"6–10 miles",CleanEmployeeData[[#This Row],[DistanceFromHome]]&lt;=15,"11–15 miles",TRUE,"16+ miles")</f>
        <v>0–5 miles</v>
      </c>
      <c r="AS1024" t="str" cm="1">
        <f t="array" ref="AS1024">_xlfn.IFS(CleanEmployeeData[[#This Row],[YearsAtCompany]]&lt;=1,"0–1 years",CleanEmployeeData[[#This Row],[YearsAtCompany]]&lt;=5,"2–5 years",CleanEmployeeData[[#This Row],[YearsAtCompany]]&lt;=10,"6–10 years",TRUE,"11+ years")</f>
        <v>6–10 years</v>
      </c>
    </row>
    <row r="1025" spans="1:4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cm="1">
        <f t="array" ref="AJ1025">_xlfn.SWITCH(CleanEmployeeData[[#This Row],[Education]],1,"Below College",2,"College",3,"Bachelor",4,"Master",5,"Doctor","Unknown")</f>
        <v>College</v>
      </c>
      <c r="AK1025" t="str" cm="1">
        <f t="array" ref="AK1025">_xlfn.SWITCH(CleanEmployeeData[[#This Row],[EnvironmentSatisfaction]],1,"Low",2,"Medium",3,"High",4,"Very High","Unknown")</f>
        <v>Low</v>
      </c>
      <c r="AL1025" t="str" cm="1">
        <f t="array" ref="AL1025">_xlfn.SWITCH(CleanEmployeeData[[#This Row],[JobInvolvement]],1,"Low",2,"Medium",3,"High",4,"Very High","Unknown")</f>
        <v>High</v>
      </c>
      <c r="AM1025" t="str" cm="1">
        <f t="array" ref="AM1025">_xlfn.SWITCH(CleanEmployeeData[[#This Row],[JobSatisfaction]],1,"Low",2,"Medium",3,"High",4,"Very High","Unknown")</f>
        <v>Low</v>
      </c>
      <c r="AN1025" t="str" cm="1">
        <f t="array" ref="AN1025">_xlfn.SWITCH(CleanEmployeeData[[#This Row],[PerformanceRating]],1,"Low",2,"Good",3,"Excellent",4,"Outstanding","Unknown")</f>
        <v>Outstanding</v>
      </c>
      <c r="AO1025" t="str" cm="1">
        <f t="array" ref="AO1025">_xlfn.SWITCH(CleanEmployeeData[[#This Row],[WorkLifeBalance]],1,"Bad",2,"Good",3,"Better",4,"Best","Unknown")</f>
        <v>Best</v>
      </c>
      <c r="AP1025">
        <f>IF(CleanEmployeeData[[#This Row],[Attrition]]="Yes",1,IF(CleanEmployeeData[[#This Row],[Attrition]]="No",0,""))</f>
        <v>0</v>
      </c>
      <c r="AQ1025" t="str" cm="1">
        <f t="array" ref="AQ1025">_xlfn.IFS(CleanEmployeeData[[#This Row],[MonthlyIncome]]&lt;=3000,"0–3,000",CleanEmployeeData[[#This Row],[MonthlyIncome]]&lt;=6000,"3,001–6,000",CleanEmployeeData[[#This Row],[MonthlyIncome]]&lt;=10000,"6,001–10,000",TRUE,"10,001+")</f>
        <v>0–3,000</v>
      </c>
      <c r="AR1025" t="str" cm="1">
        <f t="array" ref="AR1025">_xlfn.IFS(CleanEmployeeData[[#This Row],[DistanceFromHome]]&lt;=5,"0–5 miles",CleanEmployeeData[[#This Row],[DistanceFromHome]]&lt;=10,"6–10 miles",CleanEmployeeData[[#This Row],[DistanceFromHome]]&lt;=15,"11–15 miles",TRUE,"16+ miles")</f>
        <v>0–5 miles</v>
      </c>
      <c r="AS1025" t="str" cm="1">
        <f t="array" ref="AS1025">_xlfn.IFS(CleanEmployeeData[[#This Row],[YearsAtCompany]]&lt;=1,"0–1 years",CleanEmployeeData[[#This Row],[YearsAtCompany]]&lt;=5,"2–5 years",CleanEmployeeData[[#This Row],[YearsAtCompany]]&lt;=10,"6–10 years",TRUE,"11+ years")</f>
        <v>2–5 years</v>
      </c>
    </row>
    <row r="1026" spans="1:4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cm="1">
        <f t="array" ref="AJ1026">_xlfn.SWITCH(CleanEmployeeData[[#This Row],[Education]],1,"Below College",2,"College",3,"Bachelor",4,"Master",5,"Doctor","Unknown")</f>
        <v>Master</v>
      </c>
      <c r="AK1026" t="str" cm="1">
        <f t="array" ref="AK1026">_xlfn.SWITCH(CleanEmployeeData[[#This Row],[EnvironmentSatisfaction]],1,"Low",2,"Medium",3,"High",4,"Very High","Unknown")</f>
        <v>Low</v>
      </c>
      <c r="AL1026" t="str" cm="1">
        <f t="array" ref="AL1026">_xlfn.SWITCH(CleanEmployeeData[[#This Row],[JobInvolvement]],1,"Low",2,"Medium",3,"High",4,"Very High","Unknown")</f>
        <v>High</v>
      </c>
      <c r="AM1026" t="str" cm="1">
        <f t="array" ref="AM1026">_xlfn.SWITCH(CleanEmployeeData[[#This Row],[JobSatisfaction]],1,"Low",2,"Medium",3,"High",4,"Very High","Unknown")</f>
        <v>High</v>
      </c>
      <c r="AN1026" t="str" cm="1">
        <f t="array" ref="AN1026">_xlfn.SWITCH(CleanEmployeeData[[#This Row],[PerformanceRating]],1,"Low",2,"Good",3,"Excellent",4,"Outstanding","Unknown")</f>
        <v>Excellent</v>
      </c>
      <c r="AO1026" t="str" cm="1">
        <f t="array" ref="AO1026">_xlfn.SWITCH(CleanEmployeeData[[#This Row],[WorkLifeBalance]],1,"Bad",2,"Good",3,"Better",4,"Best","Unknown")</f>
        <v>Best</v>
      </c>
      <c r="AP1026">
        <f>IF(CleanEmployeeData[[#This Row],[Attrition]]="Yes",1,IF(CleanEmployeeData[[#This Row],[Attrition]]="No",0,""))</f>
        <v>0</v>
      </c>
      <c r="AQ1026" t="str" cm="1">
        <f t="array" ref="AQ1026">_xlfn.IFS(CleanEmployeeData[[#This Row],[MonthlyIncome]]&lt;=3000,"0–3,000",CleanEmployeeData[[#This Row],[MonthlyIncome]]&lt;=6000,"3,001–6,000",CleanEmployeeData[[#This Row],[MonthlyIncome]]&lt;=10000,"6,001–10,000",TRUE,"10,001+")</f>
        <v>10,001+</v>
      </c>
      <c r="AR1026" t="str" cm="1">
        <f t="array" ref="AR1026">_xlfn.IFS(CleanEmployeeData[[#This Row],[DistanceFromHome]]&lt;=5,"0–5 miles",CleanEmployeeData[[#This Row],[DistanceFromHome]]&lt;=10,"6–10 miles",CleanEmployeeData[[#This Row],[DistanceFromHome]]&lt;=15,"11–15 miles",TRUE,"16+ miles")</f>
        <v>0–5 miles</v>
      </c>
      <c r="AS1026" t="str" cm="1">
        <f t="array" ref="AS1026">_xlfn.IFS(CleanEmployeeData[[#This Row],[YearsAtCompany]]&lt;=1,"0–1 years",CleanEmployeeData[[#This Row],[YearsAtCompany]]&lt;=5,"2–5 years",CleanEmployeeData[[#This Row],[YearsAtCompany]]&lt;=10,"6–10 years",TRUE,"11+ years")</f>
        <v>11+ years</v>
      </c>
    </row>
    <row r="1027" spans="1:4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cm="1">
        <f t="array" ref="AJ1027">_xlfn.SWITCH(CleanEmployeeData[[#This Row],[Education]],1,"Below College",2,"College",3,"Bachelor",4,"Master",5,"Doctor","Unknown")</f>
        <v>Below College</v>
      </c>
      <c r="AK1027" t="str" cm="1">
        <f t="array" ref="AK1027">_xlfn.SWITCH(CleanEmployeeData[[#This Row],[EnvironmentSatisfaction]],1,"Low",2,"Medium",3,"High",4,"Very High","Unknown")</f>
        <v>Very High</v>
      </c>
      <c r="AL1027" t="str" cm="1">
        <f t="array" ref="AL1027">_xlfn.SWITCH(CleanEmployeeData[[#This Row],[JobInvolvement]],1,"Low",2,"Medium",3,"High",4,"Very High","Unknown")</f>
        <v>High</v>
      </c>
      <c r="AM1027" t="str" cm="1">
        <f t="array" ref="AM1027">_xlfn.SWITCH(CleanEmployeeData[[#This Row],[JobSatisfaction]],1,"Low",2,"Medium",3,"High",4,"Very High","Unknown")</f>
        <v>High</v>
      </c>
      <c r="AN1027" t="str" cm="1">
        <f t="array" ref="AN1027">_xlfn.SWITCH(CleanEmployeeData[[#This Row],[PerformanceRating]],1,"Low",2,"Good",3,"Excellent",4,"Outstanding","Unknown")</f>
        <v>Excellent</v>
      </c>
      <c r="AO1027" t="str" cm="1">
        <f t="array" ref="AO1027">_xlfn.SWITCH(CleanEmployeeData[[#This Row],[WorkLifeBalance]],1,"Bad",2,"Good",3,"Better",4,"Best","Unknown")</f>
        <v>Better</v>
      </c>
      <c r="AP1027">
        <f>IF(CleanEmployeeData[[#This Row],[Attrition]]="Yes",1,IF(CleanEmployeeData[[#This Row],[Attrition]]="No",0,""))</f>
        <v>0</v>
      </c>
      <c r="AQ1027" t="str" cm="1">
        <f t="array" ref="AQ1027">_xlfn.IFS(CleanEmployeeData[[#This Row],[MonthlyIncome]]&lt;=3000,"0–3,000",CleanEmployeeData[[#This Row],[MonthlyIncome]]&lt;=6000,"3,001–6,000",CleanEmployeeData[[#This Row],[MonthlyIncome]]&lt;=10000,"6,001–10,000",TRUE,"10,001+")</f>
        <v>3,001–6,000</v>
      </c>
      <c r="AR1027" t="str" cm="1">
        <f t="array" ref="AR1027">_xlfn.IFS(CleanEmployeeData[[#This Row],[DistanceFromHome]]&lt;=5,"0–5 miles",CleanEmployeeData[[#This Row],[DistanceFromHome]]&lt;=10,"6–10 miles",CleanEmployeeData[[#This Row],[DistanceFromHome]]&lt;=15,"11–15 miles",TRUE,"16+ miles")</f>
        <v>0–5 miles</v>
      </c>
      <c r="AS1027" t="str" cm="1">
        <f t="array" ref="AS1027">_xlfn.IFS(CleanEmployeeData[[#This Row],[YearsAtCompany]]&lt;=1,"0–1 years",CleanEmployeeData[[#This Row],[YearsAtCompany]]&lt;=5,"2–5 years",CleanEmployeeData[[#This Row],[YearsAtCompany]]&lt;=10,"6–10 years",TRUE,"11+ years")</f>
        <v>2–5 years</v>
      </c>
    </row>
    <row r="1028" spans="1:4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cm="1">
        <f t="array" ref="AJ1028">_xlfn.SWITCH(CleanEmployeeData[[#This Row],[Education]],1,"Below College",2,"College",3,"Bachelor",4,"Master",5,"Doctor","Unknown")</f>
        <v>Doctor</v>
      </c>
      <c r="AK1028" t="str" cm="1">
        <f t="array" ref="AK1028">_xlfn.SWITCH(CleanEmployeeData[[#This Row],[EnvironmentSatisfaction]],1,"Low",2,"Medium",3,"High",4,"Very High","Unknown")</f>
        <v>Very High</v>
      </c>
      <c r="AL1028" t="str" cm="1">
        <f t="array" ref="AL1028">_xlfn.SWITCH(CleanEmployeeData[[#This Row],[JobInvolvement]],1,"Low",2,"Medium",3,"High",4,"Very High","Unknown")</f>
        <v>High</v>
      </c>
      <c r="AM1028" t="str" cm="1">
        <f t="array" ref="AM1028">_xlfn.SWITCH(CleanEmployeeData[[#This Row],[JobSatisfaction]],1,"Low",2,"Medium",3,"High",4,"Very High","Unknown")</f>
        <v>Very High</v>
      </c>
      <c r="AN1028" t="str" cm="1">
        <f t="array" ref="AN1028">_xlfn.SWITCH(CleanEmployeeData[[#This Row],[PerformanceRating]],1,"Low",2,"Good",3,"Excellent",4,"Outstanding","Unknown")</f>
        <v>Excellent</v>
      </c>
      <c r="AO1028" t="str" cm="1">
        <f t="array" ref="AO1028">_xlfn.SWITCH(CleanEmployeeData[[#This Row],[WorkLifeBalance]],1,"Bad",2,"Good",3,"Better",4,"Best","Unknown")</f>
        <v>Good</v>
      </c>
      <c r="AP1028">
        <f>IF(CleanEmployeeData[[#This Row],[Attrition]]="Yes",1,IF(CleanEmployeeData[[#This Row],[Attrition]]="No",0,""))</f>
        <v>0</v>
      </c>
      <c r="AQ1028" t="str" cm="1">
        <f t="array" ref="AQ1028">_xlfn.IFS(CleanEmployeeData[[#This Row],[MonthlyIncome]]&lt;=3000,"0–3,000",CleanEmployeeData[[#This Row],[MonthlyIncome]]&lt;=6000,"3,001–6,000",CleanEmployeeData[[#This Row],[MonthlyIncome]]&lt;=10000,"6,001–10,000",TRUE,"10,001+")</f>
        <v>6,001–10,000</v>
      </c>
      <c r="AR1028" t="str" cm="1">
        <f t="array" ref="AR1028">_xlfn.IFS(CleanEmployeeData[[#This Row],[DistanceFromHome]]&lt;=5,"0–5 miles",CleanEmployeeData[[#This Row],[DistanceFromHome]]&lt;=10,"6–10 miles",CleanEmployeeData[[#This Row],[DistanceFromHome]]&lt;=15,"11–15 miles",TRUE,"16+ miles")</f>
        <v>6–10 miles</v>
      </c>
      <c r="AS1028" t="str" cm="1">
        <f t="array" ref="AS1028">_xlfn.IFS(CleanEmployeeData[[#This Row],[YearsAtCompany]]&lt;=1,"0–1 years",CleanEmployeeData[[#This Row],[YearsAtCompany]]&lt;=5,"2–5 years",CleanEmployeeData[[#This Row],[YearsAtCompany]]&lt;=10,"6–10 years",TRUE,"11+ years")</f>
        <v>2–5 years</v>
      </c>
    </row>
    <row r="1029" spans="1:4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cm="1">
        <f t="array" ref="AJ1029">_xlfn.SWITCH(CleanEmployeeData[[#This Row],[Education]],1,"Below College",2,"College",3,"Bachelor",4,"Master",5,"Doctor","Unknown")</f>
        <v>Bachelor</v>
      </c>
      <c r="AK1029" t="str" cm="1">
        <f t="array" ref="AK1029">_xlfn.SWITCH(CleanEmployeeData[[#This Row],[EnvironmentSatisfaction]],1,"Low",2,"Medium",3,"High",4,"Very High","Unknown")</f>
        <v>Very High</v>
      </c>
      <c r="AL1029" t="str" cm="1">
        <f t="array" ref="AL1029">_xlfn.SWITCH(CleanEmployeeData[[#This Row],[JobInvolvement]],1,"Low",2,"Medium",3,"High",4,"Very High","Unknown")</f>
        <v>Medium</v>
      </c>
      <c r="AM1029" t="str" cm="1">
        <f t="array" ref="AM1029">_xlfn.SWITCH(CleanEmployeeData[[#This Row],[JobSatisfaction]],1,"Low",2,"Medium",3,"High",4,"Very High","Unknown")</f>
        <v>Medium</v>
      </c>
      <c r="AN1029" t="str" cm="1">
        <f t="array" ref="AN1029">_xlfn.SWITCH(CleanEmployeeData[[#This Row],[PerformanceRating]],1,"Low",2,"Good",3,"Excellent",4,"Outstanding","Unknown")</f>
        <v>Excellent</v>
      </c>
      <c r="AO1029" t="str" cm="1">
        <f t="array" ref="AO1029">_xlfn.SWITCH(CleanEmployeeData[[#This Row],[WorkLifeBalance]],1,"Bad",2,"Good",3,"Better",4,"Best","Unknown")</f>
        <v>Good</v>
      </c>
      <c r="AP1029">
        <f>IF(CleanEmployeeData[[#This Row],[Attrition]]="Yes",1,IF(CleanEmployeeData[[#This Row],[Attrition]]="No",0,""))</f>
        <v>0</v>
      </c>
      <c r="AQ1029" t="str" cm="1">
        <f t="array" ref="AQ1029">_xlfn.IFS(CleanEmployeeData[[#This Row],[MonthlyIncome]]&lt;=3000,"0–3,000",CleanEmployeeData[[#This Row],[MonthlyIncome]]&lt;=6000,"3,001–6,000",CleanEmployeeData[[#This Row],[MonthlyIncome]]&lt;=10000,"6,001–10,000",TRUE,"10,001+")</f>
        <v>3,001–6,000</v>
      </c>
      <c r="AR1029" t="str" cm="1">
        <f t="array" ref="AR1029">_xlfn.IFS(CleanEmployeeData[[#This Row],[DistanceFromHome]]&lt;=5,"0–5 miles",CleanEmployeeData[[#This Row],[DistanceFromHome]]&lt;=10,"6–10 miles",CleanEmployeeData[[#This Row],[DistanceFromHome]]&lt;=15,"11–15 miles",TRUE,"16+ miles")</f>
        <v>0–5 miles</v>
      </c>
      <c r="AS1029" t="str" cm="1">
        <f t="array" ref="AS1029">_xlfn.IFS(CleanEmployeeData[[#This Row],[YearsAtCompany]]&lt;=1,"0–1 years",CleanEmployeeData[[#This Row],[YearsAtCompany]]&lt;=5,"2–5 years",CleanEmployeeData[[#This Row],[YearsAtCompany]]&lt;=10,"6–10 years",TRUE,"11+ years")</f>
        <v>2–5 years</v>
      </c>
    </row>
    <row r="1030" spans="1:4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cm="1">
        <f t="array" ref="AJ1030">_xlfn.SWITCH(CleanEmployeeData[[#This Row],[Education]],1,"Below College",2,"College",3,"Bachelor",4,"Master",5,"Doctor","Unknown")</f>
        <v>Doctor</v>
      </c>
      <c r="AK1030" t="str" cm="1">
        <f t="array" ref="AK1030">_xlfn.SWITCH(CleanEmployeeData[[#This Row],[EnvironmentSatisfaction]],1,"Low",2,"Medium",3,"High",4,"Very High","Unknown")</f>
        <v>Medium</v>
      </c>
      <c r="AL1030" t="str" cm="1">
        <f t="array" ref="AL1030">_xlfn.SWITCH(CleanEmployeeData[[#This Row],[JobInvolvement]],1,"Low",2,"Medium",3,"High",4,"Very High","Unknown")</f>
        <v>Very High</v>
      </c>
      <c r="AM1030" t="str" cm="1">
        <f t="array" ref="AM1030">_xlfn.SWITCH(CleanEmployeeData[[#This Row],[JobSatisfaction]],1,"Low",2,"Medium",3,"High",4,"Very High","Unknown")</f>
        <v>High</v>
      </c>
      <c r="AN1030" t="str" cm="1">
        <f t="array" ref="AN1030">_xlfn.SWITCH(CleanEmployeeData[[#This Row],[PerformanceRating]],1,"Low",2,"Good",3,"Excellent",4,"Outstanding","Unknown")</f>
        <v>Excellent</v>
      </c>
      <c r="AO1030" t="str" cm="1">
        <f t="array" ref="AO1030">_xlfn.SWITCH(CleanEmployeeData[[#This Row],[WorkLifeBalance]],1,"Bad",2,"Good",3,"Better",4,"Best","Unknown")</f>
        <v>Good</v>
      </c>
      <c r="AP1030">
        <f>IF(CleanEmployeeData[[#This Row],[Attrition]]="Yes",1,IF(CleanEmployeeData[[#This Row],[Attrition]]="No",0,""))</f>
        <v>0</v>
      </c>
      <c r="AQ1030" t="str" cm="1">
        <f t="array" ref="AQ1030">_xlfn.IFS(CleanEmployeeData[[#This Row],[MonthlyIncome]]&lt;=3000,"0–3,000",CleanEmployeeData[[#This Row],[MonthlyIncome]]&lt;=6000,"3,001–6,000",CleanEmployeeData[[#This Row],[MonthlyIncome]]&lt;=10000,"6,001–10,000",TRUE,"10,001+")</f>
        <v>0–3,000</v>
      </c>
      <c r="AR1030" t="str" cm="1">
        <f t="array" ref="AR1030">_xlfn.IFS(CleanEmployeeData[[#This Row],[DistanceFromHome]]&lt;=5,"0–5 miles",CleanEmployeeData[[#This Row],[DistanceFromHome]]&lt;=10,"6–10 miles",CleanEmployeeData[[#This Row],[DistanceFromHome]]&lt;=15,"11–15 miles",TRUE,"16+ miles")</f>
        <v>0–5 miles</v>
      </c>
      <c r="AS1030" t="str" cm="1">
        <f t="array" ref="AS1030">_xlfn.IFS(CleanEmployeeData[[#This Row],[YearsAtCompany]]&lt;=1,"0–1 years",CleanEmployeeData[[#This Row],[YearsAtCompany]]&lt;=5,"2–5 years",CleanEmployeeData[[#This Row],[YearsAtCompany]]&lt;=10,"6–10 years",TRUE,"11+ years")</f>
        <v>2–5 years</v>
      </c>
    </row>
    <row r="1031" spans="1:4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cm="1">
        <f t="array" ref="AJ1031">_xlfn.SWITCH(CleanEmployeeData[[#This Row],[Education]],1,"Below College",2,"College",3,"Bachelor",4,"Master",5,"Doctor","Unknown")</f>
        <v>Master</v>
      </c>
      <c r="AK1031" t="str" cm="1">
        <f t="array" ref="AK1031">_xlfn.SWITCH(CleanEmployeeData[[#This Row],[EnvironmentSatisfaction]],1,"Low",2,"Medium",3,"High",4,"Very High","Unknown")</f>
        <v>High</v>
      </c>
      <c r="AL1031" t="str" cm="1">
        <f t="array" ref="AL1031">_xlfn.SWITCH(CleanEmployeeData[[#This Row],[JobInvolvement]],1,"Low",2,"Medium",3,"High",4,"Very High","Unknown")</f>
        <v>High</v>
      </c>
      <c r="AM1031" t="str" cm="1">
        <f t="array" ref="AM1031">_xlfn.SWITCH(CleanEmployeeData[[#This Row],[JobSatisfaction]],1,"Low",2,"Medium",3,"High",4,"Very High","Unknown")</f>
        <v>High</v>
      </c>
      <c r="AN1031" t="str" cm="1">
        <f t="array" ref="AN1031">_xlfn.SWITCH(CleanEmployeeData[[#This Row],[PerformanceRating]],1,"Low",2,"Good",3,"Excellent",4,"Outstanding","Unknown")</f>
        <v>Excellent</v>
      </c>
      <c r="AO1031" t="str" cm="1">
        <f t="array" ref="AO1031">_xlfn.SWITCH(CleanEmployeeData[[#This Row],[WorkLifeBalance]],1,"Bad",2,"Good",3,"Better",4,"Best","Unknown")</f>
        <v>Best</v>
      </c>
      <c r="AP1031">
        <f>IF(CleanEmployeeData[[#This Row],[Attrition]]="Yes",1,IF(CleanEmployeeData[[#This Row],[Attrition]]="No",0,""))</f>
        <v>0</v>
      </c>
      <c r="AQ1031" t="str" cm="1">
        <f t="array" ref="AQ1031">_xlfn.IFS(CleanEmployeeData[[#This Row],[MonthlyIncome]]&lt;=3000,"0–3,000",CleanEmployeeData[[#This Row],[MonthlyIncome]]&lt;=6000,"3,001–6,000",CleanEmployeeData[[#This Row],[MonthlyIncome]]&lt;=10000,"6,001–10,000",TRUE,"10,001+")</f>
        <v>3,001–6,000</v>
      </c>
      <c r="AR1031" t="str" cm="1">
        <f t="array" ref="AR1031">_xlfn.IFS(CleanEmployeeData[[#This Row],[DistanceFromHome]]&lt;=5,"0–5 miles",CleanEmployeeData[[#This Row],[DistanceFromHome]]&lt;=10,"6–10 miles",CleanEmployeeData[[#This Row],[DistanceFromHome]]&lt;=15,"11–15 miles",TRUE,"16+ miles")</f>
        <v>6–10 miles</v>
      </c>
      <c r="AS1031" t="str" cm="1">
        <f t="array" ref="AS1031">_xlfn.IFS(CleanEmployeeData[[#This Row],[YearsAtCompany]]&lt;=1,"0–1 years",CleanEmployeeData[[#This Row],[YearsAtCompany]]&lt;=5,"2–5 years",CleanEmployeeData[[#This Row],[YearsAtCompany]]&lt;=10,"6–10 years",TRUE,"11+ years")</f>
        <v>6–10 years</v>
      </c>
    </row>
    <row r="1032" spans="1:4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cm="1">
        <f t="array" ref="AJ1032">_xlfn.SWITCH(CleanEmployeeData[[#This Row],[Education]],1,"Below College",2,"College",3,"Bachelor",4,"Master",5,"Doctor","Unknown")</f>
        <v>College</v>
      </c>
      <c r="AK1032" t="str" cm="1">
        <f t="array" ref="AK1032">_xlfn.SWITCH(CleanEmployeeData[[#This Row],[EnvironmentSatisfaction]],1,"Low",2,"Medium",3,"High",4,"Very High","Unknown")</f>
        <v>Low</v>
      </c>
      <c r="AL1032" t="str" cm="1">
        <f t="array" ref="AL1032">_xlfn.SWITCH(CleanEmployeeData[[#This Row],[JobInvolvement]],1,"Low",2,"Medium",3,"High",4,"Very High","Unknown")</f>
        <v>High</v>
      </c>
      <c r="AM1032" t="str" cm="1">
        <f t="array" ref="AM1032">_xlfn.SWITCH(CleanEmployeeData[[#This Row],[JobSatisfaction]],1,"Low",2,"Medium",3,"High",4,"Very High","Unknown")</f>
        <v>Very High</v>
      </c>
      <c r="AN1032" t="str" cm="1">
        <f t="array" ref="AN1032">_xlfn.SWITCH(CleanEmployeeData[[#This Row],[PerformanceRating]],1,"Low",2,"Good",3,"Excellent",4,"Outstanding","Unknown")</f>
        <v>Excellent</v>
      </c>
      <c r="AO1032" t="str" cm="1">
        <f t="array" ref="AO1032">_xlfn.SWITCH(CleanEmployeeData[[#This Row],[WorkLifeBalance]],1,"Bad",2,"Good",3,"Better",4,"Best","Unknown")</f>
        <v>Better</v>
      </c>
      <c r="AP1032">
        <f>IF(CleanEmployeeData[[#This Row],[Attrition]]="Yes",1,IF(CleanEmployeeData[[#This Row],[Attrition]]="No",0,""))</f>
        <v>0</v>
      </c>
      <c r="AQ1032" t="str" cm="1">
        <f t="array" ref="AQ1032">_xlfn.IFS(CleanEmployeeData[[#This Row],[MonthlyIncome]]&lt;=3000,"0–3,000",CleanEmployeeData[[#This Row],[MonthlyIncome]]&lt;=6000,"3,001–6,000",CleanEmployeeData[[#This Row],[MonthlyIncome]]&lt;=10000,"6,001–10,000",TRUE,"10,001+")</f>
        <v>10,001+</v>
      </c>
      <c r="AR1032" t="str" cm="1">
        <f t="array" ref="AR1032">_xlfn.IFS(CleanEmployeeData[[#This Row],[DistanceFromHome]]&lt;=5,"0–5 miles",CleanEmployeeData[[#This Row],[DistanceFromHome]]&lt;=10,"6–10 miles",CleanEmployeeData[[#This Row],[DistanceFromHome]]&lt;=15,"11–15 miles",TRUE,"16+ miles")</f>
        <v>6–10 miles</v>
      </c>
      <c r="AS1032" t="str" cm="1">
        <f t="array" ref="AS1032">_xlfn.IFS(CleanEmployeeData[[#This Row],[YearsAtCompany]]&lt;=1,"0–1 years",CleanEmployeeData[[#This Row],[YearsAtCompany]]&lt;=5,"2–5 years",CleanEmployeeData[[#This Row],[YearsAtCompany]]&lt;=10,"6–10 years",TRUE,"11+ years")</f>
        <v>11+ years</v>
      </c>
    </row>
    <row r="1033" spans="1:4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cm="1">
        <f t="array" ref="AJ1033">_xlfn.SWITCH(CleanEmployeeData[[#This Row],[Education]],1,"Below College",2,"College",3,"Bachelor",4,"Master",5,"Doctor","Unknown")</f>
        <v>Bachelor</v>
      </c>
      <c r="AK1033" t="str" cm="1">
        <f t="array" ref="AK1033">_xlfn.SWITCH(CleanEmployeeData[[#This Row],[EnvironmentSatisfaction]],1,"Low",2,"Medium",3,"High",4,"Very High","Unknown")</f>
        <v>Low</v>
      </c>
      <c r="AL1033" t="str" cm="1">
        <f t="array" ref="AL1033">_xlfn.SWITCH(CleanEmployeeData[[#This Row],[JobInvolvement]],1,"Low",2,"Medium",3,"High",4,"Very High","Unknown")</f>
        <v>High</v>
      </c>
      <c r="AM1033" t="str" cm="1">
        <f t="array" ref="AM1033">_xlfn.SWITCH(CleanEmployeeData[[#This Row],[JobSatisfaction]],1,"Low",2,"Medium",3,"High",4,"Very High","Unknown")</f>
        <v>Very High</v>
      </c>
      <c r="AN1033" t="str" cm="1">
        <f t="array" ref="AN1033">_xlfn.SWITCH(CleanEmployeeData[[#This Row],[PerformanceRating]],1,"Low",2,"Good",3,"Excellent",4,"Outstanding","Unknown")</f>
        <v>Excellent</v>
      </c>
      <c r="AO1033" t="str" cm="1">
        <f t="array" ref="AO1033">_xlfn.SWITCH(CleanEmployeeData[[#This Row],[WorkLifeBalance]],1,"Bad",2,"Good",3,"Better",4,"Best","Unknown")</f>
        <v>Best</v>
      </c>
      <c r="AP1033">
        <f>IF(CleanEmployeeData[[#This Row],[Attrition]]="Yes",1,IF(CleanEmployeeData[[#This Row],[Attrition]]="No",0,""))</f>
        <v>1</v>
      </c>
      <c r="AQ1033" t="str" cm="1">
        <f t="array" ref="AQ1033">_xlfn.IFS(CleanEmployeeData[[#This Row],[MonthlyIncome]]&lt;=3000,"0–3,000",CleanEmployeeData[[#This Row],[MonthlyIncome]]&lt;=6000,"3,001–6,000",CleanEmployeeData[[#This Row],[MonthlyIncome]]&lt;=10000,"6,001–10,000",TRUE,"10,001+")</f>
        <v>10,001+</v>
      </c>
      <c r="AR1033" t="str" cm="1">
        <f t="array" ref="AR1033">_xlfn.IFS(CleanEmployeeData[[#This Row],[DistanceFromHome]]&lt;=5,"0–5 miles",CleanEmployeeData[[#This Row],[DistanceFromHome]]&lt;=10,"6–10 miles",CleanEmployeeData[[#This Row],[DistanceFromHome]]&lt;=15,"11–15 miles",TRUE,"16+ miles")</f>
        <v>6–10 miles</v>
      </c>
      <c r="AS1033" t="str" cm="1">
        <f t="array" ref="AS1033">_xlfn.IFS(CleanEmployeeData[[#This Row],[YearsAtCompany]]&lt;=1,"0–1 years",CleanEmployeeData[[#This Row],[YearsAtCompany]]&lt;=5,"2–5 years",CleanEmployeeData[[#This Row],[YearsAtCompany]]&lt;=10,"6–10 years",TRUE,"11+ years")</f>
        <v>6–10 years</v>
      </c>
    </row>
    <row r="1034" spans="1:4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cm="1">
        <f t="array" ref="AJ1034">_xlfn.SWITCH(CleanEmployeeData[[#This Row],[Education]],1,"Below College",2,"College",3,"Bachelor",4,"Master",5,"Doctor","Unknown")</f>
        <v>Bachelor</v>
      </c>
      <c r="AK1034" t="str" cm="1">
        <f t="array" ref="AK1034">_xlfn.SWITCH(CleanEmployeeData[[#This Row],[EnvironmentSatisfaction]],1,"Low",2,"Medium",3,"High",4,"Very High","Unknown")</f>
        <v>Low</v>
      </c>
      <c r="AL1034" t="str" cm="1">
        <f t="array" ref="AL1034">_xlfn.SWITCH(CleanEmployeeData[[#This Row],[JobInvolvement]],1,"Low",2,"Medium",3,"High",4,"Very High","Unknown")</f>
        <v>Medium</v>
      </c>
      <c r="AM1034" t="str" cm="1">
        <f t="array" ref="AM1034">_xlfn.SWITCH(CleanEmployeeData[[#This Row],[JobSatisfaction]],1,"Low",2,"Medium",3,"High",4,"Very High","Unknown")</f>
        <v>Low</v>
      </c>
      <c r="AN1034" t="str" cm="1">
        <f t="array" ref="AN1034">_xlfn.SWITCH(CleanEmployeeData[[#This Row],[PerformanceRating]],1,"Low",2,"Good",3,"Excellent",4,"Outstanding","Unknown")</f>
        <v>Outstanding</v>
      </c>
      <c r="AO1034" t="str" cm="1">
        <f t="array" ref="AO1034">_xlfn.SWITCH(CleanEmployeeData[[#This Row],[WorkLifeBalance]],1,"Bad",2,"Good",3,"Better",4,"Best","Unknown")</f>
        <v>Best</v>
      </c>
      <c r="AP1034">
        <f>IF(CleanEmployeeData[[#This Row],[Attrition]]="Yes",1,IF(CleanEmployeeData[[#This Row],[Attrition]]="No",0,""))</f>
        <v>1</v>
      </c>
      <c r="AQ1034" t="str" cm="1">
        <f t="array" ref="AQ1034">_xlfn.IFS(CleanEmployeeData[[#This Row],[MonthlyIncome]]&lt;=3000,"0–3,000",CleanEmployeeData[[#This Row],[MonthlyIncome]]&lt;=6000,"3,001–6,000",CleanEmployeeData[[#This Row],[MonthlyIncome]]&lt;=10000,"6,001–10,000",TRUE,"10,001+")</f>
        <v>3,001–6,000</v>
      </c>
      <c r="AR1034" t="str" cm="1">
        <f t="array" ref="AR1034">_xlfn.IFS(CleanEmployeeData[[#This Row],[DistanceFromHome]]&lt;=5,"0–5 miles",CleanEmployeeData[[#This Row],[DistanceFromHome]]&lt;=10,"6–10 miles",CleanEmployeeData[[#This Row],[DistanceFromHome]]&lt;=15,"11–15 miles",TRUE,"16+ miles")</f>
        <v>0–5 miles</v>
      </c>
      <c r="AS1034" t="str" cm="1">
        <f t="array" ref="AS1034">_xlfn.IFS(CleanEmployeeData[[#This Row],[YearsAtCompany]]&lt;=1,"0–1 years",CleanEmployeeData[[#This Row],[YearsAtCompany]]&lt;=5,"2–5 years",CleanEmployeeData[[#This Row],[YearsAtCompany]]&lt;=10,"6–10 years",TRUE,"11+ years")</f>
        <v>0–1 years</v>
      </c>
    </row>
    <row r="1035" spans="1:4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cm="1">
        <f t="array" ref="AJ1035">_xlfn.SWITCH(CleanEmployeeData[[#This Row],[Education]],1,"Below College",2,"College",3,"Bachelor",4,"Master",5,"Doctor","Unknown")</f>
        <v>Doctor</v>
      </c>
      <c r="AK1035" t="str" cm="1">
        <f t="array" ref="AK1035">_xlfn.SWITCH(CleanEmployeeData[[#This Row],[EnvironmentSatisfaction]],1,"Low",2,"Medium",3,"High",4,"Very High","Unknown")</f>
        <v>High</v>
      </c>
      <c r="AL1035" t="str" cm="1">
        <f t="array" ref="AL1035">_xlfn.SWITCH(CleanEmployeeData[[#This Row],[JobInvolvement]],1,"Low",2,"Medium",3,"High",4,"Very High","Unknown")</f>
        <v>Very High</v>
      </c>
      <c r="AM1035" t="str" cm="1">
        <f t="array" ref="AM1035">_xlfn.SWITCH(CleanEmployeeData[[#This Row],[JobSatisfaction]],1,"Low",2,"Medium",3,"High",4,"Very High","Unknown")</f>
        <v>Medium</v>
      </c>
      <c r="AN1035" t="str" cm="1">
        <f t="array" ref="AN1035">_xlfn.SWITCH(CleanEmployeeData[[#This Row],[PerformanceRating]],1,"Low",2,"Good",3,"Excellent",4,"Outstanding","Unknown")</f>
        <v>Excellent</v>
      </c>
      <c r="AO1035" t="str" cm="1">
        <f t="array" ref="AO1035">_xlfn.SWITCH(CleanEmployeeData[[#This Row],[WorkLifeBalance]],1,"Bad",2,"Good",3,"Better",4,"Best","Unknown")</f>
        <v>Better</v>
      </c>
      <c r="AP1035">
        <f>IF(CleanEmployeeData[[#This Row],[Attrition]]="Yes",1,IF(CleanEmployeeData[[#This Row],[Attrition]]="No",0,""))</f>
        <v>1</v>
      </c>
      <c r="AQ1035" t="str" cm="1">
        <f t="array" ref="AQ1035">_xlfn.IFS(CleanEmployeeData[[#This Row],[MonthlyIncome]]&lt;=3000,"0–3,000",CleanEmployeeData[[#This Row],[MonthlyIncome]]&lt;=6000,"3,001–6,000",CleanEmployeeData[[#This Row],[MonthlyIncome]]&lt;=10000,"6,001–10,000",TRUE,"10,001+")</f>
        <v>6,001–10,000</v>
      </c>
      <c r="AR1035" t="str" cm="1">
        <f t="array" ref="AR1035">_xlfn.IFS(CleanEmployeeData[[#This Row],[DistanceFromHome]]&lt;=5,"0–5 miles",CleanEmployeeData[[#This Row],[DistanceFromHome]]&lt;=10,"6–10 miles",CleanEmployeeData[[#This Row],[DistanceFromHome]]&lt;=15,"11–15 miles",TRUE,"16+ miles")</f>
        <v>0–5 miles</v>
      </c>
      <c r="AS1035" t="str" cm="1">
        <f t="array" ref="AS1035">_xlfn.IFS(CleanEmployeeData[[#This Row],[YearsAtCompany]]&lt;=1,"0–1 years",CleanEmployeeData[[#This Row],[YearsAtCompany]]&lt;=5,"2–5 years",CleanEmployeeData[[#This Row],[YearsAtCompany]]&lt;=10,"6–10 years",TRUE,"11+ years")</f>
        <v>6–10 years</v>
      </c>
    </row>
    <row r="1036" spans="1:4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cm="1">
        <f t="array" ref="AJ1036">_xlfn.SWITCH(CleanEmployeeData[[#This Row],[Education]],1,"Below College",2,"College",3,"Bachelor",4,"Master",5,"Doctor","Unknown")</f>
        <v>Bachelor</v>
      </c>
      <c r="AK1036" t="str" cm="1">
        <f t="array" ref="AK1036">_xlfn.SWITCH(CleanEmployeeData[[#This Row],[EnvironmentSatisfaction]],1,"Low",2,"Medium",3,"High",4,"Very High","Unknown")</f>
        <v>Medium</v>
      </c>
      <c r="AL1036" t="str" cm="1">
        <f t="array" ref="AL1036">_xlfn.SWITCH(CleanEmployeeData[[#This Row],[JobInvolvement]],1,"Low",2,"Medium",3,"High",4,"Very High","Unknown")</f>
        <v>Low</v>
      </c>
      <c r="AM1036" t="str" cm="1">
        <f t="array" ref="AM1036">_xlfn.SWITCH(CleanEmployeeData[[#This Row],[JobSatisfaction]],1,"Low",2,"Medium",3,"High",4,"Very High","Unknown")</f>
        <v>Low</v>
      </c>
      <c r="AN1036" t="str" cm="1">
        <f t="array" ref="AN1036">_xlfn.SWITCH(CleanEmployeeData[[#This Row],[PerformanceRating]],1,"Low",2,"Good",3,"Excellent",4,"Outstanding","Unknown")</f>
        <v>Excellent</v>
      </c>
      <c r="AO1036" t="str" cm="1">
        <f t="array" ref="AO1036">_xlfn.SWITCH(CleanEmployeeData[[#This Row],[WorkLifeBalance]],1,"Bad",2,"Good",3,"Better",4,"Best","Unknown")</f>
        <v>Better</v>
      </c>
      <c r="AP1036">
        <f>IF(CleanEmployeeData[[#This Row],[Attrition]]="Yes",1,IF(CleanEmployeeData[[#This Row],[Attrition]]="No",0,""))</f>
        <v>0</v>
      </c>
      <c r="AQ1036" t="str" cm="1">
        <f t="array" ref="AQ1036">_xlfn.IFS(CleanEmployeeData[[#This Row],[MonthlyIncome]]&lt;=3000,"0–3,000",CleanEmployeeData[[#This Row],[MonthlyIncome]]&lt;=6000,"3,001–6,000",CleanEmployeeData[[#This Row],[MonthlyIncome]]&lt;=10000,"6,001–10,000",TRUE,"10,001+")</f>
        <v>10,001+</v>
      </c>
      <c r="AR1036" t="str" cm="1">
        <f t="array" ref="AR1036">_xlfn.IFS(CleanEmployeeData[[#This Row],[DistanceFromHome]]&lt;=5,"0–5 miles",CleanEmployeeData[[#This Row],[DistanceFromHome]]&lt;=10,"6–10 miles",CleanEmployeeData[[#This Row],[DistanceFromHome]]&lt;=15,"11–15 miles",TRUE,"16+ miles")</f>
        <v>16+ miles</v>
      </c>
      <c r="AS1036" t="str" cm="1">
        <f t="array" ref="AS1036">_xlfn.IFS(CleanEmployeeData[[#This Row],[YearsAtCompany]]&lt;=1,"0–1 years",CleanEmployeeData[[#This Row],[YearsAtCompany]]&lt;=5,"2–5 years",CleanEmployeeData[[#This Row],[YearsAtCompany]]&lt;=10,"6–10 years",TRUE,"11+ years")</f>
        <v>6–10 years</v>
      </c>
    </row>
    <row r="1037" spans="1:4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cm="1">
        <f t="array" ref="AJ1037">_xlfn.SWITCH(CleanEmployeeData[[#This Row],[Education]],1,"Below College",2,"College",3,"Bachelor",4,"Master",5,"Doctor","Unknown")</f>
        <v>College</v>
      </c>
      <c r="AK1037" t="str" cm="1">
        <f t="array" ref="AK1037">_xlfn.SWITCH(CleanEmployeeData[[#This Row],[EnvironmentSatisfaction]],1,"Low",2,"Medium",3,"High",4,"Very High","Unknown")</f>
        <v>Very High</v>
      </c>
      <c r="AL1037" t="str" cm="1">
        <f t="array" ref="AL1037">_xlfn.SWITCH(CleanEmployeeData[[#This Row],[JobInvolvement]],1,"Low",2,"Medium",3,"High",4,"Very High","Unknown")</f>
        <v>Very High</v>
      </c>
      <c r="AM1037" t="str" cm="1">
        <f t="array" ref="AM1037">_xlfn.SWITCH(CleanEmployeeData[[#This Row],[JobSatisfaction]],1,"Low",2,"Medium",3,"High",4,"Very High","Unknown")</f>
        <v>Medium</v>
      </c>
      <c r="AN1037" t="str" cm="1">
        <f t="array" ref="AN1037">_xlfn.SWITCH(CleanEmployeeData[[#This Row],[PerformanceRating]],1,"Low",2,"Good",3,"Excellent",4,"Outstanding","Unknown")</f>
        <v>Excellent</v>
      </c>
      <c r="AO1037" t="str" cm="1">
        <f t="array" ref="AO1037">_xlfn.SWITCH(CleanEmployeeData[[#This Row],[WorkLifeBalance]],1,"Bad",2,"Good",3,"Better",4,"Best","Unknown")</f>
        <v>Better</v>
      </c>
      <c r="AP1037">
        <f>IF(CleanEmployeeData[[#This Row],[Attrition]]="Yes",1,IF(CleanEmployeeData[[#This Row],[Attrition]]="No",0,""))</f>
        <v>0</v>
      </c>
      <c r="AQ1037" t="str" cm="1">
        <f t="array" ref="AQ1037">_xlfn.IFS(CleanEmployeeData[[#This Row],[MonthlyIncome]]&lt;=3000,"0–3,000",CleanEmployeeData[[#This Row],[MonthlyIncome]]&lt;=6000,"3,001–6,000",CleanEmployeeData[[#This Row],[MonthlyIncome]]&lt;=10000,"6,001–10,000",TRUE,"10,001+")</f>
        <v>0–3,000</v>
      </c>
      <c r="AR1037" t="str" cm="1">
        <f t="array" ref="AR1037">_xlfn.IFS(CleanEmployeeData[[#This Row],[DistanceFromHome]]&lt;=5,"0–5 miles",CleanEmployeeData[[#This Row],[DistanceFromHome]]&lt;=10,"6–10 miles",CleanEmployeeData[[#This Row],[DistanceFromHome]]&lt;=15,"11–15 miles",TRUE,"16+ miles")</f>
        <v>6–10 miles</v>
      </c>
      <c r="AS1037" t="str" cm="1">
        <f t="array" ref="AS1037">_xlfn.IFS(CleanEmployeeData[[#This Row],[YearsAtCompany]]&lt;=1,"0–1 years",CleanEmployeeData[[#This Row],[YearsAtCompany]]&lt;=5,"2–5 years",CleanEmployeeData[[#This Row],[YearsAtCompany]]&lt;=10,"6–10 years",TRUE,"11+ years")</f>
        <v>2–5 years</v>
      </c>
    </row>
    <row r="1038" spans="1:4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cm="1">
        <f t="array" ref="AJ1038">_xlfn.SWITCH(CleanEmployeeData[[#This Row],[Education]],1,"Below College",2,"College",3,"Bachelor",4,"Master",5,"Doctor","Unknown")</f>
        <v>Bachelor</v>
      </c>
      <c r="AK1038" t="str" cm="1">
        <f t="array" ref="AK1038">_xlfn.SWITCH(CleanEmployeeData[[#This Row],[EnvironmentSatisfaction]],1,"Low",2,"Medium",3,"High",4,"Very High","Unknown")</f>
        <v>Medium</v>
      </c>
      <c r="AL1038" t="str" cm="1">
        <f t="array" ref="AL1038">_xlfn.SWITCH(CleanEmployeeData[[#This Row],[JobInvolvement]],1,"Low",2,"Medium",3,"High",4,"Very High","Unknown")</f>
        <v>High</v>
      </c>
      <c r="AM1038" t="str" cm="1">
        <f t="array" ref="AM1038">_xlfn.SWITCH(CleanEmployeeData[[#This Row],[JobSatisfaction]],1,"Low",2,"Medium",3,"High",4,"Very High","Unknown")</f>
        <v>Very High</v>
      </c>
      <c r="AN1038" t="str" cm="1">
        <f t="array" ref="AN1038">_xlfn.SWITCH(CleanEmployeeData[[#This Row],[PerformanceRating]],1,"Low",2,"Good",3,"Excellent",4,"Outstanding","Unknown")</f>
        <v>Excellent</v>
      </c>
      <c r="AO1038" t="str" cm="1">
        <f t="array" ref="AO1038">_xlfn.SWITCH(CleanEmployeeData[[#This Row],[WorkLifeBalance]],1,"Bad",2,"Good",3,"Better",4,"Best","Unknown")</f>
        <v>Bad</v>
      </c>
      <c r="AP1038">
        <f>IF(CleanEmployeeData[[#This Row],[Attrition]]="Yes",1,IF(CleanEmployeeData[[#This Row],[Attrition]]="No",0,""))</f>
        <v>1</v>
      </c>
      <c r="AQ1038" t="str" cm="1">
        <f t="array" ref="AQ1038">_xlfn.IFS(CleanEmployeeData[[#This Row],[MonthlyIncome]]&lt;=3000,"0–3,000",CleanEmployeeData[[#This Row],[MonthlyIncome]]&lt;=6000,"3,001–6,000",CleanEmployeeData[[#This Row],[MonthlyIncome]]&lt;=10000,"6,001–10,000",TRUE,"10,001+")</f>
        <v>3,001–6,000</v>
      </c>
      <c r="AR1038" t="str" cm="1">
        <f t="array" ref="AR1038">_xlfn.IFS(CleanEmployeeData[[#This Row],[DistanceFromHome]]&lt;=5,"0–5 miles",CleanEmployeeData[[#This Row],[DistanceFromHome]]&lt;=10,"6–10 miles",CleanEmployeeData[[#This Row],[DistanceFromHome]]&lt;=15,"11–15 miles",TRUE,"16+ miles")</f>
        <v>0–5 miles</v>
      </c>
      <c r="AS1038" t="str" cm="1">
        <f t="array" ref="AS1038">_xlfn.IFS(CleanEmployeeData[[#This Row],[YearsAtCompany]]&lt;=1,"0–1 years",CleanEmployeeData[[#This Row],[YearsAtCompany]]&lt;=5,"2–5 years",CleanEmployeeData[[#This Row],[YearsAtCompany]]&lt;=10,"6–10 years",TRUE,"11+ years")</f>
        <v>2–5 years</v>
      </c>
    </row>
    <row r="1039" spans="1:4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cm="1">
        <f t="array" ref="AJ1039">_xlfn.SWITCH(CleanEmployeeData[[#This Row],[Education]],1,"Below College",2,"College",3,"Bachelor",4,"Master",5,"Doctor","Unknown")</f>
        <v>Bachelor</v>
      </c>
      <c r="AK1039" t="str" cm="1">
        <f t="array" ref="AK1039">_xlfn.SWITCH(CleanEmployeeData[[#This Row],[EnvironmentSatisfaction]],1,"Low",2,"Medium",3,"High",4,"Very High","Unknown")</f>
        <v>Medium</v>
      </c>
      <c r="AL1039" t="str" cm="1">
        <f t="array" ref="AL1039">_xlfn.SWITCH(CleanEmployeeData[[#This Row],[JobInvolvement]],1,"Low",2,"Medium",3,"High",4,"Very High","Unknown")</f>
        <v>High</v>
      </c>
      <c r="AM1039" t="str" cm="1">
        <f t="array" ref="AM1039">_xlfn.SWITCH(CleanEmployeeData[[#This Row],[JobSatisfaction]],1,"Low",2,"Medium",3,"High",4,"Very High","Unknown")</f>
        <v>Very High</v>
      </c>
      <c r="AN1039" t="str" cm="1">
        <f t="array" ref="AN1039">_xlfn.SWITCH(CleanEmployeeData[[#This Row],[PerformanceRating]],1,"Low",2,"Good",3,"Excellent",4,"Outstanding","Unknown")</f>
        <v>Excellent</v>
      </c>
      <c r="AO1039" t="str" cm="1">
        <f t="array" ref="AO1039">_xlfn.SWITCH(CleanEmployeeData[[#This Row],[WorkLifeBalance]],1,"Bad",2,"Good",3,"Better",4,"Best","Unknown")</f>
        <v>Best</v>
      </c>
      <c r="AP1039">
        <f>IF(CleanEmployeeData[[#This Row],[Attrition]]="Yes",1,IF(CleanEmployeeData[[#This Row],[Attrition]]="No",0,""))</f>
        <v>0</v>
      </c>
      <c r="AQ1039" t="str" cm="1">
        <f t="array" ref="AQ1039">_xlfn.IFS(CleanEmployeeData[[#This Row],[MonthlyIncome]]&lt;=3000,"0–3,000",CleanEmployeeData[[#This Row],[MonthlyIncome]]&lt;=6000,"3,001–6,000",CleanEmployeeData[[#This Row],[MonthlyIncome]]&lt;=10000,"6,001–10,000",TRUE,"10,001+")</f>
        <v>6,001–10,000</v>
      </c>
      <c r="AR1039" t="str" cm="1">
        <f t="array" ref="AR1039">_xlfn.IFS(CleanEmployeeData[[#This Row],[DistanceFromHome]]&lt;=5,"0–5 miles",CleanEmployeeData[[#This Row],[DistanceFromHome]]&lt;=10,"6–10 miles",CleanEmployeeData[[#This Row],[DistanceFromHome]]&lt;=15,"11–15 miles",TRUE,"16+ miles")</f>
        <v>16+ miles</v>
      </c>
      <c r="AS1039" t="str" cm="1">
        <f t="array" ref="AS1039">_xlfn.IFS(CleanEmployeeData[[#This Row],[YearsAtCompany]]&lt;=1,"0–1 years",CleanEmployeeData[[#This Row],[YearsAtCompany]]&lt;=5,"2–5 years",CleanEmployeeData[[#This Row],[YearsAtCompany]]&lt;=10,"6–10 years",TRUE,"11+ years")</f>
        <v>2–5 years</v>
      </c>
    </row>
    <row r="1040" spans="1:4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cm="1">
        <f t="array" ref="AJ1040">_xlfn.SWITCH(CleanEmployeeData[[#This Row],[Education]],1,"Below College",2,"College",3,"Bachelor",4,"Master",5,"Doctor","Unknown")</f>
        <v>Bachelor</v>
      </c>
      <c r="AK1040" t="str" cm="1">
        <f t="array" ref="AK1040">_xlfn.SWITCH(CleanEmployeeData[[#This Row],[EnvironmentSatisfaction]],1,"Low",2,"Medium",3,"High",4,"Very High","Unknown")</f>
        <v>High</v>
      </c>
      <c r="AL1040" t="str" cm="1">
        <f t="array" ref="AL1040">_xlfn.SWITCH(CleanEmployeeData[[#This Row],[JobInvolvement]],1,"Low",2,"Medium",3,"High",4,"Very High","Unknown")</f>
        <v>High</v>
      </c>
      <c r="AM1040" t="str" cm="1">
        <f t="array" ref="AM1040">_xlfn.SWITCH(CleanEmployeeData[[#This Row],[JobSatisfaction]],1,"Low",2,"Medium",3,"High",4,"Very High","Unknown")</f>
        <v>Low</v>
      </c>
      <c r="AN1040" t="str" cm="1">
        <f t="array" ref="AN1040">_xlfn.SWITCH(CleanEmployeeData[[#This Row],[PerformanceRating]],1,"Low",2,"Good",3,"Excellent",4,"Outstanding","Unknown")</f>
        <v>Excellent</v>
      </c>
      <c r="AO1040" t="str" cm="1">
        <f t="array" ref="AO1040">_xlfn.SWITCH(CleanEmployeeData[[#This Row],[WorkLifeBalance]],1,"Bad",2,"Good",3,"Better",4,"Best","Unknown")</f>
        <v>Better</v>
      </c>
      <c r="AP1040">
        <f>IF(CleanEmployeeData[[#This Row],[Attrition]]="Yes",1,IF(CleanEmployeeData[[#This Row],[Attrition]]="No",0,""))</f>
        <v>0</v>
      </c>
      <c r="AQ1040" t="str" cm="1">
        <f t="array" ref="AQ1040">_xlfn.IFS(CleanEmployeeData[[#This Row],[MonthlyIncome]]&lt;=3000,"0–3,000",CleanEmployeeData[[#This Row],[MonthlyIncome]]&lt;=6000,"3,001–6,000",CleanEmployeeData[[#This Row],[MonthlyIncome]]&lt;=10000,"6,001–10,000",TRUE,"10,001+")</f>
        <v>3,001–6,000</v>
      </c>
      <c r="AR1040" t="str" cm="1">
        <f t="array" ref="AR1040">_xlfn.IFS(CleanEmployeeData[[#This Row],[DistanceFromHome]]&lt;=5,"0–5 miles",CleanEmployeeData[[#This Row],[DistanceFromHome]]&lt;=10,"6–10 miles",CleanEmployeeData[[#This Row],[DistanceFromHome]]&lt;=15,"11–15 miles",TRUE,"16+ miles")</f>
        <v>6–10 miles</v>
      </c>
      <c r="AS1040" t="str" cm="1">
        <f t="array" ref="AS1040">_xlfn.IFS(CleanEmployeeData[[#This Row],[YearsAtCompany]]&lt;=1,"0–1 years",CleanEmployeeData[[#This Row],[YearsAtCompany]]&lt;=5,"2–5 years",CleanEmployeeData[[#This Row],[YearsAtCompany]]&lt;=10,"6–10 years",TRUE,"11+ years")</f>
        <v>2–5 years</v>
      </c>
    </row>
    <row r="1041" spans="1:4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cm="1">
        <f t="array" ref="AJ1041">_xlfn.SWITCH(CleanEmployeeData[[#This Row],[Education]],1,"Below College",2,"College",3,"Bachelor",4,"Master",5,"Doctor","Unknown")</f>
        <v>Master</v>
      </c>
      <c r="AK1041" t="str" cm="1">
        <f t="array" ref="AK1041">_xlfn.SWITCH(CleanEmployeeData[[#This Row],[EnvironmentSatisfaction]],1,"Low",2,"Medium",3,"High",4,"Very High","Unknown")</f>
        <v>Low</v>
      </c>
      <c r="AL1041" t="str" cm="1">
        <f t="array" ref="AL1041">_xlfn.SWITCH(CleanEmployeeData[[#This Row],[JobInvolvement]],1,"Low",2,"Medium",3,"High",4,"Very High","Unknown")</f>
        <v>High</v>
      </c>
      <c r="AM1041" t="str" cm="1">
        <f t="array" ref="AM1041">_xlfn.SWITCH(CleanEmployeeData[[#This Row],[JobSatisfaction]],1,"Low",2,"Medium",3,"High",4,"Very High","Unknown")</f>
        <v>High</v>
      </c>
      <c r="AN1041" t="str" cm="1">
        <f t="array" ref="AN1041">_xlfn.SWITCH(CleanEmployeeData[[#This Row],[PerformanceRating]],1,"Low",2,"Good",3,"Excellent",4,"Outstanding","Unknown")</f>
        <v>Excellent</v>
      </c>
      <c r="AO1041" t="str" cm="1">
        <f t="array" ref="AO1041">_xlfn.SWITCH(CleanEmployeeData[[#This Row],[WorkLifeBalance]],1,"Bad",2,"Good",3,"Better",4,"Best","Unknown")</f>
        <v>Better</v>
      </c>
      <c r="AP1041">
        <f>IF(CleanEmployeeData[[#This Row],[Attrition]]="Yes",1,IF(CleanEmployeeData[[#This Row],[Attrition]]="No",0,""))</f>
        <v>1</v>
      </c>
      <c r="AQ1041" t="str" cm="1">
        <f t="array" ref="AQ1041">_xlfn.IFS(CleanEmployeeData[[#This Row],[MonthlyIncome]]&lt;=3000,"0–3,000",CleanEmployeeData[[#This Row],[MonthlyIncome]]&lt;=6000,"3,001–6,000",CleanEmployeeData[[#This Row],[MonthlyIncome]]&lt;=10000,"6,001–10,000",TRUE,"10,001+")</f>
        <v>0–3,000</v>
      </c>
      <c r="AR1041" t="str" cm="1">
        <f t="array" ref="AR1041">_xlfn.IFS(CleanEmployeeData[[#This Row],[DistanceFromHome]]&lt;=5,"0–5 miles",CleanEmployeeData[[#This Row],[DistanceFromHome]]&lt;=10,"6–10 miles",CleanEmployeeData[[#This Row],[DistanceFromHome]]&lt;=15,"11–15 miles",TRUE,"16+ miles")</f>
        <v>6–10 miles</v>
      </c>
      <c r="AS1041" t="str" cm="1">
        <f t="array" ref="AS1041">_xlfn.IFS(CleanEmployeeData[[#This Row],[YearsAtCompany]]&lt;=1,"0–1 years",CleanEmployeeData[[#This Row],[YearsAtCompany]]&lt;=5,"2–5 years",CleanEmployeeData[[#This Row],[YearsAtCompany]]&lt;=10,"6–10 years",TRUE,"11+ years")</f>
        <v>2–5 years</v>
      </c>
    </row>
    <row r="1042" spans="1:4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cm="1">
        <f t="array" ref="AJ1042">_xlfn.SWITCH(CleanEmployeeData[[#This Row],[Education]],1,"Below College",2,"College",3,"Bachelor",4,"Master",5,"Doctor","Unknown")</f>
        <v>Below College</v>
      </c>
      <c r="AK1042" t="str" cm="1">
        <f t="array" ref="AK1042">_xlfn.SWITCH(CleanEmployeeData[[#This Row],[EnvironmentSatisfaction]],1,"Low",2,"Medium",3,"High",4,"Very High","Unknown")</f>
        <v>Very High</v>
      </c>
      <c r="AL1042" t="str" cm="1">
        <f t="array" ref="AL1042">_xlfn.SWITCH(CleanEmployeeData[[#This Row],[JobInvolvement]],1,"Low",2,"Medium",3,"High",4,"Very High","Unknown")</f>
        <v>Medium</v>
      </c>
      <c r="AM1042" t="str" cm="1">
        <f t="array" ref="AM1042">_xlfn.SWITCH(CleanEmployeeData[[#This Row],[JobSatisfaction]],1,"Low",2,"Medium",3,"High",4,"Very High","Unknown")</f>
        <v>Medium</v>
      </c>
      <c r="AN1042" t="str" cm="1">
        <f t="array" ref="AN1042">_xlfn.SWITCH(CleanEmployeeData[[#This Row],[PerformanceRating]],1,"Low",2,"Good",3,"Excellent",4,"Outstanding","Unknown")</f>
        <v>Excellent</v>
      </c>
      <c r="AO1042" t="str" cm="1">
        <f t="array" ref="AO1042">_xlfn.SWITCH(CleanEmployeeData[[#This Row],[WorkLifeBalance]],1,"Bad",2,"Good",3,"Better",4,"Best","Unknown")</f>
        <v>Better</v>
      </c>
      <c r="AP1042">
        <f>IF(CleanEmployeeData[[#This Row],[Attrition]]="Yes",1,IF(CleanEmployeeData[[#This Row],[Attrition]]="No",0,""))</f>
        <v>0</v>
      </c>
      <c r="AQ1042" t="str" cm="1">
        <f t="array" ref="AQ1042">_xlfn.IFS(CleanEmployeeData[[#This Row],[MonthlyIncome]]&lt;=3000,"0–3,000",CleanEmployeeData[[#This Row],[MonthlyIncome]]&lt;=6000,"3,001–6,000",CleanEmployeeData[[#This Row],[MonthlyIncome]]&lt;=10000,"6,001–10,000",TRUE,"10,001+")</f>
        <v>10,001+</v>
      </c>
      <c r="AR1042" t="str" cm="1">
        <f t="array" ref="AR1042">_xlfn.IFS(CleanEmployeeData[[#This Row],[DistanceFromHome]]&lt;=5,"0–5 miles",CleanEmployeeData[[#This Row],[DistanceFromHome]]&lt;=10,"6–10 miles",CleanEmployeeData[[#This Row],[DistanceFromHome]]&lt;=15,"11–15 miles",TRUE,"16+ miles")</f>
        <v>6–10 miles</v>
      </c>
      <c r="AS1042" t="str" cm="1">
        <f t="array" ref="AS1042">_xlfn.IFS(CleanEmployeeData[[#This Row],[YearsAtCompany]]&lt;=1,"0–1 years",CleanEmployeeData[[#This Row],[YearsAtCompany]]&lt;=5,"2–5 years",CleanEmployeeData[[#This Row],[YearsAtCompany]]&lt;=10,"6–10 years",TRUE,"11+ years")</f>
        <v>6–10 years</v>
      </c>
    </row>
    <row r="1043" spans="1:4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cm="1">
        <f t="array" ref="AJ1043">_xlfn.SWITCH(CleanEmployeeData[[#This Row],[Education]],1,"Below College",2,"College",3,"Bachelor",4,"Master",5,"Doctor","Unknown")</f>
        <v>Bachelor</v>
      </c>
      <c r="AK1043" t="str" cm="1">
        <f t="array" ref="AK1043">_xlfn.SWITCH(CleanEmployeeData[[#This Row],[EnvironmentSatisfaction]],1,"Low",2,"Medium",3,"High",4,"Very High","Unknown")</f>
        <v>Very High</v>
      </c>
      <c r="AL1043" t="str" cm="1">
        <f t="array" ref="AL1043">_xlfn.SWITCH(CleanEmployeeData[[#This Row],[JobInvolvement]],1,"Low",2,"Medium",3,"High",4,"Very High","Unknown")</f>
        <v>High</v>
      </c>
      <c r="AM1043" t="str" cm="1">
        <f t="array" ref="AM1043">_xlfn.SWITCH(CleanEmployeeData[[#This Row],[JobSatisfaction]],1,"Low",2,"Medium",3,"High",4,"Very High","Unknown")</f>
        <v>Low</v>
      </c>
      <c r="AN1043" t="str" cm="1">
        <f t="array" ref="AN1043">_xlfn.SWITCH(CleanEmployeeData[[#This Row],[PerformanceRating]],1,"Low",2,"Good",3,"Excellent",4,"Outstanding","Unknown")</f>
        <v>Excellent</v>
      </c>
      <c r="AO1043" t="str" cm="1">
        <f t="array" ref="AO1043">_xlfn.SWITCH(CleanEmployeeData[[#This Row],[WorkLifeBalance]],1,"Bad",2,"Good",3,"Better",4,"Best","Unknown")</f>
        <v>Better</v>
      </c>
      <c r="AP1043">
        <f>IF(CleanEmployeeData[[#This Row],[Attrition]]="Yes",1,IF(CleanEmployeeData[[#This Row],[Attrition]]="No",0,""))</f>
        <v>0</v>
      </c>
      <c r="AQ1043" t="str" cm="1">
        <f t="array" ref="AQ1043">_xlfn.IFS(CleanEmployeeData[[#This Row],[MonthlyIncome]]&lt;=3000,"0–3,000",CleanEmployeeData[[#This Row],[MonthlyIncome]]&lt;=6000,"3,001–6,000",CleanEmployeeData[[#This Row],[MonthlyIncome]]&lt;=10000,"6,001–10,000",TRUE,"10,001+")</f>
        <v>6,001–10,000</v>
      </c>
      <c r="AR1043" t="str" cm="1">
        <f t="array" ref="AR1043">_xlfn.IFS(CleanEmployeeData[[#This Row],[DistanceFromHome]]&lt;=5,"0–5 miles",CleanEmployeeData[[#This Row],[DistanceFromHome]]&lt;=10,"6–10 miles",CleanEmployeeData[[#This Row],[DistanceFromHome]]&lt;=15,"11–15 miles",TRUE,"16+ miles")</f>
        <v>0–5 miles</v>
      </c>
      <c r="AS1043" t="str" cm="1">
        <f t="array" ref="AS1043">_xlfn.IFS(CleanEmployeeData[[#This Row],[YearsAtCompany]]&lt;=1,"0–1 years",CleanEmployeeData[[#This Row],[YearsAtCompany]]&lt;=5,"2–5 years",CleanEmployeeData[[#This Row],[YearsAtCompany]]&lt;=10,"6–10 years",TRUE,"11+ years")</f>
        <v>2–5 years</v>
      </c>
    </row>
    <row r="1044" spans="1:4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cm="1">
        <f t="array" ref="AJ1044">_xlfn.SWITCH(CleanEmployeeData[[#This Row],[Education]],1,"Below College",2,"College",3,"Bachelor",4,"Master",5,"Doctor","Unknown")</f>
        <v>Bachelor</v>
      </c>
      <c r="AK1044" t="str" cm="1">
        <f t="array" ref="AK1044">_xlfn.SWITCH(CleanEmployeeData[[#This Row],[EnvironmentSatisfaction]],1,"Low",2,"Medium",3,"High",4,"Very High","Unknown")</f>
        <v>High</v>
      </c>
      <c r="AL1044" t="str" cm="1">
        <f t="array" ref="AL1044">_xlfn.SWITCH(CleanEmployeeData[[#This Row],[JobInvolvement]],1,"Low",2,"Medium",3,"High",4,"Very High","Unknown")</f>
        <v>Medium</v>
      </c>
      <c r="AM1044" t="str" cm="1">
        <f t="array" ref="AM1044">_xlfn.SWITCH(CleanEmployeeData[[#This Row],[JobSatisfaction]],1,"Low",2,"Medium",3,"High",4,"Very High","Unknown")</f>
        <v>High</v>
      </c>
      <c r="AN1044" t="str" cm="1">
        <f t="array" ref="AN1044">_xlfn.SWITCH(CleanEmployeeData[[#This Row],[PerformanceRating]],1,"Low",2,"Good",3,"Excellent",4,"Outstanding","Unknown")</f>
        <v>Excellent</v>
      </c>
      <c r="AO1044" t="str" cm="1">
        <f t="array" ref="AO1044">_xlfn.SWITCH(CleanEmployeeData[[#This Row],[WorkLifeBalance]],1,"Bad",2,"Good",3,"Better",4,"Best","Unknown")</f>
        <v>Better</v>
      </c>
      <c r="AP1044">
        <f>IF(CleanEmployeeData[[#This Row],[Attrition]]="Yes",1,IF(CleanEmployeeData[[#This Row],[Attrition]]="No",0,""))</f>
        <v>0</v>
      </c>
      <c r="AQ1044" t="str" cm="1">
        <f t="array" ref="AQ1044">_xlfn.IFS(CleanEmployeeData[[#This Row],[MonthlyIncome]]&lt;=3000,"0–3,000",CleanEmployeeData[[#This Row],[MonthlyIncome]]&lt;=6000,"3,001–6,000",CleanEmployeeData[[#This Row],[MonthlyIncome]]&lt;=10000,"6,001–10,000",TRUE,"10,001+")</f>
        <v>3,001–6,000</v>
      </c>
      <c r="AR1044" t="str" cm="1">
        <f t="array" ref="AR1044">_xlfn.IFS(CleanEmployeeData[[#This Row],[DistanceFromHome]]&lt;=5,"0–5 miles",CleanEmployeeData[[#This Row],[DistanceFromHome]]&lt;=10,"6–10 miles",CleanEmployeeData[[#This Row],[DistanceFromHome]]&lt;=15,"11–15 miles",TRUE,"16+ miles")</f>
        <v>0–5 miles</v>
      </c>
      <c r="AS1044" t="str" cm="1">
        <f t="array" ref="AS1044">_xlfn.IFS(CleanEmployeeData[[#This Row],[YearsAtCompany]]&lt;=1,"0–1 years",CleanEmployeeData[[#This Row],[YearsAtCompany]]&lt;=5,"2–5 years",CleanEmployeeData[[#This Row],[YearsAtCompany]]&lt;=10,"6–10 years",TRUE,"11+ years")</f>
        <v>2–5 years</v>
      </c>
    </row>
    <row r="1045" spans="1:4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cm="1">
        <f t="array" ref="AJ1045">_xlfn.SWITCH(CleanEmployeeData[[#This Row],[Education]],1,"Below College",2,"College",3,"Bachelor",4,"Master",5,"Doctor","Unknown")</f>
        <v>Bachelor</v>
      </c>
      <c r="AK1045" t="str" cm="1">
        <f t="array" ref="AK1045">_xlfn.SWITCH(CleanEmployeeData[[#This Row],[EnvironmentSatisfaction]],1,"Low",2,"Medium",3,"High",4,"Very High","Unknown")</f>
        <v>Very High</v>
      </c>
      <c r="AL1045" t="str" cm="1">
        <f t="array" ref="AL1045">_xlfn.SWITCH(CleanEmployeeData[[#This Row],[JobInvolvement]],1,"Low",2,"Medium",3,"High",4,"Very High","Unknown")</f>
        <v>Very High</v>
      </c>
      <c r="AM1045" t="str" cm="1">
        <f t="array" ref="AM1045">_xlfn.SWITCH(CleanEmployeeData[[#This Row],[JobSatisfaction]],1,"Low",2,"Medium",3,"High",4,"Very High","Unknown")</f>
        <v>Medium</v>
      </c>
      <c r="AN1045" t="str" cm="1">
        <f t="array" ref="AN1045">_xlfn.SWITCH(CleanEmployeeData[[#This Row],[PerformanceRating]],1,"Low",2,"Good",3,"Excellent",4,"Outstanding","Unknown")</f>
        <v>Excellent</v>
      </c>
      <c r="AO1045" t="str" cm="1">
        <f t="array" ref="AO1045">_xlfn.SWITCH(CleanEmployeeData[[#This Row],[WorkLifeBalance]],1,"Bad",2,"Good",3,"Better",4,"Best","Unknown")</f>
        <v>Good</v>
      </c>
      <c r="AP1045">
        <f>IF(CleanEmployeeData[[#This Row],[Attrition]]="Yes",1,IF(CleanEmployeeData[[#This Row],[Attrition]]="No",0,""))</f>
        <v>0</v>
      </c>
      <c r="AQ1045" t="str" cm="1">
        <f t="array" ref="AQ1045">_xlfn.IFS(CleanEmployeeData[[#This Row],[MonthlyIncome]]&lt;=3000,"0–3,000",CleanEmployeeData[[#This Row],[MonthlyIncome]]&lt;=6000,"3,001–6,000",CleanEmployeeData[[#This Row],[MonthlyIncome]]&lt;=10000,"6,001–10,000",TRUE,"10,001+")</f>
        <v>10,001+</v>
      </c>
      <c r="AR1045" t="str" cm="1">
        <f t="array" ref="AR1045">_xlfn.IFS(CleanEmployeeData[[#This Row],[DistanceFromHome]]&lt;=5,"0–5 miles",CleanEmployeeData[[#This Row],[DistanceFromHome]]&lt;=10,"6–10 miles",CleanEmployeeData[[#This Row],[DistanceFromHome]]&lt;=15,"11–15 miles",TRUE,"16+ miles")</f>
        <v>0–5 miles</v>
      </c>
      <c r="AS1045" t="str" cm="1">
        <f t="array" ref="AS1045">_xlfn.IFS(CleanEmployeeData[[#This Row],[YearsAtCompany]]&lt;=1,"0–1 years",CleanEmployeeData[[#This Row],[YearsAtCompany]]&lt;=5,"2–5 years",CleanEmployeeData[[#This Row],[YearsAtCompany]]&lt;=10,"6–10 years",TRUE,"11+ years")</f>
        <v>6–10 years</v>
      </c>
    </row>
    <row r="1046" spans="1:4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cm="1">
        <f t="array" ref="AJ1046">_xlfn.SWITCH(CleanEmployeeData[[#This Row],[Education]],1,"Below College",2,"College",3,"Bachelor",4,"Master",5,"Doctor","Unknown")</f>
        <v>Master</v>
      </c>
      <c r="AK1046" t="str" cm="1">
        <f t="array" ref="AK1046">_xlfn.SWITCH(CleanEmployeeData[[#This Row],[EnvironmentSatisfaction]],1,"Low",2,"Medium",3,"High",4,"Very High","Unknown")</f>
        <v>Low</v>
      </c>
      <c r="AL1046" t="str" cm="1">
        <f t="array" ref="AL1046">_xlfn.SWITCH(CleanEmployeeData[[#This Row],[JobInvolvement]],1,"Low",2,"Medium",3,"High",4,"Very High","Unknown")</f>
        <v>High</v>
      </c>
      <c r="AM1046" t="str" cm="1">
        <f t="array" ref="AM1046">_xlfn.SWITCH(CleanEmployeeData[[#This Row],[JobSatisfaction]],1,"Low",2,"Medium",3,"High",4,"Very High","Unknown")</f>
        <v>High</v>
      </c>
      <c r="AN1046" t="str" cm="1">
        <f t="array" ref="AN1046">_xlfn.SWITCH(CleanEmployeeData[[#This Row],[PerformanceRating]],1,"Low",2,"Good",3,"Excellent",4,"Outstanding","Unknown")</f>
        <v>Excellent</v>
      </c>
      <c r="AO1046" t="str" cm="1">
        <f t="array" ref="AO1046">_xlfn.SWITCH(CleanEmployeeData[[#This Row],[WorkLifeBalance]],1,"Bad",2,"Good",3,"Better",4,"Best","Unknown")</f>
        <v>Good</v>
      </c>
      <c r="AP1046">
        <f>IF(CleanEmployeeData[[#This Row],[Attrition]]="Yes",1,IF(CleanEmployeeData[[#This Row],[Attrition]]="No",0,""))</f>
        <v>0</v>
      </c>
      <c r="AQ1046" t="str" cm="1">
        <f t="array" ref="AQ1046">_xlfn.IFS(CleanEmployeeData[[#This Row],[MonthlyIncome]]&lt;=3000,"0–3,000",CleanEmployeeData[[#This Row],[MonthlyIncome]]&lt;=6000,"3,001–6,000",CleanEmployeeData[[#This Row],[MonthlyIncome]]&lt;=10000,"6,001–10,000",TRUE,"10,001+")</f>
        <v>6,001–10,000</v>
      </c>
      <c r="AR1046" t="str" cm="1">
        <f t="array" ref="AR1046">_xlfn.IFS(CleanEmployeeData[[#This Row],[DistanceFromHome]]&lt;=5,"0–5 miles",CleanEmployeeData[[#This Row],[DistanceFromHome]]&lt;=10,"6–10 miles",CleanEmployeeData[[#This Row],[DistanceFromHome]]&lt;=15,"11–15 miles",TRUE,"16+ miles")</f>
        <v>0–5 miles</v>
      </c>
      <c r="AS1046" t="str" cm="1">
        <f t="array" ref="AS1046">_xlfn.IFS(CleanEmployeeData[[#This Row],[YearsAtCompany]]&lt;=1,"0–1 years",CleanEmployeeData[[#This Row],[YearsAtCompany]]&lt;=5,"2–5 years",CleanEmployeeData[[#This Row],[YearsAtCompany]]&lt;=10,"6–10 years",TRUE,"11+ years")</f>
        <v>2–5 years</v>
      </c>
    </row>
    <row r="1047" spans="1:4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cm="1">
        <f t="array" ref="AJ1047">_xlfn.SWITCH(CleanEmployeeData[[#This Row],[Education]],1,"Below College",2,"College",3,"Bachelor",4,"Master",5,"Doctor","Unknown")</f>
        <v>Bachelor</v>
      </c>
      <c r="AK1047" t="str" cm="1">
        <f t="array" ref="AK1047">_xlfn.SWITCH(CleanEmployeeData[[#This Row],[EnvironmentSatisfaction]],1,"Low",2,"Medium",3,"High",4,"Very High","Unknown")</f>
        <v>High</v>
      </c>
      <c r="AL1047" t="str" cm="1">
        <f t="array" ref="AL1047">_xlfn.SWITCH(CleanEmployeeData[[#This Row],[JobInvolvement]],1,"Low",2,"Medium",3,"High",4,"Very High","Unknown")</f>
        <v>High</v>
      </c>
      <c r="AM1047" t="str" cm="1">
        <f t="array" ref="AM1047">_xlfn.SWITCH(CleanEmployeeData[[#This Row],[JobSatisfaction]],1,"Low",2,"Medium",3,"High",4,"Very High","Unknown")</f>
        <v>High</v>
      </c>
      <c r="AN1047" t="str" cm="1">
        <f t="array" ref="AN1047">_xlfn.SWITCH(CleanEmployeeData[[#This Row],[PerformanceRating]],1,"Low",2,"Good",3,"Excellent",4,"Outstanding","Unknown")</f>
        <v>Excellent</v>
      </c>
      <c r="AO1047" t="str" cm="1">
        <f t="array" ref="AO1047">_xlfn.SWITCH(CleanEmployeeData[[#This Row],[WorkLifeBalance]],1,"Bad",2,"Good",3,"Better",4,"Best","Unknown")</f>
        <v>Best</v>
      </c>
      <c r="AP1047">
        <f>IF(CleanEmployeeData[[#This Row],[Attrition]]="Yes",1,IF(CleanEmployeeData[[#This Row],[Attrition]]="No",0,""))</f>
        <v>0</v>
      </c>
      <c r="AQ1047" t="str" cm="1">
        <f t="array" ref="AQ1047">_xlfn.IFS(CleanEmployeeData[[#This Row],[MonthlyIncome]]&lt;=3000,"0–3,000",CleanEmployeeData[[#This Row],[MonthlyIncome]]&lt;=6000,"3,001–6,000",CleanEmployeeData[[#This Row],[MonthlyIncome]]&lt;=10000,"6,001–10,000",TRUE,"10,001+")</f>
        <v>0–3,000</v>
      </c>
      <c r="AR1047" t="str" cm="1">
        <f t="array" ref="AR1047">_xlfn.IFS(CleanEmployeeData[[#This Row],[DistanceFromHome]]&lt;=5,"0–5 miles",CleanEmployeeData[[#This Row],[DistanceFromHome]]&lt;=10,"6–10 miles",CleanEmployeeData[[#This Row],[DistanceFromHome]]&lt;=15,"11–15 miles",TRUE,"16+ miles")</f>
        <v>0–5 miles</v>
      </c>
      <c r="AS1047" t="str" cm="1">
        <f t="array" ref="AS1047">_xlfn.IFS(CleanEmployeeData[[#This Row],[YearsAtCompany]]&lt;=1,"0–1 years",CleanEmployeeData[[#This Row],[YearsAtCompany]]&lt;=5,"2–5 years",CleanEmployeeData[[#This Row],[YearsAtCompany]]&lt;=10,"6–10 years",TRUE,"11+ years")</f>
        <v>2–5 years</v>
      </c>
    </row>
    <row r="1048" spans="1:4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cm="1">
        <f t="array" ref="AJ1048">_xlfn.SWITCH(CleanEmployeeData[[#This Row],[Education]],1,"Below College",2,"College",3,"Bachelor",4,"Master",5,"Doctor","Unknown")</f>
        <v>Bachelor</v>
      </c>
      <c r="AK1048" t="str" cm="1">
        <f t="array" ref="AK1048">_xlfn.SWITCH(CleanEmployeeData[[#This Row],[EnvironmentSatisfaction]],1,"Low",2,"Medium",3,"High",4,"Very High","Unknown")</f>
        <v>Very High</v>
      </c>
      <c r="AL1048" t="str" cm="1">
        <f t="array" ref="AL1048">_xlfn.SWITCH(CleanEmployeeData[[#This Row],[JobInvolvement]],1,"Low",2,"Medium",3,"High",4,"Very High","Unknown")</f>
        <v>High</v>
      </c>
      <c r="AM1048" t="str" cm="1">
        <f t="array" ref="AM1048">_xlfn.SWITCH(CleanEmployeeData[[#This Row],[JobSatisfaction]],1,"Low",2,"Medium",3,"High",4,"Very High","Unknown")</f>
        <v>Medium</v>
      </c>
      <c r="AN1048" t="str" cm="1">
        <f t="array" ref="AN1048">_xlfn.SWITCH(CleanEmployeeData[[#This Row],[PerformanceRating]],1,"Low",2,"Good",3,"Excellent",4,"Outstanding","Unknown")</f>
        <v>Excellent</v>
      </c>
      <c r="AO1048" t="str" cm="1">
        <f t="array" ref="AO1048">_xlfn.SWITCH(CleanEmployeeData[[#This Row],[WorkLifeBalance]],1,"Bad",2,"Good",3,"Better",4,"Best","Unknown")</f>
        <v>Good</v>
      </c>
      <c r="AP1048">
        <f>IF(CleanEmployeeData[[#This Row],[Attrition]]="Yes",1,IF(CleanEmployeeData[[#This Row],[Attrition]]="No",0,""))</f>
        <v>0</v>
      </c>
      <c r="AQ1048" t="str" cm="1">
        <f t="array" ref="AQ1048">_xlfn.IFS(CleanEmployeeData[[#This Row],[MonthlyIncome]]&lt;=3000,"0–3,000",CleanEmployeeData[[#This Row],[MonthlyIncome]]&lt;=6000,"3,001–6,000",CleanEmployeeData[[#This Row],[MonthlyIncome]]&lt;=10000,"6,001–10,000",TRUE,"10,001+")</f>
        <v>3,001–6,000</v>
      </c>
      <c r="AR1048" t="str" cm="1">
        <f t="array" ref="AR1048">_xlfn.IFS(CleanEmployeeData[[#This Row],[DistanceFromHome]]&lt;=5,"0–5 miles",CleanEmployeeData[[#This Row],[DistanceFromHome]]&lt;=10,"6–10 miles",CleanEmployeeData[[#This Row],[DistanceFromHome]]&lt;=15,"11–15 miles",TRUE,"16+ miles")</f>
        <v>16+ miles</v>
      </c>
      <c r="AS1048" t="str" cm="1">
        <f t="array" ref="AS1048">_xlfn.IFS(CleanEmployeeData[[#This Row],[YearsAtCompany]]&lt;=1,"0–1 years",CleanEmployeeData[[#This Row],[YearsAtCompany]]&lt;=5,"2–5 years",CleanEmployeeData[[#This Row],[YearsAtCompany]]&lt;=10,"6–10 years",TRUE,"11+ years")</f>
        <v>2–5 years</v>
      </c>
    </row>
    <row r="1049" spans="1:4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cm="1">
        <f t="array" ref="AJ1049">_xlfn.SWITCH(CleanEmployeeData[[#This Row],[Education]],1,"Below College",2,"College",3,"Bachelor",4,"Master",5,"Doctor","Unknown")</f>
        <v>Bachelor</v>
      </c>
      <c r="AK1049" t="str" cm="1">
        <f t="array" ref="AK1049">_xlfn.SWITCH(CleanEmployeeData[[#This Row],[EnvironmentSatisfaction]],1,"Low",2,"Medium",3,"High",4,"Very High","Unknown")</f>
        <v>Very High</v>
      </c>
      <c r="AL1049" t="str" cm="1">
        <f t="array" ref="AL1049">_xlfn.SWITCH(CleanEmployeeData[[#This Row],[JobInvolvement]],1,"Low",2,"Medium",3,"High",4,"Very High","Unknown")</f>
        <v>High</v>
      </c>
      <c r="AM1049" t="str" cm="1">
        <f t="array" ref="AM1049">_xlfn.SWITCH(CleanEmployeeData[[#This Row],[JobSatisfaction]],1,"Low",2,"Medium",3,"High",4,"Very High","Unknown")</f>
        <v>Low</v>
      </c>
      <c r="AN1049" t="str" cm="1">
        <f t="array" ref="AN1049">_xlfn.SWITCH(CleanEmployeeData[[#This Row],[PerformanceRating]],1,"Low",2,"Good",3,"Excellent",4,"Outstanding","Unknown")</f>
        <v>Excellent</v>
      </c>
      <c r="AO1049" t="str" cm="1">
        <f t="array" ref="AO1049">_xlfn.SWITCH(CleanEmployeeData[[#This Row],[WorkLifeBalance]],1,"Bad",2,"Good",3,"Better",4,"Best","Unknown")</f>
        <v>Better</v>
      </c>
      <c r="AP1049">
        <f>IF(CleanEmployeeData[[#This Row],[Attrition]]="Yes",1,IF(CleanEmployeeData[[#This Row],[Attrition]]="No",0,""))</f>
        <v>0</v>
      </c>
      <c r="AQ1049" t="str" cm="1">
        <f t="array" ref="AQ1049">_xlfn.IFS(CleanEmployeeData[[#This Row],[MonthlyIncome]]&lt;=3000,"0–3,000",CleanEmployeeData[[#This Row],[MonthlyIncome]]&lt;=6000,"3,001–6,000",CleanEmployeeData[[#This Row],[MonthlyIncome]]&lt;=10000,"6,001–10,000",TRUE,"10,001+")</f>
        <v>3,001–6,000</v>
      </c>
      <c r="AR1049" t="str" cm="1">
        <f t="array" ref="AR1049">_xlfn.IFS(CleanEmployeeData[[#This Row],[DistanceFromHome]]&lt;=5,"0–5 miles",CleanEmployeeData[[#This Row],[DistanceFromHome]]&lt;=10,"6–10 miles",CleanEmployeeData[[#This Row],[DistanceFromHome]]&lt;=15,"11–15 miles",TRUE,"16+ miles")</f>
        <v>6–10 miles</v>
      </c>
      <c r="AS1049" t="str" cm="1">
        <f t="array" ref="AS1049">_xlfn.IFS(CleanEmployeeData[[#This Row],[YearsAtCompany]]&lt;=1,"0–1 years",CleanEmployeeData[[#This Row],[YearsAtCompany]]&lt;=5,"2–5 years",CleanEmployeeData[[#This Row],[YearsAtCompany]]&lt;=10,"6–10 years",TRUE,"11+ years")</f>
        <v>2–5 years</v>
      </c>
    </row>
    <row r="1050" spans="1:4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cm="1">
        <f t="array" ref="AJ1050">_xlfn.SWITCH(CleanEmployeeData[[#This Row],[Education]],1,"Below College",2,"College",3,"Bachelor",4,"Master",5,"Doctor","Unknown")</f>
        <v>Bachelor</v>
      </c>
      <c r="AK1050" t="str" cm="1">
        <f t="array" ref="AK1050">_xlfn.SWITCH(CleanEmployeeData[[#This Row],[EnvironmentSatisfaction]],1,"Low",2,"Medium",3,"High",4,"Very High","Unknown")</f>
        <v>Very High</v>
      </c>
      <c r="AL1050" t="str" cm="1">
        <f t="array" ref="AL1050">_xlfn.SWITCH(CleanEmployeeData[[#This Row],[JobInvolvement]],1,"Low",2,"Medium",3,"High",4,"Very High","Unknown")</f>
        <v>Low</v>
      </c>
      <c r="AM1050" t="str" cm="1">
        <f t="array" ref="AM1050">_xlfn.SWITCH(CleanEmployeeData[[#This Row],[JobSatisfaction]],1,"Low",2,"Medium",3,"High",4,"Very High","Unknown")</f>
        <v>Low</v>
      </c>
      <c r="AN1050" t="str" cm="1">
        <f t="array" ref="AN1050">_xlfn.SWITCH(CleanEmployeeData[[#This Row],[PerformanceRating]],1,"Low",2,"Good",3,"Excellent",4,"Outstanding","Unknown")</f>
        <v>Excellent</v>
      </c>
      <c r="AO1050" t="str" cm="1">
        <f t="array" ref="AO1050">_xlfn.SWITCH(CleanEmployeeData[[#This Row],[WorkLifeBalance]],1,"Bad",2,"Good",3,"Better",4,"Best","Unknown")</f>
        <v>Better</v>
      </c>
      <c r="AP1050">
        <f>IF(CleanEmployeeData[[#This Row],[Attrition]]="Yes",1,IF(CleanEmployeeData[[#This Row],[Attrition]]="No",0,""))</f>
        <v>0</v>
      </c>
      <c r="AQ1050" t="str" cm="1">
        <f t="array" ref="AQ1050">_xlfn.IFS(CleanEmployeeData[[#This Row],[MonthlyIncome]]&lt;=3000,"0–3,000",CleanEmployeeData[[#This Row],[MonthlyIncome]]&lt;=6000,"3,001–6,000",CleanEmployeeData[[#This Row],[MonthlyIncome]]&lt;=10000,"6,001–10,000",TRUE,"10,001+")</f>
        <v>3,001–6,000</v>
      </c>
      <c r="AR1050" t="str" cm="1">
        <f t="array" ref="AR1050">_xlfn.IFS(CleanEmployeeData[[#This Row],[DistanceFromHome]]&lt;=5,"0–5 miles",CleanEmployeeData[[#This Row],[DistanceFromHome]]&lt;=10,"6–10 miles",CleanEmployeeData[[#This Row],[DistanceFromHome]]&lt;=15,"11–15 miles",TRUE,"16+ miles")</f>
        <v>0–5 miles</v>
      </c>
      <c r="AS1050" t="str" cm="1">
        <f t="array" ref="AS1050">_xlfn.IFS(CleanEmployeeData[[#This Row],[YearsAtCompany]]&lt;=1,"0–1 years",CleanEmployeeData[[#This Row],[YearsAtCompany]]&lt;=5,"2–5 years",CleanEmployeeData[[#This Row],[YearsAtCompany]]&lt;=10,"6–10 years",TRUE,"11+ years")</f>
        <v>11+ years</v>
      </c>
    </row>
    <row r="1051" spans="1:4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cm="1">
        <f t="array" ref="AJ1051">_xlfn.SWITCH(CleanEmployeeData[[#This Row],[Education]],1,"Below College",2,"College",3,"Bachelor",4,"Master",5,"Doctor","Unknown")</f>
        <v>Below College</v>
      </c>
      <c r="AK1051" t="str" cm="1">
        <f t="array" ref="AK1051">_xlfn.SWITCH(CleanEmployeeData[[#This Row],[EnvironmentSatisfaction]],1,"Low",2,"Medium",3,"High",4,"Very High","Unknown")</f>
        <v>Very High</v>
      </c>
      <c r="AL1051" t="str" cm="1">
        <f t="array" ref="AL1051">_xlfn.SWITCH(CleanEmployeeData[[#This Row],[JobInvolvement]],1,"Low",2,"Medium",3,"High",4,"Very High","Unknown")</f>
        <v>High</v>
      </c>
      <c r="AM1051" t="str" cm="1">
        <f t="array" ref="AM1051">_xlfn.SWITCH(CleanEmployeeData[[#This Row],[JobSatisfaction]],1,"Low",2,"Medium",3,"High",4,"Very High","Unknown")</f>
        <v>High</v>
      </c>
      <c r="AN1051" t="str" cm="1">
        <f t="array" ref="AN1051">_xlfn.SWITCH(CleanEmployeeData[[#This Row],[PerformanceRating]],1,"Low",2,"Good",3,"Excellent",4,"Outstanding","Unknown")</f>
        <v>Excellent</v>
      </c>
      <c r="AO1051" t="str" cm="1">
        <f t="array" ref="AO1051">_xlfn.SWITCH(CleanEmployeeData[[#This Row],[WorkLifeBalance]],1,"Bad",2,"Good",3,"Better",4,"Best","Unknown")</f>
        <v>Good</v>
      </c>
      <c r="AP1051">
        <f>IF(CleanEmployeeData[[#This Row],[Attrition]]="Yes",1,IF(CleanEmployeeData[[#This Row],[Attrition]]="No",0,""))</f>
        <v>0</v>
      </c>
      <c r="AQ1051" t="str" cm="1">
        <f t="array" ref="AQ1051">_xlfn.IFS(CleanEmployeeData[[#This Row],[MonthlyIncome]]&lt;=3000,"0–3,000",CleanEmployeeData[[#This Row],[MonthlyIncome]]&lt;=6000,"3,001–6,000",CleanEmployeeData[[#This Row],[MonthlyIncome]]&lt;=10000,"6,001–10,000",TRUE,"10,001+")</f>
        <v>3,001–6,000</v>
      </c>
      <c r="AR1051" t="str" cm="1">
        <f t="array" ref="AR1051">_xlfn.IFS(CleanEmployeeData[[#This Row],[DistanceFromHome]]&lt;=5,"0–5 miles",CleanEmployeeData[[#This Row],[DistanceFromHome]]&lt;=10,"6–10 miles",CleanEmployeeData[[#This Row],[DistanceFromHome]]&lt;=15,"11–15 miles",TRUE,"16+ miles")</f>
        <v>16+ miles</v>
      </c>
      <c r="AS1051" t="str" cm="1">
        <f t="array" ref="AS1051">_xlfn.IFS(CleanEmployeeData[[#This Row],[YearsAtCompany]]&lt;=1,"0–1 years",CleanEmployeeData[[#This Row],[YearsAtCompany]]&lt;=5,"2–5 years",CleanEmployeeData[[#This Row],[YearsAtCompany]]&lt;=10,"6–10 years",TRUE,"11+ years")</f>
        <v>2–5 years</v>
      </c>
    </row>
    <row r="1052" spans="1:4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cm="1">
        <f t="array" ref="AJ1052">_xlfn.SWITCH(CleanEmployeeData[[#This Row],[Education]],1,"Below College",2,"College",3,"Bachelor",4,"Master",5,"Doctor","Unknown")</f>
        <v>College</v>
      </c>
      <c r="AK1052" t="str" cm="1">
        <f t="array" ref="AK1052">_xlfn.SWITCH(CleanEmployeeData[[#This Row],[EnvironmentSatisfaction]],1,"Low",2,"Medium",3,"High",4,"Very High","Unknown")</f>
        <v>Low</v>
      </c>
      <c r="AL1052" t="str" cm="1">
        <f t="array" ref="AL1052">_xlfn.SWITCH(CleanEmployeeData[[#This Row],[JobInvolvement]],1,"Low",2,"Medium",3,"High",4,"Very High","Unknown")</f>
        <v>High</v>
      </c>
      <c r="AM1052" t="str" cm="1">
        <f t="array" ref="AM1052">_xlfn.SWITCH(CleanEmployeeData[[#This Row],[JobSatisfaction]],1,"Low",2,"Medium",3,"High",4,"Very High","Unknown")</f>
        <v>Very High</v>
      </c>
      <c r="AN1052" t="str" cm="1">
        <f t="array" ref="AN1052">_xlfn.SWITCH(CleanEmployeeData[[#This Row],[PerformanceRating]],1,"Low",2,"Good",3,"Excellent",4,"Outstanding","Unknown")</f>
        <v>Excellent</v>
      </c>
      <c r="AO1052" t="str" cm="1">
        <f t="array" ref="AO1052">_xlfn.SWITCH(CleanEmployeeData[[#This Row],[WorkLifeBalance]],1,"Bad",2,"Good",3,"Better",4,"Best","Unknown")</f>
        <v>Better</v>
      </c>
      <c r="AP1052">
        <f>IF(CleanEmployeeData[[#This Row],[Attrition]]="Yes",1,IF(CleanEmployeeData[[#This Row],[Attrition]]="No",0,""))</f>
        <v>0</v>
      </c>
      <c r="AQ1052" t="str" cm="1">
        <f t="array" ref="AQ1052">_xlfn.IFS(CleanEmployeeData[[#This Row],[MonthlyIncome]]&lt;=3000,"0–3,000",CleanEmployeeData[[#This Row],[MonthlyIncome]]&lt;=6000,"3,001–6,000",CleanEmployeeData[[#This Row],[MonthlyIncome]]&lt;=10000,"6,001–10,000",TRUE,"10,001+")</f>
        <v>3,001–6,000</v>
      </c>
      <c r="AR1052" t="str" cm="1">
        <f t="array" ref="AR1052">_xlfn.IFS(CleanEmployeeData[[#This Row],[DistanceFromHome]]&lt;=5,"0–5 miles",CleanEmployeeData[[#This Row],[DistanceFromHome]]&lt;=10,"6–10 miles",CleanEmployeeData[[#This Row],[DistanceFromHome]]&lt;=15,"11–15 miles",TRUE,"16+ miles")</f>
        <v>6–10 miles</v>
      </c>
      <c r="AS1052" t="str" cm="1">
        <f t="array" ref="AS1052">_xlfn.IFS(CleanEmployeeData[[#This Row],[YearsAtCompany]]&lt;=1,"0–1 years",CleanEmployeeData[[#This Row],[YearsAtCompany]]&lt;=5,"2–5 years",CleanEmployeeData[[#This Row],[YearsAtCompany]]&lt;=10,"6–10 years",TRUE,"11+ years")</f>
        <v>11+ years</v>
      </c>
    </row>
    <row r="1053" spans="1:4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cm="1">
        <f t="array" ref="AJ1053">_xlfn.SWITCH(CleanEmployeeData[[#This Row],[Education]],1,"Below College",2,"College",3,"Bachelor",4,"Master",5,"Doctor","Unknown")</f>
        <v>Doctor</v>
      </c>
      <c r="AK1053" t="str" cm="1">
        <f t="array" ref="AK1053">_xlfn.SWITCH(CleanEmployeeData[[#This Row],[EnvironmentSatisfaction]],1,"Low",2,"Medium",3,"High",4,"Very High","Unknown")</f>
        <v>Low</v>
      </c>
      <c r="AL1053" t="str" cm="1">
        <f t="array" ref="AL1053">_xlfn.SWITCH(CleanEmployeeData[[#This Row],[JobInvolvement]],1,"Low",2,"Medium",3,"High",4,"Very High","Unknown")</f>
        <v>High</v>
      </c>
      <c r="AM1053" t="str" cm="1">
        <f t="array" ref="AM1053">_xlfn.SWITCH(CleanEmployeeData[[#This Row],[JobSatisfaction]],1,"Low",2,"Medium",3,"High",4,"Very High","Unknown")</f>
        <v>High</v>
      </c>
      <c r="AN1053" t="str" cm="1">
        <f t="array" ref="AN1053">_xlfn.SWITCH(CleanEmployeeData[[#This Row],[PerformanceRating]],1,"Low",2,"Good",3,"Excellent",4,"Outstanding","Unknown")</f>
        <v>Excellent</v>
      </c>
      <c r="AO1053" t="str" cm="1">
        <f t="array" ref="AO1053">_xlfn.SWITCH(CleanEmployeeData[[#This Row],[WorkLifeBalance]],1,"Bad",2,"Good",3,"Better",4,"Best","Unknown")</f>
        <v>Good</v>
      </c>
      <c r="AP1053">
        <f>IF(CleanEmployeeData[[#This Row],[Attrition]]="Yes",1,IF(CleanEmployeeData[[#This Row],[Attrition]]="No",0,""))</f>
        <v>0</v>
      </c>
      <c r="AQ1053" t="str" cm="1">
        <f t="array" ref="AQ1053">_xlfn.IFS(CleanEmployeeData[[#This Row],[MonthlyIncome]]&lt;=3000,"0–3,000",CleanEmployeeData[[#This Row],[MonthlyIncome]]&lt;=6000,"3,001–6,000",CleanEmployeeData[[#This Row],[MonthlyIncome]]&lt;=10000,"6,001–10,000",TRUE,"10,001+")</f>
        <v>3,001–6,000</v>
      </c>
      <c r="AR1053" t="str" cm="1">
        <f t="array" ref="AR1053">_xlfn.IFS(CleanEmployeeData[[#This Row],[DistanceFromHome]]&lt;=5,"0–5 miles",CleanEmployeeData[[#This Row],[DistanceFromHome]]&lt;=10,"6–10 miles",CleanEmployeeData[[#This Row],[DistanceFromHome]]&lt;=15,"11–15 miles",TRUE,"16+ miles")</f>
        <v>0–5 miles</v>
      </c>
      <c r="AS1053" t="str" cm="1">
        <f t="array" ref="AS1053">_xlfn.IFS(CleanEmployeeData[[#This Row],[YearsAtCompany]]&lt;=1,"0–1 years",CleanEmployeeData[[#This Row],[YearsAtCompany]]&lt;=5,"2–5 years",CleanEmployeeData[[#This Row],[YearsAtCompany]]&lt;=10,"6–10 years",TRUE,"11+ years")</f>
        <v>0–1 years</v>
      </c>
    </row>
    <row r="1054" spans="1:4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cm="1">
        <f t="array" ref="AJ1054">_xlfn.SWITCH(CleanEmployeeData[[#This Row],[Education]],1,"Below College",2,"College",3,"Bachelor",4,"Master",5,"Doctor","Unknown")</f>
        <v>Bachelor</v>
      </c>
      <c r="AK1054" t="str" cm="1">
        <f t="array" ref="AK1054">_xlfn.SWITCH(CleanEmployeeData[[#This Row],[EnvironmentSatisfaction]],1,"Low",2,"Medium",3,"High",4,"Very High","Unknown")</f>
        <v>High</v>
      </c>
      <c r="AL1054" t="str" cm="1">
        <f t="array" ref="AL1054">_xlfn.SWITCH(CleanEmployeeData[[#This Row],[JobInvolvement]],1,"Low",2,"Medium",3,"High",4,"Very High","Unknown")</f>
        <v>High</v>
      </c>
      <c r="AM1054" t="str" cm="1">
        <f t="array" ref="AM1054">_xlfn.SWITCH(CleanEmployeeData[[#This Row],[JobSatisfaction]],1,"Low",2,"Medium",3,"High",4,"Very High","Unknown")</f>
        <v>High</v>
      </c>
      <c r="AN1054" t="str" cm="1">
        <f t="array" ref="AN1054">_xlfn.SWITCH(CleanEmployeeData[[#This Row],[PerformanceRating]],1,"Low",2,"Good",3,"Excellent",4,"Outstanding","Unknown")</f>
        <v>Excellent</v>
      </c>
      <c r="AO1054" t="str" cm="1">
        <f t="array" ref="AO1054">_xlfn.SWITCH(CleanEmployeeData[[#This Row],[WorkLifeBalance]],1,"Bad",2,"Good",3,"Better",4,"Best","Unknown")</f>
        <v>Good</v>
      </c>
      <c r="AP1054">
        <f>IF(CleanEmployeeData[[#This Row],[Attrition]]="Yes",1,IF(CleanEmployeeData[[#This Row],[Attrition]]="No",0,""))</f>
        <v>0</v>
      </c>
      <c r="AQ1054" t="str" cm="1">
        <f t="array" ref="AQ1054">_xlfn.IFS(CleanEmployeeData[[#This Row],[MonthlyIncome]]&lt;=3000,"0–3,000",CleanEmployeeData[[#This Row],[MonthlyIncome]]&lt;=6000,"3,001–6,000",CleanEmployeeData[[#This Row],[MonthlyIncome]]&lt;=10000,"6,001–10,000",TRUE,"10,001+")</f>
        <v>0–3,000</v>
      </c>
      <c r="AR1054" t="str" cm="1">
        <f t="array" ref="AR1054">_xlfn.IFS(CleanEmployeeData[[#This Row],[DistanceFromHome]]&lt;=5,"0–5 miles",CleanEmployeeData[[#This Row],[DistanceFromHome]]&lt;=10,"6–10 miles",CleanEmployeeData[[#This Row],[DistanceFromHome]]&lt;=15,"11–15 miles",TRUE,"16+ miles")</f>
        <v>6–10 miles</v>
      </c>
      <c r="AS1054" t="str" cm="1">
        <f t="array" ref="AS1054">_xlfn.IFS(CleanEmployeeData[[#This Row],[YearsAtCompany]]&lt;=1,"0–1 years",CleanEmployeeData[[#This Row],[YearsAtCompany]]&lt;=5,"2–5 years",CleanEmployeeData[[#This Row],[YearsAtCompany]]&lt;=10,"6–10 years",TRUE,"11+ years")</f>
        <v>0–1 years</v>
      </c>
    </row>
    <row r="1055" spans="1:4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cm="1">
        <f t="array" ref="AJ1055">_xlfn.SWITCH(CleanEmployeeData[[#This Row],[Education]],1,"Below College",2,"College",3,"Bachelor",4,"Master",5,"Doctor","Unknown")</f>
        <v>College</v>
      </c>
      <c r="AK1055" t="str" cm="1">
        <f t="array" ref="AK1055">_xlfn.SWITCH(CleanEmployeeData[[#This Row],[EnvironmentSatisfaction]],1,"Low",2,"Medium",3,"High",4,"Very High","Unknown")</f>
        <v>Medium</v>
      </c>
      <c r="AL1055" t="str" cm="1">
        <f t="array" ref="AL1055">_xlfn.SWITCH(CleanEmployeeData[[#This Row],[JobInvolvement]],1,"Low",2,"Medium",3,"High",4,"Very High","Unknown")</f>
        <v>Very High</v>
      </c>
      <c r="AM1055" t="str" cm="1">
        <f t="array" ref="AM1055">_xlfn.SWITCH(CleanEmployeeData[[#This Row],[JobSatisfaction]],1,"Low",2,"Medium",3,"High",4,"Very High","Unknown")</f>
        <v>High</v>
      </c>
      <c r="AN1055" t="str" cm="1">
        <f t="array" ref="AN1055">_xlfn.SWITCH(CleanEmployeeData[[#This Row],[PerformanceRating]],1,"Low",2,"Good",3,"Excellent",4,"Outstanding","Unknown")</f>
        <v>Outstanding</v>
      </c>
      <c r="AO1055" t="str" cm="1">
        <f t="array" ref="AO1055">_xlfn.SWITCH(CleanEmployeeData[[#This Row],[WorkLifeBalance]],1,"Bad",2,"Good",3,"Better",4,"Best","Unknown")</f>
        <v>Good</v>
      </c>
      <c r="AP1055">
        <f>IF(CleanEmployeeData[[#This Row],[Attrition]]="Yes",1,IF(CleanEmployeeData[[#This Row],[Attrition]]="No",0,""))</f>
        <v>0</v>
      </c>
      <c r="AQ1055" t="str" cm="1">
        <f t="array" ref="AQ1055">_xlfn.IFS(CleanEmployeeData[[#This Row],[MonthlyIncome]]&lt;=3000,"0–3,000",CleanEmployeeData[[#This Row],[MonthlyIncome]]&lt;=6000,"3,001–6,000",CleanEmployeeData[[#This Row],[MonthlyIncome]]&lt;=10000,"6,001–10,000",TRUE,"10,001+")</f>
        <v>3,001–6,000</v>
      </c>
      <c r="AR1055" t="str" cm="1">
        <f t="array" ref="AR1055">_xlfn.IFS(CleanEmployeeData[[#This Row],[DistanceFromHome]]&lt;=5,"0–5 miles",CleanEmployeeData[[#This Row],[DistanceFromHome]]&lt;=10,"6–10 miles",CleanEmployeeData[[#This Row],[DistanceFromHome]]&lt;=15,"11–15 miles",TRUE,"16+ miles")</f>
        <v>0–5 miles</v>
      </c>
      <c r="AS1055" t="str" cm="1">
        <f t="array" ref="AS1055">_xlfn.IFS(CleanEmployeeData[[#This Row],[YearsAtCompany]]&lt;=1,"0–1 years",CleanEmployeeData[[#This Row],[YearsAtCompany]]&lt;=5,"2–5 years",CleanEmployeeData[[#This Row],[YearsAtCompany]]&lt;=10,"6–10 years",TRUE,"11+ years")</f>
        <v>11+ years</v>
      </c>
    </row>
    <row r="1056" spans="1:4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cm="1">
        <f t="array" ref="AJ1056">_xlfn.SWITCH(CleanEmployeeData[[#This Row],[Education]],1,"Below College",2,"College",3,"Bachelor",4,"Master",5,"Doctor","Unknown")</f>
        <v>Master</v>
      </c>
      <c r="AK1056" t="str" cm="1">
        <f t="array" ref="AK1056">_xlfn.SWITCH(CleanEmployeeData[[#This Row],[EnvironmentSatisfaction]],1,"Low",2,"Medium",3,"High",4,"Very High","Unknown")</f>
        <v>High</v>
      </c>
      <c r="AL1056" t="str" cm="1">
        <f t="array" ref="AL1056">_xlfn.SWITCH(CleanEmployeeData[[#This Row],[JobInvolvement]],1,"Low",2,"Medium",3,"High",4,"Very High","Unknown")</f>
        <v>High</v>
      </c>
      <c r="AM1056" t="str" cm="1">
        <f t="array" ref="AM1056">_xlfn.SWITCH(CleanEmployeeData[[#This Row],[JobSatisfaction]],1,"Low",2,"Medium",3,"High",4,"Very High","Unknown")</f>
        <v>Medium</v>
      </c>
      <c r="AN1056" t="str" cm="1">
        <f t="array" ref="AN1056">_xlfn.SWITCH(CleanEmployeeData[[#This Row],[PerformanceRating]],1,"Low",2,"Good",3,"Excellent",4,"Outstanding","Unknown")</f>
        <v>Excellent</v>
      </c>
      <c r="AO1056" t="str" cm="1">
        <f t="array" ref="AO1056">_xlfn.SWITCH(CleanEmployeeData[[#This Row],[WorkLifeBalance]],1,"Bad",2,"Good",3,"Better",4,"Best","Unknown")</f>
        <v>Better</v>
      </c>
      <c r="AP1056">
        <f>IF(CleanEmployeeData[[#This Row],[Attrition]]="Yes",1,IF(CleanEmployeeData[[#This Row],[Attrition]]="No",0,""))</f>
        <v>0</v>
      </c>
      <c r="AQ1056" t="str" cm="1">
        <f t="array" ref="AQ1056">_xlfn.IFS(CleanEmployeeData[[#This Row],[MonthlyIncome]]&lt;=3000,"0–3,000",CleanEmployeeData[[#This Row],[MonthlyIncome]]&lt;=6000,"3,001–6,000",CleanEmployeeData[[#This Row],[MonthlyIncome]]&lt;=10000,"6,001–10,000",TRUE,"10,001+")</f>
        <v>10,001+</v>
      </c>
      <c r="AR1056" t="str" cm="1">
        <f t="array" ref="AR1056">_xlfn.IFS(CleanEmployeeData[[#This Row],[DistanceFromHome]]&lt;=5,"0–5 miles",CleanEmployeeData[[#This Row],[DistanceFromHome]]&lt;=10,"6–10 miles",CleanEmployeeData[[#This Row],[DistanceFromHome]]&lt;=15,"11–15 miles",TRUE,"16+ miles")</f>
        <v>6–10 miles</v>
      </c>
      <c r="AS1056" t="str" cm="1">
        <f t="array" ref="AS1056">_xlfn.IFS(CleanEmployeeData[[#This Row],[YearsAtCompany]]&lt;=1,"0–1 years",CleanEmployeeData[[#This Row],[YearsAtCompany]]&lt;=5,"2–5 years",CleanEmployeeData[[#This Row],[YearsAtCompany]]&lt;=10,"6–10 years",TRUE,"11+ years")</f>
        <v>6–10 years</v>
      </c>
    </row>
    <row r="1057" spans="1:4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cm="1">
        <f t="array" ref="AJ1057">_xlfn.SWITCH(CleanEmployeeData[[#This Row],[Education]],1,"Below College",2,"College",3,"Bachelor",4,"Master",5,"Doctor","Unknown")</f>
        <v>Bachelor</v>
      </c>
      <c r="AK1057" t="str" cm="1">
        <f t="array" ref="AK1057">_xlfn.SWITCH(CleanEmployeeData[[#This Row],[EnvironmentSatisfaction]],1,"Low",2,"Medium",3,"High",4,"Very High","Unknown")</f>
        <v>Medium</v>
      </c>
      <c r="AL1057" t="str" cm="1">
        <f t="array" ref="AL1057">_xlfn.SWITCH(CleanEmployeeData[[#This Row],[JobInvolvement]],1,"Low",2,"Medium",3,"High",4,"Very High","Unknown")</f>
        <v>High</v>
      </c>
      <c r="AM1057" t="str" cm="1">
        <f t="array" ref="AM1057">_xlfn.SWITCH(CleanEmployeeData[[#This Row],[JobSatisfaction]],1,"Low",2,"Medium",3,"High",4,"Very High","Unknown")</f>
        <v>Low</v>
      </c>
      <c r="AN1057" t="str" cm="1">
        <f t="array" ref="AN1057">_xlfn.SWITCH(CleanEmployeeData[[#This Row],[PerformanceRating]],1,"Low",2,"Good",3,"Excellent",4,"Outstanding","Unknown")</f>
        <v>Excellent</v>
      </c>
      <c r="AO1057" t="str" cm="1">
        <f t="array" ref="AO1057">_xlfn.SWITCH(CleanEmployeeData[[#This Row],[WorkLifeBalance]],1,"Bad",2,"Good",3,"Better",4,"Best","Unknown")</f>
        <v>Good</v>
      </c>
      <c r="AP1057">
        <f>IF(CleanEmployeeData[[#This Row],[Attrition]]="Yes",1,IF(CleanEmployeeData[[#This Row],[Attrition]]="No",0,""))</f>
        <v>0</v>
      </c>
      <c r="AQ1057" t="str" cm="1">
        <f t="array" ref="AQ1057">_xlfn.IFS(CleanEmployeeData[[#This Row],[MonthlyIncome]]&lt;=3000,"0–3,000",CleanEmployeeData[[#This Row],[MonthlyIncome]]&lt;=6000,"3,001–6,000",CleanEmployeeData[[#This Row],[MonthlyIncome]]&lt;=10000,"6,001–10,000",TRUE,"10,001+")</f>
        <v>10,001+</v>
      </c>
      <c r="AR1057" t="str" cm="1">
        <f t="array" ref="AR1057">_xlfn.IFS(CleanEmployeeData[[#This Row],[DistanceFromHome]]&lt;=5,"0–5 miles",CleanEmployeeData[[#This Row],[DistanceFromHome]]&lt;=10,"6–10 miles",CleanEmployeeData[[#This Row],[DistanceFromHome]]&lt;=15,"11–15 miles",TRUE,"16+ miles")</f>
        <v>11–15 miles</v>
      </c>
      <c r="AS1057" t="str" cm="1">
        <f t="array" ref="AS1057">_xlfn.IFS(CleanEmployeeData[[#This Row],[YearsAtCompany]]&lt;=1,"0–1 years",CleanEmployeeData[[#This Row],[YearsAtCompany]]&lt;=5,"2–5 years",CleanEmployeeData[[#This Row],[YearsAtCompany]]&lt;=10,"6–10 years",TRUE,"11+ years")</f>
        <v>11+ years</v>
      </c>
    </row>
    <row r="1058" spans="1:4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cm="1">
        <f t="array" ref="AJ1058">_xlfn.SWITCH(CleanEmployeeData[[#This Row],[Education]],1,"Below College",2,"College",3,"Bachelor",4,"Master",5,"Doctor","Unknown")</f>
        <v>Bachelor</v>
      </c>
      <c r="AK1058" t="str" cm="1">
        <f t="array" ref="AK1058">_xlfn.SWITCH(CleanEmployeeData[[#This Row],[EnvironmentSatisfaction]],1,"Low",2,"Medium",3,"High",4,"Very High","Unknown")</f>
        <v>Low</v>
      </c>
      <c r="AL1058" t="str" cm="1">
        <f t="array" ref="AL1058">_xlfn.SWITCH(CleanEmployeeData[[#This Row],[JobInvolvement]],1,"Low",2,"Medium",3,"High",4,"Very High","Unknown")</f>
        <v>High</v>
      </c>
      <c r="AM1058" t="str" cm="1">
        <f t="array" ref="AM1058">_xlfn.SWITCH(CleanEmployeeData[[#This Row],[JobSatisfaction]],1,"Low",2,"Medium",3,"High",4,"Very High","Unknown")</f>
        <v>High</v>
      </c>
      <c r="AN1058" t="str" cm="1">
        <f t="array" ref="AN1058">_xlfn.SWITCH(CleanEmployeeData[[#This Row],[PerformanceRating]],1,"Low",2,"Good",3,"Excellent",4,"Outstanding","Unknown")</f>
        <v>Excellent</v>
      </c>
      <c r="AO1058" t="str" cm="1">
        <f t="array" ref="AO1058">_xlfn.SWITCH(CleanEmployeeData[[#This Row],[WorkLifeBalance]],1,"Bad",2,"Good",3,"Better",4,"Best","Unknown")</f>
        <v>Best</v>
      </c>
      <c r="AP1058">
        <f>IF(CleanEmployeeData[[#This Row],[Attrition]]="Yes",1,IF(CleanEmployeeData[[#This Row],[Attrition]]="No",0,""))</f>
        <v>1</v>
      </c>
      <c r="AQ1058" t="str" cm="1">
        <f t="array" ref="AQ1058">_xlfn.IFS(CleanEmployeeData[[#This Row],[MonthlyIncome]]&lt;=3000,"0–3,000",CleanEmployeeData[[#This Row],[MonthlyIncome]]&lt;=6000,"3,001–6,000",CleanEmployeeData[[#This Row],[MonthlyIncome]]&lt;=10000,"6,001–10,000",TRUE,"10,001+")</f>
        <v>0–3,000</v>
      </c>
      <c r="AR1058" t="str" cm="1">
        <f t="array" ref="AR1058">_xlfn.IFS(CleanEmployeeData[[#This Row],[DistanceFromHome]]&lt;=5,"0–5 miles",CleanEmployeeData[[#This Row],[DistanceFromHome]]&lt;=10,"6–10 miles",CleanEmployeeData[[#This Row],[DistanceFromHome]]&lt;=15,"11–15 miles",TRUE,"16+ miles")</f>
        <v>0–5 miles</v>
      </c>
      <c r="AS1058" t="str" cm="1">
        <f t="array" ref="AS1058">_xlfn.IFS(CleanEmployeeData[[#This Row],[YearsAtCompany]]&lt;=1,"0–1 years",CleanEmployeeData[[#This Row],[YearsAtCompany]]&lt;=5,"2–5 years",CleanEmployeeData[[#This Row],[YearsAtCompany]]&lt;=10,"6–10 years",TRUE,"11+ years")</f>
        <v>2–5 years</v>
      </c>
    </row>
    <row r="1059" spans="1:4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cm="1">
        <f t="array" ref="AJ1059">_xlfn.SWITCH(CleanEmployeeData[[#This Row],[Education]],1,"Below College",2,"College",3,"Bachelor",4,"Master",5,"Doctor","Unknown")</f>
        <v>Bachelor</v>
      </c>
      <c r="AK1059" t="str" cm="1">
        <f t="array" ref="AK1059">_xlfn.SWITCH(CleanEmployeeData[[#This Row],[EnvironmentSatisfaction]],1,"Low",2,"Medium",3,"High",4,"Very High","Unknown")</f>
        <v>Low</v>
      </c>
      <c r="AL1059" t="str" cm="1">
        <f t="array" ref="AL1059">_xlfn.SWITCH(CleanEmployeeData[[#This Row],[JobInvolvement]],1,"Low",2,"Medium",3,"High",4,"Very High","Unknown")</f>
        <v>High</v>
      </c>
      <c r="AM1059" t="str" cm="1">
        <f t="array" ref="AM1059">_xlfn.SWITCH(CleanEmployeeData[[#This Row],[JobSatisfaction]],1,"Low",2,"Medium",3,"High",4,"Very High","Unknown")</f>
        <v>Medium</v>
      </c>
      <c r="AN1059" t="str" cm="1">
        <f t="array" ref="AN1059">_xlfn.SWITCH(CleanEmployeeData[[#This Row],[PerformanceRating]],1,"Low",2,"Good",3,"Excellent",4,"Outstanding","Unknown")</f>
        <v>Excellent</v>
      </c>
      <c r="AO1059" t="str" cm="1">
        <f t="array" ref="AO1059">_xlfn.SWITCH(CleanEmployeeData[[#This Row],[WorkLifeBalance]],1,"Bad",2,"Good",3,"Better",4,"Best","Unknown")</f>
        <v>Bad</v>
      </c>
      <c r="AP1059">
        <f>IF(CleanEmployeeData[[#This Row],[Attrition]]="Yes",1,IF(CleanEmployeeData[[#This Row],[Attrition]]="No",0,""))</f>
        <v>1</v>
      </c>
      <c r="AQ1059" t="str" cm="1">
        <f t="array" ref="AQ1059">_xlfn.IFS(CleanEmployeeData[[#This Row],[MonthlyIncome]]&lt;=3000,"0–3,000",CleanEmployeeData[[#This Row],[MonthlyIncome]]&lt;=6000,"3,001–6,000",CleanEmployeeData[[#This Row],[MonthlyIncome]]&lt;=10000,"6,001–10,000",TRUE,"10,001+")</f>
        <v>3,001–6,000</v>
      </c>
      <c r="AR1059" t="str" cm="1">
        <f t="array" ref="AR1059">_xlfn.IFS(CleanEmployeeData[[#This Row],[DistanceFromHome]]&lt;=5,"0–5 miles",CleanEmployeeData[[#This Row],[DistanceFromHome]]&lt;=10,"6–10 miles",CleanEmployeeData[[#This Row],[DistanceFromHome]]&lt;=15,"11–15 miles",TRUE,"16+ miles")</f>
        <v>11–15 miles</v>
      </c>
      <c r="AS1059" t="str" cm="1">
        <f t="array" ref="AS1059">_xlfn.IFS(CleanEmployeeData[[#This Row],[YearsAtCompany]]&lt;=1,"0–1 years",CleanEmployeeData[[#This Row],[YearsAtCompany]]&lt;=5,"2–5 years",CleanEmployeeData[[#This Row],[YearsAtCompany]]&lt;=10,"6–10 years",TRUE,"11+ years")</f>
        <v>2–5 years</v>
      </c>
    </row>
    <row r="1060" spans="1:4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cm="1">
        <f t="array" ref="AJ1060">_xlfn.SWITCH(CleanEmployeeData[[#This Row],[Education]],1,"Below College",2,"College",3,"Bachelor",4,"Master",5,"Doctor","Unknown")</f>
        <v>Master</v>
      </c>
      <c r="AK1060" t="str" cm="1">
        <f t="array" ref="AK1060">_xlfn.SWITCH(CleanEmployeeData[[#This Row],[EnvironmentSatisfaction]],1,"Low",2,"Medium",3,"High",4,"Very High","Unknown")</f>
        <v>Low</v>
      </c>
      <c r="AL1060" t="str" cm="1">
        <f t="array" ref="AL1060">_xlfn.SWITCH(CleanEmployeeData[[#This Row],[JobInvolvement]],1,"Low",2,"Medium",3,"High",4,"Very High","Unknown")</f>
        <v>Medium</v>
      </c>
      <c r="AM1060" t="str" cm="1">
        <f t="array" ref="AM1060">_xlfn.SWITCH(CleanEmployeeData[[#This Row],[JobSatisfaction]],1,"Low",2,"Medium",3,"High",4,"Very High","Unknown")</f>
        <v>Medium</v>
      </c>
      <c r="AN1060" t="str" cm="1">
        <f t="array" ref="AN1060">_xlfn.SWITCH(CleanEmployeeData[[#This Row],[PerformanceRating]],1,"Low",2,"Good",3,"Excellent",4,"Outstanding","Unknown")</f>
        <v>Outstanding</v>
      </c>
      <c r="AO1060" t="str" cm="1">
        <f t="array" ref="AO1060">_xlfn.SWITCH(CleanEmployeeData[[#This Row],[WorkLifeBalance]],1,"Bad",2,"Good",3,"Better",4,"Best","Unknown")</f>
        <v>Best</v>
      </c>
      <c r="AP1060">
        <f>IF(CleanEmployeeData[[#This Row],[Attrition]]="Yes",1,IF(CleanEmployeeData[[#This Row],[Attrition]]="No",0,""))</f>
        <v>1</v>
      </c>
      <c r="AQ1060" t="str" cm="1">
        <f t="array" ref="AQ1060">_xlfn.IFS(CleanEmployeeData[[#This Row],[MonthlyIncome]]&lt;=3000,"0–3,000",CleanEmployeeData[[#This Row],[MonthlyIncome]]&lt;=6000,"3,001–6,000",CleanEmployeeData[[#This Row],[MonthlyIncome]]&lt;=10000,"6,001–10,000",TRUE,"10,001+")</f>
        <v>3,001–6,000</v>
      </c>
      <c r="AR1060" t="str" cm="1">
        <f t="array" ref="AR1060">_xlfn.IFS(CleanEmployeeData[[#This Row],[DistanceFromHome]]&lt;=5,"0–5 miles",CleanEmployeeData[[#This Row],[DistanceFromHome]]&lt;=10,"6–10 miles",CleanEmployeeData[[#This Row],[DistanceFromHome]]&lt;=15,"11–15 miles",TRUE,"16+ miles")</f>
        <v>16+ miles</v>
      </c>
      <c r="AS1060" t="str" cm="1">
        <f t="array" ref="AS1060">_xlfn.IFS(CleanEmployeeData[[#This Row],[YearsAtCompany]]&lt;=1,"0–1 years",CleanEmployeeData[[#This Row],[YearsAtCompany]]&lt;=5,"2–5 years",CleanEmployeeData[[#This Row],[YearsAtCompany]]&lt;=10,"6–10 years",TRUE,"11+ years")</f>
        <v>11+ years</v>
      </c>
    </row>
    <row r="1061" spans="1:4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cm="1">
        <f t="array" ref="AJ1061">_xlfn.SWITCH(CleanEmployeeData[[#This Row],[Education]],1,"Below College",2,"College",3,"Bachelor",4,"Master",5,"Doctor","Unknown")</f>
        <v>Below College</v>
      </c>
      <c r="AK1061" t="str" cm="1">
        <f t="array" ref="AK1061">_xlfn.SWITCH(CleanEmployeeData[[#This Row],[EnvironmentSatisfaction]],1,"Low",2,"Medium",3,"High",4,"Very High","Unknown")</f>
        <v>Very High</v>
      </c>
      <c r="AL1061" t="str" cm="1">
        <f t="array" ref="AL1061">_xlfn.SWITCH(CleanEmployeeData[[#This Row],[JobInvolvement]],1,"Low",2,"Medium",3,"High",4,"Very High","Unknown")</f>
        <v>High</v>
      </c>
      <c r="AM1061" t="str" cm="1">
        <f t="array" ref="AM1061">_xlfn.SWITCH(CleanEmployeeData[[#This Row],[JobSatisfaction]],1,"Low",2,"Medium",3,"High",4,"Very High","Unknown")</f>
        <v>High</v>
      </c>
      <c r="AN1061" t="str" cm="1">
        <f t="array" ref="AN1061">_xlfn.SWITCH(CleanEmployeeData[[#This Row],[PerformanceRating]],1,"Low",2,"Good",3,"Excellent",4,"Outstanding","Unknown")</f>
        <v>Excellent</v>
      </c>
      <c r="AO1061" t="str" cm="1">
        <f t="array" ref="AO1061">_xlfn.SWITCH(CleanEmployeeData[[#This Row],[WorkLifeBalance]],1,"Bad",2,"Good",3,"Better",4,"Best","Unknown")</f>
        <v>Better</v>
      </c>
      <c r="AP1061">
        <f>IF(CleanEmployeeData[[#This Row],[Attrition]]="Yes",1,IF(CleanEmployeeData[[#This Row],[Attrition]]="No",0,""))</f>
        <v>0</v>
      </c>
      <c r="AQ1061" t="str" cm="1">
        <f t="array" ref="AQ1061">_xlfn.IFS(CleanEmployeeData[[#This Row],[MonthlyIncome]]&lt;=3000,"0–3,000",CleanEmployeeData[[#This Row],[MonthlyIncome]]&lt;=6000,"3,001–6,000",CleanEmployeeData[[#This Row],[MonthlyIncome]]&lt;=10000,"6,001–10,000",TRUE,"10,001+")</f>
        <v>0–3,000</v>
      </c>
      <c r="AR1061" t="str" cm="1">
        <f t="array" ref="AR1061">_xlfn.IFS(CleanEmployeeData[[#This Row],[DistanceFromHome]]&lt;=5,"0–5 miles",CleanEmployeeData[[#This Row],[DistanceFromHome]]&lt;=10,"6–10 miles",CleanEmployeeData[[#This Row],[DistanceFromHome]]&lt;=15,"11–15 miles",TRUE,"16+ miles")</f>
        <v>6–10 miles</v>
      </c>
      <c r="AS1061" t="str" cm="1">
        <f t="array" ref="AS1061">_xlfn.IFS(CleanEmployeeData[[#This Row],[YearsAtCompany]]&lt;=1,"0–1 years",CleanEmployeeData[[#This Row],[YearsAtCompany]]&lt;=5,"2–5 years",CleanEmployeeData[[#This Row],[YearsAtCompany]]&lt;=10,"6–10 years",TRUE,"11+ years")</f>
        <v>0–1 years</v>
      </c>
    </row>
    <row r="1062" spans="1:4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cm="1">
        <f t="array" ref="AJ1062">_xlfn.SWITCH(CleanEmployeeData[[#This Row],[Education]],1,"Below College",2,"College",3,"Bachelor",4,"Master",5,"Doctor","Unknown")</f>
        <v>Bachelor</v>
      </c>
      <c r="AK1062" t="str" cm="1">
        <f t="array" ref="AK1062">_xlfn.SWITCH(CleanEmployeeData[[#This Row],[EnvironmentSatisfaction]],1,"Low",2,"Medium",3,"High",4,"Very High","Unknown")</f>
        <v>Medium</v>
      </c>
      <c r="AL1062" t="str" cm="1">
        <f t="array" ref="AL1062">_xlfn.SWITCH(CleanEmployeeData[[#This Row],[JobInvolvement]],1,"Low",2,"Medium",3,"High",4,"Very High","Unknown")</f>
        <v>High</v>
      </c>
      <c r="AM1062" t="str" cm="1">
        <f t="array" ref="AM1062">_xlfn.SWITCH(CleanEmployeeData[[#This Row],[JobSatisfaction]],1,"Low",2,"Medium",3,"High",4,"Very High","Unknown")</f>
        <v>Low</v>
      </c>
      <c r="AN1062" t="str" cm="1">
        <f t="array" ref="AN1062">_xlfn.SWITCH(CleanEmployeeData[[#This Row],[PerformanceRating]],1,"Low",2,"Good",3,"Excellent",4,"Outstanding","Unknown")</f>
        <v>Excellent</v>
      </c>
      <c r="AO1062" t="str" cm="1">
        <f t="array" ref="AO1062">_xlfn.SWITCH(CleanEmployeeData[[#This Row],[WorkLifeBalance]],1,"Bad",2,"Good",3,"Better",4,"Best","Unknown")</f>
        <v>Good</v>
      </c>
      <c r="AP1062">
        <f>IF(CleanEmployeeData[[#This Row],[Attrition]]="Yes",1,IF(CleanEmployeeData[[#This Row],[Attrition]]="No",0,""))</f>
        <v>1</v>
      </c>
      <c r="AQ1062" t="str" cm="1">
        <f t="array" ref="AQ1062">_xlfn.IFS(CleanEmployeeData[[#This Row],[MonthlyIncome]]&lt;=3000,"0–3,000",CleanEmployeeData[[#This Row],[MonthlyIncome]]&lt;=6000,"3,001–6,000",CleanEmployeeData[[#This Row],[MonthlyIncome]]&lt;=10000,"6,001–10,000",TRUE,"10,001+")</f>
        <v>3,001–6,000</v>
      </c>
      <c r="AR1062" t="str" cm="1">
        <f t="array" ref="AR1062">_xlfn.IFS(CleanEmployeeData[[#This Row],[DistanceFromHome]]&lt;=5,"0–5 miles",CleanEmployeeData[[#This Row],[DistanceFromHome]]&lt;=10,"6–10 miles",CleanEmployeeData[[#This Row],[DistanceFromHome]]&lt;=15,"11–15 miles",TRUE,"16+ miles")</f>
        <v>6–10 miles</v>
      </c>
      <c r="AS1062" t="str" cm="1">
        <f t="array" ref="AS1062">_xlfn.IFS(CleanEmployeeData[[#This Row],[YearsAtCompany]]&lt;=1,"0–1 years",CleanEmployeeData[[#This Row],[YearsAtCompany]]&lt;=5,"2–5 years",CleanEmployeeData[[#This Row],[YearsAtCompany]]&lt;=10,"6–10 years",TRUE,"11+ years")</f>
        <v>0–1 years</v>
      </c>
    </row>
    <row r="1063" spans="1:4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cm="1">
        <f t="array" ref="AJ1063">_xlfn.SWITCH(CleanEmployeeData[[#This Row],[Education]],1,"Below College",2,"College",3,"Bachelor",4,"Master",5,"Doctor","Unknown")</f>
        <v>College</v>
      </c>
      <c r="AK1063" t="str" cm="1">
        <f t="array" ref="AK1063">_xlfn.SWITCH(CleanEmployeeData[[#This Row],[EnvironmentSatisfaction]],1,"Low",2,"Medium",3,"High",4,"Very High","Unknown")</f>
        <v>Very High</v>
      </c>
      <c r="AL1063" t="str" cm="1">
        <f t="array" ref="AL1063">_xlfn.SWITCH(CleanEmployeeData[[#This Row],[JobInvolvement]],1,"Low",2,"Medium",3,"High",4,"Very High","Unknown")</f>
        <v>High</v>
      </c>
      <c r="AM1063" t="str" cm="1">
        <f t="array" ref="AM1063">_xlfn.SWITCH(CleanEmployeeData[[#This Row],[JobSatisfaction]],1,"Low",2,"Medium",3,"High",4,"Very High","Unknown")</f>
        <v>Medium</v>
      </c>
      <c r="AN1063" t="str" cm="1">
        <f t="array" ref="AN1063">_xlfn.SWITCH(CleanEmployeeData[[#This Row],[PerformanceRating]],1,"Low",2,"Good",3,"Excellent",4,"Outstanding","Unknown")</f>
        <v>Excellent</v>
      </c>
      <c r="AO1063" t="str" cm="1">
        <f t="array" ref="AO1063">_xlfn.SWITCH(CleanEmployeeData[[#This Row],[WorkLifeBalance]],1,"Bad",2,"Good",3,"Better",4,"Best","Unknown")</f>
        <v>Better</v>
      </c>
      <c r="AP1063">
        <f>IF(CleanEmployeeData[[#This Row],[Attrition]]="Yes",1,IF(CleanEmployeeData[[#This Row],[Attrition]]="No",0,""))</f>
        <v>0</v>
      </c>
      <c r="AQ1063" t="str" cm="1">
        <f t="array" ref="AQ1063">_xlfn.IFS(CleanEmployeeData[[#This Row],[MonthlyIncome]]&lt;=3000,"0–3,000",CleanEmployeeData[[#This Row],[MonthlyIncome]]&lt;=6000,"3,001–6,000",CleanEmployeeData[[#This Row],[MonthlyIncome]]&lt;=10000,"6,001–10,000",TRUE,"10,001+")</f>
        <v>0–3,000</v>
      </c>
      <c r="AR1063" t="str" cm="1">
        <f t="array" ref="AR1063">_xlfn.IFS(CleanEmployeeData[[#This Row],[DistanceFromHome]]&lt;=5,"0–5 miles",CleanEmployeeData[[#This Row],[DistanceFromHome]]&lt;=10,"6–10 miles",CleanEmployeeData[[#This Row],[DistanceFromHome]]&lt;=15,"11–15 miles",TRUE,"16+ miles")</f>
        <v>11–15 miles</v>
      </c>
      <c r="AS1063" t="str" cm="1">
        <f t="array" ref="AS1063">_xlfn.IFS(CleanEmployeeData[[#This Row],[YearsAtCompany]]&lt;=1,"0–1 years",CleanEmployeeData[[#This Row],[YearsAtCompany]]&lt;=5,"2–5 years",CleanEmployeeData[[#This Row],[YearsAtCompany]]&lt;=10,"6–10 years",TRUE,"11+ years")</f>
        <v>0–1 years</v>
      </c>
    </row>
    <row r="1064" spans="1:4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cm="1">
        <f t="array" ref="AJ1064">_xlfn.SWITCH(CleanEmployeeData[[#This Row],[Education]],1,"Below College",2,"College",3,"Bachelor",4,"Master",5,"Doctor","Unknown")</f>
        <v>Below College</v>
      </c>
      <c r="AK1064" t="str" cm="1">
        <f t="array" ref="AK1064">_xlfn.SWITCH(CleanEmployeeData[[#This Row],[EnvironmentSatisfaction]],1,"Low",2,"Medium",3,"High",4,"Very High","Unknown")</f>
        <v>Medium</v>
      </c>
      <c r="AL1064" t="str" cm="1">
        <f t="array" ref="AL1064">_xlfn.SWITCH(CleanEmployeeData[[#This Row],[JobInvolvement]],1,"Low",2,"Medium",3,"High",4,"Very High","Unknown")</f>
        <v>High</v>
      </c>
      <c r="AM1064" t="str" cm="1">
        <f t="array" ref="AM1064">_xlfn.SWITCH(CleanEmployeeData[[#This Row],[JobSatisfaction]],1,"Low",2,"Medium",3,"High",4,"Very High","Unknown")</f>
        <v>High</v>
      </c>
      <c r="AN1064" t="str" cm="1">
        <f t="array" ref="AN1064">_xlfn.SWITCH(CleanEmployeeData[[#This Row],[PerformanceRating]],1,"Low",2,"Good",3,"Excellent",4,"Outstanding","Unknown")</f>
        <v>Excellent</v>
      </c>
      <c r="AO1064" t="str" cm="1">
        <f t="array" ref="AO1064">_xlfn.SWITCH(CleanEmployeeData[[#This Row],[WorkLifeBalance]],1,"Bad",2,"Good",3,"Better",4,"Best","Unknown")</f>
        <v>Good</v>
      </c>
      <c r="AP1064">
        <f>IF(CleanEmployeeData[[#This Row],[Attrition]]="Yes",1,IF(CleanEmployeeData[[#This Row],[Attrition]]="No",0,""))</f>
        <v>0</v>
      </c>
      <c r="AQ1064" t="str" cm="1">
        <f t="array" ref="AQ1064">_xlfn.IFS(CleanEmployeeData[[#This Row],[MonthlyIncome]]&lt;=3000,"0–3,000",CleanEmployeeData[[#This Row],[MonthlyIncome]]&lt;=6000,"3,001–6,000",CleanEmployeeData[[#This Row],[MonthlyIncome]]&lt;=10000,"6,001–10,000",TRUE,"10,001+")</f>
        <v>10,001+</v>
      </c>
      <c r="AR1064" t="str" cm="1">
        <f t="array" ref="AR1064">_xlfn.IFS(CleanEmployeeData[[#This Row],[DistanceFromHome]]&lt;=5,"0–5 miles",CleanEmployeeData[[#This Row],[DistanceFromHome]]&lt;=10,"6–10 miles",CleanEmployeeData[[#This Row],[DistanceFromHome]]&lt;=15,"11–15 miles",TRUE,"16+ miles")</f>
        <v>0–5 miles</v>
      </c>
      <c r="AS1064" t="str" cm="1">
        <f t="array" ref="AS1064">_xlfn.IFS(CleanEmployeeData[[#This Row],[YearsAtCompany]]&lt;=1,"0–1 years",CleanEmployeeData[[#This Row],[YearsAtCompany]]&lt;=5,"2–5 years",CleanEmployeeData[[#This Row],[YearsAtCompany]]&lt;=10,"6–10 years",TRUE,"11+ years")</f>
        <v>2–5 years</v>
      </c>
    </row>
    <row r="1065" spans="1:4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cm="1">
        <f t="array" ref="AJ1065">_xlfn.SWITCH(CleanEmployeeData[[#This Row],[Education]],1,"Below College",2,"College",3,"Bachelor",4,"Master",5,"Doctor","Unknown")</f>
        <v>Bachelor</v>
      </c>
      <c r="AK1065" t="str" cm="1">
        <f t="array" ref="AK1065">_xlfn.SWITCH(CleanEmployeeData[[#This Row],[EnvironmentSatisfaction]],1,"Low",2,"Medium",3,"High",4,"Very High","Unknown")</f>
        <v>High</v>
      </c>
      <c r="AL1065" t="str" cm="1">
        <f t="array" ref="AL1065">_xlfn.SWITCH(CleanEmployeeData[[#This Row],[JobInvolvement]],1,"Low",2,"Medium",3,"High",4,"Very High","Unknown")</f>
        <v>Medium</v>
      </c>
      <c r="AM1065" t="str" cm="1">
        <f t="array" ref="AM1065">_xlfn.SWITCH(CleanEmployeeData[[#This Row],[JobSatisfaction]],1,"Low",2,"Medium",3,"High",4,"Very High","Unknown")</f>
        <v>High</v>
      </c>
      <c r="AN1065" t="str" cm="1">
        <f t="array" ref="AN1065">_xlfn.SWITCH(CleanEmployeeData[[#This Row],[PerformanceRating]],1,"Low",2,"Good",3,"Excellent",4,"Outstanding","Unknown")</f>
        <v>Excellent</v>
      </c>
      <c r="AO1065" t="str" cm="1">
        <f t="array" ref="AO1065">_xlfn.SWITCH(CleanEmployeeData[[#This Row],[WorkLifeBalance]],1,"Bad",2,"Good",3,"Better",4,"Best","Unknown")</f>
        <v>Better</v>
      </c>
      <c r="AP1065">
        <f>IF(CleanEmployeeData[[#This Row],[Attrition]]="Yes",1,IF(CleanEmployeeData[[#This Row],[Attrition]]="No",0,""))</f>
        <v>0</v>
      </c>
      <c r="AQ1065" t="str" cm="1">
        <f t="array" ref="AQ1065">_xlfn.IFS(CleanEmployeeData[[#This Row],[MonthlyIncome]]&lt;=3000,"0–3,000",CleanEmployeeData[[#This Row],[MonthlyIncome]]&lt;=6000,"3,001–6,000",CleanEmployeeData[[#This Row],[MonthlyIncome]]&lt;=10000,"6,001–10,000",TRUE,"10,001+")</f>
        <v>6,001–10,000</v>
      </c>
      <c r="AR1065" t="str" cm="1">
        <f t="array" ref="AR1065">_xlfn.IFS(CleanEmployeeData[[#This Row],[DistanceFromHome]]&lt;=5,"0–5 miles",CleanEmployeeData[[#This Row],[DistanceFromHome]]&lt;=10,"6–10 miles",CleanEmployeeData[[#This Row],[DistanceFromHome]]&lt;=15,"11–15 miles",TRUE,"16+ miles")</f>
        <v>16+ miles</v>
      </c>
      <c r="AS1065" t="str" cm="1">
        <f t="array" ref="AS1065">_xlfn.IFS(CleanEmployeeData[[#This Row],[YearsAtCompany]]&lt;=1,"0–1 years",CleanEmployeeData[[#This Row],[YearsAtCompany]]&lt;=5,"2–5 years",CleanEmployeeData[[#This Row],[YearsAtCompany]]&lt;=10,"6–10 years",TRUE,"11+ years")</f>
        <v>6–10 years</v>
      </c>
    </row>
    <row r="1066" spans="1:4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cm="1">
        <f t="array" ref="AJ1066">_xlfn.SWITCH(CleanEmployeeData[[#This Row],[Education]],1,"Below College",2,"College",3,"Bachelor",4,"Master",5,"Doctor","Unknown")</f>
        <v>Bachelor</v>
      </c>
      <c r="AK1066" t="str" cm="1">
        <f t="array" ref="AK1066">_xlfn.SWITCH(CleanEmployeeData[[#This Row],[EnvironmentSatisfaction]],1,"Low",2,"Medium",3,"High",4,"Very High","Unknown")</f>
        <v>High</v>
      </c>
      <c r="AL1066" t="str" cm="1">
        <f t="array" ref="AL1066">_xlfn.SWITCH(CleanEmployeeData[[#This Row],[JobInvolvement]],1,"Low",2,"Medium",3,"High",4,"Very High","Unknown")</f>
        <v>High</v>
      </c>
      <c r="AM1066" t="str" cm="1">
        <f t="array" ref="AM1066">_xlfn.SWITCH(CleanEmployeeData[[#This Row],[JobSatisfaction]],1,"Low",2,"Medium",3,"High",4,"Very High","Unknown")</f>
        <v>High</v>
      </c>
      <c r="AN1066" t="str" cm="1">
        <f t="array" ref="AN1066">_xlfn.SWITCH(CleanEmployeeData[[#This Row],[PerformanceRating]],1,"Low",2,"Good",3,"Excellent",4,"Outstanding","Unknown")</f>
        <v>Outstanding</v>
      </c>
      <c r="AO1066" t="str" cm="1">
        <f t="array" ref="AO1066">_xlfn.SWITCH(CleanEmployeeData[[#This Row],[WorkLifeBalance]],1,"Bad",2,"Good",3,"Better",4,"Best","Unknown")</f>
        <v>Best</v>
      </c>
      <c r="AP1066">
        <f>IF(CleanEmployeeData[[#This Row],[Attrition]]="Yes",1,IF(CleanEmployeeData[[#This Row],[Attrition]]="No",0,""))</f>
        <v>0</v>
      </c>
      <c r="AQ1066" t="str" cm="1">
        <f t="array" ref="AQ1066">_xlfn.IFS(CleanEmployeeData[[#This Row],[MonthlyIncome]]&lt;=3000,"0–3,000",CleanEmployeeData[[#This Row],[MonthlyIncome]]&lt;=6000,"3,001–6,000",CleanEmployeeData[[#This Row],[MonthlyIncome]]&lt;=10000,"6,001–10,000",TRUE,"10,001+")</f>
        <v>0–3,000</v>
      </c>
      <c r="AR1066" t="str" cm="1">
        <f t="array" ref="AR1066">_xlfn.IFS(CleanEmployeeData[[#This Row],[DistanceFromHome]]&lt;=5,"0–5 miles",CleanEmployeeData[[#This Row],[DistanceFromHome]]&lt;=10,"6–10 miles",CleanEmployeeData[[#This Row],[DistanceFromHome]]&lt;=15,"11–15 miles",TRUE,"16+ miles")</f>
        <v>0–5 miles</v>
      </c>
      <c r="AS1066" t="str" cm="1">
        <f t="array" ref="AS1066">_xlfn.IFS(CleanEmployeeData[[#This Row],[YearsAtCompany]]&lt;=1,"0–1 years",CleanEmployeeData[[#This Row],[YearsAtCompany]]&lt;=5,"2–5 years",CleanEmployeeData[[#This Row],[YearsAtCompany]]&lt;=10,"6–10 years",TRUE,"11+ years")</f>
        <v>2–5 years</v>
      </c>
    </row>
    <row r="1067" spans="1:4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cm="1">
        <f t="array" ref="AJ1067">_xlfn.SWITCH(CleanEmployeeData[[#This Row],[Education]],1,"Below College",2,"College",3,"Bachelor",4,"Master",5,"Doctor","Unknown")</f>
        <v>Master</v>
      </c>
      <c r="AK1067" t="str" cm="1">
        <f t="array" ref="AK1067">_xlfn.SWITCH(CleanEmployeeData[[#This Row],[EnvironmentSatisfaction]],1,"Low",2,"Medium",3,"High",4,"Very High","Unknown")</f>
        <v>Very High</v>
      </c>
      <c r="AL1067" t="str" cm="1">
        <f t="array" ref="AL1067">_xlfn.SWITCH(CleanEmployeeData[[#This Row],[JobInvolvement]],1,"Low",2,"Medium",3,"High",4,"Very High","Unknown")</f>
        <v>High</v>
      </c>
      <c r="AM1067" t="str" cm="1">
        <f t="array" ref="AM1067">_xlfn.SWITCH(CleanEmployeeData[[#This Row],[JobSatisfaction]],1,"Low",2,"Medium",3,"High",4,"Very High","Unknown")</f>
        <v>High</v>
      </c>
      <c r="AN1067" t="str" cm="1">
        <f t="array" ref="AN1067">_xlfn.SWITCH(CleanEmployeeData[[#This Row],[PerformanceRating]],1,"Low",2,"Good",3,"Excellent",4,"Outstanding","Unknown")</f>
        <v>Excellent</v>
      </c>
      <c r="AO1067" t="str" cm="1">
        <f t="array" ref="AO1067">_xlfn.SWITCH(CleanEmployeeData[[#This Row],[WorkLifeBalance]],1,"Bad",2,"Good",3,"Better",4,"Best","Unknown")</f>
        <v>Better</v>
      </c>
      <c r="AP1067">
        <f>IF(CleanEmployeeData[[#This Row],[Attrition]]="Yes",1,IF(CleanEmployeeData[[#This Row],[Attrition]]="No",0,""))</f>
        <v>0</v>
      </c>
      <c r="AQ1067" t="str" cm="1">
        <f t="array" ref="AQ1067">_xlfn.IFS(CleanEmployeeData[[#This Row],[MonthlyIncome]]&lt;=3000,"0–3,000",CleanEmployeeData[[#This Row],[MonthlyIncome]]&lt;=6000,"3,001–6,000",CleanEmployeeData[[#This Row],[MonthlyIncome]]&lt;=10000,"6,001–10,000",TRUE,"10,001+")</f>
        <v>3,001–6,000</v>
      </c>
      <c r="AR1067" t="str" cm="1">
        <f t="array" ref="AR1067">_xlfn.IFS(CleanEmployeeData[[#This Row],[DistanceFromHome]]&lt;=5,"0–5 miles",CleanEmployeeData[[#This Row],[DistanceFromHome]]&lt;=10,"6–10 miles",CleanEmployeeData[[#This Row],[DistanceFromHome]]&lt;=15,"11–15 miles",TRUE,"16+ miles")</f>
        <v>0–5 miles</v>
      </c>
      <c r="AS1067" t="str" cm="1">
        <f t="array" ref="AS1067">_xlfn.IFS(CleanEmployeeData[[#This Row],[YearsAtCompany]]&lt;=1,"0–1 years",CleanEmployeeData[[#This Row],[YearsAtCompany]]&lt;=5,"2–5 years",CleanEmployeeData[[#This Row],[YearsAtCompany]]&lt;=10,"6–10 years",TRUE,"11+ years")</f>
        <v>2–5 years</v>
      </c>
    </row>
    <row r="1068" spans="1:4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cm="1">
        <f t="array" ref="AJ1068">_xlfn.SWITCH(CleanEmployeeData[[#This Row],[Education]],1,"Below College",2,"College",3,"Bachelor",4,"Master",5,"Doctor","Unknown")</f>
        <v>Master</v>
      </c>
      <c r="AK1068" t="str" cm="1">
        <f t="array" ref="AK1068">_xlfn.SWITCH(CleanEmployeeData[[#This Row],[EnvironmentSatisfaction]],1,"Low",2,"Medium",3,"High",4,"Very High","Unknown")</f>
        <v>Low</v>
      </c>
      <c r="AL1068" t="str" cm="1">
        <f t="array" ref="AL1068">_xlfn.SWITCH(CleanEmployeeData[[#This Row],[JobInvolvement]],1,"Low",2,"Medium",3,"High",4,"Very High","Unknown")</f>
        <v>Medium</v>
      </c>
      <c r="AM1068" t="str" cm="1">
        <f t="array" ref="AM1068">_xlfn.SWITCH(CleanEmployeeData[[#This Row],[JobSatisfaction]],1,"Low",2,"Medium",3,"High",4,"Very High","Unknown")</f>
        <v>Medium</v>
      </c>
      <c r="AN1068" t="str" cm="1">
        <f t="array" ref="AN1068">_xlfn.SWITCH(CleanEmployeeData[[#This Row],[PerformanceRating]],1,"Low",2,"Good",3,"Excellent",4,"Outstanding","Unknown")</f>
        <v>Excellent</v>
      </c>
      <c r="AO1068" t="str" cm="1">
        <f t="array" ref="AO1068">_xlfn.SWITCH(CleanEmployeeData[[#This Row],[WorkLifeBalance]],1,"Bad",2,"Good",3,"Better",4,"Best","Unknown")</f>
        <v>Better</v>
      </c>
      <c r="AP1068">
        <f>IF(CleanEmployeeData[[#This Row],[Attrition]]="Yes",1,IF(CleanEmployeeData[[#This Row],[Attrition]]="No",0,""))</f>
        <v>0</v>
      </c>
      <c r="AQ1068" t="str" cm="1">
        <f t="array" ref="AQ1068">_xlfn.IFS(CleanEmployeeData[[#This Row],[MonthlyIncome]]&lt;=3000,"0–3,000",CleanEmployeeData[[#This Row],[MonthlyIncome]]&lt;=6000,"3,001–6,000",CleanEmployeeData[[#This Row],[MonthlyIncome]]&lt;=10000,"6,001–10,000",TRUE,"10,001+")</f>
        <v>3,001–6,000</v>
      </c>
      <c r="AR1068" t="str" cm="1">
        <f t="array" ref="AR1068">_xlfn.IFS(CleanEmployeeData[[#This Row],[DistanceFromHome]]&lt;=5,"0–5 miles",CleanEmployeeData[[#This Row],[DistanceFromHome]]&lt;=10,"6–10 miles",CleanEmployeeData[[#This Row],[DistanceFromHome]]&lt;=15,"11–15 miles",TRUE,"16+ miles")</f>
        <v>0–5 miles</v>
      </c>
      <c r="AS1068" t="str" cm="1">
        <f t="array" ref="AS1068">_xlfn.IFS(CleanEmployeeData[[#This Row],[YearsAtCompany]]&lt;=1,"0–1 years",CleanEmployeeData[[#This Row],[YearsAtCompany]]&lt;=5,"2–5 years",CleanEmployeeData[[#This Row],[YearsAtCompany]]&lt;=10,"6–10 years",TRUE,"11+ years")</f>
        <v>2–5 years</v>
      </c>
    </row>
    <row r="1069" spans="1:4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cm="1">
        <f t="array" ref="AJ1069">_xlfn.SWITCH(CleanEmployeeData[[#This Row],[Education]],1,"Below College",2,"College",3,"Bachelor",4,"Master",5,"Doctor","Unknown")</f>
        <v>Bachelor</v>
      </c>
      <c r="AK1069" t="str" cm="1">
        <f t="array" ref="AK1069">_xlfn.SWITCH(CleanEmployeeData[[#This Row],[EnvironmentSatisfaction]],1,"Low",2,"Medium",3,"High",4,"Very High","Unknown")</f>
        <v>High</v>
      </c>
      <c r="AL1069" t="str" cm="1">
        <f t="array" ref="AL1069">_xlfn.SWITCH(CleanEmployeeData[[#This Row],[JobInvolvement]],1,"Low",2,"Medium",3,"High",4,"Very High","Unknown")</f>
        <v>High</v>
      </c>
      <c r="AM1069" t="str" cm="1">
        <f t="array" ref="AM1069">_xlfn.SWITCH(CleanEmployeeData[[#This Row],[JobSatisfaction]],1,"Low",2,"Medium",3,"High",4,"Very High","Unknown")</f>
        <v>High</v>
      </c>
      <c r="AN1069" t="str" cm="1">
        <f t="array" ref="AN1069">_xlfn.SWITCH(CleanEmployeeData[[#This Row],[PerformanceRating]],1,"Low",2,"Good",3,"Excellent",4,"Outstanding","Unknown")</f>
        <v>Excellent</v>
      </c>
      <c r="AO1069" t="str" cm="1">
        <f t="array" ref="AO1069">_xlfn.SWITCH(CleanEmployeeData[[#This Row],[WorkLifeBalance]],1,"Bad",2,"Good",3,"Better",4,"Best","Unknown")</f>
        <v>Good</v>
      </c>
      <c r="AP1069">
        <f>IF(CleanEmployeeData[[#This Row],[Attrition]]="Yes",1,IF(CleanEmployeeData[[#This Row],[Attrition]]="No",0,""))</f>
        <v>0</v>
      </c>
      <c r="AQ1069" t="str" cm="1">
        <f t="array" ref="AQ1069">_xlfn.IFS(CleanEmployeeData[[#This Row],[MonthlyIncome]]&lt;=3000,"0–3,000",CleanEmployeeData[[#This Row],[MonthlyIncome]]&lt;=6000,"3,001–6,000",CleanEmployeeData[[#This Row],[MonthlyIncome]]&lt;=10000,"6,001–10,000",TRUE,"10,001+")</f>
        <v>3,001–6,000</v>
      </c>
      <c r="AR1069" t="str" cm="1">
        <f t="array" ref="AR1069">_xlfn.IFS(CleanEmployeeData[[#This Row],[DistanceFromHome]]&lt;=5,"0–5 miles",CleanEmployeeData[[#This Row],[DistanceFromHome]]&lt;=10,"6–10 miles",CleanEmployeeData[[#This Row],[DistanceFromHome]]&lt;=15,"11–15 miles",TRUE,"16+ miles")</f>
        <v>11–15 miles</v>
      </c>
      <c r="AS1069" t="str" cm="1">
        <f t="array" ref="AS1069">_xlfn.IFS(CleanEmployeeData[[#This Row],[YearsAtCompany]]&lt;=1,"0–1 years",CleanEmployeeData[[#This Row],[YearsAtCompany]]&lt;=5,"2–5 years",CleanEmployeeData[[#This Row],[YearsAtCompany]]&lt;=10,"6–10 years",TRUE,"11+ years")</f>
        <v>2–5 years</v>
      </c>
    </row>
    <row r="1070" spans="1:4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cm="1">
        <f t="array" ref="AJ1070">_xlfn.SWITCH(CleanEmployeeData[[#This Row],[Education]],1,"Below College",2,"College",3,"Bachelor",4,"Master",5,"Doctor","Unknown")</f>
        <v>College</v>
      </c>
      <c r="AK1070" t="str" cm="1">
        <f t="array" ref="AK1070">_xlfn.SWITCH(CleanEmployeeData[[#This Row],[EnvironmentSatisfaction]],1,"Low",2,"Medium",3,"High",4,"Very High","Unknown")</f>
        <v>High</v>
      </c>
      <c r="AL1070" t="str" cm="1">
        <f t="array" ref="AL1070">_xlfn.SWITCH(CleanEmployeeData[[#This Row],[JobInvolvement]],1,"Low",2,"Medium",3,"High",4,"Very High","Unknown")</f>
        <v>Medium</v>
      </c>
      <c r="AM1070" t="str" cm="1">
        <f t="array" ref="AM1070">_xlfn.SWITCH(CleanEmployeeData[[#This Row],[JobSatisfaction]],1,"Low",2,"Medium",3,"High",4,"Very High","Unknown")</f>
        <v>Low</v>
      </c>
      <c r="AN1070" t="str" cm="1">
        <f t="array" ref="AN1070">_xlfn.SWITCH(CleanEmployeeData[[#This Row],[PerformanceRating]],1,"Low",2,"Good",3,"Excellent",4,"Outstanding","Unknown")</f>
        <v>Excellent</v>
      </c>
      <c r="AO1070" t="str" cm="1">
        <f t="array" ref="AO1070">_xlfn.SWITCH(CleanEmployeeData[[#This Row],[WorkLifeBalance]],1,"Bad",2,"Good",3,"Better",4,"Best","Unknown")</f>
        <v>Good</v>
      </c>
      <c r="AP1070">
        <f>IF(CleanEmployeeData[[#This Row],[Attrition]]="Yes",1,IF(CleanEmployeeData[[#This Row],[Attrition]]="No",0,""))</f>
        <v>1</v>
      </c>
      <c r="AQ1070" t="str" cm="1">
        <f t="array" ref="AQ1070">_xlfn.IFS(CleanEmployeeData[[#This Row],[MonthlyIncome]]&lt;=3000,"0–3,000",CleanEmployeeData[[#This Row],[MonthlyIncome]]&lt;=6000,"3,001–6,000",CleanEmployeeData[[#This Row],[MonthlyIncome]]&lt;=10000,"6,001–10,000",TRUE,"10,001+")</f>
        <v>0–3,000</v>
      </c>
      <c r="AR1070" t="str" cm="1">
        <f t="array" ref="AR1070">_xlfn.IFS(CleanEmployeeData[[#This Row],[DistanceFromHome]]&lt;=5,"0–5 miles",CleanEmployeeData[[#This Row],[DistanceFromHome]]&lt;=10,"6–10 miles",CleanEmployeeData[[#This Row],[DistanceFromHome]]&lt;=15,"11–15 miles",TRUE,"16+ miles")</f>
        <v>0–5 miles</v>
      </c>
      <c r="AS1070" t="str" cm="1">
        <f t="array" ref="AS1070">_xlfn.IFS(CleanEmployeeData[[#This Row],[YearsAtCompany]]&lt;=1,"0–1 years",CleanEmployeeData[[#This Row],[YearsAtCompany]]&lt;=5,"2–5 years",CleanEmployeeData[[#This Row],[YearsAtCompany]]&lt;=10,"6–10 years",TRUE,"11+ years")</f>
        <v>0–1 years</v>
      </c>
    </row>
    <row r="1071" spans="1:4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cm="1">
        <f t="array" ref="AJ1071">_xlfn.SWITCH(CleanEmployeeData[[#This Row],[Education]],1,"Below College",2,"College",3,"Bachelor",4,"Master",5,"Doctor","Unknown")</f>
        <v>Bachelor</v>
      </c>
      <c r="AK1071" t="str" cm="1">
        <f t="array" ref="AK1071">_xlfn.SWITCH(CleanEmployeeData[[#This Row],[EnvironmentSatisfaction]],1,"Low",2,"Medium",3,"High",4,"Very High","Unknown")</f>
        <v>Low</v>
      </c>
      <c r="AL1071" t="str" cm="1">
        <f t="array" ref="AL1071">_xlfn.SWITCH(CleanEmployeeData[[#This Row],[JobInvolvement]],1,"Low",2,"Medium",3,"High",4,"Very High","Unknown")</f>
        <v>Medium</v>
      </c>
      <c r="AM1071" t="str" cm="1">
        <f t="array" ref="AM1071">_xlfn.SWITCH(CleanEmployeeData[[#This Row],[JobSatisfaction]],1,"Low",2,"Medium",3,"High",4,"Very High","Unknown")</f>
        <v>High</v>
      </c>
      <c r="AN1071" t="str" cm="1">
        <f t="array" ref="AN1071">_xlfn.SWITCH(CleanEmployeeData[[#This Row],[PerformanceRating]],1,"Low",2,"Good",3,"Excellent",4,"Outstanding","Unknown")</f>
        <v>Excellent</v>
      </c>
      <c r="AO1071" t="str" cm="1">
        <f t="array" ref="AO1071">_xlfn.SWITCH(CleanEmployeeData[[#This Row],[WorkLifeBalance]],1,"Bad",2,"Good",3,"Better",4,"Best","Unknown")</f>
        <v>Bad</v>
      </c>
      <c r="AP1071">
        <f>IF(CleanEmployeeData[[#This Row],[Attrition]]="Yes",1,IF(CleanEmployeeData[[#This Row],[Attrition]]="No",0,""))</f>
        <v>0</v>
      </c>
      <c r="AQ1071" t="str" cm="1">
        <f t="array" ref="AQ1071">_xlfn.IFS(CleanEmployeeData[[#This Row],[MonthlyIncome]]&lt;=3000,"0–3,000",CleanEmployeeData[[#This Row],[MonthlyIncome]]&lt;=6000,"3,001–6,000",CleanEmployeeData[[#This Row],[MonthlyIncome]]&lt;=10000,"6,001–10,000",TRUE,"10,001+")</f>
        <v>0–3,000</v>
      </c>
      <c r="AR1071" t="str" cm="1">
        <f t="array" ref="AR1071">_xlfn.IFS(CleanEmployeeData[[#This Row],[DistanceFromHome]]&lt;=5,"0–5 miles",CleanEmployeeData[[#This Row],[DistanceFromHome]]&lt;=10,"6–10 miles",CleanEmployeeData[[#This Row],[DistanceFromHome]]&lt;=15,"11–15 miles",TRUE,"16+ miles")</f>
        <v>0–5 miles</v>
      </c>
      <c r="AS1071" t="str" cm="1">
        <f t="array" ref="AS1071">_xlfn.IFS(CleanEmployeeData[[#This Row],[YearsAtCompany]]&lt;=1,"0–1 years",CleanEmployeeData[[#This Row],[YearsAtCompany]]&lt;=5,"2–5 years",CleanEmployeeData[[#This Row],[YearsAtCompany]]&lt;=10,"6–10 years",TRUE,"11+ years")</f>
        <v>0–1 years</v>
      </c>
    </row>
    <row r="1072" spans="1:4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cm="1">
        <f t="array" ref="AJ1072">_xlfn.SWITCH(CleanEmployeeData[[#This Row],[Education]],1,"Below College",2,"College",3,"Bachelor",4,"Master",5,"Doctor","Unknown")</f>
        <v>Bachelor</v>
      </c>
      <c r="AK1072" t="str" cm="1">
        <f t="array" ref="AK1072">_xlfn.SWITCH(CleanEmployeeData[[#This Row],[EnvironmentSatisfaction]],1,"Low",2,"Medium",3,"High",4,"Very High","Unknown")</f>
        <v>High</v>
      </c>
      <c r="AL1072" t="str" cm="1">
        <f t="array" ref="AL1072">_xlfn.SWITCH(CleanEmployeeData[[#This Row],[JobInvolvement]],1,"Low",2,"Medium",3,"High",4,"Very High","Unknown")</f>
        <v>High</v>
      </c>
      <c r="AM1072" t="str" cm="1">
        <f t="array" ref="AM1072">_xlfn.SWITCH(CleanEmployeeData[[#This Row],[JobSatisfaction]],1,"Low",2,"Medium",3,"High",4,"Very High","Unknown")</f>
        <v>Low</v>
      </c>
      <c r="AN1072" t="str" cm="1">
        <f t="array" ref="AN1072">_xlfn.SWITCH(CleanEmployeeData[[#This Row],[PerformanceRating]],1,"Low",2,"Good",3,"Excellent",4,"Outstanding","Unknown")</f>
        <v>Excellent</v>
      </c>
      <c r="AO1072" t="str" cm="1">
        <f t="array" ref="AO1072">_xlfn.SWITCH(CleanEmployeeData[[#This Row],[WorkLifeBalance]],1,"Bad",2,"Good",3,"Better",4,"Best","Unknown")</f>
        <v>Better</v>
      </c>
      <c r="AP1072">
        <f>IF(CleanEmployeeData[[#This Row],[Attrition]]="Yes",1,IF(CleanEmployeeData[[#This Row],[Attrition]]="No",0,""))</f>
        <v>0</v>
      </c>
      <c r="AQ1072" t="str" cm="1">
        <f t="array" ref="AQ1072">_xlfn.IFS(CleanEmployeeData[[#This Row],[MonthlyIncome]]&lt;=3000,"0–3,000",CleanEmployeeData[[#This Row],[MonthlyIncome]]&lt;=6000,"3,001–6,000",CleanEmployeeData[[#This Row],[MonthlyIncome]]&lt;=10000,"6,001–10,000",TRUE,"10,001+")</f>
        <v>3,001–6,000</v>
      </c>
      <c r="AR1072" t="str" cm="1">
        <f t="array" ref="AR1072">_xlfn.IFS(CleanEmployeeData[[#This Row],[DistanceFromHome]]&lt;=5,"0–5 miles",CleanEmployeeData[[#This Row],[DistanceFromHome]]&lt;=10,"6–10 miles",CleanEmployeeData[[#This Row],[DistanceFromHome]]&lt;=15,"11–15 miles",TRUE,"16+ miles")</f>
        <v>6–10 miles</v>
      </c>
      <c r="AS1072" t="str" cm="1">
        <f t="array" ref="AS1072">_xlfn.IFS(CleanEmployeeData[[#This Row],[YearsAtCompany]]&lt;=1,"0–1 years",CleanEmployeeData[[#This Row],[YearsAtCompany]]&lt;=5,"2–5 years",CleanEmployeeData[[#This Row],[YearsAtCompany]]&lt;=10,"6–10 years",TRUE,"11+ years")</f>
        <v>2–5 years</v>
      </c>
    </row>
    <row r="1073" spans="1:4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cm="1">
        <f t="array" ref="AJ1073">_xlfn.SWITCH(CleanEmployeeData[[#This Row],[Education]],1,"Below College",2,"College",3,"Bachelor",4,"Master",5,"Doctor","Unknown")</f>
        <v>College</v>
      </c>
      <c r="AK1073" t="str" cm="1">
        <f t="array" ref="AK1073">_xlfn.SWITCH(CleanEmployeeData[[#This Row],[EnvironmentSatisfaction]],1,"Low",2,"Medium",3,"High",4,"Very High","Unknown")</f>
        <v>High</v>
      </c>
      <c r="AL1073" t="str" cm="1">
        <f t="array" ref="AL1073">_xlfn.SWITCH(CleanEmployeeData[[#This Row],[JobInvolvement]],1,"Low",2,"Medium",3,"High",4,"Very High","Unknown")</f>
        <v>Medium</v>
      </c>
      <c r="AM1073" t="str" cm="1">
        <f t="array" ref="AM1073">_xlfn.SWITCH(CleanEmployeeData[[#This Row],[JobSatisfaction]],1,"Low",2,"Medium",3,"High",4,"Very High","Unknown")</f>
        <v>Low</v>
      </c>
      <c r="AN1073" t="str" cm="1">
        <f t="array" ref="AN1073">_xlfn.SWITCH(CleanEmployeeData[[#This Row],[PerformanceRating]],1,"Low",2,"Good",3,"Excellent",4,"Outstanding","Unknown")</f>
        <v>Outstanding</v>
      </c>
      <c r="AO1073" t="str" cm="1">
        <f t="array" ref="AO1073">_xlfn.SWITCH(CleanEmployeeData[[#This Row],[WorkLifeBalance]],1,"Bad",2,"Good",3,"Better",4,"Best","Unknown")</f>
        <v>Better</v>
      </c>
      <c r="AP1073">
        <f>IF(CleanEmployeeData[[#This Row],[Attrition]]="Yes",1,IF(CleanEmployeeData[[#This Row],[Attrition]]="No",0,""))</f>
        <v>0</v>
      </c>
      <c r="AQ1073" t="str" cm="1">
        <f t="array" ref="AQ1073">_xlfn.IFS(CleanEmployeeData[[#This Row],[MonthlyIncome]]&lt;=3000,"0–3,000",CleanEmployeeData[[#This Row],[MonthlyIncome]]&lt;=6000,"3,001–6,000",CleanEmployeeData[[#This Row],[MonthlyIncome]]&lt;=10000,"6,001–10,000",TRUE,"10,001+")</f>
        <v>3,001–6,000</v>
      </c>
      <c r="AR1073" t="str" cm="1">
        <f t="array" ref="AR1073">_xlfn.IFS(CleanEmployeeData[[#This Row],[DistanceFromHome]]&lt;=5,"0–5 miles",CleanEmployeeData[[#This Row],[DistanceFromHome]]&lt;=10,"6–10 miles",CleanEmployeeData[[#This Row],[DistanceFromHome]]&lt;=15,"11–15 miles",TRUE,"16+ miles")</f>
        <v>0–5 miles</v>
      </c>
      <c r="AS1073" t="str" cm="1">
        <f t="array" ref="AS1073">_xlfn.IFS(CleanEmployeeData[[#This Row],[YearsAtCompany]]&lt;=1,"0–1 years",CleanEmployeeData[[#This Row],[YearsAtCompany]]&lt;=5,"2–5 years",CleanEmployeeData[[#This Row],[YearsAtCompany]]&lt;=10,"6–10 years",TRUE,"11+ years")</f>
        <v>2–5 years</v>
      </c>
    </row>
    <row r="1074" spans="1:4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cm="1">
        <f t="array" ref="AJ1074">_xlfn.SWITCH(CleanEmployeeData[[#This Row],[Education]],1,"Below College",2,"College",3,"Bachelor",4,"Master",5,"Doctor","Unknown")</f>
        <v>Below College</v>
      </c>
      <c r="AK1074" t="str" cm="1">
        <f t="array" ref="AK1074">_xlfn.SWITCH(CleanEmployeeData[[#This Row],[EnvironmentSatisfaction]],1,"Low",2,"Medium",3,"High",4,"Very High","Unknown")</f>
        <v>Very High</v>
      </c>
      <c r="AL1074" t="str" cm="1">
        <f t="array" ref="AL1074">_xlfn.SWITCH(CleanEmployeeData[[#This Row],[JobInvolvement]],1,"Low",2,"Medium",3,"High",4,"Very High","Unknown")</f>
        <v>High</v>
      </c>
      <c r="AM1074" t="str" cm="1">
        <f t="array" ref="AM1074">_xlfn.SWITCH(CleanEmployeeData[[#This Row],[JobSatisfaction]],1,"Low",2,"Medium",3,"High",4,"Very High","Unknown")</f>
        <v>Medium</v>
      </c>
      <c r="AN1074" t="str" cm="1">
        <f t="array" ref="AN1074">_xlfn.SWITCH(CleanEmployeeData[[#This Row],[PerformanceRating]],1,"Low",2,"Good",3,"Excellent",4,"Outstanding","Unknown")</f>
        <v>Excellent</v>
      </c>
      <c r="AO1074" t="str" cm="1">
        <f t="array" ref="AO1074">_xlfn.SWITCH(CleanEmployeeData[[#This Row],[WorkLifeBalance]],1,"Bad",2,"Good",3,"Better",4,"Best","Unknown")</f>
        <v>Better</v>
      </c>
      <c r="AP1074">
        <f>IF(CleanEmployeeData[[#This Row],[Attrition]]="Yes",1,IF(CleanEmployeeData[[#This Row],[Attrition]]="No",0,""))</f>
        <v>0</v>
      </c>
      <c r="AQ1074" t="str" cm="1">
        <f t="array" ref="AQ1074">_xlfn.IFS(CleanEmployeeData[[#This Row],[MonthlyIncome]]&lt;=3000,"0–3,000",CleanEmployeeData[[#This Row],[MonthlyIncome]]&lt;=6000,"3,001–6,000",CleanEmployeeData[[#This Row],[MonthlyIncome]]&lt;=10000,"6,001–10,000",TRUE,"10,001+")</f>
        <v>3,001–6,000</v>
      </c>
      <c r="AR1074" t="str" cm="1">
        <f t="array" ref="AR1074">_xlfn.IFS(CleanEmployeeData[[#This Row],[DistanceFromHome]]&lt;=5,"0–5 miles",CleanEmployeeData[[#This Row],[DistanceFromHome]]&lt;=10,"6–10 miles",CleanEmployeeData[[#This Row],[DistanceFromHome]]&lt;=15,"11–15 miles",TRUE,"16+ miles")</f>
        <v>0–5 miles</v>
      </c>
      <c r="AS1074" t="str" cm="1">
        <f t="array" ref="AS1074">_xlfn.IFS(CleanEmployeeData[[#This Row],[YearsAtCompany]]&lt;=1,"0–1 years",CleanEmployeeData[[#This Row],[YearsAtCompany]]&lt;=5,"2–5 years",CleanEmployeeData[[#This Row],[YearsAtCompany]]&lt;=10,"6–10 years",TRUE,"11+ years")</f>
        <v>2–5 years</v>
      </c>
    </row>
    <row r="1075" spans="1:4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cm="1">
        <f t="array" ref="AJ1075">_xlfn.SWITCH(CleanEmployeeData[[#This Row],[Education]],1,"Below College",2,"College",3,"Bachelor",4,"Master",5,"Doctor","Unknown")</f>
        <v>Below College</v>
      </c>
      <c r="AK1075" t="str" cm="1">
        <f t="array" ref="AK1075">_xlfn.SWITCH(CleanEmployeeData[[#This Row],[EnvironmentSatisfaction]],1,"Low",2,"Medium",3,"High",4,"Very High","Unknown")</f>
        <v>High</v>
      </c>
      <c r="AL1075" t="str" cm="1">
        <f t="array" ref="AL1075">_xlfn.SWITCH(CleanEmployeeData[[#This Row],[JobInvolvement]],1,"Low",2,"Medium",3,"High",4,"Very High","Unknown")</f>
        <v>Low</v>
      </c>
      <c r="AM1075" t="str" cm="1">
        <f t="array" ref="AM1075">_xlfn.SWITCH(CleanEmployeeData[[#This Row],[JobSatisfaction]],1,"Low",2,"Medium",3,"High",4,"Very High","Unknown")</f>
        <v>Medium</v>
      </c>
      <c r="AN1075" t="str" cm="1">
        <f t="array" ref="AN1075">_xlfn.SWITCH(CleanEmployeeData[[#This Row],[PerformanceRating]],1,"Low",2,"Good",3,"Excellent",4,"Outstanding","Unknown")</f>
        <v>Excellent</v>
      </c>
      <c r="AO1075" t="str" cm="1">
        <f t="array" ref="AO1075">_xlfn.SWITCH(CleanEmployeeData[[#This Row],[WorkLifeBalance]],1,"Bad",2,"Good",3,"Better",4,"Best","Unknown")</f>
        <v>Good</v>
      </c>
      <c r="AP1075">
        <f>IF(CleanEmployeeData[[#This Row],[Attrition]]="Yes",1,IF(CleanEmployeeData[[#This Row],[Attrition]]="No",0,""))</f>
        <v>0</v>
      </c>
      <c r="AQ1075" t="str" cm="1">
        <f t="array" ref="AQ1075">_xlfn.IFS(CleanEmployeeData[[#This Row],[MonthlyIncome]]&lt;=3000,"0–3,000",CleanEmployeeData[[#This Row],[MonthlyIncome]]&lt;=6000,"3,001–6,000",CleanEmployeeData[[#This Row],[MonthlyIncome]]&lt;=10000,"6,001–10,000",TRUE,"10,001+")</f>
        <v>6,001–10,000</v>
      </c>
      <c r="AR1075" t="str" cm="1">
        <f t="array" ref="AR1075">_xlfn.IFS(CleanEmployeeData[[#This Row],[DistanceFromHome]]&lt;=5,"0–5 miles",CleanEmployeeData[[#This Row],[DistanceFromHome]]&lt;=10,"6–10 miles",CleanEmployeeData[[#This Row],[DistanceFromHome]]&lt;=15,"11–15 miles",TRUE,"16+ miles")</f>
        <v>16+ miles</v>
      </c>
      <c r="AS1075" t="str" cm="1">
        <f t="array" ref="AS1075">_xlfn.IFS(CleanEmployeeData[[#This Row],[YearsAtCompany]]&lt;=1,"0–1 years",CleanEmployeeData[[#This Row],[YearsAtCompany]]&lt;=5,"2–5 years",CleanEmployeeData[[#This Row],[YearsAtCompany]]&lt;=10,"6–10 years",TRUE,"11+ years")</f>
        <v>6–10 years</v>
      </c>
    </row>
    <row r="1076" spans="1:4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cm="1">
        <f t="array" ref="AJ1076">_xlfn.SWITCH(CleanEmployeeData[[#This Row],[Education]],1,"Below College",2,"College",3,"Bachelor",4,"Master",5,"Doctor","Unknown")</f>
        <v>Doctor</v>
      </c>
      <c r="AK1076" t="str" cm="1">
        <f t="array" ref="AK1076">_xlfn.SWITCH(CleanEmployeeData[[#This Row],[EnvironmentSatisfaction]],1,"Low",2,"Medium",3,"High",4,"Very High","Unknown")</f>
        <v>Very High</v>
      </c>
      <c r="AL1076" t="str" cm="1">
        <f t="array" ref="AL1076">_xlfn.SWITCH(CleanEmployeeData[[#This Row],[JobInvolvement]],1,"Low",2,"Medium",3,"High",4,"Very High","Unknown")</f>
        <v>High</v>
      </c>
      <c r="AM1076" t="str" cm="1">
        <f t="array" ref="AM1076">_xlfn.SWITCH(CleanEmployeeData[[#This Row],[JobSatisfaction]],1,"Low",2,"Medium",3,"High",4,"Very High","Unknown")</f>
        <v>High</v>
      </c>
      <c r="AN1076" t="str" cm="1">
        <f t="array" ref="AN1076">_xlfn.SWITCH(CleanEmployeeData[[#This Row],[PerformanceRating]],1,"Low",2,"Good",3,"Excellent",4,"Outstanding","Unknown")</f>
        <v>Excellent</v>
      </c>
      <c r="AO1076" t="str" cm="1">
        <f t="array" ref="AO1076">_xlfn.SWITCH(CleanEmployeeData[[#This Row],[WorkLifeBalance]],1,"Bad",2,"Good",3,"Better",4,"Best","Unknown")</f>
        <v>Better</v>
      </c>
      <c r="AP1076">
        <f>IF(CleanEmployeeData[[#This Row],[Attrition]]="Yes",1,IF(CleanEmployeeData[[#This Row],[Attrition]]="No",0,""))</f>
        <v>0</v>
      </c>
      <c r="AQ1076" t="str" cm="1">
        <f t="array" ref="AQ1076">_xlfn.IFS(CleanEmployeeData[[#This Row],[MonthlyIncome]]&lt;=3000,"0–3,000",CleanEmployeeData[[#This Row],[MonthlyIncome]]&lt;=6000,"3,001–6,000",CleanEmployeeData[[#This Row],[MonthlyIncome]]&lt;=10000,"6,001–10,000",TRUE,"10,001+")</f>
        <v>6,001–10,000</v>
      </c>
      <c r="AR1076" t="str" cm="1">
        <f t="array" ref="AR1076">_xlfn.IFS(CleanEmployeeData[[#This Row],[DistanceFromHome]]&lt;=5,"0–5 miles",CleanEmployeeData[[#This Row],[DistanceFromHome]]&lt;=10,"6–10 miles",CleanEmployeeData[[#This Row],[DistanceFromHome]]&lt;=15,"11–15 miles",TRUE,"16+ miles")</f>
        <v>6–10 miles</v>
      </c>
      <c r="AS1076" t="str" cm="1">
        <f t="array" ref="AS1076">_xlfn.IFS(CleanEmployeeData[[#This Row],[YearsAtCompany]]&lt;=1,"0–1 years",CleanEmployeeData[[#This Row],[YearsAtCompany]]&lt;=5,"2–5 years",CleanEmployeeData[[#This Row],[YearsAtCompany]]&lt;=10,"6–10 years",TRUE,"11+ years")</f>
        <v>0–1 years</v>
      </c>
    </row>
    <row r="1077" spans="1:4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cm="1">
        <f t="array" ref="AJ1077">_xlfn.SWITCH(CleanEmployeeData[[#This Row],[Education]],1,"Below College",2,"College",3,"Bachelor",4,"Master",5,"Doctor","Unknown")</f>
        <v>Bachelor</v>
      </c>
      <c r="AK1077" t="str" cm="1">
        <f t="array" ref="AK1077">_xlfn.SWITCH(CleanEmployeeData[[#This Row],[EnvironmentSatisfaction]],1,"Low",2,"Medium",3,"High",4,"Very High","Unknown")</f>
        <v>High</v>
      </c>
      <c r="AL1077" t="str" cm="1">
        <f t="array" ref="AL1077">_xlfn.SWITCH(CleanEmployeeData[[#This Row],[JobInvolvement]],1,"Low",2,"Medium",3,"High",4,"Very High","Unknown")</f>
        <v>High</v>
      </c>
      <c r="AM1077" t="str" cm="1">
        <f t="array" ref="AM1077">_xlfn.SWITCH(CleanEmployeeData[[#This Row],[JobSatisfaction]],1,"Low",2,"Medium",3,"High",4,"Very High","Unknown")</f>
        <v>Very High</v>
      </c>
      <c r="AN1077" t="str" cm="1">
        <f t="array" ref="AN1077">_xlfn.SWITCH(CleanEmployeeData[[#This Row],[PerformanceRating]],1,"Low",2,"Good",3,"Excellent",4,"Outstanding","Unknown")</f>
        <v>Outstanding</v>
      </c>
      <c r="AO1077" t="str" cm="1">
        <f t="array" ref="AO1077">_xlfn.SWITCH(CleanEmployeeData[[#This Row],[WorkLifeBalance]],1,"Bad",2,"Good",3,"Better",4,"Best","Unknown")</f>
        <v>Best</v>
      </c>
      <c r="AP1077">
        <f>IF(CleanEmployeeData[[#This Row],[Attrition]]="Yes",1,IF(CleanEmployeeData[[#This Row],[Attrition]]="No",0,""))</f>
        <v>0</v>
      </c>
      <c r="AQ1077" t="str" cm="1">
        <f t="array" ref="AQ1077">_xlfn.IFS(CleanEmployeeData[[#This Row],[MonthlyIncome]]&lt;=3000,"0–3,000",CleanEmployeeData[[#This Row],[MonthlyIncome]]&lt;=6000,"3,001–6,000",CleanEmployeeData[[#This Row],[MonthlyIncome]]&lt;=10000,"6,001–10,000",TRUE,"10,001+")</f>
        <v>10,001+</v>
      </c>
      <c r="AR1077" t="str" cm="1">
        <f t="array" ref="AR1077">_xlfn.IFS(CleanEmployeeData[[#This Row],[DistanceFromHome]]&lt;=5,"0–5 miles",CleanEmployeeData[[#This Row],[DistanceFromHome]]&lt;=10,"6–10 miles",CleanEmployeeData[[#This Row],[DistanceFromHome]]&lt;=15,"11–15 miles",TRUE,"16+ miles")</f>
        <v>6–10 miles</v>
      </c>
      <c r="AS1077" t="str" cm="1">
        <f t="array" ref="AS1077">_xlfn.IFS(CleanEmployeeData[[#This Row],[YearsAtCompany]]&lt;=1,"0–1 years",CleanEmployeeData[[#This Row],[YearsAtCompany]]&lt;=5,"2–5 years",CleanEmployeeData[[#This Row],[YearsAtCompany]]&lt;=10,"6–10 years",TRUE,"11+ years")</f>
        <v>2–5 years</v>
      </c>
    </row>
    <row r="1078" spans="1:4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cm="1">
        <f t="array" ref="AJ1078">_xlfn.SWITCH(CleanEmployeeData[[#This Row],[Education]],1,"Below College",2,"College",3,"Bachelor",4,"Master",5,"Doctor","Unknown")</f>
        <v>Master</v>
      </c>
      <c r="AK1078" t="str" cm="1">
        <f t="array" ref="AK1078">_xlfn.SWITCH(CleanEmployeeData[[#This Row],[EnvironmentSatisfaction]],1,"Low",2,"Medium",3,"High",4,"Very High","Unknown")</f>
        <v>Medium</v>
      </c>
      <c r="AL1078" t="str" cm="1">
        <f t="array" ref="AL1078">_xlfn.SWITCH(CleanEmployeeData[[#This Row],[JobInvolvement]],1,"Low",2,"Medium",3,"High",4,"Very High","Unknown")</f>
        <v>High</v>
      </c>
      <c r="AM1078" t="str" cm="1">
        <f t="array" ref="AM1078">_xlfn.SWITCH(CleanEmployeeData[[#This Row],[JobSatisfaction]],1,"Low",2,"Medium",3,"High",4,"Very High","Unknown")</f>
        <v>Very High</v>
      </c>
      <c r="AN1078" t="str" cm="1">
        <f t="array" ref="AN1078">_xlfn.SWITCH(CleanEmployeeData[[#This Row],[PerformanceRating]],1,"Low",2,"Good",3,"Excellent",4,"Outstanding","Unknown")</f>
        <v>Outstanding</v>
      </c>
      <c r="AO1078" t="str" cm="1">
        <f t="array" ref="AO1078">_xlfn.SWITCH(CleanEmployeeData[[#This Row],[WorkLifeBalance]],1,"Bad",2,"Good",3,"Better",4,"Best","Unknown")</f>
        <v>Better</v>
      </c>
      <c r="AP1078">
        <f>IF(CleanEmployeeData[[#This Row],[Attrition]]="Yes",1,IF(CleanEmployeeData[[#This Row],[Attrition]]="No",0,""))</f>
        <v>0</v>
      </c>
      <c r="AQ1078" t="str" cm="1">
        <f t="array" ref="AQ1078">_xlfn.IFS(CleanEmployeeData[[#This Row],[MonthlyIncome]]&lt;=3000,"0–3,000",CleanEmployeeData[[#This Row],[MonthlyIncome]]&lt;=6000,"3,001–6,000",CleanEmployeeData[[#This Row],[MonthlyIncome]]&lt;=10000,"6,001–10,000",TRUE,"10,001+")</f>
        <v>10,001+</v>
      </c>
      <c r="AR1078" t="str" cm="1">
        <f t="array" ref="AR1078">_xlfn.IFS(CleanEmployeeData[[#This Row],[DistanceFromHome]]&lt;=5,"0–5 miles",CleanEmployeeData[[#This Row],[DistanceFromHome]]&lt;=10,"6–10 miles",CleanEmployeeData[[#This Row],[DistanceFromHome]]&lt;=15,"11–15 miles",TRUE,"16+ miles")</f>
        <v>11–15 miles</v>
      </c>
      <c r="AS1078" t="str" cm="1">
        <f t="array" ref="AS1078">_xlfn.IFS(CleanEmployeeData[[#This Row],[YearsAtCompany]]&lt;=1,"0–1 years",CleanEmployeeData[[#This Row],[YearsAtCompany]]&lt;=5,"2–5 years",CleanEmployeeData[[#This Row],[YearsAtCompany]]&lt;=10,"6–10 years",TRUE,"11+ years")</f>
        <v>11+ years</v>
      </c>
    </row>
    <row r="1079" spans="1:4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cm="1">
        <f t="array" ref="AJ1079">_xlfn.SWITCH(CleanEmployeeData[[#This Row],[Education]],1,"Below College",2,"College",3,"Bachelor",4,"Master",5,"Doctor","Unknown")</f>
        <v>Master</v>
      </c>
      <c r="AK1079" t="str" cm="1">
        <f t="array" ref="AK1079">_xlfn.SWITCH(CleanEmployeeData[[#This Row],[EnvironmentSatisfaction]],1,"Low",2,"Medium",3,"High",4,"Very High","Unknown")</f>
        <v>Low</v>
      </c>
      <c r="AL1079" t="str" cm="1">
        <f t="array" ref="AL1079">_xlfn.SWITCH(CleanEmployeeData[[#This Row],[JobInvolvement]],1,"Low",2,"Medium",3,"High",4,"Very High","Unknown")</f>
        <v>Medium</v>
      </c>
      <c r="AM1079" t="str" cm="1">
        <f t="array" ref="AM1079">_xlfn.SWITCH(CleanEmployeeData[[#This Row],[JobSatisfaction]],1,"Low",2,"Medium",3,"High",4,"Very High","Unknown")</f>
        <v>Low</v>
      </c>
      <c r="AN1079" t="str" cm="1">
        <f t="array" ref="AN1079">_xlfn.SWITCH(CleanEmployeeData[[#This Row],[PerformanceRating]],1,"Low",2,"Good",3,"Excellent",4,"Outstanding","Unknown")</f>
        <v>Excellent</v>
      </c>
      <c r="AO1079" t="str" cm="1">
        <f t="array" ref="AO1079">_xlfn.SWITCH(CleanEmployeeData[[#This Row],[WorkLifeBalance]],1,"Bad",2,"Good",3,"Better",4,"Best","Unknown")</f>
        <v>Bad</v>
      </c>
      <c r="AP1079">
        <f>IF(CleanEmployeeData[[#This Row],[Attrition]]="Yes",1,IF(CleanEmployeeData[[#This Row],[Attrition]]="No",0,""))</f>
        <v>1</v>
      </c>
      <c r="AQ1079" t="str" cm="1">
        <f t="array" ref="AQ1079">_xlfn.IFS(CleanEmployeeData[[#This Row],[MonthlyIncome]]&lt;=3000,"0–3,000",CleanEmployeeData[[#This Row],[MonthlyIncome]]&lt;=6000,"3,001–6,000",CleanEmployeeData[[#This Row],[MonthlyIncome]]&lt;=10000,"6,001–10,000",TRUE,"10,001+")</f>
        <v>0–3,000</v>
      </c>
      <c r="AR1079" t="str" cm="1">
        <f t="array" ref="AR1079">_xlfn.IFS(CleanEmployeeData[[#This Row],[DistanceFromHome]]&lt;=5,"0–5 miles",CleanEmployeeData[[#This Row],[DistanceFromHome]]&lt;=10,"6–10 miles",CleanEmployeeData[[#This Row],[DistanceFromHome]]&lt;=15,"11–15 miles",TRUE,"16+ miles")</f>
        <v>0–5 miles</v>
      </c>
      <c r="AS1079" t="str" cm="1">
        <f t="array" ref="AS1079">_xlfn.IFS(CleanEmployeeData[[#This Row],[YearsAtCompany]]&lt;=1,"0–1 years",CleanEmployeeData[[#This Row],[YearsAtCompany]]&lt;=5,"2–5 years",CleanEmployeeData[[#This Row],[YearsAtCompany]]&lt;=10,"6–10 years",TRUE,"11+ years")</f>
        <v>6–10 years</v>
      </c>
    </row>
    <row r="1080" spans="1:4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cm="1">
        <f t="array" ref="AJ1080">_xlfn.SWITCH(CleanEmployeeData[[#This Row],[Education]],1,"Below College",2,"College",3,"Bachelor",4,"Master",5,"Doctor","Unknown")</f>
        <v>Bachelor</v>
      </c>
      <c r="AK1080" t="str" cm="1">
        <f t="array" ref="AK1080">_xlfn.SWITCH(CleanEmployeeData[[#This Row],[EnvironmentSatisfaction]],1,"Low",2,"Medium",3,"High",4,"Very High","Unknown")</f>
        <v>Very High</v>
      </c>
      <c r="AL1080" t="str" cm="1">
        <f t="array" ref="AL1080">_xlfn.SWITCH(CleanEmployeeData[[#This Row],[JobInvolvement]],1,"Low",2,"Medium",3,"High",4,"Very High","Unknown")</f>
        <v>High</v>
      </c>
      <c r="AM1080" t="str" cm="1">
        <f t="array" ref="AM1080">_xlfn.SWITCH(CleanEmployeeData[[#This Row],[JobSatisfaction]],1,"Low",2,"Medium",3,"High",4,"Very High","Unknown")</f>
        <v>Low</v>
      </c>
      <c r="AN1080" t="str" cm="1">
        <f t="array" ref="AN1080">_xlfn.SWITCH(CleanEmployeeData[[#This Row],[PerformanceRating]],1,"Low",2,"Good",3,"Excellent",4,"Outstanding","Unknown")</f>
        <v>Excellent</v>
      </c>
      <c r="AO1080" t="str" cm="1">
        <f t="array" ref="AO1080">_xlfn.SWITCH(CleanEmployeeData[[#This Row],[WorkLifeBalance]],1,"Bad",2,"Good",3,"Better",4,"Best","Unknown")</f>
        <v>Best</v>
      </c>
      <c r="AP1080">
        <f>IF(CleanEmployeeData[[#This Row],[Attrition]]="Yes",1,IF(CleanEmployeeData[[#This Row],[Attrition]]="No",0,""))</f>
        <v>0</v>
      </c>
      <c r="AQ1080" t="str" cm="1">
        <f t="array" ref="AQ1080">_xlfn.IFS(CleanEmployeeData[[#This Row],[MonthlyIncome]]&lt;=3000,"0–3,000",CleanEmployeeData[[#This Row],[MonthlyIncome]]&lt;=6000,"3,001–6,000",CleanEmployeeData[[#This Row],[MonthlyIncome]]&lt;=10000,"6,001–10,000",TRUE,"10,001+")</f>
        <v>10,001+</v>
      </c>
      <c r="AR1080" t="str" cm="1">
        <f t="array" ref="AR1080">_xlfn.IFS(CleanEmployeeData[[#This Row],[DistanceFromHome]]&lt;=5,"0–5 miles",CleanEmployeeData[[#This Row],[DistanceFromHome]]&lt;=10,"6–10 miles",CleanEmployeeData[[#This Row],[DistanceFromHome]]&lt;=15,"11–15 miles",TRUE,"16+ miles")</f>
        <v>16+ miles</v>
      </c>
      <c r="AS1080" t="str" cm="1">
        <f t="array" ref="AS1080">_xlfn.IFS(CleanEmployeeData[[#This Row],[YearsAtCompany]]&lt;=1,"0–1 years",CleanEmployeeData[[#This Row],[YearsAtCompany]]&lt;=5,"2–5 years",CleanEmployeeData[[#This Row],[YearsAtCompany]]&lt;=10,"6–10 years",TRUE,"11+ years")</f>
        <v>11+ years</v>
      </c>
    </row>
    <row r="1081" spans="1:4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cm="1">
        <f t="array" ref="AJ1081">_xlfn.SWITCH(CleanEmployeeData[[#This Row],[Education]],1,"Below College",2,"College",3,"Bachelor",4,"Master",5,"Doctor","Unknown")</f>
        <v>Bachelor</v>
      </c>
      <c r="AK1081" t="str" cm="1">
        <f t="array" ref="AK1081">_xlfn.SWITCH(CleanEmployeeData[[#This Row],[EnvironmentSatisfaction]],1,"Low",2,"Medium",3,"High",4,"Very High","Unknown")</f>
        <v>Medium</v>
      </c>
      <c r="AL1081" t="str" cm="1">
        <f t="array" ref="AL1081">_xlfn.SWITCH(CleanEmployeeData[[#This Row],[JobInvolvement]],1,"Low",2,"Medium",3,"High",4,"Very High","Unknown")</f>
        <v>High</v>
      </c>
      <c r="AM1081" t="str" cm="1">
        <f t="array" ref="AM1081">_xlfn.SWITCH(CleanEmployeeData[[#This Row],[JobSatisfaction]],1,"Low",2,"Medium",3,"High",4,"Very High","Unknown")</f>
        <v>Medium</v>
      </c>
      <c r="AN1081" t="str" cm="1">
        <f t="array" ref="AN1081">_xlfn.SWITCH(CleanEmployeeData[[#This Row],[PerformanceRating]],1,"Low",2,"Good",3,"Excellent",4,"Outstanding","Unknown")</f>
        <v>Excellent</v>
      </c>
      <c r="AO1081" t="str" cm="1">
        <f t="array" ref="AO1081">_xlfn.SWITCH(CleanEmployeeData[[#This Row],[WorkLifeBalance]],1,"Bad",2,"Good",3,"Better",4,"Best","Unknown")</f>
        <v>Better</v>
      </c>
      <c r="AP1081">
        <f>IF(CleanEmployeeData[[#This Row],[Attrition]]="Yes",1,IF(CleanEmployeeData[[#This Row],[Attrition]]="No",0,""))</f>
        <v>0</v>
      </c>
      <c r="AQ1081" t="str" cm="1">
        <f t="array" ref="AQ1081">_xlfn.IFS(CleanEmployeeData[[#This Row],[MonthlyIncome]]&lt;=3000,"0–3,000",CleanEmployeeData[[#This Row],[MonthlyIncome]]&lt;=6000,"3,001–6,000",CleanEmployeeData[[#This Row],[MonthlyIncome]]&lt;=10000,"6,001–10,000",TRUE,"10,001+")</f>
        <v>6,001–10,000</v>
      </c>
      <c r="AR1081" t="str" cm="1">
        <f t="array" ref="AR1081">_xlfn.IFS(CleanEmployeeData[[#This Row],[DistanceFromHome]]&lt;=5,"0–5 miles",CleanEmployeeData[[#This Row],[DistanceFromHome]]&lt;=10,"6–10 miles",CleanEmployeeData[[#This Row],[DistanceFromHome]]&lt;=15,"11–15 miles",TRUE,"16+ miles")</f>
        <v>6–10 miles</v>
      </c>
      <c r="AS1081" t="str" cm="1">
        <f t="array" ref="AS1081">_xlfn.IFS(CleanEmployeeData[[#This Row],[YearsAtCompany]]&lt;=1,"0–1 years",CleanEmployeeData[[#This Row],[YearsAtCompany]]&lt;=5,"2–5 years",CleanEmployeeData[[#This Row],[YearsAtCompany]]&lt;=10,"6–10 years",TRUE,"11+ years")</f>
        <v>2–5 years</v>
      </c>
    </row>
    <row r="1082" spans="1:4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cm="1">
        <f t="array" ref="AJ1082">_xlfn.SWITCH(CleanEmployeeData[[#This Row],[Education]],1,"Below College",2,"College",3,"Bachelor",4,"Master",5,"Doctor","Unknown")</f>
        <v>Bachelor</v>
      </c>
      <c r="AK1082" t="str" cm="1">
        <f t="array" ref="AK1082">_xlfn.SWITCH(CleanEmployeeData[[#This Row],[EnvironmentSatisfaction]],1,"Low",2,"Medium",3,"High",4,"Very High","Unknown")</f>
        <v>High</v>
      </c>
      <c r="AL1082" t="str" cm="1">
        <f t="array" ref="AL1082">_xlfn.SWITCH(CleanEmployeeData[[#This Row],[JobInvolvement]],1,"Low",2,"Medium",3,"High",4,"Very High","Unknown")</f>
        <v>High</v>
      </c>
      <c r="AM1082" t="str" cm="1">
        <f t="array" ref="AM1082">_xlfn.SWITCH(CleanEmployeeData[[#This Row],[JobSatisfaction]],1,"Low",2,"Medium",3,"High",4,"Very High","Unknown")</f>
        <v>Medium</v>
      </c>
      <c r="AN1082" t="str" cm="1">
        <f t="array" ref="AN1082">_xlfn.SWITCH(CleanEmployeeData[[#This Row],[PerformanceRating]],1,"Low",2,"Good",3,"Excellent",4,"Outstanding","Unknown")</f>
        <v>Excellent</v>
      </c>
      <c r="AO1082" t="str" cm="1">
        <f t="array" ref="AO1082">_xlfn.SWITCH(CleanEmployeeData[[#This Row],[WorkLifeBalance]],1,"Bad",2,"Good",3,"Better",4,"Best","Unknown")</f>
        <v>Best</v>
      </c>
      <c r="AP1082">
        <f>IF(CleanEmployeeData[[#This Row],[Attrition]]="Yes",1,IF(CleanEmployeeData[[#This Row],[Attrition]]="No",0,""))</f>
        <v>0</v>
      </c>
      <c r="AQ1082" t="str" cm="1">
        <f t="array" ref="AQ1082">_xlfn.IFS(CleanEmployeeData[[#This Row],[MonthlyIncome]]&lt;=3000,"0–3,000",CleanEmployeeData[[#This Row],[MonthlyIncome]]&lt;=6000,"3,001–6,000",CleanEmployeeData[[#This Row],[MonthlyIncome]]&lt;=10000,"6,001–10,000",TRUE,"10,001+")</f>
        <v>10,001+</v>
      </c>
      <c r="AR1082" t="str" cm="1">
        <f t="array" ref="AR1082">_xlfn.IFS(CleanEmployeeData[[#This Row],[DistanceFromHome]]&lt;=5,"0–5 miles",CleanEmployeeData[[#This Row],[DistanceFromHome]]&lt;=10,"6–10 miles",CleanEmployeeData[[#This Row],[DistanceFromHome]]&lt;=15,"11–15 miles",TRUE,"16+ miles")</f>
        <v>0–5 miles</v>
      </c>
      <c r="AS1082" t="str" cm="1">
        <f t="array" ref="AS1082">_xlfn.IFS(CleanEmployeeData[[#This Row],[YearsAtCompany]]&lt;=1,"0–1 years",CleanEmployeeData[[#This Row],[YearsAtCompany]]&lt;=5,"2–5 years",CleanEmployeeData[[#This Row],[YearsAtCompany]]&lt;=10,"6–10 years",TRUE,"11+ years")</f>
        <v>11+ years</v>
      </c>
    </row>
    <row r="1083" spans="1:4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cm="1">
        <f t="array" ref="AJ1083">_xlfn.SWITCH(CleanEmployeeData[[#This Row],[Education]],1,"Below College",2,"College",3,"Bachelor",4,"Master",5,"Doctor","Unknown")</f>
        <v>Bachelor</v>
      </c>
      <c r="AK1083" t="str" cm="1">
        <f t="array" ref="AK1083">_xlfn.SWITCH(CleanEmployeeData[[#This Row],[EnvironmentSatisfaction]],1,"Low",2,"Medium",3,"High",4,"Very High","Unknown")</f>
        <v>Very High</v>
      </c>
      <c r="AL1083" t="str" cm="1">
        <f t="array" ref="AL1083">_xlfn.SWITCH(CleanEmployeeData[[#This Row],[JobInvolvement]],1,"Low",2,"Medium",3,"High",4,"Very High","Unknown")</f>
        <v>Medium</v>
      </c>
      <c r="AM1083" t="str" cm="1">
        <f t="array" ref="AM1083">_xlfn.SWITCH(CleanEmployeeData[[#This Row],[JobSatisfaction]],1,"Low",2,"Medium",3,"High",4,"Very High","Unknown")</f>
        <v>Medium</v>
      </c>
      <c r="AN1083" t="str" cm="1">
        <f t="array" ref="AN1083">_xlfn.SWITCH(CleanEmployeeData[[#This Row],[PerformanceRating]],1,"Low",2,"Good",3,"Excellent",4,"Outstanding","Unknown")</f>
        <v>Excellent</v>
      </c>
      <c r="AO1083" t="str" cm="1">
        <f t="array" ref="AO1083">_xlfn.SWITCH(CleanEmployeeData[[#This Row],[WorkLifeBalance]],1,"Bad",2,"Good",3,"Better",4,"Best","Unknown")</f>
        <v>Bad</v>
      </c>
      <c r="AP1083">
        <f>IF(CleanEmployeeData[[#This Row],[Attrition]]="Yes",1,IF(CleanEmployeeData[[#This Row],[Attrition]]="No",0,""))</f>
        <v>0</v>
      </c>
      <c r="AQ1083" t="str" cm="1">
        <f t="array" ref="AQ1083">_xlfn.IFS(CleanEmployeeData[[#This Row],[MonthlyIncome]]&lt;=3000,"0–3,000",CleanEmployeeData[[#This Row],[MonthlyIncome]]&lt;=6000,"3,001–6,000",CleanEmployeeData[[#This Row],[MonthlyIncome]]&lt;=10000,"6,001–10,000",TRUE,"10,001+")</f>
        <v>6,001–10,000</v>
      </c>
      <c r="AR1083" t="str" cm="1">
        <f t="array" ref="AR1083">_xlfn.IFS(CleanEmployeeData[[#This Row],[DistanceFromHome]]&lt;=5,"0–5 miles",CleanEmployeeData[[#This Row],[DistanceFromHome]]&lt;=10,"6–10 miles",CleanEmployeeData[[#This Row],[DistanceFromHome]]&lt;=15,"11–15 miles",TRUE,"16+ miles")</f>
        <v>16+ miles</v>
      </c>
      <c r="AS1083" t="str" cm="1">
        <f t="array" ref="AS1083">_xlfn.IFS(CleanEmployeeData[[#This Row],[YearsAtCompany]]&lt;=1,"0–1 years",CleanEmployeeData[[#This Row],[YearsAtCompany]]&lt;=5,"2–5 years",CleanEmployeeData[[#This Row],[YearsAtCompany]]&lt;=10,"6–10 years",TRUE,"11+ years")</f>
        <v>11+ years</v>
      </c>
    </row>
    <row r="1084" spans="1:4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cm="1">
        <f t="array" ref="AJ1084">_xlfn.SWITCH(CleanEmployeeData[[#This Row],[Education]],1,"Below College",2,"College",3,"Bachelor",4,"Master",5,"Doctor","Unknown")</f>
        <v>Below College</v>
      </c>
      <c r="AK1084" t="str" cm="1">
        <f t="array" ref="AK1084">_xlfn.SWITCH(CleanEmployeeData[[#This Row],[EnvironmentSatisfaction]],1,"Low",2,"Medium",3,"High",4,"Very High","Unknown")</f>
        <v>Low</v>
      </c>
      <c r="AL1084" t="str" cm="1">
        <f t="array" ref="AL1084">_xlfn.SWITCH(CleanEmployeeData[[#This Row],[JobInvolvement]],1,"Low",2,"Medium",3,"High",4,"Very High","Unknown")</f>
        <v>High</v>
      </c>
      <c r="AM1084" t="str" cm="1">
        <f t="array" ref="AM1084">_xlfn.SWITCH(CleanEmployeeData[[#This Row],[JobSatisfaction]],1,"Low",2,"Medium",3,"High",4,"Very High","Unknown")</f>
        <v>High</v>
      </c>
      <c r="AN1084" t="str" cm="1">
        <f t="array" ref="AN1084">_xlfn.SWITCH(CleanEmployeeData[[#This Row],[PerformanceRating]],1,"Low",2,"Good",3,"Excellent",4,"Outstanding","Unknown")</f>
        <v>Excellent</v>
      </c>
      <c r="AO1084" t="str" cm="1">
        <f t="array" ref="AO1084">_xlfn.SWITCH(CleanEmployeeData[[#This Row],[WorkLifeBalance]],1,"Bad",2,"Good",3,"Better",4,"Best","Unknown")</f>
        <v>Better</v>
      </c>
      <c r="AP1084">
        <f>IF(CleanEmployeeData[[#This Row],[Attrition]]="Yes",1,IF(CleanEmployeeData[[#This Row],[Attrition]]="No",0,""))</f>
        <v>0</v>
      </c>
      <c r="AQ1084" t="str" cm="1">
        <f t="array" ref="AQ1084">_xlfn.IFS(CleanEmployeeData[[#This Row],[MonthlyIncome]]&lt;=3000,"0–3,000",CleanEmployeeData[[#This Row],[MonthlyIncome]]&lt;=6000,"3,001–6,000",CleanEmployeeData[[#This Row],[MonthlyIncome]]&lt;=10000,"6,001–10,000",TRUE,"10,001+")</f>
        <v>0–3,000</v>
      </c>
      <c r="AR1084" t="str" cm="1">
        <f t="array" ref="AR1084">_xlfn.IFS(CleanEmployeeData[[#This Row],[DistanceFromHome]]&lt;=5,"0–5 miles",CleanEmployeeData[[#This Row],[DistanceFromHome]]&lt;=10,"6–10 miles",CleanEmployeeData[[#This Row],[DistanceFromHome]]&lt;=15,"11–15 miles",TRUE,"16+ miles")</f>
        <v>16+ miles</v>
      </c>
      <c r="AS1084" t="str" cm="1">
        <f t="array" ref="AS1084">_xlfn.IFS(CleanEmployeeData[[#This Row],[YearsAtCompany]]&lt;=1,"0–1 years",CleanEmployeeData[[#This Row],[YearsAtCompany]]&lt;=5,"2–5 years",CleanEmployeeData[[#This Row],[YearsAtCompany]]&lt;=10,"6–10 years",TRUE,"11+ years")</f>
        <v>2–5 years</v>
      </c>
    </row>
    <row r="1085" spans="1:4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cm="1">
        <f t="array" ref="AJ1085">_xlfn.SWITCH(CleanEmployeeData[[#This Row],[Education]],1,"Below College",2,"College",3,"Bachelor",4,"Master",5,"Doctor","Unknown")</f>
        <v>Master</v>
      </c>
      <c r="AK1085" t="str" cm="1">
        <f t="array" ref="AK1085">_xlfn.SWITCH(CleanEmployeeData[[#This Row],[EnvironmentSatisfaction]],1,"Low",2,"Medium",3,"High",4,"Very High","Unknown")</f>
        <v>Very High</v>
      </c>
      <c r="AL1085" t="str" cm="1">
        <f t="array" ref="AL1085">_xlfn.SWITCH(CleanEmployeeData[[#This Row],[JobInvolvement]],1,"Low",2,"Medium",3,"High",4,"Very High","Unknown")</f>
        <v>High</v>
      </c>
      <c r="AM1085" t="str" cm="1">
        <f t="array" ref="AM1085">_xlfn.SWITCH(CleanEmployeeData[[#This Row],[JobSatisfaction]],1,"Low",2,"Medium",3,"High",4,"Very High","Unknown")</f>
        <v>Low</v>
      </c>
      <c r="AN1085" t="str" cm="1">
        <f t="array" ref="AN1085">_xlfn.SWITCH(CleanEmployeeData[[#This Row],[PerformanceRating]],1,"Low",2,"Good",3,"Excellent",4,"Outstanding","Unknown")</f>
        <v>Excellent</v>
      </c>
      <c r="AO1085" t="str" cm="1">
        <f t="array" ref="AO1085">_xlfn.SWITCH(CleanEmployeeData[[#This Row],[WorkLifeBalance]],1,"Bad",2,"Good",3,"Better",4,"Best","Unknown")</f>
        <v>Bad</v>
      </c>
      <c r="AP1085">
        <f>IF(CleanEmployeeData[[#This Row],[Attrition]]="Yes",1,IF(CleanEmployeeData[[#This Row],[Attrition]]="No",0,""))</f>
        <v>1</v>
      </c>
      <c r="AQ1085" t="str" cm="1">
        <f t="array" ref="AQ1085">_xlfn.IFS(CleanEmployeeData[[#This Row],[MonthlyIncome]]&lt;=3000,"0–3,000",CleanEmployeeData[[#This Row],[MonthlyIncome]]&lt;=6000,"3,001–6,000",CleanEmployeeData[[#This Row],[MonthlyIncome]]&lt;=10000,"6,001–10,000",TRUE,"10,001+")</f>
        <v>0–3,000</v>
      </c>
      <c r="AR1085" t="str" cm="1">
        <f t="array" ref="AR1085">_xlfn.IFS(CleanEmployeeData[[#This Row],[DistanceFromHome]]&lt;=5,"0–5 miles",CleanEmployeeData[[#This Row],[DistanceFromHome]]&lt;=10,"6–10 miles",CleanEmployeeData[[#This Row],[DistanceFromHome]]&lt;=15,"11–15 miles",TRUE,"16+ miles")</f>
        <v>6–10 miles</v>
      </c>
      <c r="AS1085" t="str" cm="1">
        <f t="array" ref="AS1085">_xlfn.IFS(CleanEmployeeData[[#This Row],[YearsAtCompany]]&lt;=1,"0–1 years",CleanEmployeeData[[#This Row],[YearsAtCompany]]&lt;=5,"2–5 years",CleanEmployeeData[[#This Row],[YearsAtCompany]]&lt;=10,"6–10 years",TRUE,"11+ years")</f>
        <v>2–5 years</v>
      </c>
    </row>
    <row r="1086" spans="1:4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cm="1">
        <f t="array" ref="AJ1086">_xlfn.SWITCH(CleanEmployeeData[[#This Row],[Education]],1,"Below College",2,"College",3,"Bachelor",4,"Master",5,"Doctor","Unknown")</f>
        <v>Bachelor</v>
      </c>
      <c r="AK1086" t="str" cm="1">
        <f t="array" ref="AK1086">_xlfn.SWITCH(CleanEmployeeData[[#This Row],[EnvironmentSatisfaction]],1,"Low",2,"Medium",3,"High",4,"Very High","Unknown")</f>
        <v>Very High</v>
      </c>
      <c r="AL1086" t="str" cm="1">
        <f t="array" ref="AL1086">_xlfn.SWITCH(CleanEmployeeData[[#This Row],[JobInvolvement]],1,"Low",2,"Medium",3,"High",4,"Very High","Unknown")</f>
        <v>Medium</v>
      </c>
      <c r="AM1086" t="str" cm="1">
        <f t="array" ref="AM1086">_xlfn.SWITCH(CleanEmployeeData[[#This Row],[JobSatisfaction]],1,"Low",2,"Medium",3,"High",4,"Very High","Unknown")</f>
        <v>High</v>
      </c>
      <c r="AN1086" t="str" cm="1">
        <f t="array" ref="AN1086">_xlfn.SWITCH(CleanEmployeeData[[#This Row],[PerformanceRating]],1,"Low",2,"Good",3,"Excellent",4,"Outstanding","Unknown")</f>
        <v>Excellent</v>
      </c>
      <c r="AO1086" t="str" cm="1">
        <f t="array" ref="AO1086">_xlfn.SWITCH(CleanEmployeeData[[#This Row],[WorkLifeBalance]],1,"Bad",2,"Good",3,"Better",4,"Best","Unknown")</f>
        <v>Better</v>
      </c>
      <c r="AP1086">
        <f>IF(CleanEmployeeData[[#This Row],[Attrition]]="Yes",1,IF(CleanEmployeeData[[#This Row],[Attrition]]="No",0,""))</f>
        <v>0</v>
      </c>
      <c r="AQ1086" t="str" cm="1">
        <f t="array" ref="AQ1086">_xlfn.IFS(CleanEmployeeData[[#This Row],[MonthlyIncome]]&lt;=3000,"0–3,000",CleanEmployeeData[[#This Row],[MonthlyIncome]]&lt;=6000,"3,001–6,000",CleanEmployeeData[[#This Row],[MonthlyIncome]]&lt;=10000,"6,001–10,000",TRUE,"10,001+")</f>
        <v>6,001–10,000</v>
      </c>
      <c r="AR1086" t="str" cm="1">
        <f t="array" ref="AR1086">_xlfn.IFS(CleanEmployeeData[[#This Row],[DistanceFromHome]]&lt;=5,"0–5 miles",CleanEmployeeData[[#This Row],[DistanceFromHome]]&lt;=10,"6–10 miles",CleanEmployeeData[[#This Row],[DistanceFromHome]]&lt;=15,"11–15 miles",TRUE,"16+ miles")</f>
        <v>0–5 miles</v>
      </c>
      <c r="AS1086" t="str" cm="1">
        <f t="array" ref="AS1086">_xlfn.IFS(CleanEmployeeData[[#This Row],[YearsAtCompany]]&lt;=1,"0–1 years",CleanEmployeeData[[#This Row],[YearsAtCompany]]&lt;=5,"2–5 years",CleanEmployeeData[[#This Row],[YearsAtCompany]]&lt;=10,"6–10 years",TRUE,"11+ years")</f>
        <v>6–10 years</v>
      </c>
    </row>
    <row r="1087" spans="1:4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cm="1">
        <f t="array" ref="AJ1087">_xlfn.SWITCH(CleanEmployeeData[[#This Row],[Education]],1,"Below College",2,"College",3,"Bachelor",4,"Master",5,"Doctor","Unknown")</f>
        <v>Bachelor</v>
      </c>
      <c r="AK1087" t="str" cm="1">
        <f t="array" ref="AK1087">_xlfn.SWITCH(CleanEmployeeData[[#This Row],[EnvironmentSatisfaction]],1,"Low",2,"Medium",3,"High",4,"Very High","Unknown")</f>
        <v>Very High</v>
      </c>
      <c r="AL1087" t="str" cm="1">
        <f t="array" ref="AL1087">_xlfn.SWITCH(CleanEmployeeData[[#This Row],[JobInvolvement]],1,"Low",2,"Medium",3,"High",4,"Very High","Unknown")</f>
        <v>High</v>
      </c>
      <c r="AM1087" t="str" cm="1">
        <f t="array" ref="AM1087">_xlfn.SWITCH(CleanEmployeeData[[#This Row],[JobSatisfaction]],1,"Low",2,"Medium",3,"High",4,"Very High","Unknown")</f>
        <v>High</v>
      </c>
      <c r="AN1087" t="str" cm="1">
        <f t="array" ref="AN1087">_xlfn.SWITCH(CleanEmployeeData[[#This Row],[PerformanceRating]],1,"Low",2,"Good",3,"Excellent",4,"Outstanding","Unknown")</f>
        <v>Excellent</v>
      </c>
      <c r="AO1087" t="str" cm="1">
        <f t="array" ref="AO1087">_xlfn.SWITCH(CleanEmployeeData[[#This Row],[WorkLifeBalance]],1,"Bad",2,"Good",3,"Better",4,"Best","Unknown")</f>
        <v>Bad</v>
      </c>
      <c r="AP1087">
        <f>IF(CleanEmployeeData[[#This Row],[Attrition]]="Yes",1,IF(CleanEmployeeData[[#This Row],[Attrition]]="No",0,""))</f>
        <v>1</v>
      </c>
      <c r="AQ1087" t="str" cm="1">
        <f t="array" ref="AQ1087">_xlfn.IFS(CleanEmployeeData[[#This Row],[MonthlyIncome]]&lt;=3000,"0–3,000",CleanEmployeeData[[#This Row],[MonthlyIncome]]&lt;=6000,"3,001–6,000",CleanEmployeeData[[#This Row],[MonthlyIncome]]&lt;=10000,"6,001–10,000",TRUE,"10,001+")</f>
        <v>3,001–6,000</v>
      </c>
      <c r="AR1087" t="str" cm="1">
        <f t="array" ref="AR1087">_xlfn.IFS(CleanEmployeeData[[#This Row],[DistanceFromHome]]&lt;=5,"0–5 miles",CleanEmployeeData[[#This Row],[DistanceFromHome]]&lt;=10,"6–10 miles",CleanEmployeeData[[#This Row],[DistanceFromHome]]&lt;=15,"11–15 miles",TRUE,"16+ miles")</f>
        <v>0–5 miles</v>
      </c>
      <c r="AS1087" t="str" cm="1">
        <f t="array" ref="AS1087">_xlfn.IFS(CleanEmployeeData[[#This Row],[YearsAtCompany]]&lt;=1,"0–1 years",CleanEmployeeData[[#This Row],[YearsAtCompany]]&lt;=5,"2–5 years",CleanEmployeeData[[#This Row],[YearsAtCompany]]&lt;=10,"6–10 years",TRUE,"11+ years")</f>
        <v>6–10 years</v>
      </c>
    </row>
    <row r="1088" spans="1:4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cm="1">
        <f t="array" ref="AJ1088">_xlfn.SWITCH(CleanEmployeeData[[#This Row],[Education]],1,"Below College",2,"College",3,"Bachelor",4,"Master",5,"Doctor","Unknown")</f>
        <v>Doctor</v>
      </c>
      <c r="AK1088" t="str" cm="1">
        <f t="array" ref="AK1088">_xlfn.SWITCH(CleanEmployeeData[[#This Row],[EnvironmentSatisfaction]],1,"Low",2,"Medium",3,"High",4,"Very High","Unknown")</f>
        <v>High</v>
      </c>
      <c r="AL1088" t="str" cm="1">
        <f t="array" ref="AL1088">_xlfn.SWITCH(CleanEmployeeData[[#This Row],[JobInvolvement]],1,"Low",2,"Medium",3,"High",4,"Very High","Unknown")</f>
        <v>Low</v>
      </c>
      <c r="AM1088" t="str" cm="1">
        <f t="array" ref="AM1088">_xlfn.SWITCH(CleanEmployeeData[[#This Row],[JobSatisfaction]],1,"Low",2,"Medium",3,"High",4,"Very High","Unknown")</f>
        <v>Very High</v>
      </c>
      <c r="AN1088" t="str" cm="1">
        <f t="array" ref="AN1088">_xlfn.SWITCH(CleanEmployeeData[[#This Row],[PerformanceRating]],1,"Low",2,"Good",3,"Excellent",4,"Outstanding","Unknown")</f>
        <v>Excellent</v>
      </c>
      <c r="AO1088" t="str" cm="1">
        <f t="array" ref="AO1088">_xlfn.SWITCH(CleanEmployeeData[[#This Row],[WorkLifeBalance]],1,"Bad",2,"Good",3,"Better",4,"Best","Unknown")</f>
        <v>Better</v>
      </c>
      <c r="AP1088">
        <f>IF(CleanEmployeeData[[#This Row],[Attrition]]="Yes",1,IF(CleanEmployeeData[[#This Row],[Attrition]]="No",0,""))</f>
        <v>0</v>
      </c>
      <c r="AQ1088" t="str" cm="1">
        <f t="array" ref="AQ1088">_xlfn.IFS(CleanEmployeeData[[#This Row],[MonthlyIncome]]&lt;=3000,"0–3,000",CleanEmployeeData[[#This Row],[MonthlyIncome]]&lt;=6000,"3,001–6,000",CleanEmployeeData[[#This Row],[MonthlyIncome]]&lt;=10000,"6,001–10,000",TRUE,"10,001+")</f>
        <v>10,001+</v>
      </c>
      <c r="AR1088" t="str" cm="1">
        <f t="array" ref="AR1088">_xlfn.IFS(CleanEmployeeData[[#This Row],[DistanceFromHome]]&lt;=5,"0–5 miles",CleanEmployeeData[[#This Row],[DistanceFromHome]]&lt;=10,"6–10 miles",CleanEmployeeData[[#This Row],[DistanceFromHome]]&lt;=15,"11–15 miles",TRUE,"16+ miles")</f>
        <v>16+ miles</v>
      </c>
      <c r="AS1088" t="str" cm="1">
        <f t="array" ref="AS1088">_xlfn.IFS(CleanEmployeeData[[#This Row],[YearsAtCompany]]&lt;=1,"0–1 years",CleanEmployeeData[[#This Row],[YearsAtCompany]]&lt;=5,"2–5 years",CleanEmployeeData[[#This Row],[YearsAtCompany]]&lt;=10,"6–10 years",TRUE,"11+ years")</f>
        <v>11+ years</v>
      </c>
    </row>
    <row r="1089" spans="1:4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cm="1">
        <f t="array" ref="AJ1089">_xlfn.SWITCH(CleanEmployeeData[[#This Row],[Education]],1,"Below College",2,"College",3,"Bachelor",4,"Master",5,"Doctor","Unknown")</f>
        <v>College</v>
      </c>
      <c r="AK1089" t="str" cm="1">
        <f t="array" ref="AK1089">_xlfn.SWITCH(CleanEmployeeData[[#This Row],[EnvironmentSatisfaction]],1,"Low",2,"Medium",3,"High",4,"Very High","Unknown")</f>
        <v>Medium</v>
      </c>
      <c r="AL1089" t="str" cm="1">
        <f t="array" ref="AL1089">_xlfn.SWITCH(CleanEmployeeData[[#This Row],[JobInvolvement]],1,"Low",2,"Medium",3,"High",4,"Very High","Unknown")</f>
        <v>High</v>
      </c>
      <c r="AM1089" t="str" cm="1">
        <f t="array" ref="AM1089">_xlfn.SWITCH(CleanEmployeeData[[#This Row],[JobSatisfaction]],1,"Low",2,"Medium",3,"High",4,"Very High","Unknown")</f>
        <v>High</v>
      </c>
      <c r="AN1089" t="str" cm="1">
        <f t="array" ref="AN1089">_xlfn.SWITCH(CleanEmployeeData[[#This Row],[PerformanceRating]],1,"Low",2,"Good",3,"Excellent",4,"Outstanding","Unknown")</f>
        <v>Outstanding</v>
      </c>
      <c r="AO1089" t="str" cm="1">
        <f t="array" ref="AO1089">_xlfn.SWITCH(CleanEmployeeData[[#This Row],[WorkLifeBalance]],1,"Bad",2,"Good",3,"Better",4,"Best","Unknown")</f>
        <v>Better</v>
      </c>
      <c r="AP1089">
        <f>IF(CleanEmployeeData[[#This Row],[Attrition]]="Yes",1,IF(CleanEmployeeData[[#This Row],[Attrition]]="No",0,""))</f>
        <v>0</v>
      </c>
      <c r="AQ1089" t="str" cm="1">
        <f t="array" ref="AQ1089">_xlfn.IFS(CleanEmployeeData[[#This Row],[MonthlyIncome]]&lt;=3000,"0–3,000",CleanEmployeeData[[#This Row],[MonthlyIncome]]&lt;=6000,"3,001–6,000",CleanEmployeeData[[#This Row],[MonthlyIncome]]&lt;=10000,"6,001–10,000",TRUE,"10,001+")</f>
        <v>0–3,000</v>
      </c>
      <c r="AR1089" t="str" cm="1">
        <f t="array" ref="AR1089">_xlfn.IFS(CleanEmployeeData[[#This Row],[DistanceFromHome]]&lt;=5,"0–5 miles",CleanEmployeeData[[#This Row],[DistanceFromHome]]&lt;=10,"6–10 miles",CleanEmployeeData[[#This Row],[DistanceFromHome]]&lt;=15,"11–15 miles",TRUE,"16+ miles")</f>
        <v>6–10 miles</v>
      </c>
      <c r="AS1089" t="str" cm="1">
        <f t="array" ref="AS1089">_xlfn.IFS(CleanEmployeeData[[#This Row],[YearsAtCompany]]&lt;=1,"0–1 years",CleanEmployeeData[[#This Row],[YearsAtCompany]]&lt;=5,"2–5 years",CleanEmployeeData[[#This Row],[YearsAtCompany]]&lt;=10,"6–10 years",TRUE,"11+ years")</f>
        <v>11+ years</v>
      </c>
    </row>
    <row r="1090" spans="1:4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cm="1">
        <f t="array" ref="AJ1090">_xlfn.SWITCH(CleanEmployeeData[[#This Row],[Education]],1,"Below College",2,"College",3,"Bachelor",4,"Master",5,"Doctor","Unknown")</f>
        <v>Bachelor</v>
      </c>
      <c r="AK1090" t="str" cm="1">
        <f t="array" ref="AK1090">_xlfn.SWITCH(CleanEmployeeData[[#This Row],[EnvironmentSatisfaction]],1,"Low",2,"Medium",3,"High",4,"Very High","Unknown")</f>
        <v>High</v>
      </c>
      <c r="AL1090" t="str" cm="1">
        <f t="array" ref="AL1090">_xlfn.SWITCH(CleanEmployeeData[[#This Row],[JobInvolvement]],1,"Low",2,"Medium",3,"High",4,"Very High","Unknown")</f>
        <v>Medium</v>
      </c>
      <c r="AM1090" t="str" cm="1">
        <f t="array" ref="AM1090">_xlfn.SWITCH(CleanEmployeeData[[#This Row],[JobSatisfaction]],1,"Low",2,"Medium",3,"High",4,"Very High","Unknown")</f>
        <v>Medium</v>
      </c>
      <c r="AN1090" t="str" cm="1">
        <f t="array" ref="AN1090">_xlfn.SWITCH(CleanEmployeeData[[#This Row],[PerformanceRating]],1,"Low",2,"Good",3,"Excellent",4,"Outstanding","Unknown")</f>
        <v>Excellent</v>
      </c>
      <c r="AO1090" t="str" cm="1">
        <f t="array" ref="AO1090">_xlfn.SWITCH(CleanEmployeeData[[#This Row],[WorkLifeBalance]],1,"Bad",2,"Good",3,"Better",4,"Best","Unknown")</f>
        <v>Better</v>
      </c>
      <c r="AP1090">
        <f>IF(CleanEmployeeData[[#This Row],[Attrition]]="Yes",1,IF(CleanEmployeeData[[#This Row],[Attrition]]="No",0,""))</f>
        <v>0</v>
      </c>
      <c r="AQ1090" t="str" cm="1">
        <f t="array" ref="AQ1090">_xlfn.IFS(CleanEmployeeData[[#This Row],[MonthlyIncome]]&lt;=3000,"0–3,000",CleanEmployeeData[[#This Row],[MonthlyIncome]]&lt;=6000,"3,001–6,000",CleanEmployeeData[[#This Row],[MonthlyIncome]]&lt;=10000,"6,001–10,000",TRUE,"10,001+")</f>
        <v>3,001–6,000</v>
      </c>
      <c r="AR1090" t="str" cm="1">
        <f t="array" ref="AR1090">_xlfn.IFS(CleanEmployeeData[[#This Row],[DistanceFromHome]]&lt;=5,"0–5 miles",CleanEmployeeData[[#This Row],[DistanceFromHome]]&lt;=10,"6–10 miles",CleanEmployeeData[[#This Row],[DistanceFromHome]]&lt;=15,"11–15 miles",TRUE,"16+ miles")</f>
        <v>0–5 miles</v>
      </c>
      <c r="AS1090" t="str" cm="1">
        <f t="array" ref="AS1090">_xlfn.IFS(CleanEmployeeData[[#This Row],[YearsAtCompany]]&lt;=1,"0–1 years",CleanEmployeeData[[#This Row],[YearsAtCompany]]&lt;=5,"2–5 years",CleanEmployeeData[[#This Row],[YearsAtCompany]]&lt;=10,"6–10 years",TRUE,"11+ years")</f>
        <v>0–1 years</v>
      </c>
    </row>
    <row r="1091" spans="1:4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cm="1">
        <f t="array" ref="AJ1091">_xlfn.SWITCH(CleanEmployeeData[[#This Row],[Education]],1,"Below College",2,"College",3,"Bachelor",4,"Master",5,"Doctor","Unknown")</f>
        <v>Bachelor</v>
      </c>
      <c r="AK1091" t="str" cm="1">
        <f t="array" ref="AK1091">_xlfn.SWITCH(CleanEmployeeData[[#This Row],[EnvironmentSatisfaction]],1,"Low",2,"Medium",3,"High",4,"Very High","Unknown")</f>
        <v>Low</v>
      </c>
      <c r="AL1091" t="str" cm="1">
        <f t="array" ref="AL1091">_xlfn.SWITCH(CleanEmployeeData[[#This Row],[JobInvolvement]],1,"Low",2,"Medium",3,"High",4,"Very High","Unknown")</f>
        <v>High</v>
      </c>
      <c r="AM1091" t="str" cm="1">
        <f t="array" ref="AM1091">_xlfn.SWITCH(CleanEmployeeData[[#This Row],[JobSatisfaction]],1,"Low",2,"Medium",3,"High",4,"Very High","Unknown")</f>
        <v>Very High</v>
      </c>
      <c r="AN1091" t="str" cm="1">
        <f t="array" ref="AN1091">_xlfn.SWITCH(CleanEmployeeData[[#This Row],[PerformanceRating]],1,"Low",2,"Good",3,"Excellent",4,"Outstanding","Unknown")</f>
        <v>Excellent</v>
      </c>
      <c r="AO1091" t="str" cm="1">
        <f t="array" ref="AO1091">_xlfn.SWITCH(CleanEmployeeData[[#This Row],[WorkLifeBalance]],1,"Bad",2,"Good",3,"Better",4,"Best","Unknown")</f>
        <v>Better</v>
      </c>
      <c r="AP1091">
        <f>IF(CleanEmployeeData[[#This Row],[Attrition]]="Yes",1,IF(CleanEmployeeData[[#This Row],[Attrition]]="No",0,""))</f>
        <v>0</v>
      </c>
      <c r="AQ1091" t="str" cm="1">
        <f t="array" ref="AQ1091">_xlfn.IFS(CleanEmployeeData[[#This Row],[MonthlyIncome]]&lt;=3000,"0–3,000",CleanEmployeeData[[#This Row],[MonthlyIncome]]&lt;=6000,"3,001–6,000",CleanEmployeeData[[#This Row],[MonthlyIncome]]&lt;=10000,"6,001–10,000",TRUE,"10,001+")</f>
        <v>3,001–6,000</v>
      </c>
      <c r="AR1091" t="str" cm="1">
        <f t="array" ref="AR1091">_xlfn.IFS(CleanEmployeeData[[#This Row],[DistanceFromHome]]&lt;=5,"0–5 miles",CleanEmployeeData[[#This Row],[DistanceFromHome]]&lt;=10,"6–10 miles",CleanEmployeeData[[#This Row],[DistanceFromHome]]&lt;=15,"11–15 miles",TRUE,"16+ miles")</f>
        <v>11–15 miles</v>
      </c>
      <c r="AS1091" t="str" cm="1">
        <f t="array" ref="AS1091">_xlfn.IFS(CleanEmployeeData[[#This Row],[YearsAtCompany]]&lt;=1,"0–1 years",CleanEmployeeData[[#This Row],[YearsAtCompany]]&lt;=5,"2–5 years",CleanEmployeeData[[#This Row],[YearsAtCompany]]&lt;=10,"6–10 years",TRUE,"11+ years")</f>
        <v>6–10 years</v>
      </c>
    </row>
    <row r="1092" spans="1:4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cm="1">
        <f t="array" ref="AJ1092">_xlfn.SWITCH(CleanEmployeeData[[#This Row],[Education]],1,"Below College",2,"College",3,"Bachelor",4,"Master",5,"Doctor","Unknown")</f>
        <v>Below College</v>
      </c>
      <c r="AK1092" t="str" cm="1">
        <f t="array" ref="AK1092">_xlfn.SWITCH(CleanEmployeeData[[#This Row],[EnvironmentSatisfaction]],1,"Low",2,"Medium",3,"High",4,"Very High","Unknown")</f>
        <v>High</v>
      </c>
      <c r="AL1092" t="str" cm="1">
        <f t="array" ref="AL1092">_xlfn.SWITCH(CleanEmployeeData[[#This Row],[JobInvolvement]],1,"Low",2,"Medium",3,"High",4,"Very High","Unknown")</f>
        <v>Low</v>
      </c>
      <c r="AM1092" t="str" cm="1">
        <f t="array" ref="AM1092">_xlfn.SWITCH(CleanEmployeeData[[#This Row],[JobSatisfaction]],1,"Low",2,"Medium",3,"High",4,"Very High","Unknown")</f>
        <v>Low</v>
      </c>
      <c r="AN1092" t="str" cm="1">
        <f t="array" ref="AN1092">_xlfn.SWITCH(CleanEmployeeData[[#This Row],[PerformanceRating]],1,"Low",2,"Good",3,"Excellent",4,"Outstanding","Unknown")</f>
        <v>Excellent</v>
      </c>
      <c r="AO1092" t="str" cm="1">
        <f t="array" ref="AO1092">_xlfn.SWITCH(CleanEmployeeData[[#This Row],[WorkLifeBalance]],1,"Bad",2,"Good",3,"Better",4,"Best","Unknown")</f>
        <v>Better</v>
      </c>
      <c r="AP1092">
        <f>IF(CleanEmployeeData[[#This Row],[Attrition]]="Yes",1,IF(CleanEmployeeData[[#This Row],[Attrition]]="No",0,""))</f>
        <v>0</v>
      </c>
      <c r="AQ1092" t="str" cm="1">
        <f t="array" ref="AQ1092">_xlfn.IFS(CleanEmployeeData[[#This Row],[MonthlyIncome]]&lt;=3000,"0–3,000",CleanEmployeeData[[#This Row],[MonthlyIncome]]&lt;=6000,"3,001–6,000",CleanEmployeeData[[#This Row],[MonthlyIncome]]&lt;=10000,"6,001–10,000",TRUE,"10,001+")</f>
        <v>6,001–10,000</v>
      </c>
      <c r="AR1092" t="str" cm="1">
        <f t="array" ref="AR1092">_xlfn.IFS(CleanEmployeeData[[#This Row],[DistanceFromHome]]&lt;=5,"0–5 miles",CleanEmployeeData[[#This Row],[DistanceFromHome]]&lt;=10,"6–10 miles",CleanEmployeeData[[#This Row],[DistanceFromHome]]&lt;=15,"11–15 miles",TRUE,"16+ miles")</f>
        <v>6–10 miles</v>
      </c>
      <c r="AS1092" t="str" cm="1">
        <f t="array" ref="AS1092">_xlfn.IFS(CleanEmployeeData[[#This Row],[YearsAtCompany]]&lt;=1,"0–1 years",CleanEmployeeData[[#This Row],[YearsAtCompany]]&lt;=5,"2–5 years",CleanEmployeeData[[#This Row],[YearsAtCompany]]&lt;=10,"6–10 years",TRUE,"11+ years")</f>
        <v>6–10 years</v>
      </c>
    </row>
    <row r="1093" spans="1:4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cm="1">
        <f t="array" ref="AJ1093">_xlfn.SWITCH(CleanEmployeeData[[#This Row],[Education]],1,"Below College",2,"College",3,"Bachelor",4,"Master",5,"Doctor","Unknown")</f>
        <v>Bachelor</v>
      </c>
      <c r="AK1093" t="str" cm="1">
        <f t="array" ref="AK1093">_xlfn.SWITCH(CleanEmployeeData[[#This Row],[EnvironmentSatisfaction]],1,"Low",2,"Medium",3,"High",4,"Very High","Unknown")</f>
        <v>Very High</v>
      </c>
      <c r="AL1093" t="str" cm="1">
        <f t="array" ref="AL1093">_xlfn.SWITCH(CleanEmployeeData[[#This Row],[JobInvolvement]],1,"Low",2,"Medium",3,"High",4,"Very High","Unknown")</f>
        <v>Medium</v>
      </c>
      <c r="AM1093" t="str" cm="1">
        <f t="array" ref="AM1093">_xlfn.SWITCH(CleanEmployeeData[[#This Row],[JobSatisfaction]],1,"Low",2,"Medium",3,"High",4,"Very High","Unknown")</f>
        <v>Medium</v>
      </c>
      <c r="AN1093" t="str" cm="1">
        <f t="array" ref="AN1093">_xlfn.SWITCH(CleanEmployeeData[[#This Row],[PerformanceRating]],1,"Low",2,"Good",3,"Excellent",4,"Outstanding","Unknown")</f>
        <v>Excellent</v>
      </c>
      <c r="AO1093" t="str" cm="1">
        <f t="array" ref="AO1093">_xlfn.SWITCH(CleanEmployeeData[[#This Row],[WorkLifeBalance]],1,"Bad",2,"Good",3,"Better",4,"Best","Unknown")</f>
        <v>Better</v>
      </c>
      <c r="AP1093">
        <f>IF(CleanEmployeeData[[#This Row],[Attrition]]="Yes",1,IF(CleanEmployeeData[[#This Row],[Attrition]]="No",0,""))</f>
        <v>0</v>
      </c>
      <c r="AQ1093" t="str" cm="1">
        <f t="array" ref="AQ1093">_xlfn.IFS(CleanEmployeeData[[#This Row],[MonthlyIncome]]&lt;=3000,"0–3,000",CleanEmployeeData[[#This Row],[MonthlyIncome]]&lt;=6000,"3,001–6,000",CleanEmployeeData[[#This Row],[MonthlyIncome]]&lt;=10000,"6,001–10,000",TRUE,"10,001+")</f>
        <v>3,001–6,000</v>
      </c>
      <c r="AR1093" t="str" cm="1">
        <f t="array" ref="AR1093">_xlfn.IFS(CleanEmployeeData[[#This Row],[DistanceFromHome]]&lt;=5,"0–5 miles",CleanEmployeeData[[#This Row],[DistanceFromHome]]&lt;=10,"6–10 miles",CleanEmployeeData[[#This Row],[DistanceFromHome]]&lt;=15,"11–15 miles",TRUE,"16+ miles")</f>
        <v>16+ miles</v>
      </c>
      <c r="AS1093" t="str" cm="1">
        <f t="array" ref="AS1093">_xlfn.IFS(CleanEmployeeData[[#This Row],[YearsAtCompany]]&lt;=1,"0–1 years",CleanEmployeeData[[#This Row],[YearsAtCompany]]&lt;=5,"2–5 years",CleanEmployeeData[[#This Row],[YearsAtCompany]]&lt;=10,"6–10 years",TRUE,"11+ years")</f>
        <v>2–5 years</v>
      </c>
    </row>
    <row r="1094" spans="1:4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cm="1">
        <f t="array" ref="AJ1094">_xlfn.SWITCH(CleanEmployeeData[[#This Row],[Education]],1,"Below College",2,"College",3,"Bachelor",4,"Master",5,"Doctor","Unknown")</f>
        <v>Bachelor</v>
      </c>
      <c r="AK1094" t="str" cm="1">
        <f t="array" ref="AK1094">_xlfn.SWITCH(CleanEmployeeData[[#This Row],[EnvironmentSatisfaction]],1,"Low",2,"Medium",3,"High",4,"Very High","Unknown")</f>
        <v>Very High</v>
      </c>
      <c r="AL1094" t="str" cm="1">
        <f t="array" ref="AL1094">_xlfn.SWITCH(CleanEmployeeData[[#This Row],[JobInvolvement]],1,"Low",2,"Medium",3,"High",4,"Very High","Unknown")</f>
        <v>High</v>
      </c>
      <c r="AM1094" t="str" cm="1">
        <f t="array" ref="AM1094">_xlfn.SWITCH(CleanEmployeeData[[#This Row],[JobSatisfaction]],1,"Low",2,"Medium",3,"High",4,"Very High","Unknown")</f>
        <v>Very High</v>
      </c>
      <c r="AN1094" t="str" cm="1">
        <f t="array" ref="AN1094">_xlfn.SWITCH(CleanEmployeeData[[#This Row],[PerformanceRating]],1,"Low",2,"Good",3,"Excellent",4,"Outstanding","Unknown")</f>
        <v>Outstanding</v>
      </c>
      <c r="AO1094" t="str" cm="1">
        <f t="array" ref="AO1094">_xlfn.SWITCH(CleanEmployeeData[[#This Row],[WorkLifeBalance]],1,"Bad",2,"Good",3,"Better",4,"Best","Unknown")</f>
        <v>Better</v>
      </c>
      <c r="AP1094">
        <f>IF(CleanEmployeeData[[#This Row],[Attrition]]="Yes",1,IF(CleanEmployeeData[[#This Row],[Attrition]]="No",0,""))</f>
        <v>0</v>
      </c>
      <c r="AQ1094" t="str" cm="1">
        <f t="array" ref="AQ1094">_xlfn.IFS(CleanEmployeeData[[#This Row],[MonthlyIncome]]&lt;=3000,"0–3,000",CleanEmployeeData[[#This Row],[MonthlyIncome]]&lt;=6000,"3,001–6,000",CleanEmployeeData[[#This Row],[MonthlyIncome]]&lt;=10000,"6,001–10,000",TRUE,"10,001+")</f>
        <v>0–3,000</v>
      </c>
      <c r="AR1094" t="str" cm="1">
        <f t="array" ref="AR1094">_xlfn.IFS(CleanEmployeeData[[#This Row],[DistanceFromHome]]&lt;=5,"0–5 miles",CleanEmployeeData[[#This Row],[DistanceFromHome]]&lt;=10,"6–10 miles",CleanEmployeeData[[#This Row],[DistanceFromHome]]&lt;=15,"11–15 miles",TRUE,"16+ miles")</f>
        <v>16+ miles</v>
      </c>
      <c r="AS1094" t="str" cm="1">
        <f t="array" ref="AS1094">_xlfn.IFS(CleanEmployeeData[[#This Row],[YearsAtCompany]]&lt;=1,"0–1 years",CleanEmployeeData[[#This Row],[YearsAtCompany]]&lt;=5,"2–5 years",CleanEmployeeData[[#This Row],[YearsAtCompany]]&lt;=10,"6–10 years",TRUE,"11+ years")</f>
        <v>2–5 years</v>
      </c>
    </row>
    <row r="1095" spans="1:4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cm="1">
        <f t="array" ref="AJ1095">_xlfn.SWITCH(CleanEmployeeData[[#This Row],[Education]],1,"Below College",2,"College",3,"Bachelor",4,"Master",5,"Doctor","Unknown")</f>
        <v>Bachelor</v>
      </c>
      <c r="AK1095" t="str" cm="1">
        <f t="array" ref="AK1095">_xlfn.SWITCH(CleanEmployeeData[[#This Row],[EnvironmentSatisfaction]],1,"Low",2,"Medium",3,"High",4,"Very High","Unknown")</f>
        <v>Very High</v>
      </c>
      <c r="AL1095" t="str" cm="1">
        <f t="array" ref="AL1095">_xlfn.SWITCH(CleanEmployeeData[[#This Row],[JobInvolvement]],1,"Low",2,"Medium",3,"High",4,"Very High","Unknown")</f>
        <v>High</v>
      </c>
      <c r="AM1095" t="str" cm="1">
        <f t="array" ref="AM1095">_xlfn.SWITCH(CleanEmployeeData[[#This Row],[JobSatisfaction]],1,"Low",2,"Medium",3,"High",4,"Very High","Unknown")</f>
        <v>Very High</v>
      </c>
      <c r="AN1095" t="str" cm="1">
        <f t="array" ref="AN1095">_xlfn.SWITCH(CleanEmployeeData[[#This Row],[PerformanceRating]],1,"Low",2,"Good",3,"Excellent",4,"Outstanding","Unknown")</f>
        <v>Excellent</v>
      </c>
      <c r="AO1095" t="str" cm="1">
        <f t="array" ref="AO1095">_xlfn.SWITCH(CleanEmployeeData[[#This Row],[WorkLifeBalance]],1,"Bad",2,"Good",3,"Better",4,"Best","Unknown")</f>
        <v>Bad</v>
      </c>
      <c r="AP1095">
        <f>IF(CleanEmployeeData[[#This Row],[Attrition]]="Yes",1,IF(CleanEmployeeData[[#This Row],[Attrition]]="No",0,""))</f>
        <v>0</v>
      </c>
      <c r="AQ1095" t="str" cm="1">
        <f t="array" ref="AQ1095">_xlfn.IFS(CleanEmployeeData[[#This Row],[MonthlyIncome]]&lt;=3000,"0–3,000",CleanEmployeeData[[#This Row],[MonthlyIncome]]&lt;=6000,"3,001–6,000",CleanEmployeeData[[#This Row],[MonthlyIncome]]&lt;=10000,"6,001–10,000",TRUE,"10,001+")</f>
        <v>10,001+</v>
      </c>
      <c r="AR1095" t="str" cm="1">
        <f t="array" ref="AR1095">_xlfn.IFS(CleanEmployeeData[[#This Row],[DistanceFromHome]]&lt;=5,"0–5 miles",CleanEmployeeData[[#This Row],[DistanceFromHome]]&lt;=10,"6–10 miles",CleanEmployeeData[[#This Row],[DistanceFromHome]]&lt;=15,"11–15 miles",TRUE,"16+ miles")</f>
        <v>0–5 miles</v>
      </c>
      <c r="AS1095" t="str" cm="1">
        <f t="array" ref="AS1095">_xlfn.IFS(CleanEmployeeData[[#This Row],[YearsAtCompany]]&lt;=1,"0–1 years",CleanEmployeeData[[#This Row],[YearsAtCompany]]&lt;=5,"2–5 years",CleanEmployeeData[[#This Row],[YearsAtCompany]]&lt;=10,"6–10 years",TRUE,"11+ years")</f>
        <v>11+ years</v>
      </c>
    </row>
    <row r="1096" spans="1:4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cm="1">
        <f t="array" ref="AJ1096">_xlfn.SWITCH(CleanEmployeeData[[#This Row],[Education]],1,"Below College",2,"College",3,"Bachelor",4,"Master",5,"Doctor","Unknown")</f>
        <v>College</v>
      </c>
      <c r="AK1096" t="str" cm="1">
        <f t="array" ref="AK1096">_xlfn.SWITCH(CleanEmployeeData[[#This Row],[EnvironmentSatisfaction]],1,"Low",2,"Medium",3,"High",4,"Very High","Unknown")</f>
        <v>Low</v>
      </c>
      <c r="AL1096" t="str" cm="1">
        <f t="array" ref="AL1096">_xlfn.SWITCH(CleanEmployeeData[[#This Row],[JobInvolvement]],1,"Low",2,"Medium",3,"High",4,"Very High","Unknown")</f>
        <v>High</v>
      </c>
      <c r="AM1096" t="str" cm="1">
        <f t="array" ref="AM1096">_xlfn.SWITCH(CleanEmployeeData[[#This Row],[JobSatisfaction]],1,"Low",2,"Medium",3,"High",4,"Very High","Unknown")</f>
        <v>Low</v>
      </c>
      <c r="AN1096" t="str" cm="1">
        <f t="array" ref="AN1096">_xlfn.SWITCH(CleanEmployeeData[[#This Row],[PerformanceRating]],1,"Low",2,"Good",3,"Excellent",4,"Outstanding","Unknown")</f>
        <v>Excellent</v>
      </c>
      <c r="AO1096" t="str" cm="1">
        <f t="array" ref="AO1096">_xlfn.SWITCH(CleanEmployeeData[[#This Row],[WorkLifeBalance]],1,"Bad",2,"Good",3,"Better",4,"Best","Unknown")</f>
        <v>Best</v>
      </c>
      <c r="AP1096">
        <f>IF(CleanEmployeeData[[#This Row],[Attrition]]="Yes",1,IF(CleanEmployeeData[[#This Row],[Attrition]]="No",0,""))</f>
        <v>0</v>
      </c>
      <c r="AQ1096" t="str" cm="1">
        <f t="array" ref="AQ1096">_xlfn.IFS(CleanEmployeeData[[#This Row],[MonthlyIncome]]&lt;=3000,"0–3,000",CleanEmployeeData[[#This Row],[MonthlyIncome]]&lt;=6000,"3,001–6,000",CleanEmployeeData[[#This Row],[MonthlyIncome]]&lt;=10000,"6,001–10,000",TRUE,"10,001+")</f>
        <v>3,001–6,000</v>
      </c>
      <c r="AR1096" t="str" cm="1">
        <f t="array" ref="AR1096">_xlfn.IFS(CleanEmployeeData[[#This Row],[DistanceFromHome]]&lt;=5,"0–5 miles",CleanEmployeeData[[#This Row],[DistanceFromHome]]&lt;=10,"6–10 miles",CleanEmployeeData[[#This Row],[DistanceFromHome]]&lt;=15,"11–15 miles",TRUE,"16+ miles")</f>
        <v>6–10 miles</v>
      </c>
      <c r="AS1096" t="str" cm="1">
        <f t="array" ref="AS1096">_xlfn.IFS(CleanEmployeeData[[#This Row],[YearsAtCompany]]&lt;=1,"0–1 years",CleanEmployeeData[[#This Row],[YearsAtCompany]]&lt;=5,"2–5 years",CleanEmployeeData[[#This Row],[YearsAtCompany]]&lt;=10,"6–10 years",TRUE,"11+ years")</f>
        <v>6–10 years</v>
      </c>
    </row>
    <row r="1097" spans="1:4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cm="1">
        <f t="array" ref="AJ1097">_xlfn.SWITCH(CleanEmployeeData[[#This Row],[Education]],1,"Below College",2,"College",3,"Bachelor",4,"Master",5,"Doctor","Unknown")</f>
        <v>Master</v>
      </c>
      <c r="AK1097" t="str" cm="1">
        <f t="array" ref="AK1097">_xlfn.SWITCH(CleanEmployeeData[[#This Row],[EnvironmentSatisfaction]],1,"Low",2,"Medium",3,"High",4,"Very High","Unknown")</f>
        <v>Medium</v>
      </c>
      <c r="AL1097" t="str" cm="1">
        <f t="array" ref="AL1097">_xlfn.SWITCH(CleanEmployeeData[[#This Row],[JobInvolvement]],1,"Low",2,"Medium",3,"High",4,"Very High","Unknown")</f>
        <v>High</v>
      </c>
      <c r="AM1097" t="str" cm="1">
        <f t="array" ref="AM1097">_xlfn.SWITCH(CleanEmployeeData[[#This Row],[JobSatisfaction]],1,"Low",2,"Medium",3,"High",4,"Very High","Unknown")</f>
        <v>High</v>
      </c>
      <c r="AN1097" t="str" cm="1">
        <f t="array" ref="AN1097">_xlfn.SWITCH(CleanEmployeeData[[#This Row],[PerformanceRating]],1,"Low",2,"Good",3,"Excellent",4,"Outstanding","Unknown")</f>
        <v>Excellent</v>
      </c>
      <c r="AO1097" t="str" cm="1">
        <f t="array" ref="AO1097">_xlfn.SWITCH(CleanEmployeeData[[#This Row],[WorkLifeBalance]],1,"Bad",2,"Good",3,"Better",4,"Best","Unknown")</f>
        <v>Better</v>
      </c>
      <c r="AP1097">
        <f>IF(CleanEmployeeData[[#This Row],[Attrition]]="Yes",1,IF(CleanEmployeeData[[#This Row],[Attrition]]="No",0,""))</f>
        <v>0</v>
      </c>
      <c r="AQ1097" t="str" cm="1">
        <f t="array" ref="AQ1097">_xlfn.IFS(CleanEmployeeData[[#This Row],[MonthlyIncome]]&lt;=3000,"0–3,000",CleanEmployeeData[[#This Row],[MonthlyIncome]]&lt;=6000,"3,001–6,000",CleanEmployeeData[[#This Row],[MonthlyIncome]]&lt;=10000,"6,001–10,000",TRUE,"10,001+")</f>
        <v>3,001–6,000</v>
      </c>
      <c r="AR1097" t="str" cm="1">
        <f t="array" ref="AR1097">_xlfn.IFS(CleanEmployeeData[[#This Row],[DistanceFromHome]]&lt;=5,"0–5 miles",CleanEmployeeData[[#This Row],[DistanceFromHome]]&lt;=10,"6–10 miles",CleanEmployeeData[[#This Row],[DistanceFromHome]]&lt;=15,"11–15 miles",TRUE,"16+ miles")</f>
        <v>16+ miles</v>
      </c>
      <c r="AS1097" t="str" cm="1">
        <f t="array" ref="AS1097">_xlfn.IFS(CleanEmployeeData[[#This Row],[YearsAtCompany]]&lt;=1,"0–1 years",CleanEmployeeData[[#This Row],[YearsAtCompany]]&lt;=5,"2–5 years",CleanEmployeeData[[#This Row],[YearsAtCompany]]&lt;=10,"6–10 years",TRUE,"11+ years")</f>
        <v>11+ years</v>
      </c>
    </row>
    <row r="1098" spans="1:4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cm="1">
        <f t="array" ref="AJ1098">_xlfn.SWITCH(CleanEmployeeData[[#This Row],[Education]],1,"Below College",2,"College",3,"Bachelor",4,"Master",5,"Doctor","Unknown")</f>
        <v>College</v>
      </c>
      <c r="AK1098" t="str" cm="1">
        <f t="array" ref="AK1098">_xlfn.SWITCH(CleanEmployeeData[[#This Row],[EnvironmentSatisfaction]],1,"Low",2,"Medium",3,"High",4,"Very High","Unknown")</f>
        <v>High</v>
      </c>
      <c r="AL1098" t="str" cm="1">
        <f t="array" ref="AL1098">_xlfn.SWITCH(CleanEmployeeData[[#This Row],[JobInvolvement]],1,"Low",2,"Medium",3,"High",4,"Very High","Unknown")</f>
        <v>High</v>
      </c>
      <c r="AM1098" t="str" cm="1">
        <f t="array" ref="AM1098">_xlfn.SWITCH(CleanEmployeeData[[#This Row],[JobSatisfaction]],1,"Low",2,"Medium",3,"High",4,"Very High","Unknown")</f>
        <v>Very High</v>
      </c>
      <c r="AN1098" t="str" cm="1">
        <f t="array" ref="AN1098">_xlfn.SWITCH(CleanEmployeeData[[#This Row],[PerformanceRating]],1,"Low",2,"Good",3,"Excellent",4,"Outstanding","Unknown")</f>
        <v>Outstanding</v>
      </c>
      <c r="AO1098" t="str" cm="1">
        <f t="array" ref="AO1098">_xlfn.SWITCH(CleanEmployeeData[[#This Row],[WorkLifeBalance]],1,"Bad",2,"Good",3,"Better",4,"Best","Unknown")</f>
        <v>Better</v>
      </c>
      <c r="AP1098">
        <f>IF(CleanEmployeeData[[#This Row],[Attrition]]="Yes",1,IF(CleanEmployeeData[[#This Row],[Attrition]]="No",0,""))</f>
        <v>0</v>
      </c>
      <c r="AQ1098" t="str" cm="1">
        <f t="array" ref="AQ1098">_xlfn.IFS(CleanEmployeeData[[#This Row],[MonthlyIncome]]&lt;=3000,"0–3,000",CleanEmployeeData[[#This Row],[MonthlyIncome]]&lt;=6000,"3,001–6,000",CleanEmployeeData[[#This Row],[MonthlyIncome]]&lt;=10000,"6,001–10,000",TRUE,"10,001+")</f>
        <v>10,001+</v>
      </c>
      <c r="AR1098" t="str" cm="1">
        <f t="array" ref="AR1098">_xlfn.IFS(CleanEmployeeData[[#This Row],[DistanceFromHome]]&lt;=5,"0–5 miles",CleanEmployeeData[[#This Row],[DistanceFromHome]]&lt;=10,"6–10 miles",CleanEmployeeData[[#This Row],[DistanceFromHome]]&lt;=15,"11–15 miles",TRUE,"16+ miles")</f>
        <v>6–10 miles</v>
      </c>
      <c r="AS1098" t="str" cm="1">
        <f t="array" ref="AS1098">_xlfn.IFS(CleanEmployeeData[[#This Row],[YearsAtCompany]]&lt;=1,"0–1 years",CleanEmployeeData[[#This Row],[YearsAtCompany]]&lt;=5,"2–5 years",CleanEmployeeData[[#This Row],[YearsAtCompany]]&lt;=10,"6–10 years",TRUE,"11+ years")</f>
        <v>11+ years</v>
      </c>
    </row>
    <row r="1099" spans="1:4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cm="1">
        <f t="array" ref="AJ1099">_xlfn.SWITCH(CleanEmployeeData[[#This Row],[Education]],1,"Below College",2,"College",3,"Bachelor",4,"Master",5,"Doctor","Unknown")</f>
        <v>College</v>
      </c>
      <c r="AK1099" t="str" cm="1">
        <f t="array" ref="AK1099">_xlfn.SWITCH(CleanEmployeeData[[#This Row],[EnvironmentSatisfaction]],1,"Low",2,"Medium",3,"High",4,"Very High","Unknown")</f>
        <v>High</v>
      </c>
      <c r="AL1099" t="str" cm="1">
        <f t="array" ref="AL1099">_xlfn.SWITCH(CleanEmployeeData[[#This Row],[JobInvolvement]],1,"Low",2,"Medium",3,"High",4,"Very High","Unknown")</f>
        <v>Medium</v>
      </c>
      <c r="AM1099" t="str" cm="1">
        <f t="array" ref="AM1099">_xlfn.SWITCH(CleanEmployeeData[[#This Row],[JobSatisfaction]],1,"Low",2,"Medium",3,"High",4,"Very High","Unknown")</f>
        <v>Low</v>
      </c>
      <c r="AN1099" t="str" cm="1">
        <f t="array" ref="AN1099">_xlfn.SWITCH(CleanEmployeeData[[#This Row],[PerformanceRating]],1,"Low",2,"Good",3,"Excellent",4,"Outstanding","Unknown")</f>
        <v>Excellent</v>
      </c>
      <c r="AO1099" t="str" cm="1">
        <f t="array" ref="AO1099">_xlfn.SWITCH(CleanEmployeeData[[#This Row],[WorkLifeBalance]],1,"Bad",2,"Good",3,"Better",4,"Best","Unknown")</f>
        <v>Better</v>
      </c>
      <c r="AP1099">
        <f>IF(CleanEmployeeData[[#This Row],[Attrition]]="Yes",1,IF(CleanEmployeeData[[#This Row],[Attrition]]="No",0,""))</f>
        <v>0</v>
      </c>
      <c r="AQ1099" t="str" cm="1">
        <f t="array" ref="AQ1099">_xlfn.IFS(CleanEmployeeData[[#This Row],[MonthlyIncome]]&lt;=3000,"0–3,000",CleanEmployeeData[[#This Row],[MonthlyIncome]]&lt;=6000,"3,001–6,000",CleanEmployeeData[[#This Row],[MonthlyIncome]]&lt;=10000,"6,001–10,000",TRUE,"10,001+")</f>
        <v>0–3,000</v>
      </c>
      <c r="AR1099" t="str" cm="1">
        <f t="array" ref="AR1099">_xlfn.IFS(CleanEmployeeData[[#This Row],[DistanceFromHome]]&lt;=5,"0–5 miles",CleanEmployeeData[[#This Row],[DistanceFromHome]]&lt;=10,"6–10 miles",CleanEmployeeData[[#This Row],[DistanceFromHome]]&lt;=15,"11–15 miles",TRUE,"16+ miles")</f>
        <v>16+ miles</v>
      </c>
      <c r="AS1099" t="str" cm="1">
        <f t="array" ref="AS1099">_xlfn.IFS(CleanEmployeeData[[#This Row],[YearsAtCompany]]&lt;=1,"0–1 years",CleanEmployeeData[[#This Row],[YearsAtCompany]]&lt;=5,"2–5 years",CleanEmployeeData[[#This Row],[YearsAtCompany]]&lt;=10,"6–10 years",TRUE,"11+ years")</f>
        <v>0–1 years</v>
      </c>
    </row>
    <row r="1100" spans="1:4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cm="1">
        <f t="array" ref="AJ1100">_xlfn.SWITCH(CleanEmployeeData[[#This Row],[Education]],1,"Below College",2,"College",3,"Bachelor",4,"Master",5,"Doctor","Unknown")</f>
        <v>College</v>
      </c>
      <c r="AK1100" t="str" cm="1">
        <f t="array" ref="AK1100">_xlfn.SWITCH(CleanEmployeeData[[#This Row],[EnvironmentSatisfaction]],1,"Low",2,"Medium",3,"High",4,"Very High","Unknown")</f>
        <v>Very High</v>
      </c>
      <c r="AL1100" t="str" cm="1">
        <f t="array" ref="AL1100">_xlfn.SWITCH(CleanEmployeeData[[#This Row],[JobInvolvement]],1,"Low",2,"Medium",3,"High",4,"Very High","Unknown")</f>
        <v>High</v>
      </c>
      <c r="AM1100" t="str" cm="1">
        <f t="array" ref="AM1100">_xlfn.SWITCH(CleanEmployeeData[[#This Row],[JobSatisfaction]],1,"Low",2,"Medium",3,"High",4,"Very High","Unknown")</f>
        <v>Very High</v>
      </c>
      <c r="AN1100" t="str" cm="1">
        <f t="array" ref="AN1100">_xlfn.SWITCH(CleanEmployeeData[[#This Row],[PerformanceRating]],1,"Low",2,"Good",3,"Excellent",4,"Outstanding","Unknown")</f>
        <v>Excellent</v>
      </c>
      <c r="AO1100" t="str" cm="1">
        <f t="array" ref="AO1100">_xlfn.SWITCH(CleanEmployeeData[[#This Row],[WorkLifeBalance]],1,"Bad",2,"Good",3,"Better",4,"Best","Unknown")</f>
        <v>Better</v>
      </c>
      <c r="AP1100">
        <f>IF(CleanEmployeeData[[#This Row],[Attrition]]="Yes",1,IF(CleanEmployeeData[[#This Row],[Attrition]]="No",0,""))</f>
        <v>0</v>
      </c>
      <c r="AQ1100" t="str" cm="1">
        <f t="array" ref="AQ1100">_xlfn.IFS(CleanEmployeeData[[#This Row],[MonthlyIncome]]&lt;=3000,"0–3,000",CleanEmployeeData[[#This Row],[MonthlyIncome]]&lt;=6000,"3,001–6,000",CleanEmployeeData[[#This Row],[MonthlyIncome]]&lt;=10000,"6,001–10,000",TRUE,"10,001+")</f>
        <v>3,001–6,000</v>
      </c>
      <c r="AR1100" t="str" cm="1">
        <f t="array" ref="AR1100">_xlfn.IFS(CleanEmployeeData[[#This Row],[DistanceFromHome]]&lt;=5,"0–5 miles",CleanEmployeeData[[#This Row],[DistanceFromHome]]&lt;=10,"6–10 miles",CleanEmployeeData[[#This Row],[DistanceFromHome]]&lt;=15,"11–15 miles",TRUE,"16+ miles")</f>
        <v>6–10 miles</v>
      </c>
      <c r="AS1100" t="str" cm="1">
        <f t="array" ref="AS1100">_xlfn.IFS(CleanEmployeeData[[#This Row],[YearsAtCompany]]&lt;=1,"0–1 years",CleanEmployeeData[[#This Row],[YearsAtCompany]]&lt;=5,"2–5 years",CleanEmployeeData[[#This Row],[YearsAtCompany]]&lt;=10,"6–10 years",TRUE,"11+ years")</f>
        <v>2–5 years</v>
      </c>
    </row>
    <row r="1101" spans="1:4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cm="1">
        <f t="array" ref="AJ1101">_xlfn.SWITCH(CleanEmployeeData[[#This Row],[Education]],1,"Below College",2,"College",3,"Bachelor",4,"Master",5,"Doctor","Unknown")</f>
        <v>Master</v>
      </c>
      <c r="AK1101" t="str" cm="1">
        <f t="array" ref="AK1101">_xlfn.SWITCH(CleanEmployeeData[[#This Row],[EnvironmentSatisfaction]],1,"Low",2,"Medium",3,"High",4,"Very High","Unknown")</f>
        <v>Low</v>
      </c>
      <c r="AL1101" t="str" cm="1">
        <f t="array" ref="AL1101">_xlfn.SWITCH(CleanEmployeeData[[#This Row],[JobInvolvement]],1,"Low",2,"Medium",3,"High",4,"Very High","Unknown")</f>
        <v>High</v>
      </c>
      <c r="AM1101" t="str" cm="1">
        <f t="array" ref="AM1101">_xlfn.SWITCH(CleanEmployeeData[[#This Row],[JobSatisfaction]],1,"Low",2,"Medium",3,"High",4,"Very High","Unknown")</f>
        <v>Medium</v>
      </c>
      <c r="AN1101" t="str" cm="1">
        <f t="array" ref="AN1101">_xlfn.SWITCH(CleanEmployeeData[[#This Row],[PerformanceRating]],1,"Low",2,"Good",3,"Excellent",4,"Outstanding","Unknown")</f>
        <v>Excellent</v>
      </c>
      <c r="AO1101" t="str" cm="1">
        <f t="array" ref="AO1101">_xlfn.SWITCH(CleanEmployeeData[[#This Row],[WorkLifeBalance]],1,"Bad",2,"Good",3,"Better",4,"Best","Unknown")</f>
        <v>Better</v>
      </c>
      <c r="AP1101">
        <f>IF(CleanEmployeeData[[#This Row],[Attrition]]="Yes",1,IF(CleanEmployeeData[[#This Row],[Attrition]]="No",0,""))</f>
        <v>0</v>
      </c>
      <c r="AQ1101" t="str" cm="1">
        <f t="array" ref="AQ1101">_xlfn.IFS(CleanEmployeeData[[#This Row],[MonthlyIncome]]&lt;=3000,"0–3,000",CleanEmployeeData[[#This Row],[MonthlyIncome]]&lt;=6000,"3,001–6,000",CleanEmployeeData[[#This Row],[MonthlyIncome]]&lt;=10000,"6,001–10,000",TRUE,"10,001+")</f>
        <v>6,001–10,000</v>
      </c>
      <c r="AR1101" t="str" cm="1">
        <f t="array" ref="AR1101">_xlfn.IFS(CleanEmployeeData[[#This Row],[DistanceFromHome]]&lt;=5,"0–5 miles",CleanEmployeeData[[#This Row],[DistanceFromHome]]&lt;=10,"6–10 miles",CleanEmployeeData[[#This Row],[DistanceFromHome]]&lt;=15,"11–15 miles",TRUE,"16+ miles")</f>
        <v>0–5 miles</v>
      </c>
      <c r="AS1101" t="str" cm="1">
        <f t="array" ref="AS1101">_xlfn.IFS(CleanEmployeeData[[#This Row],[YearsAtCompany]]&lt;=1,"0–1 years",CleanEmployeeData[[#This Row],[YearsAtCompany]]&lt;=5,"2–5 years",CleanEmployeeData[[#This Row],[YearsAtCompany]]&lt;=10,"6–10 years",TRUE,"11+ years")</f>
        <v>6–10 years</v>
      </c>
    </row>
    <row r="1102" spans="1:4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cm="1">
        <f t="array" ref="AJ1102">_xlfn.SWITCH(CleanEmployeeData[[#This Row],[Education]],1,"Below College",2,"College",3,"Bachelor",4,"Master",5,"Doctor","Unknown")</f>
        <v>Master</v>
      </c>
      <c r="AK1102" t="str" cm="1">
        <f t="array" ref="AK1102">_xlfn.SWITCH(CleanEmployeeData[[#This Row],[EnvironmentSatisfaction]],1,"Low",2,"Medium",3,"High",4,"Very High","Unknown")</f>
        <v>Medium</v>
      </c>
      <c r="AL1102" t="str" cm="1">
        <f t="array" ref="AL1102">_xlfn.SWITCH(CleanEmployeeData[[#This Row],[JobInvolvement]],1,"Low",2,"Medium",3,"High",4,"Very High","Unknown")</f>
        <v>Medium</v>
      </c>
      <c r="AM1102" t="str" cm="1">
        <f t="array" ref="AM1102">_xlfn.SWITCH(CleanEmployeeData[[#This Row],[JobSatisfaction]],1,"Low",2,"Medium",3,"High",4,"Very High","Unknown")</f>
        <v>High</v>
      </c>
      <c r="AN1102" t="str" cm="1">
        <f t="array" ref="AN1102">_xlfn.SWITCH(CleanEmployeeData[[#This Row],[PerformanceRating]],1,"Low",2,"Good",3,"Excellent",4,"Outstanding","Unknown")</f>
        <v>Outstanding</v>
      </c>
      <c r="AO1102" t="str" cm="1">
        <f t="array" ref="AO1102">_xlfn.SWITCH(CleanEmployeeData[[#This Row],[WorkLifeBalance]],1,"Bad",2,"Good",3,"Better",4,"Best","Unknown")</f>
        <v>Better</v>
      </c>
      <c r="AP1102">
        <f>IF(CleanEmployeeData[[#This Row],[Attrition]]="Yes",1,IF(CleanEmployeeData[[#This Row],[Attrition]]="No",0,""))</f>
        <v>0</v>
      </c>
      <c r="AQ1102" t="str" cm="1">
        <f t="array" ref="AQ1102">_xlfn.IFS(CleanEmployeeData[[#This Row],[MonthlyIncome]]&lt;=3000,"0–3,000",CleanEmployeeData[[#This Row],[MonthlyIncome]]&lt;=6000,"3,001–6,000",CleanEmployeeData[[#This Row],[MonthlyIncome]]&lt;=10000,"6,001–10,000",TRUE,"10,001+")</f>
        <v>0–3,000</v>
      </c>
      <c r="AR1102" t="str" cm="1">
        <f t="array" ref="AR1102">_xlfn.IFS(CleanEmployeeData[[#This Row],[DistanceFromHome]]&lt;=5,"0–5 miles",CleanEmployeeData[[#This Row],[DistanceFromHome]]&lt;=10,"6–10 miles",CleanEmployeeData[[#This Row],[DistanceFromHome]]&lt;=15,"11–15 miles",TRUE,"16+ miles")</f>
        <v>16+ miles</v>
      </c>
      <c r="AS1102" t="str" cm="1">
        <f t="array" ref="AS1102">_xlfn.IFS(CleanEmployeeData[[#This Row],[YearsAtCompany]]&lt;=1,"0–1 years",CleanEmployeeData[[#This Row],[YearsAtCompany]]&lt;=5,"2–5 years",CleanEmployeeData[[#This Row],[YearsAtCompany]]&lt;=10,"6–10 years",TRUE,"11+ years")</f>
        <v>2–5 years</v>
      </c>
    </row>
    <row r="1103" spans="1:4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cm="1">
        <f t="array" ref="AJ1103">_xlfn.SWITCH(CleanEmployeeData[[#This Row],[Education]],1,"Below College",2,"College",3,"Bachelor",4,"Master",5,"Doctor","Unknown")</f>
        <v>College</v>
      </c>
      <c r="AK1103" t="str" cm="1">
        <f t="array" ref="AK1103">_xlfn.SWITCH(CleanEmployeeData[[#This Row],[EnvironmentSatisfaction]],1,"Low",2,"Medium",3,"High",4,"Very High","Unknown")</f>
        <v>Very High</v>
      </c>
      <c r="AL1103" t="str" cm="1">
        <f t="array" ref="AL1103">_xlfn.SWITCH(CleanEmployeeData[[#This Row],[JobInvolvement]],1,"Low",2,"Medium",3,"High",4,"Very High","Unknown")</f>
        <v>Medium</v>
      </c>
      <c r="AM1103" t="str" cm="1">
        <f t="array" ref="AM1103">_xlfn.SWITCH(CleanEmployeeData[[#This Row],[JobSatisfaction]],1,"Low",2,"Medium",3,"High",4,"Very High","Unknown")</f>
        <v>Medium</v>
      </c>
      <c r="AN1103" t="str" cm="1">
        <f t="array" ref="AN1103">_xlfn.SWITCH(CleanEmployeeData[[#This Row],[PerformanceRating]],1,"Low",2,"Good",3,"Excellent",4,"Outstanding","Unknown")</f>
        <v>Excellent</v>
      </c>
      <c r="AO1103" t="str" cm="1">
        <f t="array" ref="AO1103">_xlfn.SWITCH(CleanEmployeeData[[#This Row],[WorkLifeBalance]],1,"Bad",2,"Good",3,"Better",4,"Best","Unknown")</f>
        <v>Better</v>
      </c>
      <c r="AP1103">
        <f>IF(CleanEmployeeData[[#This Row],[Attrition]]="Yes",1,IF(CleanEmployeeData[[#This Row],[Attrition]]="No",0,""))</f>
        <v>0</v>
      </c>
      <c r="AQ1103" t="str" cm="1">
        <f t="array" ref="AQ1103">_xlfn.IFS(CleanEmployeeData[[#This Row],[MonthlyIncome]]&lt;=3000,"0–3,000",CleanEmployeeData[[#This Row],[MonthlyIncome]]&lt;=6000,"3,001–6,000",CleanEmployeeData[[#This Row],[MonthlyIncome]]&lt;=10000,"6,001–10,000",TRUE,"10,001+")</f>
        <v>3,001–6,000</v>
      </c>
      <c r="AR1103" t="str" cm="1">
        <f t="array" ref="AR1103">_xlfn.IFS(CleanEmployeeData[[#This Row],[DistanceFromHome]]&lt;=5,"0–5 miles",CleanEmployeeData[[#This Row],[DistanceFromHome]]&lt;=10,"6–10 miles",CleanEmployeeData[[#This Row],[DistanceFromHome]]&lt;=15,"11–15 miles",TRUE,"16+ miles")</f>
        <v>0–5 miles</v>
      </c>
      <c r="AS1103" t="str" cm="1">
        <f t="array" ref="AS1103">_xlfn.IFS(CleanEmployeeData[[#This Row],[YearsAtCompany]]&lt;=1,"0–1 years",CleanEmployeeData[[#This Row],[YearsAtCompany]]&lt;=5,"2–5 years",CleanEmployeeData[[#This Row],[YearsAtCompany]]&lt;=10,"6–10 years",TRUE,"11+ years")</f>
        <v>6–10 years</v>
      </c>
    </row>
    <row r="1104" spans="1:4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cm="1">
        <f t="array" ref="AJ1104">_xlfn.SWITCH(CleanEmployeeData[[#This Row],[Education]],1,"Below College",2,"College",3,"Bachelor",4,"Master",5,"Doctor","Unknown")</f>
        <v>Master</v>
      </c>
      <c r="AK1104" t="str" cm="1">
        <f t="array" ref="AK1104">_xlfn.SWITCH(CleanEmployeeData[[#This Row],[EnvironmentSatisfaction]],1,"Low",2,"Medium",3,"High",4,"Very High","Unknown")</f>
        <v>High</v>
      </c>
      <c r="AL1104" t="str" cm="1">
        <f t="array" ref="AL1104">_xlfn.SWITCH(CleanEmployeeData[[#This Row],[JobInvolvement]],1,"Low",2,"Medium",3,"High",4,"Very High","Unknown")</f>
        <v>High</v>
      </c>
      <c r="AM1104" t="str" cm="1">
        <f t="array" ref="AM1104">_xlfn.SWITCH(CleanEmployeeData[[#This Row],[JobSatisfaction]],1,"Low",2,"Medium",3,"High",4,"Very High","Unknown")</f>
        <v>Very High</v>
      </c>
      <c r="AN1104" t="str" cm="1">
        <f t="array" ref="AN1104">_xlfn.SWITCH(CleanEmployeeData[[#This Row],[PerformanceRating]],1,"Low",2,"Good",3,"Excellent",4,"Outstanding","Unknown")</f>
        <v>Outstanding</v>
      </c>
      <c r="AO1104" t="str" cm="1">
        <f t="array" ref="AO1104">_xlfn.SWITCH(CleanEmployeeData[[#This Row],[WorkLifeBalance]],1,"Bad",2,"Good",3,"Better",4,"Best","Unknown")</f>
        <v>Good</v>
      </c>
      <c r="AP1104">
        <f>IF(CleanEmployeeData[[#This Row],[Attrition]]="Yes",1,IF(CleanEmployeeData[[#This Row],[Attrition]]="No",0,""))</f>
        <v>0</v>
      </c>
      <c r="AQ1104" t="str" cm="1">
        <f t="array" ref="AQ1104">_xlfn.IFS(CleanEmployeeData[[#This Row],[MonthlyIncome]]&lt;=3000,"0–3,000",CleanEmployeeData[[#This Row],[MonthlyIncome]]&lt;=6000,"3,001–6,000",CleanEmployeeData[[#This Row],[MonthlyIncome]]&lt;=10000,"6,001–10,000",TRUE,"10,001+")</f>
        <v>0–3,000</v>
      </c>
      <c r="AR1104" t="str" cm="1">
        <f t="array" ref="AR1104">_xlfn.IFS(CleanEmployeeData[[#This Row],[DistanceFromHome]]&lt;=5,"0–5 miles",CleanEmployeeData[[#This Row],[DistanceFromHome]]&lt;=10,"6–10 miles",CleanEmployeeData[[#This Row],[DistanceFromHome]]&lt;=15,"11–15 miles",TRUE,"16+ miles")</f>
        <v>0–5 miles</v>
      </c>
      <c r="AS1104" t="str" cm="1">
        <f t="array" ref="AS1104">_xlfn.IFS(CleanEmployeeData[[#This Row],[YearsAtCompany]]&lt;=1,"0–1 years",CleanEmployeeData[[#This Row],[YearsAtCompany]]&lt;=5,"2–5 years",CleanEmployeeData[[#This Row],[YearsAtCompany]]&lt;=10,"6–10 years",TRUE,"11+ years")</f>
        <v>2–5 years</v>
      </c>
    </row>
    <row r="1105" spans="1:4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cm="1">
        <f t="array" ref="AJ1105">_xlfn.SWITCH(CleanEmployeeData[[#This Row],[Education]],1,"Below College",2,"College",3,"Bachelor",4,"Master",5,"Doctor","Unknown")</f>
        <v>Master</v>
      </c>
      <c r="AK1105" t="str" cm="1">
        <f t="array" ref="AK1105">_xlfn.SWITCH(CleanEmployeeData[[#This Row],[EnvironmentSatisfaction]],1,"Low",2,"Medium",3,"High",4,"Very High","Unknown")</f>
        <v>High</v>
      </c>
      <c r="AL1105" t="str" cm="1">
        <f t="array" ref="AL1105">_xlfn.SWITCH(CleanEmployeeData[[#This Row],[JobInvolvement]],1,"Low",2,"Medium",3,"High",4,"Very High","Unknown")</f>
        <v>High</v>
      </c>
      <c r="AM1105" t="str" cm="1">
        <f t="array" ref="AM1105">_xlfn.SWITCH(CleanEmployeeData[[#This Row],[JobSatisfaction]],1,"Low",2,"Medium",3,"High",4,"Very High","Unknown")</f>
        <v>High</v>
      </c>
      <c r="AN1105" t="str" cm="1">
        <f t="array" ref="AN1105">_xlfn.SWITCH(CleanEmployeeData[[#This Row],[PerformanceRating]],1,"Low",2,"Good",3,"Excellent",4,"Outstanding","Unknown")</f>
        <v>Excellent</v>
      </c>
      <c r="AO1105" t="str" cm="1">
        <f t="array" ref="AO1105">_xlfn.SWITCH(CleanEmployeeData[[#This Row],[WorkLifeBalance]],1,"Bad",2,"Good",3,"Better",4,"Best","Unknown")</f>
        <v>Better</v>
      </c>
      <c r="AP1105">
        <f>IF(CleanEmployeeData[[#This Row],[Attrition]]="Yes",1,IF(CleanEmployeeData[[#This Row],[Attrition]]="No",0,""))</f>
        <v>0</v>
      </c>
      <c r="AQ1105" t="str" cm="1">
        <f t="array" ref="AQ1105">_xlfn.IFS(CleanEmployeeData[[#This Row],[MonthlyIncome]]&lt;=3000,"0–3,000",CleanEmployeeData[[#This Row],[MonthlyIncome]]&lt;=6000,"3,001–6,000",CleanEmployeeData[[#This Row],[MonthlyIncome]]&lt;=10000,"6,001–10,000",TRUE,"10,001+")</f>
        <v>6,001–10,000</v>
      </c>
      <c r="AR1105" t="str" cm="1">
        <f t="array" ref="AR1105">_xlfn.IFS(CleanEmployeeData[[#This Row],[DistanceFromHome]]&lt;=5,"0–5 miles",CleanEmployeeData[[#This Row],[DistanceFromHome]]&lt;=10,"6–10 miles",CleanEmployeeData[[#This Row],[DistanceFromHome]]&lt;=15,"11–15 miles",TRUE,"16+ miles")</f>
        <v>16+ miles</v>
      </c>
      <c r="AS1105" t="str" cm="1">
        <f t="array" ref="AS1105">_xlfn.IFS(CleanEmployeeData[[#This Row],[YearsAtCompany]]&lt;=1,"0–1 years",CleanEmployeeData[[#This Row],[YearsAtCompany]]&lt;=5,"2–5 years",CleanEmployeeData[[#This Row],[YearsAtCompany]]&lt;=10,"6–10 years",TRUE,"11+ years")</f>
        <v>6–10 years</v>
      </c>
    </row>
    <row r="1106" spans="1:4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cm="1">
        <f t="array" ref="AJ1106">_xlfn.SWITCH(CleanEmployeeData[[#This Row],[Education]],1,"Below College",2,"College",3,"Bachelor",4,"Master",5,"Doctor","Unknown")</f>
        <v>Bachelor</v>
      </c>
      <c r="AK1106" t="str" cm="1">
        <f t="array" ref="AK1106">_xlfn.SWITCH(CleanEmployeeData[[#This Row],[EnvironmentSatisfaction]],1,"Low",2,"Medium",3,"High",4,"Very High","Unknown")</f>
        <v>High</v>
      </c>
      <c r="AL1106" t="str" cm="1">
        <f t="array" ref="AL1106">_xlfn.SWITCH(CleanEmployeeData[[#This Row],[JobInvolvement]],1,"Low",2,"Medium",3,"High",4,"Very High","Unknown")</f>
        <v>Very High</v>
      </c>
      <c r="AM1106" t="str" cm="1">
        <f t="array" ref="AM1106">_xlfn.SWITCH(CleanEmployeeData[[#This Row],[JobSatisfaction]],1,"Low",2,"Medium",3,"High",4,"Very High","Unknown")</f>
        <v>High</v>
      </c>
      <c r="AN1106" t="str" cm="1">
        <f t="array" ref="AN1106">_xlfn.SWITCH(CleanEmployeeData[[#This Row],[PerformanceRating]],1,"Low",2,"Good",3,"Excellent",4,"Outstanding","Unknown")</f>
        <v>Excellent</v>
      </c>
      <c r="AO1106" t="str" cm="1">
        <f t="array" ref="AO1106">_xlfn.SWITCH(CleanEmployeeData[[#This Row],[WorkLifeBalance]],1,"Bad",2,"Good",3,"Better",4,"Best","Unknown")</f>
        <v>Good</v>
      </c>
      <c r="AP1106">
        <f>IF(CleanEmployeeData[[#This Row],[Attrition]]="Yes",1,IF(CleanEmployeeData[[#This Row],[Attrition]]="No",0,""))</f>
        <v>0</v>
      </c>
      <c r="AQ1106" t="str" cm="1">
        <f t="array" ref="AQ1106">_xlfn.IFS(CleanEmployeeData[[#This Row],[MonthlyIncome]]&lt;=3000,"0–3,000",CleanEmployeeData[[#This Row],[MonthlyIncome]]&lt;=6000,"3,001–6,000",CleanEmployeeData[[#This Row],[MonthlyIncome]]&lt;=10000,"6,001–10,000",TRUE,"10,001+")</f>
        <v>0–3,000</v>
      </c>
      <c r="AR1106" t="str" cm="1">
        <f t="array" ref="AR1106">_xlfn.IFS(CleanEmployeeData[[#This Row],[DistanceFromHome]]&lt;=5,"0–5 miles",CleanEmployeeData[[#This Row],[DistanceFromHome]]&lt;=10,"6–10 miles",CleanEmployeeData[[#This Row],[DistanceFromHome]]&lt;=15,"11–15 miles",TRUE,"16+ miles")</f>
        <v>6–10 miles</v>
      </c>
      <c r="AS1106" t="str" cm="1">
        <f t="array" ref="AS1106">_xlfn.IFS(CleanEmployeeData[[#This Row],[YearsAtCompany]]&lt;=1,"0–1 years",CleanEmployeeData[[#This Row],[YearsAtCompany]]&lt;=5,"2–5 years",CleanEmployeeData[[#This Row],[YearsAtCompany]]&lt;=10,"6–10 years",TRUE,"11+ years")</f>
        <v>0–1 years</v>
      </c>
    </row>
    <row r="1107" spans="1:4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cm="1">
        <f t="array" ref="AJ1107">_xlfn.SWITCH(CleanEmployeeData[[#This Row],[Education]],1,"Below College",2,"College",3,"Bachelor",4,"Master",5,"Doctor","Unknown")</f>
        <v>Master</v>
      </c>
      <c r="AK1107" t="str" cm="1">
        <f t="array" ref="AK1107">_xlfn.SWITCH(CleanEmployeeData[[#This Row],[EnvironmentSatisfaction]],1,"Low",2,"Medium",3,"High",4,"Very High","Unknown")</f>
        <v>Low</v>
      </c>
      <c r="AL1107" t="str" cm="1">
        <f t="array" ref="AL1107">_xlfn.SWITCH(CleanEmployeeData[[#This Row],[JobInvolvement]],1,"Low",2,"Medium",3,"High",4,"Very High","Unknown")</f>
        <v>High</v>
      </c>
      <c r="AM1107" t="str" cm="1">
        <f t="array" ref="AM1107">_xlfn.SWITCH(CleanEmployeeData[[#This Row],[JobSatisfaction]],1,"Low",2,"Medium",3,"High",4,"Very High","Unknown")</f>
        <v>Low</v>
      </c>
      <c r="AN1107" t="str" cm="1">
        <f t="array" ref="AN1107">_xlfn.SWITCH(CleanEmployeeData[[#This Row],[PerformanceRating]],1,"Low",2,"Good",3,"Excellent",4,"Outstanding","Unknown")</f>
        <v>Excellent</v>
      </c>
      <c r="AO1107" t="str" cm="1">
        <f t="array" ref="AO1107">_xlfn.SWITCH(CleanEmployeeData[[#This Row],[WorkLifeBalance]],1,"Bad",2,"Good",3,"Better",4,"Best","Unknown")</f>
        <v>Bad</v>
      </c>
      <c r="AP1107">
        <f>IF(CleanEmployeeData[[#This Row],[Attrition]]="Yes",1,IF(CleanEmployeeData[[#This Row],[Attrition]]="No",0,""))</f>
        <v>0</v>
      </c>
      <c r="AQ1107" t="str" cm="1">
        <f t="array" ref="AQ1107">_xlfn.IFS(CleanEmployeeData[[#This Row],[MonthlyIncome]]&lt;=3000,"0–3,000",CleanEmployeeData[[#This Row],[MonthlyIncome]]&lt;=6000,"3,001–6,000",CleanEmployeeData[[#This Row],[MonthlyIncome]]&lt;=10000,"6,001–10,000",TRUE,"10,001+")</f>
        <v>6,001–10,000</v>
      </c>
      <c r="AR1107" t="str" cm="1">
        <f t="array" ref="AR1107">_xlfn.IFS(CleanEmployeeData[[#This Row],[DistanceFromHome]]&lt;=5,"0–5 miles",CleanEmployeeData[[#This Row],[DistanceFromHome]]&lt;=10,"6–10 miles",CleanEmployeeData[[#This Row],[DistanceFromHome]]&lt;=15,"11–15 miles",TRUE,"16+ miles")</f>
        <v>6–10 miles</v>
      </c>
      <c r="AS1107" t="str" cm="1">
        <f t="array" ref="AS1107">_xlfn.IFS(CleanEmployeeData[[#This Row],[YearsAtCompany]]&lt;=1,"0–1 years",CleanEmployeeData[[#This Row],[YearsAtCompany]]&lt;=5,"2–5 years",CleanEmployeeData[[#This Row],[YearsAtCompany]]&lt;=10,"6–10 years",TRUE,"11+ years")</f>
        <v>2–5 years</v>
      </c>
    </row>
    <row r="1108" spans="1:4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cm="1">
        <f t="array" ref="AJ1108">_xlfn.SWITCH(CleanEmployeeData[[#This Row],[Education]],1,"Below College",2,"College",3,"Bachelor",4,"Master",5,"Doctor","Unknown")</f>
        <v>Bachelor</v>
      </c>
      <c r="AK1108" t="str" cm="1">
        <f t="array" ref="AK1108">_xlfn.SWITCH(CleanEmployeeData[[#This Row],[EnvironmentSatisfaction]],1,"Low",2,"Medium",3,"High",4,"Very High","Unknown")</f>
        <v>Medium</v>
      </c>
      <c r="AL1108" t="str" cm="1">
        <f t="array" ref="AL1108">_xlfn.SWITCH(CleanEmployeeData[[#This Row],[JobInvolvement]],1,"Low",2,"Medium",3,"High",4,"Very High","Unknown")</f>
        <v>Medium</v>
      </c>
      <c r="AM1108" t="str" cm="1">
        <f t="array" ref="AM1108">_xlfn.SWITCH(CleanEmployeeData[[#This Row],[JobSatisfaction]],1,"Low",2,"Medium",3,"High",4,"Very High","Unknown")</f>
        <v>Low</v>
      </c>
      <c r="AN1108" t="str" cm="1">
        <f t="array" ref="AN1108">_xlfn.SWITCH(CleanEmployeeData[[#This Row],[PerformanceRating]],1,"Low",2,"Good",3,"Excellent",4,"Outstanding","Unknown")</f>
        <v>Excellent</v>
      </c>
      <c r="AO1108" t="str" cm="1">
        <f t="array" ref="AO1108">_xlfn.SWITCH(CleanEmployeeData[[#This Row],[WorkLifeBalance]],1,"Bad",2,"Good",3,"Better",4,"Best","Unknown")</f>
        <v>Better</v>
      </c>
      <c r="AP1108">
        <f>IF(CleanEmployeeData[[#This Row],[Attrition]]="Yes",1,IF(CleanEmployeeData[[#This Row],[Attrition]]="No",0,""))</f>
        <v>1</v>
      </c>
      <c r="AQ1108" t="str" cm="1">
        <f t="array" ref="AQ1108">_xlfn.IFS(CleanEmployeeData[[#This Row],[MonthlyIncome]]&lt;=3000,"0–3,000",CleanEmployeeData[[#This Row],[MonthlyIncome]]&lt;=6000,"3,001–6,000",CleanEmployeeData[[#This Row],[MonthlyIncome]]&lt;=10000,"6,001–10,000",TRUE,"10,001+")</f>
        <v>6,001–10,000</v>
      </c>
      <c r="AR1108" t="str" cm="1">
        <f t="array" ref="AR1108">_xlfn.IFS(CleanEmployeeData[[#This Row],[DistanceFromHome]]&lt;=5,"0–5 miles",CleanEmployeeData[[#This Row],[DistanceFromHome]]&lt;=10,"6–10 miles",CleanEmployeeData[[#This Row],[DistanceFromHome]]&lt;=15,"11–15 miles",TRUE,"16+ miles")</f>
        <v>0–5 miles</v>
      </c>
      <c r="AS1108" t="str" cm="1">
        <f t="array" ref="AS1108">_xlfn.IFS(CleanEmployeeData[[#This Row],[YearsAtCompany]]&lt;=1,"0–1 years",CleanEmployeeData[[#This Row],[YearsAtCompany]]&lt;=5,"2–5 years",CleanEmployeeData[[#This Row],[YearsAtCompany]]&lt;=10,"6–10 years",TRUE,"11+ years")</f>
        <v>6–10 years</v>
      </c>
    </row>
    <row r="1109" spans="1:4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cm="1">
        <f t="array" ref="AJ1109">_xlfn.SWITCH(CleanEmployeeData[[#This Row],[Education]],1,"Below College",2,"College",3,"Bachelor",4,"Master",5,"Doctor","Unknown")</f>
        <v>Master</v>
      </c>
      <c r="AK1109" t="str" cm="1">
        <f t="array" ref="AK1109">_xlfn.SWITCH(CleanEmployeeData[[#This Row],[EnvironmentSatisfaction]],1,"Low",2,"Medium",3,"High",4,"Very High","Unknown")</f>
        <v>High</v>
      </c>
      <c r="AL1109" t="str" cm="1">
        <f t="array" ref="AL1109">_xlfn.SWITCH(CleanEmployeeData[[#This Row],[JobInvolvement]],1,"Low",2,"Medium",3,"High",4,"Very High","Unknown")</f>
        <v>High</v>
      </c>
      <c r="AM1109" t="str" cm="1">
        <f t="array" ref="AM1109">_xlfn.SWITCH(CleanEmployeeData[[#This Row],[JobSatisfaction]],1,"Low",2,"Medium",3,"High",4,"Very High","Unknown")</f>
        <v>High</v>
      </c>
      <c r="AN1109" t="str" cm="1">
        <f t="array" ref="AN1109">_xlfn.SWITCH(CleanEmployeeData[[#This Row],[PerformanceRating]],1,"Low",2,"Good",3,"Excellent",4,"Outstanding","Unknown")</f>
        <v>Excellent</v>
      </c>
      <c r="AO1109" t="str" cm="1">
        <f t="array" ref="AO1109">_xlfn.SWITCH(CleanEmployeeData[[#This Row],[WorkLifeBalance]],1,"Bad",2,"Good",3,"Better",4,"Best","Unknown")</f>
        <v>Better</v>
      </c>
      <c r="AP1109">
        <f>IF(CleanEmployeeData[[#This Row],[Attrition]]="Yes",1,IF(CleanEmployeeData[[#This Row],[Attrition]]="No",0,""))</f>
        <v>0</v>
      </c>
      <c r="AQ1109" t="str" cm="1">
        <f t="array" ref="AQ1109">_xlfn.IFS(CleanEmployeeData[[#This Row],[MonthlyIncome]]&lt;=3000,"0–3,000",CleanEmployeeData[[#This Row],[MonthlyIncome]]&lt;=6000,"3,001–6,000",CleanEmployeeData[[#This Row],[MonthlyIncome]]&lt;=10000,"6,001–10,000",TRUE,"10,001+")</f>
        <v>6,001–10,000</v>
      </c>
      <c r="AR1109" t="str" cm="1">
        <f t="array" ref="AR1109">_xlfn.IFS(CleanEmployeeData[[#This Row],[DistanceFromHome]]&lt;=5,"0–5 miles",CleanEmployeeData[[#This Row],[DistanceFromHome]]&lt;=10,"6–10 miles",CleanEmployeeData[[#This Row],[DistanceFromHome]]&lt;=15,"11–15 miles",TRUE,"16+ miles")</f>
        <v>6–10 miles</v>
      </c>
      <c r="AS1109" t="str" cm="1">
        <f t="array" ref="AS1109">_xlfn.IFS(CleanEmployeeData[[#This Row],[YearsAtCompany]]&lt;=1,"0–1 years",CleanEmployeeData[[#This Row],[YearsAtCompany]]&lt;=5,"2–5 years",CleanEmployeeData[[#This Row],[YearsAtCompany]]&lt;=10,"6–10 years",TRUE,"11+ years")</f>
        <v>6–10 years</v>
      </c>
    </row>
    <row r="1110" spans="1:4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cm="1">
        <f t="array" ref="AJ1110">_xlfn.SWITCH(CleanEmployeeData[[#This Row],[Education]],1,"Below College",2,"College",3,"Bachelor",4,"Master",5,"Doctor","Unknown")</f>
        <v>Bachelor</v>
      </c>
      <c r="AK1110" t="str" cm="1">
        <f t="array" ref="AK1110">_xlfn.SWITCH(CleanEmployeeData[[#This Row],[EnvironmentSatisfaction]],1,"Low",2,"Medium",3,"High",4,"Very High","Unknown")</f>
        <v>Very High</v>
      </c>
      <c r="AL1110" t="str" cm="1">
        <f t="array" ref="AL1110">_xlfn.SWITCH(CleanEmployeeData[[#This Row],[JobInvolvement]],1,"Low",2,"Medium",3,"High",4,"Very High","Unknown")</f>
        <v>Medium</v>
      </c>
      <c r="AM1110" t="str" cm="1">
        <f t="array" ref="AM1110">_xlfn.SWITCH(CleanEmployeeData[[#This Row],[JobSatisfaction]],1,"Low",2,"Medium",3,"High",4,"Very High","Unknown")</f>
        <v>Low</v>
      </c>
      <c r="AN1110" t="str" cm="1">
        <f t="array" ref="AN1110">_xlfn.SWITCH(CleanEmployeeData[[#This Row],[PerformanceRating]],1,"Low",2,"Good",3,"Excellent",4,"Outstanding","Unknown")</f>
        <v>Excellent</v>
      </c>
      <c r="AO1110" t="str" cm="1">
        <f t="array" ref="AO1110">_xlfn.SWITCH(CleanEmployeeData[[#This Row],[WorkLifeBalance]],1,"Bad",2,"Good",3,"Better",4,"Best","Unknown")</f>
        <v>Better</v>
      </c>
      <c r="AP1110">
        <f>IF(CleanEmployeeData[[#This Row],[Attrition]]="Yes",1,IF(CleanEmployeeData[[#This Row],[Attrition]]="No",0,""))</f>
        <v>0</v>
      </c>
      <c r="AQ1110" t="str" cm="1">
        <f t="array" ref="AQ1110">_xlfn.IFS(CleanEmployeeData[[#This Row],[MonthlyIncome]]&lt;=3000,"0–3,000",CleanEmployeeData[[#This Row],[MonthlyIncome]]&lt;=6000,"3,001–6,000",CleanEmployeeData[[#This Row],[MonthlyIncome]]&lt;=10000,"6,001–10,000",TRUE,"10,001+")</f>
        <v>0–3,000</v>
      </c>
      <c r="AR1110" t="str" cm="1">
        <f t="array" ref="AR1110">_xlfn.IFS(CleanEmployeeData[[#This Row],[DistanceFromHome]]&lt;=5,"0–5 miles",CleanEmployeeData[[#This Row],[DistanceFromHome]]&lt;=10,"6–10 miles",CleanEmployeeData[[#This Row],[DistanceFromHome]]&lt;=15,"11–15 miles",TRUE,"16+ miles")</f>
        <v>0–5 miles</v>
      </c>
      <c r="AS1110" t="str" cm="1">
        <f t="array" ref="AS1110">_xlfn.IFS(CleanEmployeeData[[#This Row],[YearsAtCompany]]&lt;=1,"0–1 years",CleanEmployeeData[[#This Row],[YearsAtCompany]]&lt;=5,"2–5 years",CleanEmployeeData[[#This Row],[YearsAtCompany]]&lt;=10,"6–10 years",TRUE,"11+ years")</f>
        <v>2–5 years</v>
      </c>
    </row>
    <row r="1111" spans="1:4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cm="1">
        <f t="array" ref="AJ1111">_xlfn.SWITCH(CleanEmployeeData[[#This Row],[Education]],1,"Below College",2,"College",3,"Bachelor",4,"Master",5,"Doctor","Unknown")</f>
        <v>Master</v>
      </c>
      <c r="AK1111" t="str" cm="1">
        <f t="array" ref="AK1111">_xlfn.SWITCH(CleanEmployeeData[[#This Row],[EnvironmentSatisfaction]],1,"Low",2,"Medium",3,"High",4,"Very High","Unknown")</f>
        <v>High</v>
      </c>
      <c r="AL1111" t="str" cm="1">
        <f t="array" ref="AL1111">_xlfn.SWITCH(CleanEmployeeData[[#This Row],[JobInvolvement]],1,"Low",2,"Medium",3,"High",4,"Very High","Unknown")</f>
        <v>High</v>
      </c>
      <c r="AM1111" t="str" cm="1">
        <f t="array" ref="AM1111">_xlfn.SWITCH(CleanEmployeeData[[#This Row],[JobSatisfaction]],1,"Low",2,"Medium",3,"High",4,"Very High","Unknown")</f>
        <v>Medium</v>
      </c>
      <c r="AN1111" t="str" cm="1">
        <f t="array" ref="AN1111">_xlfn.SWITCH(CleanEmployeeData[[#This Row],[PerformanceRating]],1,"Low",2,"Good",3,"Excellent",4,"Outstanding","Unknown")</f>
        <v>Excellent</v>
      </c>
      <c r="AO1111" t="str" cm="1">
        <f t="array" ref="AO1111">_xlfn.SWITCH(CleanEmployeeData[[#This Row],[WorkLifeBalance]],1,"Bad",2,"Good",3,"Better",4,"Best","Unknown")</f>
        <v>Better</v>
      </c>
      <c r="AP1111">
        <f>IF(CleanEmployeeData[[#This Row],[Attrition]]="Yes",1,IF(CleanEmployeeData[[#This Row],[Attrition]]="No",0,""))</f>
        <v>0</v>
      </c>
      <c r="AQ1111" t="str" cm="1">
        <f t="array" ref="AQ1111">_xlfn.IFS(CleanEmployeeData[[#This Row],[MonthlyIncome]]&lt;=3000,"0–3,000",CleanEmployeeData[[#This Row],[MonthlyIncome]]&lt;=6000,"3,001–6,000",CleanEmployeeData[[#This Row],[MonthlyIncome]]&lt;=10000,"6,001–10,000",TRUE,"10,001+")</f>
        <v>6,001–10,000</v>
      </c>
      <c r="AR1111" t="str" cm="1">
        <f t="array" ref="AR1111">_xlfn.IFS(CleanEmployeeData[[#This Row],[DistanceFromHome]]&lt;=5,"0–5 miles",CleanEmployeeData[[#This Row],[DistanceFromHome]]&lt;=10,"6–10 miles",CleanEmployeeData[[#This Row],[DistanceFromHome]]&lt;=15,"11–15 miles",TRUE,"16+ miles")</f>
        <v>16+ miles</v>
      </c>
      <c r="AS1111" t="str" cm="1">
        <f t="array" ref="AS1111">_xlfn.IFS(CleanEmployeeData[[#This Row],[YearsAtCompany]]&lt;=1,"0–1 years",CleanEmployeeData[[#This Row],[YearsAtCompany]]&lt;=5,"2–5 years",CleanEmployeeData[[#This Row],[YearsAtCompany]]&lt;=10,"6–10 years",TRUE,"11+ years")</f>
        <v>2–5 years</v>
      </c>
    </row>
    <row r="1112" spans="1:4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cm="1">
        <f t="array" ref="AJ1112">_xlfn.SWITCH(CleanEmployeeData[[#This Row],[Education]],1,"Below College",2,"College",3,"Bachelor",4,"Master",5,"Doctor","Unknown")</f>
        <v>Bachelor</v>
      </c>
      <c r="AK1112" t="str" cm="1">
        <f t="array" ref="AK1112">_xlfn.SWITCH(CleanEmployeeData[[#This Row],[EnvironmentSatisfaction]],1,"Low",2,"Medium",3,"High",4,"Very High","Unknown")</f>
        <v>Low</v>
      </c>
      <c r="AL1112" t="str" cm="1">
        <f t="array" ref="AL1112">_xlfn.SWITCH(CleanEmployeeData[[#This Row],[JobInvolvement]],1,"Low",2,"Medium",3,"High",4,"Very High","Unknown")</f>
        <v>High</v>
      </c>
      <c r="AM1112" t="str" cm="1">
        <f t="array" ref="AM1112">_xlfn.SWITCH(CleanEmployeeData[[#This Row],[JobSatisfaction]],1,"Low",2,"Medium",3,"High",4,"Very High","Unknown")</f>
        <v>Low</v>
      </c>
      <c r="AN1112" t="str" cm="1">
        <f t="array" ref="AN1112">_xlfn.SWITCH(CleanEmployeeData[[#This Row],[PerformanceRating]],1,"Low",2,"Good",3,"Excellent",4,"Outstanding","Unknown")</f>
        <v>Excellent</v>
      </c>
      <c r="AO1112" t="str" cm="1">
        <f t="array" ref="AO1112">_xlfn.SWITCH(CleanEmployeeData[[#This Row],[WorkLifeBalance]],1,"Bad",2,"Good",3,"Better",4,"Best","Unknown")</f>
        <v>Better</v>
      </c>
      <c r="AP1112">
        <f>IF(CleanEmployeeData[[#This Row],[Attrition]]="Yes",1,IF(CleanEmployeeData[[#This Row],[Attrition]]="No",0,""))</f>
        <v>1</v>
      </c>
      <c r="AQ1112" t="str" cm="1">
        <f t="array" ref="AQ1112">_xlfn.IFS(CleanEmployeeData[[#This Row],[MonthlyIncome]]&lt;=3000,"0–3,000",CleanEmployeeData[[#This Row],[MonthlyIncome]]&lt;=6000,"3,001–6,000",CleanEmployeeData[[#This Row],[MonthlyIncome]]&lt;=10000,"6,001–10,000",TRUE,"10,001+")</f>
        <v>0–3,000</v>
      </c>
      <c r="AR1112" t="str" cm="1">
        <f t="array" ref="AR1112">_xlfn.IFS(CleanEmployeeData[[#This Row],[DistanceFromHome]]&lt;=5,"0–5 miles",CleanEmployeeData[[#This Row],[DistanceFromHome]]&lt;=10,"6–10 miles",CleanEmployeeData[[#This Row],[DistanceFromHome]]&lt;=15,"11–15 miles",TRUE,"16+ miles")</f>
        <v>0–5 miles</v>
      </c>
      <c r="AS1112" t="str" cm="1">
        <f t="array" ref="AS1112">_xlfn.IFS(CleanEmployeeData[[#This Row],[YearsAtCompany]]&lt;=1,"0–1 years",CleanEmployeeData[[#This Row],[YearsAtCompany]]&lt;=5,"2–5 years",CleanEmployeeData[[#This Row],[YearsAtCompany]]&lt;=10,"6–10 years",TRUE,"11+ years")</f>
        <v>0–1 years</v>
      </c>
    </row>
    <row r="1113" spans="1:4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cm="1">
        <f t="array" ref="AJ1113">_xlfn.SWITCH(CleanEmployeeData[[#This Row],[Education]],1,"Below College",2,"College",3,"Bachelor",4,"Master",5,"Doctor","Unknown")</f>
        <v>Doctor</v>
      </c>
      <c r="AK1113" t="str" cm="1">
        <f t="array" ref="AK1113">_xlfn.SWITCH(CleanEmployeeData[[#This Row],[EnvironmentSatisfaction]],1,"Low",2,"Medium",3,"High",4,"Very High","Unknown")</f>
        <v>High</v>
      </c>
      <c r="AL1113" t="str" cm="1">
        <f t="array" ref="AL1113">_xlfn.SWITCH(CleanEmployeeData[[#This Row],[JobInvolvement]],1,"Low",2,"Medium",3,"High",4,"Very High","Unknown")</f>
        <v>Medium</v>
      </c>
      <c r="AM1113" t="str" cm="1">
        <f t="array" ref="AM1113">_xlfn.SWITCH(CleanEmployeeData[[#This Row],[JobSatisfaction]],1,"Low",2,"Medium",3,"High",4,"Very High","Unknown")</f>
        <v>Very High</v>
      </c>
      <c r="AN1113" t="str" cm="1">
        <f t="array" ref="AN1113">_xlfn.SWITCH(CleanEmployeeData[[#This Row],[PerformanceRating]],1,"Low",2,"Good",3,"Excellent",4,"Outstanding","Unknown")</f>
        <v>Excellent</v>
      </c>
      <c r="AO1113" t="str" cm="1">
        <f t="array" ref="AO1113">_xlfn.SWITCH(CleanEmployeeData[[#This Row],[WorkLifeBalance]],1,"Bad",2,"Good",3,"Better",4,"Best","Unknown")</f>
        <v>Better</v>
      </c>
      <c r="AP1113">
        <f>IF(CleanEmployeeData[[#This Row],[Attrition]]="Yes",1,IF(CleanEmployeeData[[#This Row],[Attrition]]="No",0,""))</f>
        <v>1</v>
      </c>
      <c r="AQ1113" t="str" cm="1">
        <f t="array" ref="AQ1113">_xlfn.IFS(CleanEmployeeData[[#This Row],[MonthlyIncome]]&lt;=3000,"0–3,000",CleanEmployeeData[[#This Row],[MonthlyIncome]]&lt;=6000,"3,001–6,000",CleanEmployeeData[[#This Row],[MonthlyIncome]]&lt;=10000,"6,001–10,000",TRUE,"10,001+")</f>
        <v>10,001+</v>
      </c>
      <c r="AR1113" t="str" cm="1">
        <f t="array" ref="AR1113">_xlfn.IFS(CleanEmployeeData[[#This Row],[DistanceFromHome]]&lt;=5,"0–5 miles",CleanEmployeeData[[#This Row],[DistanceFromHome]]&lt;=10,"6–10 miles",CleanEmployeeData[[#This Row],[DistanceFromHome]]&lt;=15,"11–15 miles",TRUE,"16+ miles")</f>
        <v>0–5 miles</v>
      </c>
      <c r="AS1113" t="str" cm="1">
        <f t="array" ref="AS1113">_xlfn.IFS(CleanEmployeeData[[#This Row],[YearsAtCompany]]&lt;=1,"0–1 years",CleanEmployeeData[[#This Row],[YearsAtCompany]]&lt;=5,"2–5 years",CleanEmployeeData[[#This Row],[YearsAtCompany]]&lt;=10,"6–10 years",TRUE,"11+ years")</f>
        <v>11+ years</v>
      </c>
    </row>
    <row r="1114" spans="1:4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cm="1">
        <f t="array" ref="AJ1114">_xlfn.SWITCH(CleanEmployeeData[[#This Row],[Education]],1,"Below College",2,"College",3,"Bachelor",4,"Master",5,"Doctor","Unknown")</f>
        <v>Bachelor</v>
      </c>
      <c r="AK1114" t="str" cm="1">
        <f t="array" ref="AK1114">_xlfn.SWITCH(CleanEmployeeData[[#This Row],[EnvironmentSatisfaction]],1,"Low",2,"Medium",3,"High",4,"Very High","Unknown")</f>
        <v>High</v>
      </c>
      <c r="AL1114" t="str" cm="1">
        <f t="array" ref="AL1114">_xlfn.SWITCH(CleanEmployeeData[[#This Row],[JobInvolvement]],1,"Low",2,"Medium",3,"High",4,"Very High","Unknown")</f>
        <v>High</v>
      </c>
      <c r="AM1114" t="str" cm="1">
        <f t="array" ref="AM1114">_xlfn.SWITCH(CleanEmployeeData[[#This Row],[JobSatisfaction]],1,"Low",2,"Medium",3,"High",4,"Very High","Unknown")</f>
        <v>Medium</v>
      </c>
      <c r="AN1114" t="str" cm="1">
        <f t="array" ref="AN1114">_xlfn.SWITCH(CleanEmployeeData[[#This Row],[PerformanceRating]],1,"Low",2,"Good",3,"Excellent",4,"Outstanding","Unknown")</f>
        <v>Excellent</v>
      </c>
      <c r="AO1114" t="str" cm="1">
        <f t="array" ref="AO1114">_xlfn.SWITCH(CleanEmployeeData[[#This Row],[WorkLifeBalance]],1,"Bad",2,"Good",3,"Better",4,"Best","Unknown")</f>
        <v>Better</v>
      </c>
      <c r="AP1114">
        <f>IF(CleanEmployeeData[[#This Row],[Attrition]]="Yes",1,IF(CleanEmployeeData[[#This Row],[Attrition]]="No",0,""))</f>
        <v>1</v>
      </c>
      <c r="AQ1114" t="str" cm="1">
        <f t="array" ref="AQ1114">_xlfn.IFS(CleanEmployeeData[[#This Row],[MonthlyIncome]]&lt;=3000,"0–3,000",CleanEmployeeData[[#This Row],[MonthlyIncome]]&lt;=6000,"3,001–6,000",CleanEmployeeData[[#This Row],[MonthlyIncome]]&lt;=10000,"6,001–10,000",TRUE,"10,001+")</f>
        <v>3,001–6,000</v>
      </c>
      <c r="AR1114" t="str" cm="1">
        <f t="array" ref="AR1114">_xlfn.IFS(CleanEmployeeData[[#This Row],[DistanceFromHome]]&lt;=5,"0–5 miles",CleanEmployeeData[[#This Row],[DistanceFromHome]]&lt;=10,"6–10 miles",CleanEmployeeData[[#This Row],[DistanceFromHome]]&lt;=15,"11–15 miles",TRUE,"16+ miles")</f>
        <v>0–5 miles</v>
      </c>
      <c r="AS1114" t="str" cm="1">
        <f t="array" ref="AS1114">_xlfn.IFS(CleanEmployeeData[[#This Row],[YearsAtCompany]]&lt;=1,"0–1 years",CleanEmployeeData[[#This Row],[YearsAtCompany]]&lt;=5,"2–5 years",CleanEmployeeData[[#This Row],[YearsAtCompany]]&lt;=10,"6–10 years",TRUE,"11+ years")</f>
        <v>2–5 years</v>
      </c>
    </row>
    <row r="1115" spans="1:4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cm="1">
        <f t="array" ref="AJ1115">_xlfn.SWITCH(CleanEmployeeData[[#This Row],[Education]],1,"Below College",2,"College",3,"Bachelor",4,"Master",5,"Doctor","Unknown")</f>
        <v>Master</v>
      </c>
      <c r="AK1115" t="str" cm="1">
        <f t="array" ref="AK1115">_xlfn.SWITCH(CleanEmployeeData[[#This Row],[EnvironmentSatisfaction]],1,"Low",2,"Medium",3,"High",4,"Very High","Unknown")</f>
        <v>Very High</v>
      </c>
      <c r="AL1115" t="str" cm="1">
        <f t="array" ref="AL1115">_xlfn.SWITCH(CleanEmployeeData[[#This Row],[JobInvolvement]],1,"Low",2,"Medium",3,"High",4,"Very High","Unknown")</f>
        <v>High</v>
      </c>
      <c r="AM1115" t="str" cm="1">
        <f t="array" ref="AM1115">_xlfn.SWITCH(CleanEmployeeData[[#This Row],[JobSatisfaction]],1,"Low",2,"Medium",3,"High",4,"Very High","Unknown")</f>
        <v>Low</v>
      </c>
      <c r="AN1115" t="str" cm="1">
        <f t="array" ref="AN1115">_xlfn.SWITCH(CleanEmployeeData[[#This Row],[PerformanceRating]],1,"Low",2,"Good",3,"Excellent",4,"Outstanding","Unknown")</f>
        <v>Excellent</v>
      </c>
      <c r="AO1115" t="str" cm="1">
        <f t="array" ref="AO1115">_xlfn.SWITCH(CleanEmployeeData[[#This Row],[WorkLifeBalance]],1,"Bad",2,"Good",3,"Better",4,"Best","Unknown")</f>
        <v>Good</v>
      </c>
      <c r="AP1115">
        <f>IF(CleanEmployeeData[[#This Row],[Attrition]]="Yes",1,IF(CleanEmployeeData[[#This Row],[Attrition]]="No",0,""))</f>
        <v>0</v>
      </c>
      <c r="AQ1115" t="str" cm="1">
        <f t="array" ref="AQ1115">_xlfn.IFS(CleanEmployeeData[[#This Row],[MonthlyIncome]]&lt;=3000,"0–3,000",CleanEmployeeData[[#This Row],[MonthlyIncome]]&lt;=6000,"3,001–6,000",CleanEmployeeData[[#This Row],[MonthlyIncome]]&lt;=10000,"6,001–10,000",TRUE,"10,001+")</f>
        <v>3,001–6,000</v>
      </c>
      <c r="AR1115" t="str" cm="1">
        <f t="array" ref="AR1115">_xlfn.IFS(CleanEmployeeData[[#This Row],[DistanceFromHome]]&lt;=5,"0–5 miles",CleanEmployeeData[[#This Row],[DistanceFromHome]]&lt;=10,"6–10 miles",CleanEmployeeData[[#This Row],[DistanceFromHome]]&lt;=15,"11–15 miles",TRUE,"16+ miles")</f>
        <v>0–5 miles</v>
      </c>
      <c r="AS1115" t="str" cm="1">
        <f t="array" ref="AS1115">_xlfn.IFS(CleanEmployeeData[[#This Row],[YearsAtCompany]]&lt;=1,"0–1 years",CleanEmployeeData[[#This Row],[YearsAtCompany]]&lt;=5,"2–5 years",CleanEmployeeData[[#This Row],[YearsAtCompany]]&lt;=10,"6–10 years",TRUE,"11+ years")</f>
        <v>6–10 years</v>
      </c>
    </row>
    <row r="1116" spans="1:4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cm="1">
        <f t="array" ref="AJ1116">_xlfn.SWITCH(CleanEmployeeData[[#This Row],[Education]],1,"Below College",2,"College",3,"Bachelor",4,"Master",5,"Doctor","Unknown")</f>
        <v>Master</v>
      </c>
      <c r="AK1116" t="str" cm="1">
        <f t="array" ref="AK1116">_xlfn.SWITCH(CleanEmployeeData[[#This Row],[EnvironmentSatisfaction]],1,"Low",2,"Medium",3,"High",4,"Very High","Unknown")</f>
        <v>High</v>
      </c>
      <c r="AL1116" t="str" cm="1">
        <f t="array" ref="AL1116">_xlfn.SWITCH(CleanEmployeeData[[#This Row],[JobInvolvement]],1,"Low",2,"Medium",3,"High",4,"Very High","Unknown")</f>
        <v>High</v>
      </c>
      <c r="AM1116" t="str" cm="1">
        <f t="array" ref="AM1116">_xlfn.SWITCH(CleanEmployeeData[[#This Row],[JobSatisfaction]],1,"Low",2,"Medium",3,"High",4,"Very High","Unknown")</f>
        <v>Low</v>
      </c>
      <c r="AN1116" t="str" cm="1">
        <f t="array" ref="AN1116">_xlfn.SWITCH(CleanEmployeeData[[#This Row],[PerformanceRating]],1,"Low",2,"Good",3,"Excellent",4,"Outstanding","Unknown")</f>
        <v>Excellent</v>
      </c>
      <c r="AO1116" t="str" cm="1">
        <f t="array" ref="AO1116">_xlfn.SWITCH(CleanEmployeeData[[#This Row],[WorkLifeBalance]],1,"Bad",2,"Good",3,"Better",4,"Best","Unknown")</f>
        <v>Good</v>
      </c>
      <c r="AP1116">
        <f>IF(CleanEmployeeData[[#This Row],[Attrition]]="Yes",1,IF(CleanEmployeeData[[#This Row],[Attrition]]="No",0,""))</f>
        <v>0</v>
      </c>
      <c r="AQ1116" t="str" cm="1">
        <f t="array" ref="AQ1116">_xlfn.IFS(CleanEmployeeData[[#This Row],[MonthlyIncome]]&lt;=3000,"0–3,000",CleanEmployeeData[[#This Row],[MonthlyIncome]]&lt;=6000,"3,001–6,000",CleanEmployeeData[[#This Row],[MonthlyIncome]]&lt;=10000,"6,001–10,000",TRUE,"10,001+")</f>
        <v>0–3,000</v>
      </c>
      <c r="AR1116" t="str" cm="1">
        <f t="array" ref="AR1116">_xlfn.IFS(CleanEmployeeData[[#This Row],[DistanceFromHome]]&lt;=5,"0–5 miles",CleanEmployeeData[[#This Row],[DistanceFromHome]]&lt;=10,"6–10 miles",CleanEmployeeData[[#This Row],[DistanceFromHome]]&lt;=15,"11–15 miles",TRUE,"16+ miles")</f>
        <v>11–15 miles</v>
      </c>
      <c r="AS1116" t="str" cm="1">
        <f t="array" ref="AS1116">_xlfn.IFS(CleanEmployeeData[[#This Row],[YearsAtCompany]]&lt;=1,"0–1 years",CleanEmployeeData[[#This Row],[YearsAtCompany]]&lt;=5,"2–5 years",CleanEmployeeData[[#This Row],[YearsAtCompany]]&lt;=10,"6–10 years",TRUE,"11+ years")</f>
        <v>6–10 years</v>
      </c>
    </row>
    <row r="1117" spans="1:4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cm="1">
        <f t="array" ref="AJ1117">_xlfn.SWITCH(CleanEmployeeData[[#This Row],[Education]],1,"Below College",2,"College",3,"Bachelor",4,"Master",5,"Doctor","Unknown")</f>
        <v>Master</v>
      </c>
      <c r="AK1117" t="str" cm="1">
        <f t="array" ref="AK1117">_xlfn.SWITCH(CleanEmployeeData[[#This Row],[EnvironmentSatisfaction]],1,"Low",2,"Medium",3,"High",4,"Very High","Unknown")</f>
        <v>Low</v>
      </c>
      <c r="AL1117" t="str" cm="1">
        <f t="array" ref="AL1117">_xlfn.SWITCH(CleanEmployeeData[[#This Row],[JobInvolvement]],1,"Low",2,"Medium",3,"High",4,"Very High","Unknown")</f>
        <v>High</v>
      </c>
      <c r="AM1117" t="str" cm="1">
        <f t="array" ref="AM1117">_xlfn.SWITCH(CleanEmployeeData[[#This Row],[JobSatisfaction]],1,"Low",2,"Medium",3,"High",4,"Very High","Unknown")</f>
        <v>Very High</v>
      </c>
      <c r="AN1117" t="str" cm="1">
        <f t="array" ref="AN1117">_xlfn.SWITCH(CleanEmployeeData[[#This Row],[PerformanceRating]],1,"Low",2,"Good",3,"Excellent",4,"Outstanding","Unknown")</f>
        <v>Excellent</v>
      </c>
      <c r="AO1117" t="str" cm="1">
        <f t="array" ref="AO1117">_xlfn.SWITCH(CleanEmployeeData[[#This Row],[WorkLifeBalance]],1,"Bad",2,"Good",3,"Better",4,"Best","Unknown")</f>
        <v>Bad</v>
      </c>
      <c r="AP1117">
        <f>IF(CleanEmployeeData[[#This Row],[Attrition]]="Yes",1,IF(CleanEmployeeData[[#This Row],[Attrition]]="No",0,""))</f>
        <v>0</v>
      </c>
      <c r="AQ1117" t="str" cm="1">
        <f t="array" ref="AQ1117">_xlfn.IFS(CleanEmployeeData[[#This Row],[MonthlyIncome]]&lt;=3000,"0–3,000",CleanEmployeeData[[#This Row],[MonthlyIncome]]&lt;=6000,"3,001–6,000",CleanEmployeeData[[#This Row],[MonthlyIncome]]&lt;=10000,"6,001–10,000",TRUE,"10,001+")</f>
        <v>0–3,000</v>
      </c>
      <c r="AR1117" t="str" cm="1">
        <f t="array" ref="AR1117">_xlfn.IFS(CleanEmployeeData[[#This Row],[DistanceFromHome]]&lt;=5,"0–5 miles",CleanEmployeeData[[#This Row],[DistanceFromHome]]&lt;=10,"6–10 miles",CleanEmployeeData[[#This Row],[DistanceFromHome]]&lt;=15,"11–15 miles",TRUE,"16+ miles")</f>
        <v>6–10 miles</v>
      </c>
      <c r="AS1117" t="str" cm="1">
        <f t="array" ref="AS1117">_xlfn.IFS(CleanEmployeeData[[#This Row],[YearsAtCompany]]&lt;=1,"0–1 years",CleanEmployeeData[[#This Row],[YearsAtCompany]]&lt;=5,"2–5 years",CleanEmployeeData[[#This Row],[YearsAtCompany]]&lt;=10,"6–10 years",TRUE,"11+ years")</f>
        <v>0–1 years</v>
      </c>
    </row>
    <row r="1118" spans="1:4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cm="1">
        <f t="array" ref="AJ1118">_xlfn.SWITCH(CleanEmployeeData[[#This Row],[Education]],1,"Below College",2,"College",3,"Bachelor",4,"Master",5,"Doctor","Unknown")</f>
        <v>Doctor</v>
      </c>
      <c r="AK1118" t="str" cm="1">
        <f t="array" ref="AK1118">_xlfn.SWITCH(CleanEmployeeData[[#This Row],[EnvironmentSatisfaction]],1,"Low",2,"Medium",3,"High",4,"Very High","Unknown")</f>
        <v>High</v>
      </c>
      <c r="AL1118" t="str" cm="1">
        <f t="array" ref="AL1118">_xlfn.SWITCH(CleanEmployeeData[[#This Row],[JobInvolvement]],1,"Low",2,"Medium",3,"High",4,"Very High","Unknown")</f>
        <v>Medium</v>
      </c>
      <c r="AM1118" t="str" cm="1">
        <f t="array" ref="AM1118">_xlfn.SWITCH(CleanEmployeeData[[#This Row],[JobSatisfaction]],1,"Low",2,"Medium",3,"High",4,"Very High","Unknown")</f>
        <v>Very High</v>
      </c>
      <c r="AN1118" t="str" cm="1">
        <f t="array" ref="AN1118">_xlfn.SWITCH(CleanEmployeeData[[#This Row],[PerformanceRating]],1,"Low",2,"Good",3,"Excellent",4,"Outstanding","Unknown")</f>
        <v>Outstanding</v>
      </c>
      <c r="AO1118" t="str" cm="1">
        <f t="array" ref="AO1118">_xlfn.SWITCH(CleanEmployeeData[[#This Row],[WorkLifeBalance]],1,"Bad",2,"Good",3,"Better",4,"Best","Unknown")</f>
        <v>Better</v>
      </c>
      <c r="AP1118">
        <f>IF(CleanEmployeeData[[#This Row],[Attrition]]="Yes",1,IF(CleanEmployeeData[[#This Row],[Attrition]]="No",0,""))</f>
        <v>0</v>
      </c>
      <c r="AQ1118" t="str" cm="1">
        <f t="array" ref="AQ1118">_xlfn.IFS(CleanEmployeeData[[#This Row],[MonthlyIncome]]&lt;=3000,"0–3,000",CleanEmployeeData[[#This Row],[MonthlyIncome]]&lt;=6000,"3,001–6,000",CleanEmployeeData[[#This Row],[MonthlyIncome]]&lt;=10000,"6,001–10,000",TRUE,"10,001+")</f>
        <v>10,001+</v>
      </c>
      <c r="AR1118" t="str" cm="1">
        <f t="array" ref="AR1118">_xlfn.IFS(CleanEmployeeData[[#This Row],[DistanceFromHome]]&lt;=5,"0–5 miles",CleanEmployeeData[[#This Row],[DistanceFromHome]]&lt;=10,"6–10 miles",CleanEmployeeData[[#This Row],[DistanceFromHome]]&lt;=15,"11–15 miles",TRUE,"16+ miles")</f>
        <v>16+ miles</v>
      </c>
      <c r="AS1118" t="str" cm="1">
        <f t="array" ref="AS1118">_xlfn.IFS(CleanEmployeeData[[#This Row],[YearsAtCompany]]&lt;=1,"0–1 years",CleanEmployeeData[[#This Row],[YearsAtCompany]]&lt;=5,"2–5 years",CleanEmployeeData[[#This Row],[YearsAtCompany]]&lt;=10,"6–10 years",TRUE,"11+ years")</f>
        <v>11+ years</v>
      </c>
    </row>
    <row r="1119" spans="1:4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cm="1">
        <f t="array" ref="AJ1119">_xlfn.SWITCH(CleanEmployeeData[[#This Row],[Education]],1,"Below College",2,"College",3,"Bachelor",4,"Master",5,"Doctor","Unknown")</f>
        <v>Master</v>
      </c>
      <c r="AK1119" t="str" cm="1">
        <f t="array" ref="AK1119">_xlfn.SWITCH(CleanEmployeeData[[#This Row],[EnvironmentSatisfaction]],1,"Low",2,"Medium",3,"High",4,"Very High","Unknown")</f>
        <v>Medium</v>
      </c>
      <c r="AL1119" t="str" cm="1">
        <f t="array" ref="AL1119">_xlfn.SWITCH(CleanEmployeeData[[#This Row],[JobInvolvement]],1,"Low",2,"Medium",3,"High",4,"Very High","Unknown")</f>
        <v>High</v>
      </c>
      <c r="AM1119" t="str" cm="1">
        <f t="array" ref="AM1119">_xlfn.SWITCH(CleanEmployeeData[[#This Row],[JobSatisfaction]],1,"Low",2,"Medium",3,"High",4,"Very High","Unknown")</f>
        <v>Very High</v>
      </c>
      <c r="AN1119" t="str" cm="1">
        <f t="array" ref="AN1119">_xlfn.SWITCH(CleanEmployeeData[[#This Row],[PerformanceRating]],1,"Low",2,"Good",3,"Excellent",4,"Outstanding","Unknown")</f>
        <v>Excellent</v>
      </c>
      <c r="AO1119" t="str" cm="1">
        <f t="array" ref="AO1119">_xlfn.SWITCH(CleanEmployeeData[[#This Row],[WorkLifeBalance]],1,"Bad",2,"Good",3,"Better",4,"Best","Unknown")</f>
        <v>Good</v>
      </c>
      <c r="AP1119">
        <f>IF(CleanEmployeeData[[#This Row],[Attrition]]="Yes",1,IF(CleanEmployeeData[[#This Row],[Attrition]]="No",0,""))</f>
        <v>0</v>
      </c>
      <c r="AQ1119" t="str" cm="1">
        <f t="array" ref="AQ1119">_xlfn.IFS(CleanEmployeeData[[#This Row],[MonthlyIncome]]&lt;=3000,"0–3,000",CleanEmployeeData[[#This Row],[MonthlyIncome]]&lt;=6000,"3,001–6,000",CleanEmployeeData[[#This Row],[MonthlyIncome]]&lt;=10000,"6,001–10,000",TRUE,"10,001+")</f>
        <v>3,001–6,000</v>
      </c>
      <c r="AR1119" t="str" cm="1">
        <f t="array" ref="AR1119">_xlfn.IFS(CleanEmployeeData[[#This Row],[DistanceFromHome]]&lt;=5,"0–5 miles",CleanEmployeeData[[#This Row],[DistanceFromHome]]&lt;=10,"6–10 miles",CleanEmployeeData[[#This Row],[DistanceFromHome]]&lt;=15,"11–15 miles",TRUE,"16+ miles")</f>
        <v>0–5 miles</v>
      </c>
      <c r="AS1119" t="str" cm="1">
        <f t="array" ref="AS1119">_xlfn.IFS(CleanEmployeeData[[#This Row],[YearsAtCompany]]&lt;=1,"0–1 years",CleanEmployeeData[[#This Row],[YearsAtCompany]]&lt;=5,"2–5 years",CleanEmployeeData[[#This Row],[YearsAtCompany]]&lt;=10,"6–10 years",TRUE,"11+ years")</f>
        <v>2–5 years</v>
      </c>
    </row>
    <row r="1120" spans="1:4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cm="1">
        <f t="array" ref="AJ1120">_xlfn.SWITCH(CleanEmployeeData[[#This Row],[Education]],1,"Below College",2,"College",3,"Bachelor",4,"Master",5,"Doctor","Unknown")</f>
        <v>Bachelor</v>
      </c>
      <c r="AK1120" t="str" cm="1">
        <f t="array" ref="AK1120">_xlfn.SWITCH(CleanEmployeeData[[#This Row],[EnvironmentSatisfaction]],1,"Low",2,"Medium",3,"High",4,"Very High","Unknown")</f>
        <v>Low</v>
      </c>
      <c r="AL1120" t="str" cm="1">
        <f t="array" ref="AL1120">_xlfn.SWITCH(CleanEmployeeData[[#This Row],[JobInvolvement]],1,"Low",2,"Medium",3,"High",4,"Very High","Unknown")</f>
        <v>High</v>
      </c>
      <c r="AM1120" t="str" cm="1">
        <f t="array" ref="AM1120">_xlfn.SWITCH(CleanEmployeeData[[#This Row],[JobSatisfaction]],1,"Low",2,"Medium",3,"High",4,"Very High","Unknown")</f>
        <v>Very High</v>
      </c>
      <c r="AN1120" t="str" cm="1">
        <f t="array" ref="AN1120">_xlfn.SWITCH(CleanEmployeeData[[#This Row],[PerformanceRating]],1,"Low",2,"Good",3,"Excellent",4,"Outstanding","Unknown")</f>
        <v>Outstanding</v>
      </c>
      <c r="AO1120" t="str" cm="1">
        <f t="array" ref="AO1120">_xlfn.SWITCH(CleanEmployeeData[[#This Row],[WorkLifeBalance]],1,"Bad",2,"Good",3,"Better",4,"Best","Unknown")</f>
        <v>Better</v>
      </c>
      <c r="AP1120">
        <f>IF(CleanEmployeeData[[#This Row],[Attrition]]="Yes",1,IF(CleanEmployeeData[[#This Row],[Attrition]]="No",0,""))</f>
        <v>0</v>
      </c>
      <c r="AQ1120" t="str" cm="1">
        <f t="array" ref="AQ1120">_xlfn.IFS(CleanEmployeeData[[#This Row],[MonthlyIncome]]&lt;=3000,"0–3,000",CleanEmployeeData[[#This Row],[MonthlyIncome]]&lt;=6000,"3,001–6,000",CleanEmployeeData[[#This Row],[MonthlyIncome]]&lt;=10000,"6,001–10,000",TRUE,"10,001+")</f>
        <v>0–3,000</v>
      </c>
      <c r="AR1120" t="str" cm="1">
        <f t="array" ref="AR1120">_xlfn.IFS(CleanEmployeeData[[#This Row],[DistanceFromHome]]&lt;=5,"0–5 miles",CleanEmployeeData[[#This Row],[DistanceFromHome]]&lt;=10,"6–10 miles",CleanEmployeeData[[#This Row],[DistanceFromHome]]&lt;=15,"11–15 miles",TRUE,"16+ miles")</f>
        <v>0–5 miles</v>
      </c>
      <c r="AS1120" t="str" cm="1">
        <f t="array" ref="AS1120">_xlfn.IFS(CleanEmployeeData[[#This Row],[YearsAtCompany]]&lt;=1,"0–1 years",CleanEmployeeData[[#This Row],[YearsAtCompany]]&lt;=5,"2–5 years",CleanEmployeeData[[#This Row],[YearsAtCompany]]&lt;=10,"6–10 years",TRUE,"11+ years")</f>
        <v>0–1 years</v>
      </c>
    </row>
    <row r="1121" spans="1:4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cm="1">
        <f t="array" ref="AJ1121">_xlfn.SWITCH(CleanEmployeeData[[#This Row],[Education]],1,"Below College",2,"College",3,"Bachelor",4,"Master",5,"Doctor","Unknown")</f>
        <v>Bachelor</v>
      </c>
      <c r="AK1121" t="str" cm="1">
        <f t="array" ref="AK1121">_xlfn.SWITCH(CleanEmployeeData[[#This Row],[EnvironmentSatisfaction]],1,"Low",2,"Medium",3,"High",4,"Very High","Unknown")</f>
        <v>High</v>
      </c>
      <c r="AL1121" t="str" cm="1">
        <f t="array" ref="AL1121">_xlfn.SWITCH(CleanEmployeeData[[#This Row],[JobInvolvement]],1,"Low",2,"Medium",3,"High",4,"Very High","Unknown")</f>
        <v>High</v>
      </c>
      <c r="AM1121" t="str" cm="1">
        <f t="array" ref="AM1121">_xlfn.SWITCH(CleanEmployeeData[[#This Row],[JobSatisfaction]],1,"Low",2,"Medium",3,"High",4,"Very High","Unknown")</f>
        <v>Medium</v>
      </c>
      <c r="AN1121" t="str" cm="1">
        <f t="array" ref="AN1121">_xlfn.SWITCH(CleanEmployeeData[[#This Row],[PerformanceRating]],1,"Low",2,"Good",3,"Excellent",4,"Outstanding","Unknown")</f>
        <v>Excellent</v>
      </c>
      <c r="AO1121" t="str" cm="1">
        <f t="array" ref="AO1121">_xlfn.SWITCH(CleanEmployeeData[[#This Row],[WorkLifeBalance]],1,"Bad",2,"Good",3,"Better",4,"Best","Unknown")</f>
        <v>Better</v>
      </c>
      <c r="AP1121">
        <f>IF(CleanEmployeeData[[#This Row],[Attrition]]="Yes",1,IF(CleanEmployeeData[[#This Row],[Attrition]]="No",0,""))</f>
        <v>0</v>
      </c>
      <c r="AQ1121" t="str" cm="1">
        <f t="array" ref="AQ1121">_xlfn.IFS(CleanEmployeeData[[#This Row],[MonthlyIncome]]&lt;=3000,"0–3,000",CleanEmployeeData[[#This Row],[MonthlyIncome]]&lt;=6000,"3,001–6,000",CleanEmployeeData[[#This Row],[MonthlyIncome]]&lt;=10000,"6,001–10,000",TRUE,"10,001+")</f>
        <v>6,001–10,000</v>
      </c>
      <c r="AR1121" t="str" cm="1">
        <f t="array" ref="AR1121">_xlfn.IFS(CleanEmployeeData[[#This Row],[DistanceFromHome]]&lt;=5,"0–5 miles",CleanEmployeeData[[#This Row],[DistanceFromHome]]&lt;=10,"6–10 miles",CleanEmployeeData[[#This Row],[DistanceFromHome]]&lt;=15,"11–15 miles",TRUE,"16+ miles")</f>
        <v>11–15 miles</v>
      </c>
      <c r="AS1121" t="str" cm="1">
        <f t="array" ref="AS1121">_xlfn.IFS(CleanEmployeeData[[#This Row],[YearsAtCompany]]&lt;=1,"0–1 years",CleanEmployeeData[[#This Row],[YearsAtCompany]]&lt;=5,"2–5 years",CleanEmployeeData[[#This Row],[YearsAtCompany]]&lt;=10,"6–10 years",TRUE,"11+ years")</f>
        <v>6–10 years</v>
      </c>
    </row>
    <row r="1122" spans="1:4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cm="1">
        <f t="array" ref="AJ1122">_xlfn.SWITCH(CleanEmployeeData[[#This Row],[Education]],1,"Below College",2,"College",3,"Bachelor",4,"Master",5,"Doctor","Unknown")</f>
        <v>Bachelor</v>
      </c>
      <c r="AK1122" t="str" cm="1">
        <f t="array" ref="AK1122">_xlfn.SWITCH(CleanEmployeeData[[#This Row],[EnvironmentSatisfaction]],1,"Low",2,"Medium",3,"High",4,"Very High","Unknown")</f>
        <v>Medium</v>
      </c>
      <c r="AL1122" t="str" cm="1">
        <f t="array" ref="AL1122">_xlfn.SWITCH(CleanEmployeeData[[#This Row],[JobInvolvement]],1,"Low",2,"Medium",3,"High",4,"Very High","Unknown")</f>
        <v>High</v>
      </c>
      <c r="AM1122" t="str" cm="1">
        <f t="array" ref="AM1122">_xlfn.SWITCH(CleanEmployeeData[[#This Row],[JobSatisfaction]],1,"Low",2,"Medium",3,"High",4,"Very High","Unknown")</f>
        <v>Medium</v>
      </c>
      <c r="AN1122" t="str" cm="1">
        <f t="array" ref="AN1122">_xlfn.SWITCH(CleanEmployeeData[[#This Row],[PerformanceRating]],1,"Low",2,"Good",3,"Excellent",4,"Outstanding","Unknown")</f>
        <v>Excellent</v>
      </c>
      <c r="AO1122" t="str" cm="1">
        <f t="array" ref="AO1122">_xlfn.SWITCH(CleanEmployeeData[[#This Row],[WorkLifeBalance]],1,"Bad",2,"Good",3,"Better",4,"Best","Unknown")</f>
        <v>Best</v>
      </c>
      <c r="AP1122">
        <f>IF(CleanEmployeeData[[#This Row],[Attrition]]="Yes",1,IF(CleanEmployeeData[[#This Row],[Attrition]]="No",0,""))</f>
        <v>0</v>
      </c>
      <c r="AQ1122" t="str" cm="1">
        <f t="array" ref="AQ1122">_xlfn.IFS(CleanEmployeeData[[#This Row],[MonthlyIncome]]&lt;=3000,"0–3,000",CleanEmployeeData[[#This Row],[MonthlyIncome]]&lt;=6000,"3,001–6,000",CleanEmployeeData[[#This Row],[MonthlyIncome]]&lt;=10000,"6,001–10,000",TRUE,"10,001+")</f>
        <v>3,001–6,000</v>
      </c>
      <c r="AR1122" t="str" cm="1">
        <f t="array" ref="AR1122">_xlfn.IFS(CleanEmployeeData[[#This Row],[DistanceFromHome]]&lt;=5,"0–5 miles",CleanEmployeeData[[#This Row],[DistanceFromHome]]&lt;=10,"6–10 miles",CleanEmployeeData[[#This Row],[DistanceFromHome]]&lt;=15,"11–15 miles",TRUE,"16+ miles")</f>
        <v>16+ miles</v>
      </c>
      <c r="AS1122" t="str" cm="1">
        <f t="array" ref="AS1122">_xlfn.IFS(CleanEmployeeData[[#This Row],[YearsAtCompany]]&lt;=1,"0–1 years",CleanEmployeeData[[#This Row],[YearsAtCompany]]&lt;=5,"2–5 years",CleanEmployeeData[[#This Row],[YearsAtCompany]]&lt;=10,"6–10 years",TRUE,"11+ years")</f>
        <v>2–5 years</v>
      </c>
    </row>
    <row r="1123" spans="1:4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cm="1">
        <f t="array" ref="AJ1123">_xlfn.SWITCH(CleanEmployeeData[[#This Row],[Education]],1,"Below College",2,"College",3,"Bachelor",4,"Master",5,"Doctor","Unknown")</f>
        <v>Master</v>
      </c>
      <c r="AK1123" t="str" cm="1">
        <f t="array" ref="AK1123">_xlfn.SWITCH(CleanEmployeeData[[#This Row],[EnvironmentSatisfaction]],1,"Low",2,"Medium",3,"High",4,"Very High","Unknown")</f>
        <v>Medium</v>
      </c>
      <c r="AL1123" t="str" cm="1">
        <f t="array" ref="AL1123">_xlfn.SWITCH(CleanEmployeeData[[#This Row],[JobInvolvement]],1,"Low",2,"Medium",3,"High",4,"Very High","Unknown")</f>
        <v>High</v>
      </c>
      <c r="AM1123" t="str" cm="1">
        <f t="array" ref="AM1123">_xlfn.SWITCH(CleanEmployeeData[[#This Row],[JobSatisfaction]],1,"Low",2,"Medium",3,"High",4,"Very High","Unknown")</f>
        <v>High</v>
      </c>
      <c r="AN1123" t="str" cm="1">
        <f t="array" ref="AN1123">_xlfn.SWITCH(CleanEmployeeData[[#This Row],[PerformanceRating]],1,"Low",2,"Good",3,"Excellent",4,"Outstanding","Unknown")</f>
        <v>Excellent</v>
      </c>
      <c r="AO1123" t="str" cm="1">
        <f t="array" ref="AO1123">_xlfn.SWITCH(CleanEmployeeData[[#This Row],[WorkLifeBalance]],1,"Bad",2,"Good",3,"Better",4,"Best","Unknown")</f>
        <v>Better</v>
      </c>
      <c r="AP1123">
        <f>IF(CleanEmployeeData[[#This Row],[Attrition]]="Yes",1,IF(CleanEmployeeData[[#This Row],[Attrition]]="No",0,""))</f>
        <v>0</v>
      </c>
      <c r="AQ1123" t="str" cm="1">
        <f t="array" ref="AQ1123">_xlfn.IFS(CleanEmployeeData[[#This Row],[MonthlyIncome]]&lt;=3000,"0–3,000",CleanEmployeeData[[#This Row],[MonthlyIncome]]&lt;=6000,"3,001–6,000",CleanEmployeeData[[#This Row],[MonthlyIncome]]&lt;=10000,"6,001–10,000",TRUE,"10,001+")</f>
        <v>6,001–10,000</v>
      </c>
      <c r="AR1123" t="str" cm="1">
        <f t="array" ref="AR1123">_xlfn.IFS(CleanEmployeeData[[#This Row],[DistanceFromHome]]&lt;=5,"0–5 miles",CleanEmployeeData[[#This Row],[DistanceFromHome]]&lt;=10,"6–10 miles",CleanEmployeeData[[#This Row],[DistanceFromHome]]&lt;=15,"11–15 miles",TRUE,"16+ miles")</f>
        <v>0–5 miles</v>
      </c>
      <c r="AS1123" t="str" cm="1">
        <f t="array" ref="AS1123">_xlfn.IFS(CleanEmployeeData[[#This Row],[YearsAtCompany]]&lt;=1,"0–1 years",CleanEmployeeData[[#This Row],[YearsAtCompany]]&lt;=5,"2–5 years",CleanEmployeeData[[#This Row],[YearsAtCompany]]&lt;=10,"6–10 years",TRUE,"11+ years")</f>
        <v>0–1 years</v>
      </c>
    </row>
    <row r="1124" spans="1:4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cm="1">
        <f t="array" ref="AJ1124">_xlfn.SWITCH(CleanEmployeeData[[#This Row],[Education]],1,"Below College",2,"College",3,"Bachelor",4,"Master",5,"Doctor","Unknown")</f>
        <v>Below College</v>
      </c>
      <c r="AK1124" t="str" cm="1">
        <f t="array" ref="AK1124">_xlfn.SWITCH(CleanEmployeeData[[#This Row],[EnvironmentSatisfaction]],1,"Low",2,"Medium",3,"High",4,"Very High","Unknown")</f>
        <v>Medium</v>
      </c>
      <c r="AL1124" t="str" cm="1">
        <f t="array" ref="AL1124">_xlfn.SWITCH(CleanEmployeeData[[#This Row],[JobInvolvement]],1,"Low",2,"Medium",3,"High",4,"Very High","Unknown")</f>
        <v>High</v>
      </c>
      <c r="AM1124" t="str" cm="1">
        <f t="array" ref="AM1124">_xlfn.SWITCH(CleanEmployeeData[[#This Row],[JobSatisfaction]],1,"Low",2,"Medium",3,"High",4,"Very High","Unknown")</f>
        <v>Low</v>
      </c>
      <c r="AN1124" t="str" cm="1">
        <f t="array" ref="AN1124">_xlfn.SWITCH(CleanEmployeeData[[#This Row],[PerformanceRating]],1,"Low",2,"Good",3,"Excellent",4,"Outstanding","Unknown")</f>
        <v>Excellent</v>
      </c>
      <c r="AO1124" t="str" cm="1">
        <f t="array" ref="AO1124">_xlfn.SWITCH(CleanEmployeeData[[#This Row],[WorkLifeBalance]],1,"Bad",2,"Good",3,"Better",4,"Best","Unknown")</f>
        <v>Better</v>
      </c>
      <c r="AP1124">
        <f>IF(CleanEmployeeData[[#This Row],[Attrition]]="Yes",1,IF(CleanEmployeeData[[#This Row],[Attrition]]="No",0,""))</f>
        <v>0</v>
      </c>
      <c r="AQ1124" t="str" cm="1">
        <f t="array" ref="AQ1124">_xlfn.IFS(CleanEmployeeData[[#This Row],[MonthlyIncome]]&lt;=3000,"0–3,000",CleanEmployeeData[[#This Row],[MonthlyIncome]]&lt;=6000,"3,001–6,000",CleanEmployeeData[[#This Row],[MonthlyIncome]]&lt;=10000,"6,001–10,000",TRUE,"10,001+")</f>
        <v>3,001–6,000</v>
      </c>
      <c r="AR1124" t="str" cm="1">
        <f t="array" ref="AR1124">_xlfn.IFS(CleanEmployeeData[[#This Row],[DistanceFromHome]]&lt;=5,"0–5 miles",CleanEmployeeData[[#This Row],[DistanceFromHome]]&lt;=10,"6–10 miles",CleanEmployeeData[[#This Row],[DistanceFromHome]]&lt;=15,"11–15 miles",TRUE,"16+ miles")</f>
        <v>0–5 miles</v>
      </c>
      <c r="AS1124" t="str" cm="1">
        <f t="array" ref="AS1124">_xlfn.IFS(CleanEmployeeData[[#This Row],[YearsAtCompany]]&lt;=1,"0–1 years",CleanEmployeeData[[#This Row],[YearsAtCompany]]&lt;=5,"2–5 years",CleanEmployeeData[[#This Row],[YearsAtCompany]]&lt;=10,"6–10 years",TRUE,"11+ years")</f>
        <v>6–10 years</v>
      </c>
    </row>
    <row r="1125" spans="1:4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cm="1">
        <f t="array" ref="AJ1125">_xlfn.SWITCH(CleanEmployeeData[[#This Row],[Education]],1,"Below College",2,"College",3,"Bachelor",4,"Master",5,"Doctor","Unknown")</f>
        <v>Master</v>
      </c>
      <c r="AK1125" t="str" cm="1">
        <f t="array" ref="AK1125">_xlfn.SWITCH(CleanEmployeeData[[#This Row],[EnvironmentSatisfaction]],1,"Low",2,"Medium",3,"High",4,"Very High","Unknown")</f>
        <v>Low</v>
      </c>
      <c r="AL1125" t="str" cm="1">
        <f t="array" ref="AL1125">_xlfn.SWITCH(CleanEmployeeData[[#This Row],[JobInvolvement]],1,"Low",2,"Medium",3,"High",4,"Very High","Unknown")</f>
        <v>High</v>
      </c>
      <c r="AM1125" t="str" cm="1">
        <f t="array" ref="AM1125">_xlfn.SWITCH(CleanEmployeeData[[#This Row],[JobSatisfaction]],1,"Low",2,"Medium",3,"High",4,"Very High","Unknown")</f>
        <v>High</v>
      </c>
      <c r="AN1125" t="str" cm="1">
        <f t="array" ref="AN1125">_xlfn.SWITCH(CleanEmployeeData[[#This Row],[PerformanceRating]],1,"Low",2,"Good",3,"Excellent",4,"Outstanding","Unknown")</f>
        <v>Excellent</v>
      </c>
      <c r="AO1125" t="str" cm="1">
        <f t="array" ref="AO1125">_xlfn.SWITCH(CleanEmployeeData[[#This Row],[WorkLifeBalance]],1,"Bad",2,"Good",3,"Better",4,"Best","Unknown")</f>
        <v>Better</v>
      </c>
      <c r="AP1125">
        <f>IF(CleanEmployeeData[[#This Row],[Attrition]]="Yes",1,IF(CleanEmployeeData[[#This Row],[Attrition]]="No",0,""))</f>
        <v>0</v>
      </c>
      <c r="AQ1125" t="str" cm="1">
        <f t="array" ref="AQ1125">_xlfn.IFS(CleanEmployeeData[[#This Row],[MonthlyIncome]]&lt;=3000,"0–3,000",CleanEmployeeData[[#This Row],[MonthlyIncome]]&lt;=6000,"3,001–6,000",CleanEmployeeData[[#This Row],[MonthlyIncome]]&lt;=10000,"6,001–10,000",TRUE,"10,001+")</f>
        <v>6,001–10,000</v>
      </c>
      <c r="AR1125" t="str" cm="1">
        <f t="array" ref="AR1125">_xlfn.IFS(CleanEmployeeData[[#This Row],[DistanceFromHome]]&lt;=5,"0–5 miles",CleanEmployeeData[[#This Row],[DistanceFromHome]]&lt;=10,"6–10 miles",CleanEmployeeData[[#This Row],[DistanceFromHome]]&lt;=15,"11–15 miles",TRUE,"16+ miles")</f>
        <v>6–10 miles</v>
      </c>
      <c r="AS1125" t="str" cm="1">
        <f t="array" ref="AS1125">_xlfn.IFS(CleanEmployeeData[[#This Row],[YearsAtCompany]]&lt;=1,"0–1 years",CleanEmployeeData[[#This Row],[YearsAtCompany]]&lt;=5,"2–5 years",CleanEmployeeData[[#This Row],[YearsAtCompany]]&lt;=10,"6–10 years",TRUE,"11+ years")</f>
        <v>2–5 years</v>
      </c>
    </row>
    <row r="1126" spans="1:4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cm="1">
        <f t="array" ref="AJ1126">_xlfn.SWITCH(CleanEmployeeData[[#This Row],[Education]],1,"Below College",2,"College",3,"Bachelor",4,"Master",5,"Doctor","Unknown")</f>
        <v>Bachelor</v>
      </c>
      <c r="AK1126" t="str" cm="1">
        <f t="array" ref="AK1126">_xlfn.SWITCH(CleanEmployeeData[[#This Row],[EnvironmentSatisfaction]],1,"Low",2,"Medium",3,"High",4,"Very High","Unknown")</f>
        <v>Very High</v>
      </c>
      <c r="AL1126" t="str" cm="1">
        <f t="array" ref="AL1126">_xlfn.SWITCH(CleanEmployeeData[[#This Row],[JobInvolvement]],1,"Low",2,"Medium",3,"High",4,"Very High","Unknown")</f>
        <v>Very High</v>
      </c>
      <c r="AM1126" t="str" cm="1">
        <f t="array" ref="AM1126">_xlfn.SWITCH(CleanEmployeeData[[#This Row],[JobSatisfaction]],1,"Low",2,"Medium",3,"High",4,"Very High","Unknown")</f>
        <v>High</v>
      </c>
      <c r="AN1126" t="str" cm="1">
        <f t="array" ref="AN1126">_xlfn.SWITCH(CleanEmployeeData[[#This Row],[PerformanceRating]],1,"Low",2,"Good",3,"Excellent",4,"Outstanding","Unknown")</f>
        <v>Excellent</v>
      </c>
      <c r="AO1126" t="str" cm="1">
        <f t="array" ref="AO1126">_xlfn.SWITCH(CleanEmployeeData[[#This Row],[WorkLifeBalance]],1,"Bad",2,"Good",3,"Better",4,"Best","Unknown")</f>
        <v>Better</v>
      </c>
      <c r="AP1126">
        <f>IF(CleanEmployeeData[[#This Row],[Attrition]]="Yes",1,IF(CleanEmployeeData[[#This Row],[Attrition]]="No",0,""))</f>
        <v>0</v>
      </c>
      <c r="AQ1126" t="str" cm="1">
        <f t="array" ref="AQ1126">_xlfn.IFS(CleanEmployeeData[[#This Row],[MonthlyIncome]]&lt;=3000,"0–3,000",CleanEmployeeData[[#This Row],[MonthlyIncome]]&lt;=6000,"3,001–6,000",CleanEmployeeData[[#This Row],[MonthlyIncome]]&lt;=10000,"6,001–10,000",TRUE,"10,001+")</f>
        <v>6,001–10,000</v>
      </c>
      <c r="AR1126" t="str" cm="1">
        <f t="array" ref="AR1126">_xlfn.IFS(CleanEmployeeData[[#This Row],[DistanceFromHome]]&lt;=5,"0–5 miles",CleanEmployeeData[[#This Row],[DistanceFromHome]]&lt;=10,"6–10 miles",CleanEmployeeData[[#This Row],[DistanceFromHome]]&lt;=15,"11–15 miles",TRUE,"16+ miles")</f>
        <v>6–10 miles</v>
      </c>
      <c r="AS1126" t="str" cm="1">
        <f t="array" ref="AS1126">_xlfn.IFS(CleanEmployeeData[[#This Row],[YearsAtCompany]]&lt;=1,"0–1 years",CleanEmployeeData[[#This Row],[YearsAtCompany]]&lt;=5,"2–5 years",CleanEmployeeData[[#This Row],[YearsAtCompany]]&lt;=10,"6–10 years",TRUE,"11+ years")</f>
        <v>6–10 years</v>
      </c>
    </row>
    <row r="1127" spans="1:4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cm="1">
        <f t="array" ref="AJ1127">_xlfn.SWITCH(CleanEmployeeData[[#This Row],[Education]],1,"Below College",2,"College",3,"Bachelor",4,"Master",5,"Doctor","Unknown")</f>
        <v>Below College</v>
      </c>
      <c r="AK1127" t="str" cm="1">
        <f t="array" ref="AK1127">_xlfn.SWITCH(CleanEmployeeData[[#This Row],[EnvironmentSatisfaction]],1,"Low",2,"Medium",3,"High",4,"Very High","Unknown")</f>
        <v>Low</v>
      </c>
      <c r="AL1127" t="str" cm="1">
        <f t="array" ref="AL1127">_xlfn.SWITCH(CleanEmployeeData[[#This Row],[JobInvolvement]],1,"Low",2,"Medium",3,"High",4,"Very High","Unknown")</f>
        <v>High</v>
      </c>
      <c r="AM1127" t="str" cm="1">
        <f t="array" ref="AM1127">_xlfn.SWITCH(CleanEmployeeData[[#This Row],[JobSatisfaction]],1,"Low",2,"Medium",3,"High",4,"Very High","Unknown")</f>
        <v>Very High</v>
      </c>
      <c r="AN1127" t="str" cm="1">
        <f t="array" ref="AN1127">_xlfn.SWITCH(CleanEmployeeData[[#This Row],[PerformanceRating]],1,"Low",2,"Good",3,"Excellent",4,"Outstanding","Unknown")</f>
        <v>Excellent</v>
      </c>
      <c r="AO1127" t="str" cm="1">
        <f t="array" ref="AO1127">_xlfn.SWITCH(CleanEmployeeData[[#This Row],[WorkLifeBalance]],1,"Bad",2,"Good",3,"Better",4,"Best","Unknown")</f>
        <v>Best</v>
      </c>
      <c r="AP1127">
        <f>IF(CleanEmployeeData[[#This Row],[Attrition]]="Yes",1,IF(CleanEmployeeData[[#This Row],[Attrition]]="No",0,""))</f>
        <v>0</v>
      </c>
      <c r="AQ1127" t="str" cm="1">
        <f t="array" ref="AQ1127">_xlfn.IFS(CleanEmployeeData[[#This Row],[MonthlyIncome]]&lt;=3000,"0–3,000",CleanEmployeeData[[#This Row],[MonthlyIncome]]&lt;=6000,"3,001–6,000",CleanEmployeeData[[#This Row],[MonthlyIncome]]&lt;=10000,"6,001–10,000",TRUE,"10,001+")</f>
        <v>6,001–10,000</v>
      </c>
      <c r="AR1127" t="str" cm="1">
        <f t="array" ref="AR1127">_xlfn.IFS(CleanEmployeeData[[#This Row],[DistanceFromHome]]&lt;=5,"0–5 miles",CleanEmployeeData[[#This Row],[DistanceFromHome]]&lt;=10,"6–10 miles",CleanEmployeeData[[#This Row],[DistanceFromHome]]&lt;=15,"11–15 miles",TRUE,"16+ miles")</f>
        <v>0–5 miles</v>
      </c>
      <c r="AS1127" t="str" cm="1">
        <f t="array" ref="AS1127">_xlfn.IFS(CleanEmployeeData[[#This Row],[YearsAtCompany]]&lt;=1,"0–1 years",CleanEmployeeData[[#This Row],[YearsAtCompany]]&lt;=5,"2–5 years",CleanEmployeeData[[#This Row],[YearsAtCompany]]&lt;=10,"6–10 years",TRUE,"11+ years")</f>
        <v>6–10 years</v>
      </c>
    </row>
    <row r="1128" spans="1:4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cm="1">
        <f t="array" ref="AJ1128">_xlfn.SWITCH(CleanEmployeeData[[#This Row],[Education]],1,"Below College",2,"College",3,"Bachelor",4,"Master",5,"Doctor","Unknown")</f>
        <v>Bachelor</v>
      </c>
      <c r="AK1128" t="str" cm="1">
        <f t="array" ref="AK1128">_xlfn.SWITCH(CleanEmployeeData[[#This Row],[EnvironmentSatisfaction]],1,"Low",2,"Medium",3,"High",4,"Very High","Unknown")</f>
        <v>High</v>
      </c>
      <c r="AL1128" t="str" cm="1">
        <f t="array" ref="AL1128">_xlfn.SWITCH(CleanEmployeeData[[#This Row],[JobInvolvement]],1,"Low",2,"Medium",3,"High",4,"Very High","Unknown")</f>
        <v>High</v>
      </c>
      <c r="AM1128" t="str" cm="1">
        <f t="array" ref="AM1128">_xlfn.SWITCH(CleanEmployeeData[[#This Row],[JobSatisfaction]],1,"Low",2,"Medium",3,"High",4,"Very High","Unknown")</f>
        <v>High</v>
      </c>
      <c r="AN1128" t="str" cm="1">
        <f t="array" ref="AN1128">_xlfn.SWITCH(CleanEmployeeData[[#This Row],[PerformanceRating]],1,"Low",2,"Good",3,"Excellent",4,"Outstanding","Unknown")</f>
        <v>Excellent</v>
      </c>
      <c r="AO1128" t="str" cm="1">
        <f t="array" ref="AO1128">_xlfn.SWITCH(CleanEmployeeData[[#This Row],[WorkLifeBalance]],1,"Bad",2,"Good",3,"Better",4,"Best","Unknown")</f>
        <v>Better</v>
      </c>
      <c r="AP1128">
        <f>IF(CleanEmployeeData[[#This Row],[Attrition]]="Yes",1,IF(CleanEmployeeData[[#This Row],[Attrition]]="No",0,""))</f>
        <v>0</v>
      </c>
      <c r="AQ1128" t="str" cm="1">
        <f t="array" ref="AQ1128">_xlfn.IFS(CleanEmployeeData[[#This Row],[MonthlyIncome]]&lt;=3000,"0–3,000",CleanEmployeeData[[#This Row],[MonthlyIncome]]&lt;=6000,"3,001–6,000",CleanEmployeeData[[#This Row],[MonthlyIncome]]&lt;=10000,"6,001–10,000",TRUE,"10,001+")</f>
        <v>10,001+</v>
      </c>
      <c r="AR1128" t="str" cm="1">
        <f t="array" ref="AR1128">_xlfn.IFS(CleanEmployeeData[[#This Row],[DistanceFromHome]]&lt;=5,"0–5 miles",CleanEmployeeData[[#This Row],[DistanceFromHome]]&lt;=10,"6–10 miles",CleanEmployeeData[[#This Row],[DistanceFromHome]]&lt;=15,"11–15 miles",TRUE,"16+ miles")</f>
        <v>6–10 miles</v>
      </c>
      <c r="AS1128" t="str" cm="1">
        <f t="array" ref="AS1128">_xlfn.IFS(CleanEmployeeData[[#This Row],[YearsAtCompany]]&lt;=1,"0–1 years",CleanEmployeeData[[#This Row],[YearsAtCompany]]&lt;=5,"2–5 years",CleanEmployeeData[[#This Row],[YearsAtCompany]]&lt;=10,"6–10 years",TRUE,"11+ years")</f>
        <v>0–1 years</v>
      </c>
    </row>
    <row r="1129" spans="1:4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cm="1">
        <f t="array" ref="AJ1129">_xlfn.SWITCH(CleanEmployeeData[[#This Row],[Education]],1,"Below College",2,"College",3,"Bachelor",4,"Master",5,"Doctor","Unknown")</f>
        <v>Bachelor</v>
      </c>
      <c r="AK1129" t="str" cm="1">
        <f t="array" ref="AK1129">_xlfn.SWITCH(CleanEmployeeData[[#This Row],[EnvironmentSatisfaction]],1,"Low",2,"Medium",3,"High",4,"Very High","Unknown")</f>
        <v>Very High</v>
      </c>
      <c r="AL1129" t="str" cm="1">
        <f t="array" ref="AL1129">_xlfn.SWITCH(CleanEmployeeData[[#This Row],[JobInvolvement]],1,"Low",2,"Medium",3,"High",4,"Very High","Unknown")</f>
        <v>Very High</v>
      </c>
      <c r="AM1129" t="str" cm="1">
        <f t="array" ref="AM1129">_xlfn.SWITCH(CleanEmployeeData[[#This Row],[JobSatisfaction]],1,"Low",2,"Medium",3,"High",4,"Very High","Unknown")</f>
        <v>High</v>
      </c>
      <c r="AN1129" t="str" cm="1">
        <f t="array" ref="AN1129">_xlfn.SWITCH(CleanEmployeeData[[#This Row],[PerformanceRating]],1,"Low",2,"Good",3,"Excellent",4,"Outstanding","Unknown")</f>
        <v>Excellent</v>
      </c>
      <c r="AO1129" t="str" cm="1">
        <f t="array" ref="AO1129">_xlfn.SWITCH(CleanEmployeeData[[#This Row],[WorkLifeBalance]],1,"Bad",2,"Good",3,"Better",4,"Best","Unknown")</f>
        <v>Better</v>
      </c>
      <c r="AP1129">
        <f>IF(CleanEmployeeData[[#This Row],[Attrition]]="Yes",1,IF(CleanEmployeeData[[#This Row],[Attrition]]="No",0,""))</f>
        <v>0</v>
      </c>
      <c r="AQ1129" t="str" cm="1">
        <f t="array" ref="AQ1129">_xlfn.IFS(CleanEmployeeData[[#This Row],[MonthlyIncome]]&lt;=3000,"0–3,000",CleanEmployeeData[[#This Row],[MonthlyIncome]]&lt;=6000,"3,001–6,000",CleanEmployeeData[[#This Row],[MonthlyIncome]]&lt;=10000,"6,001–10,000",TRUE,"10,001+")</f>
        <v>0–3,000</v>
      </c>
      <c r="AR1129" t="str" cm="1">
        <f t="array" ref="AR1129">_xlfn.IFS(CleanEmployeeData[[#This Row],[DistanceFromHome]]&lt;=5,"0–5 miles",CleanEmployeeData[[#This Row],[DistanceFromHome]]&lt;=10,"6–10 miles",CleanEmployeeData[[#This Row],[DistanceFromHome]]&lt;=15,"11–15 miles",TRUE,"16+ miles")</f>
        <v>6–10 miles</v>
      </c>
      <c r="AS1129" t="str" cm="1">
        <f t="array" ref="AS1129">_xlfn.IFS(CleanEmployeeData[[#This Row],[YearsAtCompany]]&lt;=1,"0–1 years",CleanEmployeeData[[#This Row],[YearsAtCompany]]&lt;=5,"2–5 years",CleanEmployeeData[[#This Row],[YearsAtCompany]]&lt;=10,"6–10 years",TRUE,"11+ years")</f>
        <v>2–5 years</v>
      </c>
    </row>
    <row r="1130" spans="1:4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cm="1">
        <f t="array" ref="AJ1130">_xlfn.SWITCH(CleanEmployeeData[[#This Row],[Education]],1,"Below College",2,"College",3,"Bachelor",4,"Master",5,"Doctor","Unknown")</f>
        <v>Master</v>
      </c>
      <c r="AK1130" t="str" cm="1">
        <f t="array" ref="AK1130">_xlfn.SWITCH(CleanEmployeeData[[#This Row],[EnvironmentSatisfaction]],1,"Low",2,"Medium",3,"High",4,"Very High","Unknown")</f>
        <v>Low</v>
      </c>
      <c r="AL1130" t="str" cm="1">
        <f t="array" ref="AL1130">_xlfn.SWITCH(CleanEmployeeData[[#This Row],[JobInvolvement]],1,"Low",2,"Medium",3,"High",4,"Very High","Unknown")</f>
        <v>Very High</v>
      </c>
      <c r="AM1130" t="str" cm="1">
        <f t="array" ref="AM1130">_xlfn.SWITCH(CleanEmployeeData[[#This Row],[JobSatisfaction]],1,"Low",2,"Medium",3,"High",4,"Very High","Unknown")</f>
        <v>Low</v>
      </c>
      <c r="AN1130" t="str" cm="1">
        <f t="array" ref="AN1130">_xlfn.SWITCH(CleanEmployeeData[[#This Row],[PerformanceRating]],1,"Low",2,"Good",3,"Excellent",4,"Outstanding","Unknown")</f>
        <v>Excellent</v>
      </c>
      <c r="AO1130" t="str" cm="1">
        <f t="array" ref="AO1130">_xlfn.SWITCH(CleanEmployeeData[[#This Row],[WorkLifeBalance]],1,"Bad",2,"Good",3,"Better",4,"Best","Unknown")</f>
        <v>Better</v>
      </c>
      <c r="AP1130">
        <f>IF(CleanEmployeeData[[#This Row],[Attrition]]="Yes",1,IF(CleanEmployeeData[[#This Row],[Attrition]]="No",0,""))</f>
        <v>0</v>
      </c>
      <c r="AQ1130" t="str" cm="1">
        <f t="array" ref="AQ1130">_xlfn.IFS(CleanEmployeeData[[#This Row],[MonthlyIncome]]&lt;=3000,"0–3,000",CleanEmployeeData[[#This Row],[MonthlyIncome]]&lt;=6000,"3,001–6,000",CleanEmployeeData[[#This Row],[MonthlyIncome]]&lt;=10000,"6,001–10,000",TRUE,"10,001+")</f>
        <v>3,001–6,000</v>
      </c>
      <c r="AR1130" t="str" cm="1">
        <f t="array" ref="AR1130">_xlfn.IFS(CleanEmployeeData[[#This Row],[DistanceFromHome]]&lt;=5,"0–5 miles",CleanEmployeeData[[#This Row],[DistanceFromHome]]&lt;=10,"6–10 miles",CleanEmployeeData[[#This Row],[DistanceFromHome]]&lt;=15,"11–15 miles",TRUE,"16+ miles")</f>
        <v>6–10 miles</v>
      </c>
      <c r="AS1130" t="str" cm="1">
        <f t="array" ref="AS1130">_xlfn.IFS(CleanEmployeeData[[#This Row],[YearsAtCompany]]&lt;=1,"0–1 years",CleanEmployeeData[[#This Row],[YearsAtCompany]]&lt;=5,"2–5 years",CleanEmployeeData[[#This Row],[YearsAtCompany]]&lt;=10,"6–10 years",TRUE,"11+ years")</f>
        <v>2–5 years</v>
      </c>
    </row>
    <row r="1131" spans="1:4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cm="1">
        <f t="array" ref="AJ1131">_xlfn.SWITCH(CleanEmployeeData[[#This Row],[Education]],1,"Below College",2,"College",3,"Bachelor",4,"Master",5,"Doctor","Unknown")</f>
        <v>College</v>
      </c>
      <c r="AK1131" t="str" cm="1">
        <f t="array" ref="AK1131">_xlfn.SWITCH(CleanEmployeeData[[#This Row],[EnvironmentSatisfaction]],1,"Low",2,"Medium",3,"High",4,"Very High","Unknown")</f>
        <v>Very High</v>
      </c>
      <c r="AL1131" t="str" cm="1">
        <f t="array" ref="AL1131">_xlfn.SWITCH(CleanEmployeeData[[#This Row],[JobInvolvement]],1,"Low",2,"Medium",3,"High",4,"Very High","Unknown")</f>
        <v>Medium</v>
      </c>
      <c r="AM1131" t="str" cm="1">
        <f t="array" ref="AM1131">_xlfn.SWITCH(CleanEmployeeData[[#This Row],[JobSatisfaction]],1,"Low",2,"Medium",3,"High",4,"Very High","Unknown")</f>
        <v>Very High</v>
      </c>
      <c r="AN1131" t="str" cm="1">
        <f t="array" ref="AN1131">_xlfn.SWITCH(CleanEmployeeData[[#This Row],[PerformanceRating]],1,"Low",2,"Good",3,"Excellent",4,"Outstanding","Unknown")</f>
        <v>Outstanding</v>
      </c>
      <c r="AO1131" t="str" cm="1">
        <f t="array" ref="AO1131">_xlfn.SWITCH(CleanEmployeeData[[#This Row],[WorkLifeBalance]],1,"Bad",2,"Good",3,"Better",4,"Best","Unknown")</f>
        <v>Better</v>
      </c>
      <c r="AP1131">
        <f>IF(CleanEmployeeData[[#This Row],[Attrition]]="Yes",1,IF(CleanEmployeeData[[#This Row],[Attrition]]="No",0,""))</f>
        <v>0</v>
      </c>
      <c r="AQ1131" t="str" cm="1">
        <f t="array" ref="AQ1131">_xlfn.IFS(CleanEmployeeData[[#This Row],[MonthlyIncome]]&lt;=3000,"0–3,000",CleanEmployeeData[[#This Row],[MonthlyIncome]]&lt;=6000,"3,001–6,000",CleanEmployeeData[[#This Row],[MonthlyIncome]]&lt;=10000,"6,001–10,000",TRUE,"10,001+")</f>
        <v>10,001+</v>
      </c>
      <c r="AR1131" t="str" cm="1">
        <f t="array" ref="AR1131">_xlfn.IFS(CleanEmployeeData[[#This Row],[DistanceFromHome]]&lt;=5,"0–5 miles",CleanEmployeeData[[#This Row],[DistanceFromHome]]&lt;=10,"6–10 miles",CleanEmployeeData[[#This Row],[DistanceFromHome]]&lt;=15,"11–15 miles",TRUE,"16+ miles")</f>
        <v>6–10 miles</v>
      </c>
      <c r="AS1131" t="str" cm="1">
        <f t="array" ref="AS1131">_xlfn.IFS(CleanEmployeeData[[#This Row],[YearsAtCompany]]&lt;=1,"0–1 years",CleanEmployeeData[[#This Row],[YearsAtCompany]]&lt;=5,"2–5 years",CleanEmployeeData[[#This Row],[YearsAtCompany]]&lt;=10,"6–10 years",TRUE,"11+ years")</f>
        <v>0–1 years</v>
      </c>
    </row>
    <row r="1132" spans="1:4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cm="1">
        <f t="array" ref="AJ1132">_xlfn.SWITCH(CleanEmployeeData[[#This Row],[Education]],1,"Below College",2,"College",3,"Bachelor",4,"Master",5,"Doctor","Unknown")</f>
        <v>Bachelor</v>
      </c>
      <c r="AK1132" t="str" cm="1">
        <f t="array" ref="AK1132">_xlfn.SWITCH(CleanEmployeeData[[#This Row],[EnvironmentSatisfaction]],1,"Low",2,"Medium",3,"High",4,"Very High","Unknown")</f>
        <v>Medium</v>
      </c>
      <c r="AL1132" t="str" cm="1">
        <f t="array" ref="AL1132">_xlfn.SWITCH(CleanEmployeeData[[#This Row],[JobInvolvement]],1,"Low",2,"Medium",3,"High",4,"Very High","Unknown")</f>
        <v>Very High</v>
      </c>
      <c r="AM1132" t="str" cm="1">
        <f t="array" ref="AM1132">_xlfn.SWITCH(CleanEmployeeData[[#This Row],[JobSatisfaction]],1,"Low",2,"Medium",3,"High",4,"Very High","Unknown")</f>
        <v>High</v>
      </c>
      <c r="AN1132" t="str" cm="1">
        <f t="array" ref="AN1132">_xlfn.SWITCH(CleanEmployeeData[[#This Row],[PerformanceRating]],1,"Low",2,"Good",3,"Excellent",4,"Outstanding","Unknown")</f>
        <v>Excellent</v>
      </c>
      <c r="AO1132" t="str" cm="1">
        <f t="array" ref="AO1132">_xlfn.SWITCH(CleanEmployeeData[[#This Row],[WorkLifeBalance]],1,"Bad",2,"Good",3,"Better",4,"Best","Unknown")</f>
        <v>Good</v>
      </c>
      <c r="AP1132">
        <f>IF(CleanEmployeeData[[#This Row],[Attrition]]="Yes",1,IF(CleanEmployeeData[[#This Row],[Attrition]]="No",0,""))</f>
        <v>0</v>
      </c>
      <c r="AQ1132" t="str" cm="1">
        <f t="array" ref="AQ1132">_xlfn.IFS(CleanEmployeeData[[#This Row],[MonthlyIncome]]&lt;=3000,"0–3,000",CleanEmployeeData[[#This Row],[MonthlyIncome]]&lt;=6000,"3,001–6,000",CleanEmployeeData[[#This Row],[MonthlyIncome]]&lt;=10000,"6,001–10,000",TRUE,"10,001+")</f>
        <v>3,001–6,000</v>
      </c>
      <c r="AR1132" t="str" cm="1">
        <f t="array" ref="AR1132">_xlfn.IFS(CleanEmployeeData[[#This Row],[DistanceFromHome]]&lt;=5,"0–5 miles",CleanEmployeeData[[#This Row],[DistanceFromHome]]&lt;=10,"6–10 miles",CleanEmployeeData[[#This Row],[DistanceFromHome]]&lt;=15,"11–15 miles",TRUE,"16+ miles")</f>
        <v>16+ miles</v>
      </c>
      <c r="AS1132" t="str" cm="1">
        <f t="array" ref="AS1132">_xlfn.IFS(CleanEmployeeData[[#This Row],[YearsAtCompany]]&lt;=1,"0–1 years",CleanEmployeeData[[#This Row],[YearsAtCompany]]&lt;=5,"2–5 years",CleanEmployeeData[[#This Row],[YearsAtCompany]]&lt;=10,"6–10 years",TRUE,"11+ years")</f>
        <v>6–10 years</v>
      </c>
    </row>
    <row r="1133" spans="1:4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cm="1">
        <f t="array" ref="AJ1133">_xlfn.SWITCH(CleanEmployeeData[[#This Row],[Education]],1,"Below College",2,"College",3,"Bachelor",4,"Master",5,"Doctor","Unknown")</f>
        <v>Master</v>
      </c>
      <c r="AK1133" t="str" cm="1">
        <f t="array" ref="AK1133">_xlfn.SWITCH(CleanEmployeeData[[#This Row],[EnvironmentSatisfaction]],1,"Low",2,"Medium",3,"High",4,"Very High","Unknown")</f>
        <v>Very High</v>
      </c>
      <c r="AL1133" t="str" cm="1">
        <f t="array" ref="AL1133">_xlfn.SWITCH(CleanEmployeeData[[#This Row],[JobInvolvement]],1,"Low",2,"Medium",3,"High",4,"Very High","Unknown")</f>
        <v>Medium</v>
      </c>
      <c r="AM1133" t="str" cm="1">
        <f t="array" ref="AM1133">_xlfn.SWITCH(CleanEmployeeData[[#This Row],[JobSatisfaction]],1,"Low",2,"Medium",3,"High",4,"Very High","Unknown")</f>
        <v>High</v>
      </c>
      <c r="AN1133" t="str" cm="1">
        <f t="array" ref="AN1133">_xlfn.SWITCH(CleanEmployeeData[[#This Row],[PerformanceRating]],1,"Low",2,"Good",3,"Excellent",4,"Outstanding","Unknown")</f>
        <v>Excellent</v>
      </c>
      <c r="AO1133" t="str" cm="1">
        <f t="array" ref="AO1133">_xlfn.SWITCH(CleanEmployeeData[[#This Row],[WorkLifeBalance]],1,"Bad",2,"Good",3,"Better",4,"Best","Unknown")</f>
        <v>Good</v>
      </c>
      <c r="AP1133">
        <f>IF(CleanEmployeeData[[#This Row],[Attrition]]="Yes",1,IF(CleanEmployeeData[[#This Row],[Attrition]]="No",0,""))</f>
        <v>0</v>
      </c>
      <c r="AQ1133" t="str" cm="1">
        <f t="array" ref="AQ1133">_xlfn.IFS(CleanEmployeeData[[#This Row],[MonthlyIncome]]&lt;=3000,"0–3,000",CleanEmployeeData[[#This Row],[MonthlyIncome]]&lt;=6000,"3,001–6,000",CleanEmployeeData[[#This Row],[MonthlyIncome]]&lt;=10000,"6,001–10,000",TRUE,"10,001+")</f>
        <v>3,001–6,000</v>
      </c>
      <c r="AR1133" t="str" cm="1">
        <f t="array" ref="AR1133">_xlfn.IFS(CleanEmployeeData[[#This Row],[DistanceFromHome]]&lt;=5,"0–5 miles",CleanEmployeeData[[#This Row],[DistanceFromHome]]&lt;=10,"6–10 miles",CleanEmployeeData[[#This Row],[DistanceFromHome]]&lt;=15,"11–15 miles",TRUE,"16+ miles")</f>
        <v>6–10 miles</v>
      </c>
      <c r="AS1133" t="str" cm="1">
        <f t="array" ref="AS1133">_xlfn.IFS(CleanEmployeeData[[#This Row],[YearsAtCompany]]&lt;=1,"0–1 years",CleanEmployeeData[[#This Row],[YearsAtCompany]]&lt;=5,"2–5 years",CleanEmployeeData[[#This Row],[YearsAtCompany]]&lt;=10,"6–10 years",TRUE,"11+ years")</f>
        <v>6–10 years</v>
      </c>
    </row>
    <row r="1134" spans="1:4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cm="1">
        <f t="array" ref="AJ1134">_xlfn.SWITCH(CleanEmployeeData[[#This Row],[Education]],1,"Below College",2,"College",3,"Bachelor",4,"Master",5,"Doctor","Unknown")</f>
        <v>College</v>
      </c>
      <c r="AK1134" t="str" cm="1">
        <f t="array" ref="AK1134">_xlfn.SWITCH(CleanEmployeeData[[#This Row],[EnvironmentSatisfaction]],1,"Low",2,"Medium",3,"High",4,"Very High","Unknown")</f>
        <v>Very High</v>
      </c>
      <c r="AL1134" t="str" cm="1">
        <f t="array" ref="AL1134">_xlfn.SWITCH(CleanEmployeeData[[#This Row],[JobInvolvement]],1,"Low",2,"Medium",3,"High",4,"Very High","Unknown")</f>
        <v>High</v>
      </c>
      <c r="AM1134" t="str" cm="1">
        <f t="array" ref="AM1134">_xlfn.SWITCH(CleanEmployeeData[[#This Row],[JobSatisfaction]],1,"Low",2,"Medium",3,"High",4,"Very High","Unknown")</f>
        <v>Low</v>
      </c>
      <c r="AN1134" t="str" cm="1">
        <f t="array" ref="AN1134">_xlfn.SWITCH(CleanEmployeeData[[#This Row],[PerformanceRating]],1,"Low",2,"Good",3,"Excellent",4,"Outstanding","Unknown")</f>
        <v>Excellent</v>
      </c>
      <c r="AO1134" t="str" cm="1">
        <f t="array" ref="AO1134">_xlfn.SWITCH(CleanEmployeeData[[#This Row],[WorkLifeBalance]],1,"Bad",2,"Good",3,"Better",4,"Best","Unknown")</f>
        <v>Better</v>
      </c>
      <c r="AP1134">
        <f>IF(CleanEmployeeData[[#This Row],[Attrition]]="Yes",1,IF(CleanEmployeeData[[#This Row],[Attrition]]="No",0,""))</f>
        <v>0</v>
      </c>
      <c r="AQ1134" t="str" cm="1">
        <f t="array" ref="AQ1134">_xlfn.IFS(CleanEmployeeData[[#This Row],[MonthlyIncome]]&lt;=3000,"0–3,000",CleanEmployeeData[[#This Row],[MonthlyIncome]]&lt;=6000,"3,001–6,000",CleanEmployeeData[[#This Row],[MonthlyIncome]]&lt;=10000,"6,001–10,000",TRUE,"10,001+")</f>
        <v>3,001–6,000</v>
      </c>
      <c r="AR1134" t="str" cm="1">
        <f t="array" ref="AR1134">_xlfn.IFS(CleanEmployeeData[[#This Row],[DistanceFromHome]]&lt;=5,"0–5 miles",CleanEmployeeData[[#This Row],[DistanceFromHome]]&lt;=10,"6–10 miles",CleanEmployeeData[[#This Row],[DistanceFromHome]]&lt;=15,"11–15 miles",TRUE,"16+ miles")</f>
        <v>11–15 miles</v>
      </c>
      <c r="AS1134" t="str" cm="1">
        <f t="array" ref="AS1134">_xlfn.IFS(CleanEmployeeData[[#This Row],[YearsAtCompany]]&lt;=1,"0–1 years",CleanEmployeeData[[#This Row],[YearsAtCompany]]&lt;=5,"2–5 years",CleanEmployeeData[[#This Row],[YearsAtCompany]]&lt;=10,"6–10 years",TRUE,"11+ years")</f>
        <v>2–5 years</v>
      </c>
    </row>
    <row r="1135" spans="1:4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cm="1">
        <f t="array" ref="AJ1135">_xlfn.SWITCH(CleanEmployeeData[[#This Row],[Education]],1,"Below College",2,"College",3,"Bachelor",4,"Master",5,"Doctor","Unknown")</f>
        <v>Bachelor</v>
      </c>
      <c r="AK1135" t="str" cm="1">
        <f t="array" ref="AK1135">_xlfn.SWITCH(CleanEmployeeData[[#This Row],[EnvironmentSatisfaction]],1,"Low",2,"Medium",3,"High",4,"Very High","Unknown")</f>
        <v>Very High</v>
      </c>
      <c r="AL1135" t="str" cm="1">
        <f t="array" ref="AL1135">_xlfn.SWITCH(CleanEmployeeData[[#This Row],[JobInvolvement]],1,"Low",2,"Medium",3,"High",4,"Very High","Unknown")</f>
        <v>Very High</v>
      </c>
      <c r="AM1135" t="str" cm="1">
        <f t="array" ref="AM1135">_xlfn.SWITCH(CleanEmployeeData[[#This Row],[JobSatisfaction]],1,"Low",2,"Medium",3,"High",4,"Very High","Unknown")</f>
        <v>Medium</v>
      </c>
      <c r="AN1135" t="str" cm="1">
        <f t="array" ref="AN1135">_xlfn.SWITCH(CleanEmployeeData[[#This Row],[PerformanceRating]],1,"Low",2,"Good",3,"Excellent",4,"Outstanding","Unknown")</f>
        <v>Excellent</v>
      </c>
      <c r="AO1135" t="str" cm="1">
        <f t="array" ref="AO1135">_xlfn.SWITCH(CleanEmployeeData[[#This Row],[WorkLifeBalance]],1,"Bad",2,"Good",3,"Better",4,"Best","Unknown")</f>
        <v>Better</v>
      </c>
      <c r="AP1135">
        <f>IF(CleanEmployeeData[[#This Row],[Attrition]]="Yes",1,IF(CleanEmployeeData[[#This Row],[Attrition]]="No",0,""))</f>
        <v>0</v>
      </c>
      <c r="AQ1135" t="str" cm="1">
        <f t="array" ref="AQ1135">_xlfn.IFS(CleanEmployeeData[[#This Row],[MonthlyIncome]]&lt;=3000,"0–3,000",CleanEmployeeData[[#This Row],[MonthlyIncome]]&lt;=6000,"3,001–6,000",CleanEmployeeData[[#This Row],[MonthlyIncome]]&lt;=10000,"6,001–10,000",TRUE,"10,001+")</f>
        <v>3,001–6,000</v>
      </c>
      <c r="AR1135" t="str" cm="1">
        <f t="array" ref="AR1135">_xlfn.IFS(CleanEmployeeData[[#This Row],[DistanceFromHome]]&lt;=5,"0–5 miles",CleanEmployeeData[[#This Row],[DistanceFromHome]]&lt;=10,"6–10 miles",CleanEmployeeData[[#This Row],[DistanceFromHome]]&lt;=15,"11–15 miles",TRUE,"16+ miles")</f>
        <v>16+ miles</v>
      </c>
      <c r="AS1135" t="str" cm="1">
        <f t="array" ref="AS1135">_xlfn.IFS(CleanEmployeeData[[#This Row],[YearsAtCompany]]&lt;=1,"0–1 years",CleanEmployeeData[[#This Row],[YearsAtCompany]]&lt;=5,"2–5 years",CleanEmployeeData[[#This Row],[YearsAtCompany]]&lt;=10,"6–10 years",TRUE,"11+ years")</f>
        <v>6–10 years</v>
      </c>
    </row>
    <row r="1136" spans="1:4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cm="1">
        <f t="array" ref="AJ1136">_xlfn.SWITCH(CleanEmployeeData[[#This Row],[Education]],1,"Below College",2,"College",3,"Bachelor",4,"Master",5,"Doctor","Unknown")</f>
        <v>College</v>
      </c>
      <c r="AK1136" t="str" cm="1">
        <f t="array" ref="AK1136">_xlfn.SWITCH(CleanEmployeeData[[#This Row],[EnvironmentSatisfaction]],1,"Low",2,"Medium",3,"High",4,"Very High","Unknown")</f>
        <v>High</v>
      </c>
      <c r="AL1136" t="str" cm="1">
        <f t="array" ref="AL1136">_xlfn.SWITCH(CleanEmployeeData[[#This Row],[JobInvolvement]],1,"Low",2,"Medium",3,"High",4,"Very High","Unknown")</f>
        <v>Medium</v>
      </c>
      <c r="AM1136" t="str" cm="1">
        <f t="array" ref="AM1136">_xlfn.SWITCH(CleanEmployeeData[[#This Row],[JobSatisfaction]],1,"Low",2,"Medium",3,"High",4,"Very High","Unknown")</f>
        <v>Very High</v>
      </c>
      <c r="AN1136" t="str" cm="1">
        <f t="array" ref="AN1136">_xlfn.SWITCH(CleanEmployeeData[[#This Row],[PerformanceRating]],1,"Low",2,"Good",3,"Excellent",4,"Outstanding","Unknown")</f>
        <v>Excellent</v>
      </c>
      <c r="AO1136" t="str" cm="1">
        <f t="array" ref="AO1136">_xlfn.SWITCH(CleanEmployeeData[[#This Row],[WorkLifeBalance]],1,"Bad",2,"Good",3,"Better",4,"Best","Unknown")</f>
        <v>Good</v>
      </c>
      <c r="AP1136">
        <f>IF(CleanEmployeeData[[#This Row],[Attrition]]="Yes",1,IF(CleanEmployeeData[[#This Row],[Attrition]]="No",0,""))</f>
        <v>0</v>
      </c>
      <c r="AQ1136" t="str" cm="1">
        <f t="array" ref="AQ1136">_xlfn.IFS(CleanEmployeeData[[#This Row],[MonthlyIncome]]&lt;=3000,"0–3,000",CleanEmployeeData[[#This Row],[MonthlyIncome]]&lt;=6000,"3,001–6,000",CleanEmployeeData[[#This Row],[MonthlyIncome]]&lt;=10000,"6,001–10,000",TRUE,"10,001+")</f>
        <v>0–3,000</v>
      </c>
      <c r="AR1136" t="str" cm="1">
        <f t="array" ref="AR1136">_xlfn.IFS(CleanEmployeeData[[#This Row],[DistanceFromHome]]&lt;=5,"0–5 miles",CleanEmployeeData[[#This Row],[DistanceFromHome]]&lt;=10,"6–10 miles",CleanEmployeeData[[#This Row],[DistanceFromHome]]&lt;=15,"11–15 miles",TRUE,"16+ miles")</f>
        <v>6–10 miles</v>
      </c>
      <c r="AS1136" t="str" cm="1">
        <f t="array" ref="AS1136">_xlfn.IFS(CleanEmployeeData[[#This Row],[YearsAtCompany]]&lt;=1,"0–1 years",CleanEmployeeData[[#This Row],[YearsAtCompany]]&lt;=5,"2–5 years",CleanEmployeeData[[#This Row],[YearsAtCompany]]&lt;=10,"6–10 years",TRUE,"11+ years")</f>
        <v>0–1 years</v>
      </c>
    </row>
    <row r="1137" spans="1:4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cm="1">
        <f t="array" ref="AJ1137">_xlfn.SWITCH(CleanEmployeeData[[#This Row],[Education]],1,"Below College",2,"College",3,"Bachelor",4,"Master",5,"Doctor","Unknown")</f>
        <v>Master</v>
      </c>
      <c r="AK1137" t="str" cm="1">
        <f t="array" ref="AK1137">_xlfn.SWITCH(CleanEmployeeData[[#This Row],[EnvironmentSatisfaction]],1,"Low",2,"Medium",3,"High",4,"Very High","Unknown")</f>
        <v>Very High</v>
      </c>
      <c r="AL1137" t="str" cm="1">
        <f t="array" ref="AL1137">_xlfn.SWITCH(CleanEmployeeData[[#This Row],[JobInvolvement]],1,"Low",2,"Medium",3,"High",4,"Very High","Unknown")</f>
        <v>Very High</v>
      </c>
      <c r="AM1137" t="str" cm="1">
        <f t="array" ref="AM1137">_xlfn.SWITCH(CleanEmployeeData[[#This Row],[JobSatisfaction]],1,"Low",2,"Medium",3,"High",4,"Very High","Unknown")</f>
        <v>Low</v>
      </c>
      <c r="AN1137" t="str" cm="1">
        <f t="array" ref="AN1137">_xlfn.SWITCH(CleanEmployeeData[[#This Row],[PerformanceRating]],1,"Low",2,"Good",3,"Excellent",4,"Outstanding","Unknown")</f>
        <v>Excellent</v>
      </c>
      <c r="AO1137" t="str" cm="1">
        <f t="array" ref="AO1137">_xlfn.SWITCH(CleanEmployeeData[[#This Row],[WorkLifeBalance]],1,"Bad",2,"Good",3,"Better",4,"Best","Unknown")</f>
        <v>Bad</v>
      </c>
      <c r="AP1137">
        <f>IF(CleanEmployeeData[[#This Row],[Attrition]]="Yes",1,IF(CleanEmployeeData[[#This Row],[Attrition]]="No",0,""))</f>
        <v>0</v>
      </c>
      <c r="AQ1137" t="str" cm="1">
        <f t="array" ref="AQ1137">_xlfn.IFS(CleanEmployeeData[[#This Row],[MonthlyIncome]]&lt;=3000,"0–3,000",CleanEmployeeData[[#This Row],[MonthlyIncome]]&lt;=6000,"3,001–6,000",CleanEmployeeData[[#This Row],[MonthlyIncome]]&lt;=10000,"6,001–10,000",TRUE,"10,001+")</f>
        <v>10,001+</v>
      </c>
      <c r="AR1137" t="str" cm="1">
        <f t="array" ref="AR1137">_xlfn.IFS(CleanEmployeeData[[#This Row],[DistanceFromHome]]&lt;=5,"0–5 miles",CleanEmployeeData[[#This Row],[DistanceFromHome]]&lt;=10,"6–10 miles",CleanEmployeeData[[#This Row],[DistanceFromHome]]&lt;=15,"11–15 miles",TRUE,"16+ miles")</f>
        <v>0–5 miles</v>
      </c>
      <c r="AS1137" t="str" cm="1">
        <f t="array" ref="AS1137">_xlfn.IFS(CleanEmployeeData[[#This Row],[YearsAtCompany]]&lt;=1,"0–1 years",CleanEmployeeData[[#This Row],[YearsAtCompany]]&lt;=5,"2–5 years",CleanEmployeeData[[#This Row],[YearsAtCompany]]&lt;=10,"6–10 years",TRUE,"11+ years")</f>
        <v>11+ years</v>
      </c>
    </row>
    <row r="1138" spans="1:4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cm="1">
        <f t="array" ref="AJ1138">_xlfn.SWITCH(CleanEmployeeData[[#This Row],[Education]],1,"Below College",2,"College",3,"Bachelor",4,"Master",5,"Doctor","Unknown")</f>
        <v>Bachelor</v>
      </c>
      <c r="AK1138" t="str" cm="1">
        <f t="array" ref="AK1138">_xlfn.SWITCH(CleanEmployeeData[[#This Row],[EnvironmentSatisfaction]],1,"Low",2,"Medium",3,"High",4,"Very High","Unknown")</f>
        <v>High</v>
      </c>
      <c r="AL1138" t="str" cm="1">
        <f t="array" ref="AL1138">_xlfn.SWITCH(CleanEmployeeData[[#This Row],[JobInvolvement]],1,"Low",2,"Medium",3,"High",4,"Very High","Unknown")</f>
        <v>High</v>
      </c>
      <c r="AM1138" t="str" cm="1">
        <f t="array" ref="AM1138">_xlfn.SWITCH(CleanEmployeeData[[#This Row],[JobSatisfaction]],1,"Low",2,"Medium",3,"High",4,"Very High","Unknown")</f>
        <v>Medium</v>
      </c>
      <c r="AN1138" t="str" cm="1">
        <f t="array" ref="AN1138">_xlfn.SWITCH(CleanEmployeeData[[#This Row],[PerformanceRating]],1,"Low",2,"Good",3,"Excellent",4,"Outstanding","Unknown")</f>
        <v>Excellent</v>
      </c>
      <c r="AO1138" t="str" cm="1">
        <f t="array" ref="AO1138">_xlfn.SWITCH(CleanEmployeeData[[#This Row],[WorkLifeBalance]],1,"Bad",2,"Good",3,"Better",4,"Best","Unknown")</f>
        <v>Better</v>
      </c>
      <c r="AP1138">
        <f>IF(CleanEmployeeData[[#This Row],[Attrition]]="Yes",1,IF(CleanEmployeeData[[#This Row],[Attrition]]="No",0,""))</f>
        <v>1</v>
      </c>
      <c r="AQ1138" t="str" cm="1">
        <f t="array" ref="AQ1138">_xlfn.IFS(CleanEmployeeData[[#This Row],[MonthlyIncome]]&lt;=3000,"0–3,000",CleanEmployeeData[[#This Row],[MonthlyIncome]]&lt;=6000,"3,001–6,000",CleanEmployeeData[[#This Row],[MonthlyIncome]]&lt;=10000,"6,001–10,000",TRUE,"10,001+")</f>
        <v>0–3,000</v>
      </c>
      <c r="AR1138" t="str" cm="1">
        <f t="array" ref="AR1138">_xlfn.IFS(CleanEmployeeData[[#This Row],[DistanceFromHome]]&lt;=5,"0–5 miles",CleanEmployeeData[[#This Row],[DistanceFromHome]]&lt;=10,"6–10 miles",CleanEmployeeData[[#This Row],[DistanceFromHome]]&lt;=15,"11–15 miles",TRUE,"16+ miles")</f>
        <v>16+ miles</v>
      </c>
      <c r="AS1138" t="str" cm="1">
        <f t="array" ref="AS1138">_xlfn.IFS(CleanEmployeeData[[#This Row],[YearsAtCompany]]&lt;=1,"0–1 years",CleanEmployeeData[[#This Row],[YearsAtCompany]]&lt;=5,"2–5 years",CleanEmployeeData[[#This Row],[YearsAtCompany]]&lt;=10,"6–10 years",TRUE,"11+ years")</f>
        <v>0–1 years</v>
      </c>
    </row>
    <row r="1139" spans="1:4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cm="1">
        <f t="array" ref="AJ1139">_xlfn.SWITCH(CleanEmployeeData[[#This Row],[Education]],1,"Below College",2,"College",3,"Bachelor",4,"Master",5,"Doctor","Unknown")</f>
        <v>College</v>
      </c>
      <c r="AK1139" t="str" cm="1">
        <f t="array" ref="AK1139">_xlfn.SWITCH(CleanEmployeeData[[#This Row],[EnvironmentSatisfaction]],1,"Low",2,"Medium",3,"High",4,"Very High","Unknown")</f>
        <v>Medium</v>
      </c>
      <c r="AL1139" t="str" cm="1">
        <f t="array" ref="AL1139">_xlfn.SWITCH(CleanEmployeeData[[#This Row],[JobInvolvement]],1,"Low",2,"Medium",3,"High",4,"Very High","Unknown")</f>
        <v>Medium</v>
      </c>
      <c r="AM1139" t="str" cm="1">
        <f t="array" ref="AM1139">_xlfn.SWITCH(CleanEmployeeData[[#This Row],[JobSatisfaction]],1,"Low",2,"Medium",3,"High",4,"Very High","Unknown")</f>
        <v>High</v>
      </c>
      <c r="AN1139" t="str" cm="1">
        <f t="array" ref="AN1139">_xlfn.SWITCH(CleanEmployeeData[[#This Row],[PerformanceRating]],1,"Low",2,"Good",3,"Excellent",4,"Outstanding","Unknown")</f>
        <v>Excellent</v>
      </c>
      <c r="AO1139" t="str" cm="1">
        <f t="array" ref="AO1139">_xlfn.SWITCH(CleanEmployeeData[[#This Row],[WorkLifeBalance]],1,"Bad",2,"Good",3,"Better",4,"Best","Unknown")</f>
        <v>Good</v>
      </c>
      <c r="AP1139">
        <f>IF(CleanEmployeeData[[#This Row],[Attrition]]="Yes",1,IF(CleanEmployeeData[[#This Row],[Attrition]]="No",0,""))</f>
        <v>0</v>
      </c>
      <c r="AQ1139" t="str" cm="1">
        <f t="array" ref="AQ1139">_xlfn.IFS(CleanEmployeeData[[#This Row],[MonthlyIncome]]&lt;=3000,"0–3,000",CleanEmployeeData[[#This Row],[MonthlyIncome]]&lt;=6000,"3,001–6,000",CleanEmployeeData[[#This Row],[MonthlyIncome]]&lt;=10000,"6,001–10,000",TRUE,"10,001+")</f>
        <v>0–3,000</v>
      </c>
      <c r="AR1139" t="str" cm="1">
        <f t="array" ref="AR1139">_xlfn.IFS(CleanEmployeeData[[#This Row],[DistanceFromHome]]&lt;=5,"0–5 miles",CleanEmployeeData[[#This Row],[DistanceFromHome]]&lt;=10,"6–10 miles",CleanEmployeeData[[#This Row],[DistanceFromHome]]&lt;=15,"11–15 miles",TRUE,"16+ miles")</f>
        <v>16+ miles</v>
      </c>
      <c r="AS1139" t="str" cm="1">
        <f t="array" ref="AS1139">_xlfn.IFS(CleanEmployeeData[[#This Row],[YearsAtCompany]]&lt;=1,"0–1 years",CleanEmployeeData[[#This Row],[YearsAtCompany]]&lt;=5,"2–5 years",CleanEmployeeData[[#This Row],[YearsAtCompany]]&lt;=10,"6–10 years",TRUE,"11+ years")</f>
        <v>2–5 years</v>
      </c>
    </row>
    <row r="1140" spans="1:4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cm="1">
        <f t="array" ref="AJ1140">_xlfn.SWITCH(CleanEmployeeData[[#This Row],[Education]],1,"Below College",2,"College",3,"Bachelor",4,"Master",5,"Doctor","Unknown")</f>
        <v>Doctor</v>
      </c>
      <c r="AK1140" t="str" cm="1">
        <f t="array" ref="AK1140">_xlfn.SWITCH(CleanEmployeeData[[#This Row],[EnvironmentSatisfaction]],1,"Low",2,"Medium",3,"High",4,"Very High","Unknown")</f>
        <v>Medium</v>
      </c>
      <c r="AL1140" t="str" cm="1">
        <f t="array" ref="AL1140">_xlfn.SWITCH(CleanEmployeeData[[#This Row],[JobInvolvement]],1,"Low",2,"Medium",3,"High",4,"Very High","Unknown")</f>
        <v>High</v>
      </c>
      <c r="AM1140" t="str" cm="1">
        <f t="array" ref="AM1140">_xlfn.SWITCH(CleanEmployeeData[[#This Row],[JobSatisfaction]],1,"Low",2,"Medium",3,"High",4,"Very High","Unknown")</f>
        <v>High</v>
      </c>
      <c r="AN1140" t="str" cm="1">
        <f t="array" ref="AN1140">_xlfn.SWITCH(CleanEmployeeData[[#This Row],[PerformanceRating]],1,"Low",2,"Good",3,"Excellent",4,"Outstanding","Unknown")</f>
        <v>Excellent</v>
      </c>
      <c r="AO1140" t="str" cm="1">
        <f t="array" ref="AO1140">_xlfn.SWITCH(CleanEmployeeData[[#This Row],[WorkLifeBalance]],1,"Bad",2,"Good",3,"Better",4,"Best","Unknown")</f>
        <v>Better</v>
      </c>
      <c r="AP1140">
        <f>IF(CleanEmployeeData[[#This Row],[Attrition]]="Yes",1,IF(CleanEmployeeData[[#This Row],[Attrition]]="No",0,""))</f>
        <v>0</v>
      </c>
      <c r="AQ1140" t="str" cm="1">
        <f t="array" ref="AQ1140">_xlfn.IFS(CleanEmployeeData[[#This Row],[MonthlyIncome]]&lt;=3000,"0–3,000",CleanEmployeeData[[#This Row],[MonthlyIncome]]&lt;=6000,"3,001–6,000",CleanEmployeeData[[#This Row],[MonthlyIncome]]&lt;=10000,"6,001–10,000",TRUE,"10,001+")</f>
        <v>10,001+</v>
      </c>
      <c r="AR1140" t="str" cm="1">
        <f t="array" ref="AR1140">_xlfn.IFS(CleanEmployeeData[[#This Row],[DistanceFromHome]]&lt;=5,"0–5 miles",CleanEmployeeData[[#This Row],[DistanceFromHome]]&lt;=10,"6–10 miles",CleanEmployeeData[[#This Row],[DistanceFromHome]]&lt;=15,"11–15 miles",TRUE,"16+ miles")</f>
        <v>16+ miles</v>
      </c>
      <c r="AS1140" t="str" cm="1">
        <f t="array" ref="AS1140">_xlfn.IFS(CleanEmployeeData[[#This Row],[YearsAtCompany]]&lt;=1,"0–1 years",CleanEmployeeData[[#This Row],[YearsAtCompany]]&lt;=5,"2–5 years",CleanEmployeeData[[#This Row],[YearsAtCompany]]&lt;=10,"6–10 years",TRUE,"11+ years")</f>
        <v>11+ years</v>
      </c>
    </row>
    <row r="1141" spans="1:4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cm="1">
        <f t="array" ref="AJ1141">_xlfn.SWITCH(CleanEmployeeData[[#This Row],[Education]],1,"Below College",2,"College",3,"Bachelor",4,"Master",5,"Doctor","Unknown")</f>
        <v>Master</v>
      </c>
      <c r="AK1141" t="str" cm="1">
        <f t="array" ref="AK1141">_xlfn.SWITCH(CleanEmployeeData[[#This Row],[EnvironmentSatisfaction]],1,"Low",2,"Medium",3,"High",4,"Very High","Unknown")</f>
        <v>Medium</v>
      </c>
      <c r="AL1141" t="str" cm="1">
        <f t="array" ref="AL1141">_xlfn.SWITCH(CleanEmployeeData[[#This Row],[JobInvolvement]],1,"Low",2,"Medium",3,"High",4,"Very High","Unknown")</f>
        <v>Very High</v>
      </c>
      <c r="AM1141" t="str" cm="1">
        <f t="array" ref="AM1141">_xlfn.SWITCH(CleanEmployeeData[[#This Row],[JobSatisfaction]],1,"Low",2,"Medium",3,"High",4,"Very High","Unknown")</f>
        <v>Very High</v>
      </c>
      <c r="AN1141" t="str" cm="1">
        <f t="array" ref="AN1141">_xlfn.SWITCH(CleanEmployeeData[[#This Row],[PerformanceRating]],1,"Low",2,"Good",3,"Excellent",4,"Outstanding","Unknown")</f>
        <v>Excellent</v>
      </c>
      <c r="AO1141" t="str" cm="1">
        <f t="array" ref="AO1141">_xlfn.SWITCH(CleanEmployeeData[[#This Row],[WorkLifeBalance]],1,"Bad",2,"Good",3,"Better",4,"Best","Unknown")</f>
        <v>Better</v>
      </c>
      <c r="AP1141">
        <f>IF(CleanEmployeeData[[#This Row],[Attrition]]="Yes",1,IF(CleanEmployeeData[[#This Row],[Attrition]]="No",0,""))</f>
        <v>0</v>
      </c>
      <c r="AQ1141" t="str" cm="1">
        <f t="array" ref="AQ1141">_xlfn.IFS(CleanEmployeeData[[#This Row],[MonthlyIncome]]&lt;=3000,"0–3,000",CleanEmployeeData[[#This Row],[MonthlyIncome]]&lt;=6000,"3,001–6,000",CleanEmployeeData[[#This Row],[MonthlyIncome]]&lt;=10000,"6,001–10,000",TRUE,"10,001+")</f>
        <v>3,001–6,000</v>
      </c>
      <c r="AR1141" t="str" cm="1">
        <f t="array" ref="AR1141">_xlfn.IFS(CleanEmployeeData[[#This Row],[DistanceFromHome]]&lt;=5,"0–5 miles",CleanEmployeeData[[#This Row],[DistanceFromHome]]&lt;=10,"6–10 miles",CleanEmployeeData[[#This Row],[DistanceFromHome]]&lt;=15,"11–15 miles",TRUE,"16+ miles")</f>
        <v>0–5 miles</v>
      </c>
      <c r="AS1141" t="str" cm="1">
        <f t="array" ref="AS1141">_xlfn.IFS(CleanEmployeeData[[#This Row],[YearsAtCompany]]&lt;=1,"0–1 years",CleanEmployeeData[[#This Row],[YearsAtCompany]]&lt;=5,"2–5 years",CleanEmployeeData[[#This Row],[YearsAtCompany]]&lt;=10,"6–10 years",TRUE,"11+ years")</f>
        <v>2–5 years</v>
      </c>
    </row>
    <row r="1142" spans="1:4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cm="1">
        <f t="array" ref="AJ1142">_xlfn.SWITCH(CleanEmployeeData[[#This Row],[Education]],1,"Below College",2,"College",3,"Bachelor",4,"Master",5,"Doctor","Unknown")</f>
        <v>Bachelor</v>
      </c>
      <c r="AK1142" t="str" cm="1">
        <f t="array" ref="AK1142">_xlfn.SWITCH(CleanEmployeeData[[#This Row],[EnvironmentSatisfaction]],1,"Low",2,"Medium",3,"High",4,"Very High","Unknown")</f>
        <v>Medium</v>
      </c>
      <c r="AL1142" t="str" cm="1">
        <f t="array" ref="AL1142">_xlfn.SWITCH(CleanEmployeeData[[#This Row],[JobInvolvement]],1,"Low",2,"Medium",3,"High",4,"Very High","Unknown")</f>
        <v>High</v>
      </c>
      <c r="AM1142" t="str" cm="1">
        <f t="array" ref="AM1142">_xlfn.SWITCH(CleanEmployeeData[[#This Row],[JobSatisfaction]],1,"Low",2,"Medium",3,"High",4,"Very High","Unknown")</f>
        <v>Very High</v>
      </c>
      <c r="AN1142" t="str" cm="1">
        <f t="array" ref="AN1142">_xlfn.SWITCH(CleanEmployeeData[[#This Row],[PerformanceRating]],1,"Low",2,"Good",3,"Excellent",4,"Outstanding","Unknown")</f>
        <v>Excellent</v>
      </c>
      <c r="AO1142" t="str" cm="1">
        <f t="array" ref="AO1142">_xlfn.SWITCH(CleanEmployeeData[[#This Row],[WorkLifeBalance]],1,"Bad",2,"Good",3,"Better",4,"Best","Unknown")</f>
        <v>Good</v>
      </c>
      <c r="AP1142">
        <f>IF(CleanEmployeeData[[#This Row],[Attrition]]="Yes",1,IF(CleanEmployeeData[[#This Row],[Attrition]]="No",0,""))</f>
        <v>0</v>
      </c>
      <c r="AQ1142" t="str" cm="1">
        <f t="array" ref="AQ1142">_xlfn.IFS(CleanEmployeeData[[#This Row],[MonthlyIncome]]&lt;=3000,"0–3,000",CleanEmployeeData[[#This Row],[MonthlyIncome]]&lt;=6000,"3,001–6,000",CleanEmployeeData[[#This Row],[MonthlyIncome]]&lt;=10000,"6,001–10,000",TRUE,"10,001+")</f>
        <v>10,001+</v>
      </c>
      <c r="AR1142" t="str" cm="1">
        <f t="array" ref="AR1142">_xlfn.IFS(CleanEmployeeData[[#This Row],[DistanceFromHome]]&lt;=5,"0–5 miles",CleanEmployeeData[[#This Row],[DistanceFromHome]]&lt;=10,"6–10 miles",CleanEmployeeData[[#This Row],[DistanceFromHome]]&lt;=15,"11–15 miles",TRUE,"16+ miles")</f>
        <v>6–10 miles</v>
      </c>
      <c r="AS1142" t="str" cm="1">
        <f t="array" ref="AS1142">_xlfn.IFS(CleanEmployeeData[[#This Row],[YearsAtCompany]]&lt;=1,"0–1 years",CleanEmployeeData[[#This Row],[YearsAtCompany]]&lt;=5,"2–5 years",CleanEmployeeData[[#This Row],[YearsAtCompany]]&lt;=10,"6–10 years",TRUE,"11+ years")</f>
        <v>11+ years</v>
      </c>
    </row>
    <row r="1143" spans="1:4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cm="1">
        <f t="array" ref="AJ1143">_xlfn.SWITCH(CleanEmployeeData[[#This Row],[Education]],1,"Below College",2,"College",3,"Bachelor",4,"Master",5,"Doctor","Unknown")</f>
        <v>Bachelor</v>
      </c>
      <c r="AK1143" t="str" cm="1">
        <f t="array" ref="AK1143">_xlfn.SWITCH(CleanEmployeeData[[#This Row],[EnvironmentSatisfaction]],1,"Low",2,"Medium",3,"High",4,"Very High","Unknown")</f>
        <v>Medium</v>
      </c>
      <c r="AL1143" t="str" cm="1">
        <f t="array" ref="AL1143">_xlfn.SWITCH(CleanEmployeeData[[#This Row],[JobInvolvement]],1,"Low",2,"Medium",3,"High",4,"Very High","Unknown")</f>
        <v>Medium</v>
      </c>
      <c r="AM1143" t="str" cm="1">
        <f t="array" ref="AM1143">_xlfn.SWITCH(CleanEmployeeData[[#This Row],[JobSatisfaction]],1,"Low",2,"Medium",3,"High",4,"Very High","Unknown")</f>
        <v>Medium</v>
      </c>
      <c r="AN1143" t="str" cm="1">
        <f t="array" ref="AN1143">_xlfn.SWITCH(CleanEmployeeData[[#This Row],[PerformanceRating]],1,"Low",2,"Good",3,"Excellent",4,"Outstanding","Unknown")</f>
        <v>Excellent</v>
      </c>
      <c r="AO1143" t="str" cm="1">
        <f t="array" ref="AO1143">_xlfn.SWITCH(CleanEmployeeData[[#This Row],[WorkLifeBalance]],1,"Bad",2,"Good",3,"Better",4,"Best","Unknown")</f>
        <v>Good</v>
      </c>
      <c r="AP1143">
        <f>IF(CleanEmployeeData[[#This Row],[Attrition]]="Yes",1,IF(CleanEmployeeData[[#This Row],[Attrition]]="No",0,""))</f>
        <v>0</v>
      </c>
      <c r="AQ1143" t="str" cm="1">
        <f t="array" ref="AQ1143">_xlfn.IFS(CleanEmployeeData[[#This Row],[MonthlyIncome]]&lt;=3000,"0–3,000",CleanEmployeeData[[#This Row],[MonthlyIncome]]&lt;=6000,"3,001–6,000",CleanEmployeeData[[#This Row],[MonthlyIncome]]&lt;=10000,"6,001–10,000",TRUE,"10,001+")</f>
        <v>0–3,000</v>
      </c>
      <c r="AR1143" t="str" cm="1">
        <f t="array" ref="AR1143">_xlfn.IFS(CleanEmployeeData[[#This Row],[DistanceFromHome]]&lt;=5,"0–5 miles",CleanEmployeeData[[#This Row],[DistanceFromHome]]&lt;=10,"6–10 miles",CleanEmployeeData[[#This Row],[DistanceFromHome]]&lt;=15,"11–15 miles",TRUE,"16+ miles")</f>
        <v>6–10 miles</v>
      </c>
      <c r="AS1143" t="str" cm="1">
        <f t="array" ref="AS1143">_xlfn.IFS(CleanEmployeeData[[#This Row],[YearsAtCompany]]&lt;=1,"0–1 years",CleanEmployeeData[[#This Row],[YearsAtCompany]]&lt;=5,"2–5 years",CleanEmployeeData[[#This Row],[YearsAtCompany]]&lt;=10,"6–10 years",TRUE,"11+ years")</f>
        <v>6–10 years</v>
      </c>
    </row>
    <row r="1144" spans="1:4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cm="1">
        <f t="array" ref="AJ1144">_xlfn.SWITCH(CleanEmployeeData[[#This Row],[Education]],1,"Below College",2,"College",3,"Bachelor",4,"Master",5,"Doctor","Unknown")</f>
        <v>Doctor</v>
      </c>
      <c r="AK1144" t="str" cm="1">
        <f t="array" ref="AK1144">_xlfn.SWITCH(CleanEmployeeData[[#This Row],[EnvironmentSatisfaction]],1,"Low",2,"Medium",3,"High",4,"Very High","Unknown")</f>
        <v>High</v>
      </c>
      <c r="AL1144" t="str" cm="1">
        <f t="array" ref="AL1144">_xlfn.SWITCH(CleanEmployeeData[[#This Row],[JobInvolvement]],1,"Low",2,"Medium",3,"High",4,"Very High","Unknown")</f>
        <v>Low</v>
      </c>
      <c r="AM1144" t="str" cm="1">
        <f t="array" ref="AM1144">_xlfn.SWITCH(CleanEmployeeData[[#This Row],[JobSatisfaction]],1,"Low",2,"Medium",3,"High",4,"Very High","Unknown")</f>
        <v>Low</v>
      </c>
      <c r="AN1144" t="str" cm="1">
        <f t="array" ref="AN1144">_xlfn.SWITCH(CleanEmployeeData[[#This Row],[PerformanceRating]],1,"Low",2,"Good",3,"Excellent",4,"Outstanding","Unknown")</f>
        <v>Excellent</v>
      </c>
      <c r="AO1144" t="str" cm="1">
        <f t="array" ref="AO1144">_xlfn.SWITCH(CleanEmployeeData[[#This Row],[WorkLifeBalance]],1,"Bad",2,"Good",3,"Better",4,"Best","Unknown")</f>
        <v>Better</v>
      </c>
      <c r="AP1144">
        <f>IF(CleanEmployeeData[[#This Row],[Attrition]]="Yes",1,IF(CleanEmployeeData[[#This Row],[Attrition]]="No",0,""))</f>
        <v>0</v>
      </c>
      <c r="AQ1144" t="str" cm="1">
        <f t="array" ref="AQ1144">_xlfn.IFS(CleanEmployeeData[[#This Row],[MonthlyIncome]]&lt;=3000,"0–3,000",CleanEmployeeData[[#This Row],[MonthlyIncome]]&lt;=6000,"3,001–6,000",CleanEmployeeData[[#This Row],[MonthlyIncome]]&lt;=10000,"6,001–10,000",TRUE,"10,001+")</f>
        <v>3,001–6,000</v>
      </c>
      <c r="AR1144" t="str" cm="1">
        <f t="array" ref="AR1144">_xlfn.IFS(CleanEmployeeData[[#This Row],[DistanceFromHome]]&lt;=5,"0–5 miles",CleanEmployeeData[[#This Row],[DistanceFromHome]]&lt;=10,"6–10 miles",CleanEmployeeData[[#This Row],[DistanceFromHome]]&lt;=15,"11–15 miles",TRUE,"16+ miles")</f>
        <v>0–5 miles</v>
      </c>
      <c r="AS1144" t="str" cm="1">
        <f t="array" ref="AS1144">_xlfn.IFS(CleanEmployeeData[[#This Row],[YearsAtCompany]]&lt;=1,"0–1 years",CleanEmployeeData[[#This Row],[YearsAtCompany]]&lt;=5,"2–5 years",CleanEmployeeData[[#This Row],[YearsAtCompany]]&lt;=10,"6–10 years",TRUE,"11+ years")</f>
        <v>6–10 years</v>
      </c>
    </row>
    <row r="1145" spans="1:4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cm="1">
        <f t="array" ref="AJ1145">_xlfn.SWITCH(CleanEmployeeData[[#This Row],[Education]],1,"Below College",2,"College",3,"Bachelor",4,"Master",5,"Doctor","Unknown")</f>
        <v>Bachelor</v>
      </c>
      <c r="AK1145" t="str" cm="1">
        <f t="array" ref="AK1145">_xlfn.SWITCH(CleanEmployeeData[[#This Row],[EnvironmentSatisfaction]],1,"Low",2,"Medium",3,"High",4,"Very High","Unknown")</f>
        <v>Low</v>
      </c>
      <c r="AL1145" t="str" cm="1">
        <f t="array" ref="AL1145">_xlfn.SWITCH(CleanEmployeeData[[#This Row],[JobInvolvement]],1,"Low",2,"Medium",3,"High",4,"Very High","Unknown")</f>
        <v>Medium</v>
      </c>
      <c r="AM1145" t="str" cm="1">
        <f t="array" ref="AM1145">_xlfn.SWITCH(CleanEmployeeData[[#This Row],[JobSatisfaction]],1,"Low",2,"Medium",3,"High",4,"Very High","Unknown")</f>
        <v>Low</v>
      </c>
      <c r="AN1145" t="str" cm="1">
        <f t="array" ref="AN1145">_xlfn.SWITCH(CleanEmployeeData[[#This Row],[PerformanceRating]],1,"Low",2,"Good",3,"Excellent",4,"Outstanding","Unknown")</f>
        <v>Excellent</v>
      </c>
      <c r="AO1145" t="str" cm="1">
        <f t="array" ref="AO1145">_xlfn.SWITCH(CleanEmployeeData[[#This Row],[WorkLifeBalance]],1,"Bad",2,"Good",3,"Better",4,"Best","Unknown")</f>
        <v>Better</v>
      </c>
      <c r="AP1145">
        <f>IF(CleanEmployeeData[[#This Row],[Attrition]]="Yes",1,IF(CleanEmployeeData[[#This Row],[Attrition]]="No",0,""))</f>
        <v>0</v>
      </c>
      <c r="AQ1145" t="str" cm="1">
        <f t="array" ref="AQ1145">_xlfn.IFS(CleanEmployeeData[[#This Row],[MonthlyIncome]]&lt;=3000,"0–3,000",CleanEmployeeData[[#This Row],[MonthlyIncome]]&lt;=6000,"3,001–6,000",CleanEmployeeData[[#This Row],[MonthlyIncome]]&lt;=10000,"6,001–10,000",TRUE,"10,001+")</f>
        <v>3,001–6,000</v>
      </c>
      <c r="AR1145" t="str" cm="1">
        <f t="array" ref="AR1145">_xlfn.IFS(CleanEmployeeData[[#This Row],[DistanceFromHome]]&lt;=5,"0–5 miles",CleanEmployeeData[[#This Row],[DistanceFromHome]]&lt;=10,"6–10 miles",CleanEmployeeData[[#This Row],[DistanceFromHome]]&lt;=15,"11–15 miles",TRUE,"16+ miles")</f>
        <v>16+ miles</v>
      </c>
      <c r="AS1145" t="str" cm="1">
        <f t="array" ref="AS1145">_xlfn.IFS(CleanEmployeeData[[#This Row],[YearsAtCompany]]&lt;=1,"0–1 years",CleanEmployeeData[[#This Row],[YearsAtCompany]]&lt;=5,"2–5 years",CleanEmployeeData[[#This Row],[YearsAtCompany]]&lt;=10,"6–10 years",TRUE,"11+ years")</f>
        <v>6–10 years</v>
      </c>
    </row>
    <row r="1146" spans="1:4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cm="1">
        <f t="array" ref="AJ1146">_xlfn.SWITCH(CleanEmployeeData[[#This Row],[Education]],1,"Below College",2,"College",3,"Bachelor",4,"Master",5,"Doctor","Unknown")</f>
        <v>Master</v>
      </c>
      <c r="AK1146" t="str" cm="1">
        <f t="array" ref="AK1146">_xlfn.SWITCH(CleanEmployeeData[[#This Row],[EnvironmentSatisfaction]],1,"Low",2,"Medium",3,"High",4,"Very High","Unknown")</f>
        <v>Very High</v>
      </c>
      <c r="AL1146" t="str" cm="1">
        <f t="array" ref="AL1146">_xlfn.SWITCH(CleanEmployeeData[[#This Row],[JobInvolvement]],1,"Low",2,"Medium",3,"High",4,"Very High","Unknown")</f>
        <v>High</v>
      </c>
      <c r="AM1146" t="str" cm="1">
        <f t="array" ref="AM1146">_xlfn.SWITCH(CleanEmployeeData[[#This Row],[JobSatisfaction]],1,"Low",2,"Medium",3,"High",4,"Very High","Unknown")</f>
        <v>Low</v>
      </c>
      <c r="AN1146" t="str" cm="1">
        <f t="array" ref="AN1146">_xlfn.SWITCH(CleanEmployeeData[[#This Row],[PerformanceRating]],1,"Low",2,"Good",3,"Excellent",4,"Outstanding","Unknown")</f>
        <v>Excellent</v>
      </c>
      <c r="AO1146" t="str" cm="1">
        <f t="array" ref="AO1146">_xlfn.SWITCH(CleanEmployeeData[[#This Row],[WorkLifeBalance]],1,"Bad",2,"Good",3,"Better",4,"Best","Unknown")</f>
        <v>Better</v>
      </c>
      <c r="AP1146">
        <f>IF(CleanEmployeeData[[#This Row],[Attrition]]="Yes",1,IF(CleanEmployeeData[[#This Row],[Attrition]]="No",0,""))</f>
        <v>0</v>
      </c>
      <c r="AQ1146" t="str" cm="1">
        <f t="array" ref="AQ1146">_xlfn.IFS(CleanEmployeeData[[#This Row],[MonthlyIncome]]&lt;=3000,"0–3,000",CleanEmployeeData[[#This Row],[MonthlyIncome]]&lt;=6000,"3,001–6,000",CleanEmployeeData[[#This Row],[MonthlyIncome]]&lt;=10000,"6,001–10,000",TRUE,"10,001+")</f>
        <v>3,001–6,000</v>
      </c>
      <c r="AR1146" t="str" cm="1">
        <f t="array" ref="AR1146">_xlfn.IFS(CleanEmployeeData[[#This Row],[DistanceFromHome]]&lt;=5,"0–5 miles",CleanEmployeeData[[#This Row],[DistanceFromHome]]&lt;=10,"6–10 miles",CleanEmployeeData[[#This Row],[DistanceFromHome]]&lt;=15,"11–15 miles",TRUE,"16+ miles")</f>
        <v>0–5 miles</v>
      </c>
      <c r="AS1146" t="str" cm="1">
        <f t="array" ref="AS1146">_xlfn.IFS(CleanEmployeeData[[#This Row],[YearsAtCompany]]&lt;=1,"0–1 years",CleanEmployeeData[[#This Row],[YearsAtCompany]]&lt;=5,"2–5 years",CleanEmployeeData[[#This Row],[YearsAtCompany]]&lt;=10,"6–10 years",TRUE,"11+ years")</f>
        <v>2–5 years</v>
      </c>
    </row>
    <row r="1147" spans="1:4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cm="1">
        <f t="array" ref="AJ1147">_xlfn.SWITCH(CleanEmployeeData[[#This Row],[Education]],1,"Below College",2,"College",3,"Bachelor",4,"Master",5,"Doctor","Unknown")</f>
        <v>Master</v>
      </c>
      <c r="AK1147" t="str" cm="1">
        <f t="array" ref="AK1147">_xlfn.SWITCH(CleanEmployeeData[[#This Row],[EnvironmentSatisfaction]],1,"Low",2,"Medium",3,"High",4,"Very High","Unknown")</f>
        <v>High</v>
      </c>
      <c r="AL1147" t="str" cm="1">
        <f t="array" ref="AL1147">_xlfn.SWITCH(CleanEmployeeData[[#This Row],[JobInvolvement]],1,"Low",2,"Medium",3,"High",4,"Very High","Unknown")</f>
        <v>High</v>
      </c>
      <c r="AM1147" t="str" cm="1">
        <f t="array" ref="AM1147">_xlfn.SWITCH(CleanEmployeeData[[#This Row],[JobSatisfaction]],1,"Low",2,"Medium",3,"High",4,"Very High","Unknown")</f>
        <v>High</v>
      </c>
      <c r="AN1147" t="str" cm="1">
        <f t="array" ref="AN1147">_xlfn.SWITCH(CleanEmployeeData[[#This Row],[PerformanceRating]],1,"Low",2,"Good",3,"Excellent",4,"Outstanding","Unknown")</f>
        <v>Excellent</v>
      </c>
      <c r="AO1147" t="str" cm="1">
        <f t="array" ref="AO1147">_xlfn.SWITCH(CleanEmployeeData[[#This Row],[WorkLifeBalance]],1,"Bad",2,"Good",3,"Better",4,"Best","Unknown")</f>
        <v>Better</v>
      </c>
      <c r="AP1147">
        <f>IF(CleanEmployeeData[[#This Row],[Attrition]]="Yes",1,IF(CleanEmployeeData[[#This Row],[Attrition]]="No",0,""))</f>
        <v>0</v>
      </c>
      <c r="AQ1147" t="str" cm="1">
        <f t="array" ref="AQ1147">_xlfn.IFS(CleanEmployeeData[[#This Row],[MonthlyIncome]]&lt;=3000,"0–3,000",CleanEmployeeData[[#This Row],[MonthlyIncome]]&lt;=6000,"3,001–6,000",CleanEmployeeData[[#This Row],[MonthlyIncome]]&lt;=10000,"6,001–10,000",TRUE,"10,001+")</f>
        <v>3,001–6,000</v>
      </c>
      <c r="AR1147" t="str" cm="1">
        <f t="array" ref="AR1147">_xlfn.IFS(CleanEmployeeData[[#This Row],[DistanceFromHome]]&lt;=5,"0–5 miles",CleanEmployeeData[[#This Row],[DistanceFromHome]]&lt;=10,"6–10 miles",CleanEmployeeData[[#This Row],[DistanceFromHome]]&lt;=15,"11–15 miles",TRUE,"16+ miles")</f>
        <v>11–15 miles</v>
      </c>
      <c r="AS1147" t="str" cm="1">
        <f t="array" ref="AS1147">_xlfn.IFS(CleanEmployeeData[[#This Row],[YearsAtCompany]]&lt;=1,"0–1 years",CleanEmployeeData[[#This Row],[YearsAtCompany]]&lt;=5,"2–5 years",CleanEmployeeData[[#This Row],[YearsAtCompany]]&lt;=10,"6–10 years",TRUE,"11+ years")</f>
        <v>2–5 years</v>
      </c>
    </row>
    <row r="1148" spans="1:4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cm="1">
        <f t="array" ref="AJ1148">_xlfn.SWITCH(CleanEmployeeData[[#This Row],[Education]],1,"Below College",2,"College",3,"Bachelor",4,"Master",5,"Doctor","Unknown")</f>
        <v>Master</v>
      </c>
      <c r="AK1148" t="str" cm="1">
        <f t="array" ref="AK1148">_xlfn.SWITCH(CleanEmployeeData[[#This Row],[EnvironmentSatisfaction]],1,"Low",2,"Medium",3,"High",4,"Very High","Unknown")</f>
        <v>High</v>
      </c>
      <c r="AL1148" t="str" cm="1">
        <f t="array" ref="AL1148">_xlfn.SWITCH(CleanEmployeeData[[#This Row],[JobInvolvement]],1,"Low",2,"Medium",3,"High",4,"Very High","Unknown")</f>
        <v>Very High</v>
      </c>
      <c r="AM1148" t="str" cm="1">
        <f t="array" ref="AM1148">_xlfn.SWITCH(CleanEmployeeData[[#This Row],[JobSatisfaction]],1,"Low",2,"Medium",3,"High",4,"Very High","Unknown")</f>
        <v>Very High</v>
      </c>
      <c r="AN1148" t="str" cm="1">
        <f t="array" ref="AN1148">_xlfn.SWITCH(CleanEmployeeData[[#This Row],[PerformanceRating]],1,"Low",2,"Good",3,"Excellent",4,"Outstanding","Unknown")</f>
        <v>Excellent</v>
      </c>
      <c r="AO1148" t="str" cm="1">
        <f t="array" ref="AO1148">_xlfn.SWITCH(CleanEmployeeData[[#This Row],[WorkLifeBalance]],1,"Bad",2,"Good",3,"Better",4,"Best","Unknown")</f>
        <v>Better</v>
      </c>
      <c r="AP1148">
        <f>IF(CleanEmployeeData[[#This Row],[Attrition]]="Yes",1,IF(CleanEmployeeData[[#This Row],[Attrition]]="No",0,""))</f>
        <v>0</v>
      </c>
      <c r="AQ1148" t="str" cm="1">
        <f t="array" ref="AQ1148">_xlfn.IFS(CleanEmployeeData[[#This Row],[MonthlyIncome]]&lt;=3000,"0–3,000",CleanEmployeeData[[#This Row],[MonthlyIncome]]&lt;=6000,"3,001–6,000",CleanEmployeeData[[#This Row],[MonthlyIncome]]&lt;=10000,"6,001–10,000",TRUE,"10,001+")</f>
        <v>3,001–6,000</v>
      </c>
      <c r="AR1148" t="str" cm="1">
        <f t="array" ref="AR1148">_xlfn.IFS(CleanEmployeeData[[#This Row],[DistanceFromHome]]&lt;=5,"0–5 miles",CleanEmployeeData[[#This Row],[DistanceFromHome]]&lt;=10,"6–10 miles",CleanEmployeeData[[#This Row],[DistanceFromHome]]&lt;=15,"11–15 miles",TRUE,"16+ miles")</f>
        <v>6–10 miles</v>
      </c>
      <c r="AS1148" t="str" cm="1">
        <f t="array" ref="AS1148">_xlfn.IFS(CleanEmployeeData[[#This Row],[YearsAtCompany]]&lt;=1,"0–1 years",CleanEmployeeData[[#This Row],[YearsAtCompany]]&lt;=5,"2–5 years",CleanEmployeeData[[#This Row],[YearsAtCompany]]&lt;=10,"6–10 years",TRUE,"11+ years")</f>
        <v>6–10 years</v>
      </c>
    </row>
    <row r="1149" spans="1:4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cm="1">
        <f t="array" ref="AJ1149">_xlfn.SWITCH(CleanEmployeeData[[#This Row],[Education]],1,"Below College",2,"College",3,"Bachelor",4,"Master",5,"Doctor","Unknown")</f>
        <v>Master</v>
      </c>
      <c r="AK1149" t="str" cm="1">
        <f t="array" ref="AK1149">_xlfn.SWITCH(CleanEmployeeData[[#This Row],[EnvironmentSatisfaction]],1,"Low",2,"Medium",3,"High",4,"Very High","Unknown")</f>
        <v>High</v>
      </c>
      <c r="AL1149" t="str" cm="1">
        <f t="array" ref="AL1149">_xlfn.SWITCH(CleanEmployeeData[[#This Row],[JobInvolvement]],1,"Low",2,"Medium",3,"High",4,"Very High","Unknown")</f>
        <v>High</v>
      </c>
      <c r="AM1149" t="str" cm="1">
        <f t="array" ref="AM1149">_xlfn.SWITCH(CleanEmployeeData[[#This Row],[JobSatisfaction]],1,"Low",2,"Medium",3,"High",4,"Very High","Unknown")</f>
        <v>Low</v>
      </c>
      <c r="AN1149" t="str" cm="1">
        <f t="array" ref="AN1149">_xlfn.SWITCH(CleanEmployeeData[[#This Row],[PerformanceRating]],1,"Low",2,"Good",3,"Excellent",4,"Outstanding","Unknown")</f>
        <v>Excellent</v>
      </c>
      <c r="AO1149" t="str" cm="1">
        <f t="array" ref="AO1149">_xlfn.SWITCH(CleanEmployeeData[[#This Row],[WorkLifeBalance]],1,"Bad",2,"Good",3,"Better",4,"Best","Unknown")</f>
        <v>Good</v>
      </c>
      <c r="AP1149">
        <f>IF(CleanEmployeeData[[#This Row],[Attrition]]="Yes",1,IF(CleanEmployeeData[[#This Row],[Attrition]]="No",0,""))</f>
        <v>0</v>
      </c>
      <c r="AQ1149" t="str" cm="1">
        <f t="array" ref="AQ1149">_xlfn.IFS(CleanEmployeeData[[#This Row],[MonthlyIncome]]&lt;=3000,"0–3,000",CleanEmployeeData[[#This Row],[MonthlyIncome]]&lt;=6000,"3,001–6,000",CleanEmployeeData[[#This Row],[MonthlyIncome]]&lt;=10000,"6,001–10,000",TRUE,"10,001+")</f>
        <v>3,001–6,000</v>
      </c>
      <c r="AR1149" t="str" cm="1">
        <f t="array" ref="AR1149">_xlfn.IFS(CleanEmployeeData[[#This Row],[DistanceFromHome]]&lt;=5,"0–5 miles",CleanEmployeeData[[#This Row],[DistanceFromHome]]&lt;=10,"6–10 miles",CleanEmployeeData[[#This Row],[DistanceFromHome]]&lt;=15,"11–15 miles",TRUE,"16+ miles")</f>
        <v>16+ miles</v>
      </c>
      <c r="AS1149" t="str" cm="1">
        <f t="array" ref="AS1149">_xlfn.IFS(CleanEmployeeData[[#This Row],[YearsAtCompany]]&lt;=1,"0–1 years",CleanEmployeeData[[#This Row],[YearsAtCompany]]&lt;=5,"2–5 years",CleanEmployeeData[[#This Row],[YearsAtCompany]]&lt;=10,"6–10 years",TRUE,"11+ years")</f>
        <v>6–10 years</v>
      </c>
    </row>
    <row r="1150" spans="1:4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cm="1">
        <f t="array" ref="AJ1150">_xlfn.SWITCH(CleanEmployeeData[[#This Row],[Education]],1,"Below College",2,"College",3,"Bachelor",4,"Master",5,"Doctor","Unknown")</f>
        <v>Doctor</v>
      </c>
      <c r="AK1150" t="str" cm="1">
        <f t="array" ref="AK1150">_xlfn.SWITCH(CleanEmployeeData[[#This Row],[EnvironmentSatisfaction]],1,"Low",2,"Medium",3,"High",4,"Very High","Unknown")</f>
        <v>Medium</v>
      </c>
      <c r="AL1150" t="str" cm="1">
        <f t="array" ref="AL1150">_xlfn.SWITCH(CleanEmployeeData[[#This Row],[JobInvolvement]],1,"Low",2,"Medium",3,"High",4,"Very High","Unknown")</f>
        <v>High</v>
      </c>
      <c r="AM1150" t="str" cm="1">
        <f t="array" ref="AM1150">_xlfn.SWITCH(CleanEmployeeData[[#This Row],[JobSatisfaction]],1,"Low",2,"Medium",3,"High",4,"Very High","Unknown")</f>
        <v>Low</v>
      </c>
      <c r="AN1150" t="str" cm="1">
        <f t="array" ref="AN1150">_xlfn.SWITCH(CleanEmployeeData[[#This Row],[PerformanceRating]],1,"Low",2,"Good",3,"Excellent",4,"Outstanding","Unknown")</f>
        <v>Excellent</v>
      </c>
      <c r="AO1150" t="str" cm="1">
        <f t="array" ref="AO1150">_xlfn.SWITCH(CleanEmployeeData[[#This Row],[WorkLifeBalance]],1,"Bad",2,"Good",3,"Better",4,"Best","Unknown")</f>
        <v>Better</v>
      </c>
      <c r="AP1150">
        <f>IF(CleanEmployeeData[[#This Row],[Attrition]]="Yes",1,IF(CleanEmployeeData[[#This Row],[Attrition]]="No",0,""))</f>
        <v>0</v>
      </c>
      <c r="AQ1150" t="str" cm="1">
        <f t="array" ref="AQ1150">_xlfn.IFS(CleanEmployeeData[[#This Row],[MonthlyIncome]]&lt;=3000,"0–3,000",CleanEmployeeData[[#This Row],[MonthlyIncome]]&lt;=6000,"3,001–6,000",CleanEmployeeData[[#This Row],[MonthlyIncome]]&lt;=10000,"6,001–10,000",TRUE,"10,001+")</f>
        <v>3,001–6,000</v>
      </c>
      <c r="AR1150" t="str" cm="1">
        <f t="array" ref="AR1150">_xlfn.IFS(CleanEmployeeData[[#This Row],[DistanceFromHome]]&lt;=5,"0–5 miles",CleanEmployeeData[[#This Row],[DistanceFromHome]]&lt;=10,"6–10 miles",CleanEmployeeData[[#This Row],[DistanceFromHome]]&lt;=15,"11–15 miles",TRUE,"16+ miles")</f>
        <v>6–10 miles</v>
      </c>
      <c r="AS1150" t="str" cm="1">
        <f t="array" ref="AS1150">_xlfn.IFS(CleanEmployeeData[[#This Row],[YearsAtCompany]]&lt;=1,"0–1 years",CleanEmployeeData[[#This Row],[YearsAtCompany]]&lt;=5,"2–5 years",CleanEmployeeData[[#This Row],[YearsAtCompany]]&lt;=10,"6–10 years",TRUE,"11+ years")</f>
        <v>6–10 years</v>
      </c>
    </row>
    <row r="1151" spans="1:4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cm="1">
        <f t="array" ref="AJ1151">_xlfn.SWITCH(CleanEmployeeData[[#This Row],[Education]],1,"Below College",2,"College",3,"Bachelor",4,"Master",5,"Doctor","Unknown")</f>
        <v>Bachelor</v>
      </c>
      <c r="AK1151" t="str" cm="1">
        <f t="array" ref="AK1151">_xlfn.SWITCH(CleanEmployeeData[[#This Row],[EnvironmentSatisfaction]],1,"Low",2,"Medium",3,"High",4,"Very High","Unknown")</f>
        <v>Very High</v>
      </c>
      <c r="AL1151" t="str" cm="1">
        <f t="array" ref="AL1151">_xlfn.SWITCH(CleanEmployeeData[[#This Row],[JobInvolvement]],1,"Low",2,"Medium",3,"High",4,"Very High","Unknown")</f>
        <v>Medium</v>
      </c>
      <c r="AM1151" t="str" cm="1">
        <f t="array" ref="AM1151">_xlfn.SWITCH(CleanEmployeeData[[#This Row],[JobSatisfaction]],1,"Low",2,"Medium",3,"High",4,"Very High","Unknown")</f>
        <v>Low</v>
      </c>
      <c r="AN1151" t="str" cm="1">
        <f t="array" ref="AN1151">_xlfn.SWITCH(CleanEmployeeData[[#This Row],[PerformanceRating]],1,"Low",2,"Good",3,"Excellent",4,"Outstanding","Unknown")</f>
        <v>Excellent</v>
      </c>
      <c r="AO1151" t="str" cm="1">
        <f t="array" ref="AO1151">_xlfn.SWITCH(CleanEmployeeData[[#This Row],[WorkLifeBalance]],1,"Bad",2,"Good",3,"Better",4,"Best","Unknown")</f>
        <v>Better</v>
      </c>
      <c r="AP1151">
        <f>IF(CleanEmployeeData[[#This Row],[Attrition]]="Yes",1,IF(CleanEmployeeData[[#This Row],[Attrition]]="No",0,""))</f>
        <v>0</v>
      </c>
      <c r="AQ1151" t="str" cm="1">
        <f t="array" ref="AQ1151">_xlfn.IFS(CleanEmployeeData[[#This Row],[MonthlyIncome]]&lt;=3000,"0–3,000",CleanEmployeeData[[#This Row],[MonthlyIncome]]&lt;=6000,"3,001–6,000",CleanEmployeeData[[#This Row],[MonthlyIncome]]&lt;=10000,"6,001–10,000",TRUE,"10,001+")</f>
        <v>3,001–6,000</v>
      </c>
      <c r="AR1151" t="str" cm="1">
        <f t="array" ref="AR1151">_xlfn.IFS(CleanEmployeeData[[#This Row],[DistanceFromHome]]&lt;=5,"0–5 miles",CleanEmployeeData[[#This Row],[DistanceFromHome]]&lt;=10,"6–10 miles",CleanEmployeeData[[#This Row],[DistanceFromHome]]&lt;=15,"11–15 miles",TRUE,"16+ miles")</f>
        <v>16+ miles</v>
      </c>
      <c r="AS1151" t="str" cm="1">
        <f t="array" ref="AS1151">_xlfn.IFS(CleanEmployeeData[[#This Row],[YearsAtCompany]]&lt;=1,"0–1 years",CleanEmployeeData[[#This Row],[YearsAtCompany]]&lt;=5,"2–5 years",CleanEmployeeData[[#This Row],[YearsAtCompany]]&lt;=10,"6–10 years",TRUE,"11+ years")</f>
        <v>6–10 years</v>
      </c>
    </row>
    <row r="1152" spans="1:4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cm="1">
        <f t="array" ref="AJ1152">_xlfn.SWITCH(CleanEmployeeData[[#This Row],[Education]],1,"Below College",2,"College",3,"Bachelor",4,"Master",5,"Doctor","Unknown")</f>
        <v>Doctor</v>
      </c>
      <c r="AK1152" t="str" cm="1">
        <f t="array" ref="AK1152">_xlfn.SWITCH(CleanEmployeeData[[#This Row],[EnvironmentSatisfaction]],1,"Low",2,"Medium",3,"High",4,"Very High","Unknown")</f>
        <v>Medium</v>
      </c>
      <c r="AL1152" t="str" cm="1">
        <f t="array" ref="AL1152">_xlfn.SWITCH(CleanEmployeeData[[#This Row],[JobInvolvement]],1,"Low",2,"Medium",3,"High",4,"Very High","Unknown")</f>
        <v>Very High</v>
      </c>
      <c r="AM1152" t="str" cm="1">
        <f t="array" ref="AM1152">_xlfn.SWITCH(CleanEmployeeData[[#This Row],[JobSatisfaction]],1,"Low",2,"Medium",3,"High",4,"Very High","Unknown")</f>
        <v>Low</v>
      </c>
      <c r="AN1152" t="str" cm="1">
        <f t="array" ref="AN1152">_xlfn.SWITCH(CleanEmployeeData[[#This Row],[PerformanceRating]],1,"Low",2,"Good",3,"Excellent",4,"Outstanding","Unknown")</f>
        <v>Excellent</v>
      </c>
      <c r="AO1152" t="str" cm="1">
        <f t="array" ref="AO1152">_xlfn.SWITCH(CleanEmployeeData[[#This Row],[WorkLifeBalance]],1,"Bad",2,"Good",3,"Better",4,"Best","Unknown")</f>
        <v>Better</v>
      </c>
      <c r="AP1152">
        <f>IF(CleanEmployeeData[[#This Row],[Attrition]]="Yes",1,IF(CleanEmployeeData[[#This Row],[Attrition]]="No",0,""))</f>
        <v>0</v>
      </c>
      <c r="AQ1152" t="str" cm="1">
        <f t="array" ref="AQ1152">_xlfn.IFS(CleanEmployeeData[[#This Row],[MonthlyIncome]]&lt;=3000,"0–3,000",CleanEmployeeData[[#This Row],[MonthlyIncome]]&lt;=6000,"3,001–6,000",CleanEmployeeData[[#This Row],[MonthlyIncome]]&lt;=10000,"6,001–10,000",TRUE,"10,001+")</f>
        <v>3,001–6,000</v>
      </c>
      <c r="AR1152" t="str" cm="1">
        <f t="array" ref="AR1152">_xlfn.IFS(CleanEmployeeData[[#This Row],[DistanceFromHome]]&lt;=5,"0–5 miles",CleanEmployeeData[[#This Row],[DistanceFromHome]]&lt;=10,"6–10 miles",CleanEmployeeData[[#This Row],[DistanceFromHome]]&lt;=15,"11–15 miles",TRUE,"16+ miles")</f>
        <v>16+ miles</v>
      </c>
      <c r="AS1152" t="str" cm="1">
        <f t="array" ref="AS1152">_xlfn.IFS(CleanEmployeeData[[#This Row],[YearsAtCompany]]&lt;=1,"0–1 years",CleanEmployeeData[[#This Row],[YearsAtCompany]]&lt;=5,"2–5 years",CleanEmployeeData[[#This Row],[YearsAtCompany]]&lt;=10,"6–10 years",TRUE,"11+ years")</f>
        <v>11+ years</v>
      </c>
    </row>
    <row r="1153" spans="1:4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cm="1">
        <f t="array" ref="AJ1153">_xlfn.SWITCH(CleanEmployeeData[[#This Row],[Education]],1,"Below College",2,"College",3,"Bachelor",4,"Master",5,"Doctor","Unknown")</f>
        <v>Bachelor</v>
      </c>
      <c r="AK1153" t="str" cm="1">
        <f t="array" ref="AK1153">_xlfn.SWITCH(CleanEmployeeData[[#This Row],[EnvironmentSatisfaction]],1,"Low",2,"Medium",3,"High",4,"Very High","Unknown")</f>
        <v>Medium</v>
      </c>
      <c r="AL1153" t="str" cm="1">
        <f t="array" ref="AL1153">_xlfn.SWITCH(CleanEmployeeData[[#This Row],[JobInvolvement]],1,"Low",2,"Medium",3,"High",4,"Very High","Unknown")</f>
        <v>Low</v>
      </c>
      <c r="AM1153" t="str" cm="1">
        <f t="array" ref="AM1153">_xlfn.SWITCH(CleanEmployeeData[[#This Row],[JobSatisfaction]],1,"Low",2,"Medium",3,"High",4,"Very High","Unknown")</f>
        <v>Low</v>
      </c>
      <c r="AN1153" t="str" cm="1">
        <f t="array" ref="AN1153">_xlfn.SWITCH(CleanEmployeeData[[#This Row],[PerformanceRating]],1,"Low",2,"Good",3,"Excellent",4,"Outstanding","Unknown")</f>
        <v>Outstanding</v>
      </c>
      <c r="AO1153" t="str" cm="1">
        <f t="array" ref="AO1153">_xlfn.SWITCH(CleanEmployeeData[[#This Row],[WorkLifeBalance]],1,"Bad",2,"Good",3,"Better",4,"Best","Unknown")</f>
        <v>Good</v>
      </c>
      <c r="AP1153">
        <f>IF(CleanEmployeeData[[#This Row],[Attrition]]="Yes",1,IF(CleanEmployeeData[[#This Row],[Attrition]]="No",0,""))</f>
        <v>0</v>
      </c>
      <c r="AQ1153" t="str" cm="1">
        <f t="array" ref="AQ1153">_xlfn.IFS(CleanEmployeeData[[#This Row],[MonthlyIncome]]&lt;=3000,"0–3,000",CleanEmployeeData[[#This Row],[MonthlyIncome]]&lt;=6000,"3,001–6,000",CleanEmployeeData[[#This Row],[MonthlyIncome]]&lt;=10000,"6,001–10,000",TRUE,"10,001+")</f>
        <v>3,001–6,000</v>
      </c>
      <c r="AR1153" t="str" cm="1">
        <f t="array" ref="AR1153">_xlfn.IFS(CleanEmployeeData[[#This Row],[DistanceFromHome]]&lt;=5,"0–5 miles",CleanEmployeeData[[#This Row],[DistanceFromHome]]&lt;=10,"6–10 miles",CleanEmployeeData[[#This Row],[DistanceFromHome]]&lt;=15,"11–15 miles",TRUE,"16+ miles")</f>
        <v>16+ miles</v>
      </c>
      <c r="AS1153" t="str" cm="1">
        <f t="array" ref="AS1153">_xlfn.IFS(CleanEmployeeData[[#This Row],[YearsAtCompany]]&lt;=1,"0–1 years",CleanEmployeeData[[#This Row],[YearsAtCompany]]&lt;=5,"2–5 years",CleanEmployeeData[[#This Row],[YearsAtCompany]]&lt;=10,"6–10 years",TRUE,"11+ years")</f>
        <v>2–5 years</v>
      </c>
    </row>
    <row r="1154" spans="1:4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cm="1">
        <f t="array" ref="AJ1154">_xlfn.SWITCH(CleanEmployeeData[[#This Row],[Education]],1,"Below College",2,"College",3,"Bachelor",4,"Master",5,"Doctor","Unknown")</f>
        <v>Below College</v>
      </c>
      <c r="AK1154" t="str" cm="1">
        <f t="array" ref="AK1154">_xlfn.SWITCH(CleanEmployeeData[[#This Row],[EnvironmentSatisfaction]],1,"Low",2,"Medium",3,"High",4,"Very High","Unknown")</f>
        <v>High</v>
      </c>
      <c r="AL1154" t="str" cm="1">
        <f t="array" ref="AL1154">_xlfn.SWITCH(CleanEmployeeData[[#This Row],[JobInvolvement]],1,"Low",2,"Medium",3,"High",4,"Very High","Unknown")</f>
        <v>High</v>
      </c>
      <c r="AM1154" t="str" cm="1">
        <f t="array" ref="AM1154">_xlfn.SWITCH(CleanEmployeeData[[#This Row],[JobSatisfaction]],1,"Low",2,"Medium",3,"High",4,"Very High","Unknown")</f>
        <v>Very High</v>
      </c>
      <c r="AN1154" t="str" cm="1">
        <f t="array" ref="AN1154">_xlfn.SWITCH(CleanEmployeeData[[#This Row],[PerformanceRating]],1,"Low",2,"Good",3,"Excellent",4,"Outstanding","Unknown")</f>
        <v>Excellent</v>
      </c>
      <c r="AO1154" t="str" cm="1">
        <f t="array" ref="AO1154">_xlfn.SWITCH(CleanEmployeeData[[#This Row],[WorkLifeBalance]],1,"Bad",2,"Good",3,"Better",4,"Best","Unknown")</f>
        <v>Better</v>
      </c>
      <c r="AP1154">
        <f>IF(CleanEmployeeData[[#This Row],[Attrition]]="Yes",1,IF(CleanEmployeeData[[#This Row],[Attrition]]="No",0,""))</f>
        <v>0</v>
      </c>
      <c r="AQ1154" t="str" cm="1">
        <f t="array" ref="AQ1154">_xlfn.IFS(CleanEmployeeData[[#This Row],[MonthlyIncome]]&lt;=3000,"0–3,000",CleanEmployeeData[[#This Row],[MonthlyIncome]]&lt;=6000,"3,001–6,000",CleanEmployeeData[[#This Row],[MonthlyIncome]]&lt;=10000,"6,001–10,000",TRUE,"10,001+")</f>
        <v>3,001–6,000</v>
      </c>
      <c r="AR1154" t="str" cm="1">
        <f t="array" ref="AR1154">_xlfn.IFS(CleanEmployeeData[[#This Row],[DistanceFromHome]]&lt;=5,"0–5 miles",CleanEmployeeData[[#This Row],[DistanceFromHome]]&lt;=10,"6–10 miles",CleanEmployeeData[[#This Row],[DistanceFromHome]]&lt;=15,"11–15 miles",TRUE,"16+ miles")</f>
        <v>0–5 miles</v>
      </c>
      <c r="AS1154" t="str" cm="1">
        <f t="array" ref="AS1154">_xlfn.IFS(CleanEmployeeData[[#This Row],[YearsAtCompany]]&lt;=1,"0–1 years",CleanEmployeeData[[#This Row],[YearsAtCompany]]&lt;=5,"2–5 years",CleanEmployeeData[[#This Row],[YearsAtCompany]]&lt;=10,"6–10 years",TRUE,"11+ years")</f>
        <v>2–5 years</v>
      </c>
    </row>
    <row r="1155" spans="1:4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cm="1">
        <f t="array" ref="AJ1155">_xlfn.SWITCH(CleanEmployeeData[[#This Row],[Education]],1,"Below College",2,"College",3,"Bachelor",4,"Master",5,"Doctor","Unknown")</f>
        <v>College</v>
      </c>
      <c r="AK1155" t="str" cm="1">
        <f t="array" ref="AK1155">_xlfn.SWITCH(CleanEmployeeData[[#This Row],[EnvironmentSatisfaction]],1,"Low",2,"Medium",3,"High",4,"Very High","Unknown")</f>
        <v>Medium</v>
      </c>
      <c r="AL1155" t="str" cm="1">
        <f t="array" ref="AL1155">_xlfn.SWITCH(CleanEmployeeData[[#This Row],[JobInvolvement]],1,"Low",2,"Medium",3,"High",4,"Very High","Unknown")</f>
        <v>High</v>
      </c>
      <c r="AM1155" t="str" cm="1">
        <f t="array" ref="AM1155">_xlfn.SWITCH(CleanEmployeeData[[#This Row],[JobSatisfaction]],1,"Low",2,"Medium",3,"High",4,"Very High","Unknown")</f>
        <v>Very High</v>
      </c>
      <c r="AN1155" t="str" cm="1">
        <f t="array" ref="AN1155">_xlfn.SWITCH(CleanEmployeeData[[#This Row],[PerformanceRating]],1,"Low",2,"Good",3,"Excellent",4,"Outstanding","Unknown")</f>
        <v>Excellent</v>
      </c>
      <c r="AO1155" t="str" cm="1">
        <f t="array" ref="AO1155">_xlfn.SWITCH(CleanEmployeeData[[#This Row],[WorkLifeBalance]],1,"Bad",2,"Good",3,"Better",4,"Best","Unknown")</f>
        <v>Best</v>
      </c>
      <c r="AP1155">
        <f>IF(CleanEmployeeData[[#This Row],[Attrition]]="Yes",1,IF(CleanEmployeeData[[#This Row],[Attrition]]="No",0,""))</f>
        <v>1</v>
      </c>
      <c r="AQ1155" t="str" cm="1">
        <f t="array" ref="AQ1155">_xlfn.IFS(CleanEmployeeData[[#This Row],[MonthlyIncome]]&lt;=3000,"0–3,000",CleanEmployeeData[[#This Row],[MonthlyIncome]]&lt;=6000,"3,001–6,000",CleanEmployeeData[[#This Row],[MonthlyIncome]]&lt;=10000,"6,001–10,000",TRUE,"10,001+")</f>
        <v>0–3,000</v>
      </c>
      <c r="AR1155" t="str" cm="1">
        <f t="array" ref="AR1155">_xlfn.IFS(CleanEmployeeData[[#This Row],[DistanceFromHome]]&lt;=5,"0–5 miles",CleanEmployeeData[[#This Row],[DistanceFromHome]]&lt;=10,"6–10 miles",CleanEmployeeData[[#This Row],[DistanceFromHome]]&lt;=15,"11–15 miles",TRUE,"16+ miles")</f>
        <v>0–5 miles</v>
      </c>
      <c r="AS1155" t="str" cm="1">
        <f t="array" ref="AS1155">_xlfn.IFS(CleanEmployeeData[[#This Row],[YearsAtCompany]]&lt;=1,"0–1 years",CleanEmployeeData[[#This Row],[YearsAtCompany]]&lt;=5,"2–5 years",CleanEmployeeData[[#This Row],[YearsAtCompany]]&lt;=10,"6–10 years",TRUE,"11+ years")</f>
        <v>0–1 years</v>
      </c>
    </row>
    <row r="1156" spans="1:4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cm="1">
        <f t="array" ref="AJ1156">_xlfn.SWITCH(CleanEmployeeData[[#This Row],[Education]],1,"Below College",2,"College",3,"Bachelor",4,"Master",5,"Doctor","Unknown")</f>
        <v>Master</v>
      </c>
      <c r="AK1156" t="str" cm="1">
        <f t="array" ref="AK1156">_xlfn.SWITCH(CleanEmployeeData[[#This Row],[EnvironmentSatisfaction]],1,"Low",2,"Medium",3,"High",4,"Very High","Unknown")</f>
        <v>Very High</v>
      </c>
      <c r="AL1156" t="str" cm="1">
        <f t="array" ref="AL1156">_xlfn.SWITCH(CleanEmployeeData[[#This Row],[JobInvolvement]],1,"Low",2,"Medium",3,"High",4,"Very High","Unknown")</f>
        <v>High</v>
      </c>
      <c r="AM1156" t="str" cm="1">
        <f t="array" ref="AM1156">_xlfn.SWITCH(CleanEmployeeData[[#This Row],[JobSatisfaction]],1,"Low",2,"Medium",3,"High",4,"Very High","Unknown")</f>
        <v>High</v>
      </c>
      <c r="AN1156" t="str" cm="1">
        <f t="array" ref="AN1156">_xlfn.SWITCH(CleanEmployeeData[[#This Row],[PerformanceRating]],1,"Low",2,"Good",3,"Excellent",4,"Outstanding","Unknown")</f>
        <v>Excellent</v>
      </c>
      <c r="AO1156" t="str" cm="1">
        <f t="array" ref="AO1156">_xlfn.SWITCH(CleanEmployeeData[[#This Row],[WorkLifeBalance]],1,"Bad",2,"Good",3,"Better",4,"Best","Unknown")</f>
        <v>Better</v>
      </c>
      <c r="AP1156">
        <f>IF(CleanEmployeeData[[#This Row],[Attrition]]="Yes",1,IF(CleanEmployeeData[[#This Row],[Attrition]]="No",0,""))</f>
        <v>0</v>
      </c>
      <c r="AQ1156" t="str" cm="1">
        <f t="array" ref="AQ1156">_xlfn.IFS(CleanEmployeeData[[#This Row],[MonthlyIncome]]&lt;=3000,"0–3,000",CleanEmployeeData[[#This Row],[MonthlyIncome]]&lt;=6000,"3,001–6,000",CleanEmployeeData[[#This Row],[MonthlyIncome]]&lt;=10000,"6,001–10,000",TRUE,"10,001+")</f>
        <v>10,001+</v>
      </c>
      <c r="AR1156" t="str" cm="1">
        <f t="array" ref="AR1156">_xlfn.IFS(CleanEmployeeData[[#This Row],[DistanceFromHome]]&lt;=5,"0–5 miles",CleanEmployeeData[[#This Row],[DistanceFromHome]]&lt;=10,"6–10 miles",CleanEmployeeData[[#This Row],[DistanceFromHome]]&lt;=15,"11–15 miles",TRUE,"16+ miles")</f>
        <v>16+ miles</v>
      </c>
      <c r="AS1156" t="str" cm="1">
        <f t="array" ref="AS1156">_xlfn.IFS(CleanEmployeeData[[#This Row],[YearsAtCompany]]&lt;=1,"0–1 years",CleanEmployeeData[[#This Row],[YearsAtCompany]]&lt;=5,"2–5 years",CleanEmployeeData[[#This Row],[YearsAtCompany]]&lt;=10,"6–10 years",TRUE,"11+ years")</f>
        <v>2–5 years</v>
      </c>
    </row>
    <row r="1157" spans="1:4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cm="1">
        <f t="array" ref="AJ1157">_xlfn.SWITCH(CleanEmployeeData[[#This Row],[Education]],1,"Below College",2,"College",3,"Bachelor",4,"Master",5,"Doctor","Unknown")</f>
        <v>College</v>
      </c>
      <c r="AK1157" t="str" cm="1">
        <f t="array" ref="AK1157">_xlfn.SWITCH(CleanEmployeeData[[#This Row],[EnvironmentSatisfaction]],1,"Low",2,"Medium",3,"High",4,"Very High","Unknown")</f>
        <v>High</v>
      </c>
      <c r="AL1157" t="str" cm="1">
        <f t="array" ref="AL1157">_xlfn.SWITCH(CleanEmployeeData[[#This Row],[JobInvolvement]],1,"Low",2,"Medium",3,"High",4,"Very High","Unknown")</f>
        <v>Medium</v>
      </c>
      <c r="AM1157" t="str" cm="1">
        <f t="array" ref="AM1157">_xlfn.SWITCH(CleanEmployeeData[[#This Row],[JobSatisfaction]],1,"Low",2,"Medium",3,"High",4,"Very High","Unknown")</f>
        <v>High</v>
      </c>
      <c r="AN1157" t="str" cm="1">
        <f t="array" ref="AN1157">_xlfn.SWITCH(CleanEmployeeData[[#This Row],[PerformanceRating]],1,"Low",2,"Good",3,"Excellent",4,"Outstanding","Unknown")</f>
        <v>Excellent</v>
      </c>
      <c r="AO1157" t="str" cm="1">
        <f t="array" ref="AO1157">_xlfn.SWITCH(CleanEmployeeData[[#This Row],[WorkLifeBalance]],1,"Bad",2,"Good",3,"Better",4,"Best","Unknown")</f>
        <v>Better</v>
      </c>
      <c r="AP1157">
        <f>IF(CleanEmployeeData[[#This Row],[Attrition]]="Yes",1,IF(CleanEmployeeData[[#This Row],[Attrition]]="No",0,""))</f>
        <v>0</v>
      </c>
      <c r="AQ1157" t="str" cm="1">
        <f t="array" ref="AQ1157">_xlfn.IFS(CleanEmployeeData[[#This Row],[MonthlyIncome]]&lt;=3000,"0–3,000",CleanEmployeeData[[#This Row],[MonthlyIncome]]&lt;=6000,"3,001–6,000",CleanEmployeeData[[#This Row],[MonthlyIncome]]&lt;=10000,"6,001–10,000",TRUE,"10,001+")</f>
        <v>3,001–6,000</v>
      </c>
      <c r="AR1157" t="str" cm="1">
        <f t="array" ref="AR1157">_xlfn.IFS(CleanEmployeeData[[#This Row],[DistanceFromHome]]&lt;=5,"0–5 miles",CleanEmployeeData[[#This Row],[DistanceFromHome]]&lt;=10,"6–10 miles",CleanEmployeeData[[#This Row],[DistanceFromHome]]&lt;=15,"11–15 miles",TRUE,"16+ miles")</f>
        <v>0–5 miles</v>
      </c>
      <c r="AS1157" t="str" cm="1">
        <f t="array" ref="AS1157">_xlfn.IFS(CleanEmployeeData[[#This Row],[YearsAtCompany]]&lt;=1,"0–1 years",CleanEmployeeData[[#This Row],[YearsAtCompany]]&lt;=5,"2–5 years",CleanEmployeeData[[#This Row],[YearsAtCompany]]&lt;=10,"6–10 years",TRUE,"11+ years")</f>
        <v>6–10 years</v>
      </c>
    </row>
    <row r="1158" spans="1:4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cm="1">
        <f t="array" ref="AJ1158">_xlfn.SWITCH(CleanEmployeeData[[#This Row],[Education]],1,"Below College",2,"College",3,"Bachelor",4,"Master",5,"Doctor","Unknown")</f>
        <v>Bachelor</v>
      </c>
      <c r="AK1158" t="str" cm="1">
        <f t="array" ref="AK1158">_xlfn.SWITCH(CleanEmployeeData[[#This Row],[EnvironmentSatisfaction]],1,"Low",2,"Medium",3,"High",4,"Very High","Unknown")</f>
        <v>Low</v>
      </c>
      <c r="AL1158" t="str" cm="1">
        <f t="array" ref="AL1158">_xlfn.SWITCH(CleanEmployeeData[[#This Row],[JobInvolvement]],1,"Low",2,"Medium",3,"High",4,"Very High","Unknown")</f>
        <v>Medium</v>
      </c>
      <c r="AM1158" t="str" cm="1">
        <f t="array" ref="AM1158">_xlfn.SWITCH(CleanEmployeeData[[#This Row],[JobSatisfaction]],1,"Low",2,"Medium",3,"High",4,"Very High","Unknown")</f>
        <v>High</v>
      </c>
      <c r="AN1158" t="str" cm="1">
        <f t="array" ref="AN1158">_xlfn.SWITCH(CleanEmployeeData[[#This Row],[PerformanceRating]],1,"Low",2,"Good",3,"Excellent",4,"Outstanding","Unknown")</f>
        <v>Excellent</v>
      </c>
      <c r="AO1158" t="str" cm="1">
        <f t="array" ref="AO1158">_xlfn.SWITCH(CleanEmployeeData[[#This Row],[WorkLifeBalance]],1,"Bad",2,"Good",3,"Better",4,"Best","Unknown")</f>
        <v>Better</v>
      </c>
      <c r="AP1158">
        <f>IF(CleanEmployeeData[[#This Row],[Attrition]]="Yes",1,IF(CleanEmployeeData[[#This Row],[Attrition]]="No",0,""))</f>
        <v>0</v>
      </c>
      <c r="AQ1158" t="str" cm="1">
        <f t="array" ref="AQ1158">_xlfn.IFS(CleanEmployeeData[[#This Row],[MonthlyIncome]]&lt;=3000,"0–3,000",CleanEmployeeData[[#This Row],[MonthlyIncome]]&lt;=6000,"3,001–6,000",CleanEmployeeData[[#This Row],[MonthlyIncome]]&lt;=10000,"6,001–10,000",TRUE,"10,001+")</f>
        <v>10,001+</v>
      </c>
      <c r="AR1158" t="str" cm="1">
        <f t="array" ref="AR1158">_xlfn.IFS(CleanEmployeeData[[#This Row],[DistanceFromHome]]&lt;=5,"0–5 miles",CleanEmployeeData[[#This Row],[DistanceFromHome]]&lt;=10,"6–10 miles",CleanEmployeeData[[#This Row],[DistanceFromHome]]&lt;=15,"11–15 miles",TRUE,"16+ miles")</f>
        <v>11–15 miles</v>
      </c>
      <c r="AS1158" t="str" cm="1">
        <f t="array" ref="AS1158">_xlfn.IFS(CleanEmployeeData[[#This Row],[YearsAtCompany]]&lt;=1,"0–1 years",CleanEmployeeData[[#This Row],[YearsAtCompany]]&lt;=5,"2–5 years",CleanEmployeeData[[#This Row],[YearsAtCompany]]&lt;=10,"6–10 years",TRUE,"11+ years")</f>
        <v>11+ years</v>
      </c>
    </row>
    <row r="1159" spans="1:4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cm="1">
        <f t="array" ref="AJ1159">_xlfn.SWITCH(CleanEmployeeData[[#This Row],[Education]],1,"Below College",2,"College",3,"Bachelor",4,"Master",5,"Doctor","Unknown")</f>
        <v>Master</v>
      </c>
      <c r="AK1159" t="str" cm="1">
        <f t="array" ref="AK1159">_xlfn.SWITCH(CleanEmployeeData[[#This Row],[EnvironmentSatisfaction]],1,"Low",2,"Medium",3,"High",4,"Very High","Unknown")</f>
        <v>High</v>
      </c>
      <c r="AL1159" t="str" cm="1">
        <f t="array" ref="AL1159">_xlfn.SWITCH(CleanEmployeeData[[#This Row],[JobInvolvement]],1,"Low",2,"Medium",3,"High",4,"Very High","Unknown")</f>
        <v>High</v>
      </c>
      <c r="AM1159" t="str" cm="1">
        <f t="array" ref="AM1159">_xlfn.SWITCH(CleanEmployeeData[[#This Row],[JobSatisfaction]],1,"Low",2,"Medium",3,"High",4,"Very High","Unknown")</f>
        <v>High</v>
      </c>
      <c r="AN1159" t="str" cm="1">
        <f t="array" ref="AN1159">_xlfn.SWITCH(CleanEmployeeData[[#This Row],[PerformanceRating]],1,"Low",2,"Good",3,"Excellent",4,"Outstanding","Unknown")</f>
        <v>Excellent</v>
      </c>
      <c r="AO1159" t="str" cm="1">
        <f t="array" ref="AO1159">_xlfn.SWITCH(CleanEmployeeData[[#This Row],[WorkLifeBalance]],1,"Bad",2,"Good",3,"Better",4,"Best","Unknown")</f>
        <v>Better</v>
      </c>
      <c r="AP1159">
        <f>IF(CleanEmployeeData[[#This Row],[Attrition]]="Yes",1,IF(CleanEmployeeData[[#This Row],[Attrition]]="No",0,""))</f>
        <v>0</v>
      </c>
      <c r="AQ1159" t="str" cm="1">
        <f t="array" ref="AQ1159">_xlfn.IFS(CleanEmployeeData[[#This Row],[MonthlyIncome]]&lt;=3000,"0–3,000",CleanEmployeeData[[#This Row],[MonthlyIncome]]&lt;=6000,"3,001–6,000",CleanEmployeeData[[#This Row],[MonthlyIncome]]&lt;=10000,"6,001–10,000",TRUE,"10,001+")</f>
        <v>3,001–6,000</v>
      </c>
      <c r="AR1159" t="str" cm="1">
        <f t="array" ref="AR1159">_xlfn.IFS(CleanEmployeeData[[#This Row],[DistanceFromHome]]&lt;=5,"0–5 miles",CleanEmployeeData[[#This Row],[DistanceFromHome]]&lt;=10,"6–10 miles",CleanEmployeeData[[#This Row],[DistanceFromHome]]&lt;=15,"11–15 miles",TRUE,"16+ miles")</f>
        <v>6–10 miles</v>
      </c>
      <c r="AS1159" t="str" cm="1">
        <f t="array" ref="AS1159">_xlfn.IFS(CleanEmployeeData[[#This Row],[YearsAtCompany]]&lt;=1,"0–1 years",CleanEmployeeData[[#This Row],[YearsAtCompany]]&lt;=5,"2–5 years",CleanEmployeeData[[#This Row],[YearsAtCompany]]&lt;=10,"6–10 years",TRUE,"11+ years")</f>
        <v>11+ years</v>
      </c>
    </row>
    <row r="1160" spans="1:4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cm="1">
        <f t="array" ref="AJ1160">_xlfn.SWITCH(CleanEmployeeData[[#This Row],[Education]],1,"Below College",2,"College",3,"Bachelor",4,"Master",5,"Doctor","Unknown")</f>
        <v>Bachelor</v>
      </c>
      <c r="AK1160" t="str" cm="1">
        <f t="array" ref="AK1160">_xlfn.SWITCH(CleanEmployeeData[[#This Row],[EnvironmentSatisfaction]],1,"Low",2,"Medium",3,"High",4,"Very High","Unknown")</f>
        <v>High</v>
      </c>
      <c r="AL1160" t="str" cm="1">
        <f t="array" ref="AL1160">_xlfn.SWITCH(CleanEmployeeData[[#This Row],[JobInvolvement]],1,"Low",2,"Medium",3,"High",4,"Very High","Unknown")</f>
        <v>High</v>
      </c>
      <c r="AM1160" t="str" cm="1">
        <f t="array" ref="AM1160">_xlfn.SWITCH(CleanEmployeeData[[#This Row],[JobSatisfaction]],1,"Low",2,"Medium",3,"High",4,"Very High","Unknown")</f>
        <v>High</v>
      </c>
      <c r="AN1160" t="str" cm="1">
        <f t="array" ref="AN1160">_xlfn.SWITCH(CleanEmployeeData[[#This Row],[PerformanceRating]],1,"Low",2,"Good",3,"Excellent",4,"Outstanding","Unknown")</f>
        <v>Excellent</v>
      </c>
      <c r="AO1160" t="str" cm="1">
        <f t="array" ref="AO1160">_xlfn.SWITCH(CleanEmployeeData[[#This Row],[WorkLifeBalance]],1,"Bad",2,"Good",3,"Better",4,"Best","Unknown")</f>
        <v>Good</v>
      </c>
      <c r="AP1160">
        <f>IF(CleanEmployeeData[[#This Row],[Attrition]]="Yes",1,IF(CleanEmployeeData[[#This Row],[Attrition]]="No",0,""))</f>
        <v>0</v>
      </c>
      <c r="AQ1160" t="str" cm="1">
        <f t="array" ref="AQ1160">_xlfn.IFS(CleanEmployeeData[[#This Row],[MonthlyIncome]]&lt;=3000,"0–3,000",CleanEmployeeData[[#This Row],[MonthlyIncome]]&lt;=6000,"3,001–6,000",CleanEmployeeData[[#This Row],[MonthlyIncome]]&lt;=10000,"6,001–10,000",TRUE,"10,001+")</f>
        <v>3,001–6,000</v>
      </c>
      <c r="AR1160" t="str" cm="1">
        <f t="array" ref="AR1160">_xlfn.IFS(CleanEmployeeData[[#This Row],[DistanceFromHome]]&lt;=5,"0–5 miles",CleanEmployeeData[[#This Row],[DistanceFromHome]]&lt;=10,"6–10 miles",CleanEmployeeData[[#This Row],[DistanceFromHome]]&lt;=15,"11–15 miles",TRUE,"16+ miles")</f>
        <v>16+ miles</v>
      </c>
      <c r="AS1160" t="str" cm="1">
        <f t="array" ref="AS1160">_xlfn.IFS(CleanEmployeeData[[#This Row],[YearsAtCompany]]&lt;=1,"0–1 years",CleanEmployeeData[[#This Row],[YearsAtCompany]]&lt;=5,"2–5 years",CleanEmployeeData[[#This Row],[YearsAtCompany]]&lt;=10,"6–10 years",TRUE,"11+ years")</f>
        <v>2–5 years</v>
      </c>
    </row>
    <row r="1161" spans="1:4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cm="1">
        <f t="array" ref="AJ1161">_xlfn.SWITCH(CleanEmployeeData[[#This Row],[Education]],1,"Below College",2,"College",3,"Bachelor",4,"Master",5,"Doctor","Unknown")</f>
        <v>Bachelor</v>
      </c>
      <c r="AK1161" t="str" cm="1">
        <f t="array" ref="AK1161">_xlfn.SWITCH(CleanEmployeeData[[#This Row],[EnvironmentSatisfaction]],1,"Low",2,"Medium",3,"High",4,"Very High","Unknown")</f>
        <v>Low</v>
      </c>
      <c r="AL1161" t="str" cm="1">
        <f t="array" ref="AL1161">_xlfn.SWITCH(CleanEmployeeData[[#This Row],[JobInvolvement]],1,"Low",2,"Medium",3,"High",4,"Very High","Unknown")</f>
        <v>High</v>
      </c>
      <c r="AM1161" t="str" cm="1">
        <f t="array" ref="AM1161">_xlfn.SWITCH(CleanEmployeeData[[#This Row],[JobSatisfaction]],1,"Low",2,"Medium",3,"High",4,"Very High","Unknown")</f>
        <v>High</v>
      </c>
      <c r="AN1161" t="str" cm="1">
        <f t="array" ref="AN1161">_xlfn.SWITCH(CleanEmployeeData[[#This Row],[PerformanceRating]],1,"Low",2,"Good",3,"Excellent",4,"Outstanding","Unknown")</f>
        <v>Excellent</v>
      </c>
      <c r="AO1161" t="str" cm="1">
        <f t="array" ref="AO1161">_xlfn.SWITCH(CleanEmployeeData[[#This Row],[WorkLifeBalance]],1,"Bad",2,"Good",3,"Better",4,"Best","Unknown")</f>
        <v>Bad</v>
      </c>
      <c r="AP1161">
        <f>IF(CleanEmployeeData[[#This Row],[Attrition]]="Yes",1,IF(CleanEmployeeData[[#This Row],[Attrition]]="No",0,""))</f>
        <v>0</v>
      </c>
      <c r="AQ1161" t="str" cm="1">
        <f t="array" ref="AQ1161">_xlfn.IFS(CleanEmployeeData[[#This Row],[MonthlyIncome]]&lt;=3000,"0–3,000",CleanEmployeeData[[#This Row],[MonthlyIncome]]&lt;=6000,"3,001–6,000",CleanEmployeeData[[#This Row],[MonthlyIncome]]&lt;=10000,"6,001–10,000",TRUE,"10,001+")</f>
        <v>3,001–6,000</v>
      </c>
      <c r="AR1161" t="str" cm="1">
        <f t="array" ref="AR1161">_xlfn.IFS(CleanEmployeeData[[#This Row],[DistanceFromHome]]&lt;=5,"0–5 miles",CleanEmployeeData[[#This Row],[DistanceFromHome]]&lt;=10,"6–10 miles",CleanEmployeeData[[#This Row],[DistanceFromHome]]&lt;=15,"11–15 miles",TRUE,"16+ miles")</f>
        <v>0–5 miles</v>
      </c>
      <c r="AS1161" t="str" cm="1">
        <f t="array" ref="AS1161">_xlfn.IFS(CleanEmployeeData[[#This Row],[YearsAtCompany]]&lt;=1,"0–1 years",CleanEmployeeData[[#This Row],[YearsAtCompany]]&lt;=5,"2–5 years",CleanEmployeeData[[#This Row],[YearsAtCompany]]&lt;=10,"6–10 years",TRUE,"11+ years")</f>
        <v>6–10 years</v>
      </c>
    </row>
    <row r="1162" spans="1:4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cm="1">
        <f t="array" ref="AJ1162">_xlfn.SWITCH(CleanEmployeeData[[#This Row],[Education]],1,"Below College",2,"College",3,"Bachelor",4,"Master",5,"Doctor","Unknown")</f>
        <v>College</v>
      </c>
      <c r="AK1162" t="str" cm="1">
        <f t="array" ref="AK1162">_xlfn.SWITCH(CleanEmployeeData[[#This Row],[EnvironmentSatisfaction]],1,"Low",2,"Medium",3,"High",4,"Very High","Unknown")</f>
        <v>Very High</v>
      </c>
      <c r="AL1162" t="str" cm="1">
        <f t="array" ref="AL1162">_xlfn.SWITCH(CleanEmployeeData[[#This Row],[JobInvolvement]],1,"Low",2,"Medium",3,"High",4,"Very High","Unknown")</f>
        <v>Medium</v>
      </c>
      <c r="AM1162" t="str" cm="1">
        <f t="array" ref="AM1162">_xlfn.SWITCH(CleanEmployeeData[[#This Row],[JobSatisfaction]],1,"Low",2,"Medium",3,"High",4,"Very High","Unknown")</f>
        <v>Very High</v>
      </c>
      <c r="AN1162" t="str" cm="1">
        <f t="array" ref="AN1162">_xlfn.SWITCH(CleanEmployeeData[[#This Row],[PerformanceRating]],1,"Low",2,"Good",3,"Excellent",4,"Outstanding","Unknown")</f>
        <v>Excellent</v>
      </c>
      <c r="AO1162" t="str" cm="1">
        <f t="array" ref="AO1162">_xlfn.SWITCH(CleanEmployeeData[[#This Row],[WorkLifeBalance]],1,"Bad",2,"Good",3,"Better",4,"Best","Unknown")</f>
        <v>Better</v>
      </c>
      <c r="AP1162">
        <f>IF(CleanEmployeeData[[#This Row],[Attrition]]="Yes",1,IF(CleanEmployeeData[[#This Row],[Attrition]]="No",0,""))</f>
        <v>0</v>
      </c>
      <c r="AQ1162" t="str" cm="1">
        <f t="array" ref="AQ1162">_xlfn.IFS(CleanEmployeeData[[#This Row],[MonthlyIncome]]&lt;=3000,"0–3,000",CleanEmployeeData[[#This Row],[MonthlyIncome]]&lt;=6000,"3,001–6,000",CleanEmployeeData[[#This Row],[MonthlyIncome]]&lt;=10000,"6,001–10,000",TRUE,"10,001+")</f>
        <v>3,001–6,000</v>
      </c>
      <c r="AR1162" t="str" cm="1">
        <f t="array" ref="AR1162">_xlfn.IFS(CleanEmployeeData[[#This Row],[DistanceFromHome]]&lt;=5,"0–5 miles",CleanEmployeeData[[#This Row],[DistanceFromHome]]&lt;=10,"6–10 miles",CleanEmployeeData[[#This Row],[DistanceFromHome]]&lt;=15,"11–15 miles",TRUE,"16+ miles")</f>
        <v>0–5 miles</v>
      </c>
      <c r="AS1162" t="str" cm="1">
        <f t="array" ref="AS1162">_xlfn.IFS(CleanEmployeeData[[#This Row],[YearsAtCompany]]&lt;=1,"0–1 years",CleanEmployeeData[[#This Row],[YearsAtCompany]]&lt;=5,"2–5 years",CleanEmployeeData[[#This Row],[YearsAtCompany]]&lt;=10,"6–10 years",TRUE,"11+ years")</f>
        <v>6–10 years</v>
      </c>
    </row>
    <row r="1163" spans="1:4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cm="1">
        <f t="array" ref="AJ1163">_xlfn.SWITCH(CleanEmployeeData[[#This Row],[Education]],1,"Below College",2,"College",3,"Bachelor",4,"Master",5,"Doctor","Unknown")</f>
        <v>College</v>
      </c>
      <c r="AK1163" t="str" cm="1">
        <f t="array" ref="AK1163">_xlfn.SWITCH(CleanEmployeeData[[#This Row],[EnvironmentSatisfaction]],1,"Low",2,"Medium",3,"High",4,"Very High","Unknown")</f>
        <v>Very High</v>
      </c>
      <c r="AL1163" t="str" cm="1">
        <f t="array" ref="AL1163">_xlfn.SWITCH(CleanEmployeeData[[#This Row],[JobInvolvement]],1,"Low",2,"Medium",3,"High",4,"Very High","Unknown")</f>
        <v>Medium</v>
      </c>
      <c r="AM1163" t="str" cm="1">
        <f t="array" ref="AM1163">_xlfn.SWITCH(CleanEmployeeData[[#This Row],[JobSatisfaction]],1,"Low",2,"Medium",3,"High",4,"Very High","Unknown")</f>
        <v>High</v>
      </c>
      <c r="AN1163" t="str" cm="1">
        <f t="array" ref="AN1163">_xlfn.SWITCH(CleanEmployeeData[[#This Row],[PerformanceRating]],1,"Low",2,"Good",3,"Excellent",4,"Outstanding","Unknown")</f>
        <v>Excellent</v>
      </c>
      <c r="AO1163" t="str" cm="1">
        <f t="array" ref="AO1163">_xlfn.SWITCH(CleanEmployeeData[[#This Row],[WorkLifeBalance]],1,"Bad",2,"Good",3,"Better",4,"Best","Unknown")</f>
        <v>Best</v>
      </c>
      <c r="AP1163">
        <f>IF(CleanEmployeeData[[#This Row],[Attrition]]="Yes",1,IF(CleanEmployeeData[[#This Row],[Attrition]]="No",0,""))</f>
        <v>0</v>
      </c>
      <c r="AQ1163" t="str" cm="1">
        <f t="array" ref="AQ1163">_xlfn.IFS(CleanEmployeeData[[#This Row],[MonthlyIncome]]&lt;=3000,"0–3,000",CleanEmployeeData[[#This Row],[MonthlyIncome]]&lt;=6000,"3,001–6,000",CleanEmployeeData[[#This Row],[MonthlyIncome]]&lt;=10000,"6,001–10,000",TRUE,"10,001+")</f>
        <v>6,001–10,000</v>
      </c>
      <c r="AR1163" t="str" cm="1">
        <f t="array" ref="AR1163">_xlfn.IFS(CleanEmployeeData[[#This Row],[DistanceFromHome]]&lt;=5,"0–5 miles",CleanEmployeeData[[#This Row],[DistanceFromHome]]&lt;=10,"6–10 miles",CleanEmployeeData[[#This Row],[DistanceFromHome]]&lt;=15,"11–15 miles",TRUE,"16+ miles")</f>
        <v>0–5 miles</v>
      </c>
      <c r="AS1163" t="str" cm="1">
        <f t="array" ref="AS1163">_xlfn.IFS(CleanEmployeeData[[#This Row],[YearsAtCompany]]&lt;=1,"0–1 years",CleanEmployeeData[[#This Row],[YearsAtCompany]]&lt;=5,"2–5 years",CleanEmployeeData[[#This Row],[YearsAtCompany]]&lt;=10,"6–10 years",TRUE,"11+ years")</f>
        <v>2–5 years</v>
      </c>
    </row>
    <row r="1164" spans="1:4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cm="1">
        <f t="array" ref="AJ1164">_xlfn.SWITCH(CleanEmployeeData[[#This Row],[Education]],1,"Below College",2,"College",3,"Bachelor",4,"Master",5,"Doctor","Unknown")</f>
        <v>Bachelor</v>
      </c>
      <c r="AK1164" t="str" cm="1">
        <f t="array" ref="AK1164">_xlfn.SWITCH(CleanEmployeeData[[#This Row],[EnvironmentSatisfaction]],1,"Low",2,"Medium",3,"High",4,"Very High","Unknown")</f>
        <v>Very High</v>
      </c>
      <c r="AL1164" t="str" cm="1">
        <f t="array" ref="AL1164">_xlfn.SWITCH(CleanEmployeeData[[#This Row],[JobInvolvement]],1,"Low",2,"Medium",3,"High",4,"Very High","Unknown")</f>
        <v>Medium</v>
      </c>
      <c r="AM1164" t="str" cm="1">
        <f t="array" ref="AM1164">_xlfn.SWITCH(CleanEmployeeData[[#This Row],[JobSatisfaction]],1,"Low",2,"Medium",3,"High",4,"Very High","Unknown")</f>
        <v>Low</v>
      </c>
      <c r="AN1164" t="str" cm="1">
        <f t="array" ref="AN1164">_xlfn.SWITCH(CleanEmployeeData[[#This Row],[PerformanceRating]],1,"Low",2,"Good",3,"Excellent",4,"Outstanding","Unknown")</f>
        <v>Excellent</v>
      </c>
      <c r="AO1164" t="str" cm="1">
        <f t="array" ref="AO1164">_xlfn.SWITCH(CleanEmployeeData[[#This Row],[WorkLifeBalance]],1,"Bad",2,"Good",3,"Better",4,"Best","Unknown")</f>
        <v>Better</v>
      </c>
      <c r="AP1164">
        <f>IF(CleanEmployeeData[[#This Row],[Attrition]]="Yes",1,IF(CleanEmployeeData[[#This Row],[Attrition]]="No",0,""))</f>
        <v>1</v>
      </c>
      <c r="AQ1164" t="str" cm="1">
        <f t="array" ref="AQ1164">_xlfn.IFS(CleanEmployeeData[[#This Row],[MonthlyIncome]]&lt;=3000,"0–3,000",CleanEmployeeData[[#This Row],[MonthlyIncome]]&lt;=6000,"3,001–6,000",CleanEmployeeData[[#This Row],[MonthlyIncome]]&lt;=10000,"6,001–10,000",TRUE,"10,001+")</f>
        <v>10,001+</v>
      </c>
      <c r="AR1164" t="str" cm="1">
        <f t="array" ref="AR1164">_xlfn.IFS(CleanEmployeeData[[#This Row],[DistanceFromHome]]&lt;=5,"0–5 miles",CleanEmployeeData[[#This Row],[DistanceFromHome]]&lt;=10,"6–10 miles",CleanEmployeeData[[#This Row],[DistanceFromHome]]&lt;=15,"11–15 miles",TRUE,"16+ miles")</f>
        <v>6–10 miles</v>
      </c>
      <c r="AS1164" t="str" cm="1">
        <f t="array" ref="AS1164">_xlfn.IFS(CleanEmployeeData[[#This Row],[YearsAtCompany]]&lt;=1,"0–1 years",CleanEmployeeData[[#This Row],[YearsAtCompany]]&lt;=5,"2–5 years",CleanEmployeeData[[#This Row],[YearsAtCompany]]&lt;=10,"6–10 years",TRUE,"11+ years")</f>
        <v>11+ years</v>
      </c>
    </row>
    <row r="1165" spans="1:4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cm="1">
        <f t="array" ref="AJ1165">_xlfn.SWITCH(CleanEmployeeData[[#This Row],[Education]],1,"Below College",2,"College",3,"Bachelor",4,"Master",5,"Doctor","Unknown")</f>
        <v>Bachelor</v>
      </c>
      <c r="AK1165" t="str" cm="1">
        <f t="array" ref="AK1165">_xlfn.SWITCH(CleanEmployeeData[[#This Row],[EnvironmentSatisfaction]],1,"Low",2,"Medium",3,"High",4,"Very High","Unknown")</f>
        <v>Medium</v>
      </c>
      <c r="AL1165" t="str" cm="1">
        <f t="array" ref="AL1165">_xlfn.SWITCH(CleanEmployeeData[[#This Row],[JobInvolvement]],1,"Low",2,"Medium",3,"High",4,"Very High","Unknown")</f>
        <v>High</v>
      </c>
      <c r="AM1165" t="str" cm="1">
        <f t="array" ref="AM1165">_xlfn.SWITCH(CleanEmployeeData[[#This Row],[JobSatisfaction]],1,"Low",2,"Medium",3,"High",4,"Very High","Unknown")</f>
        <v>Medium</v>
      </c>
      <c r="AN1165" t="str" cm="1">
        <f t="array" ref="AN1165">_xlfn.SWITCH(CleanEmployeeData[[#This Row],[PerformanceRating]],1,"Low",2,"Good",3,"Excellent",4,"Outstanding","Unknown")</f>
        <v>Excellent</v>
      </c>
      <c r="AO1165" t="str" cm="1">
        <f t="array" ref="AO1165">_xlfn.SWITCH(CleanEmployeeData[[#This Row],[WorkLifeBalance]],1,"Bad",2,"Good",3,"Better",4,"Best","Unknown")</f>
        <v>Bad</v>
      </c>
      <c r="AP1165">
        <f>IF(CleanEmployeeData[[#This Row],[Attrition]]="Yes",1,IF(CleanEmployeeData[[#This Row],[Attrition]]="No",0,""))</f>
        <v>0</v>
      </c>
      <c r="AQ1165" t="str" cm="1">
        <f t="array" ref="AQ1165">_xlfn.IFS(CleanEmployeeData[[#This Row],[MonthlyIncome]]&lt;=3000,"0–3,000",CleanEmployeeData[[#This Row],[MonthlyIncome]]&lt;=6000,"3,001–6,000",CleanEmployeeData[[#This Row],[MonthlyIncome]]&lt;=10000,"6,001–10,000",TRUE,"10,001+")</f>
        <v>3,001–6,000</v>
      </c>
      <c r="AR1165" t="str" cm="1">
        <f t="array" ref="AR1165">_xlfn.IFS(CleanEmployeeData[[#This Row],[DistanceFromHome]]&lt;=5,"0–5 miles",CleanEmployeeData[[#This Row],[DistanceFromHome]]&lt;=10,"6–10 miles",CleanEmployeeData[[#This Row],[DistanceFromHome]]&lt;=15,"11–15 miles",TRUE,"16+ miles")</f>
        <v>6–10 miles</v>
      </c>
      <c r="AS1165" t="str" cm="1">
        <f t="array" ref="AS1165">_xlfn.IFS(CleanEmployeeData[[#This Row],[YearsAtCompany]]&lt;=1,"0–1 years",CleanEmployeeData[[#This Row],[YearsAtCompany]]&lt;=5,"2–5 years",CleanEmployeeData[[#This Row],[YearsAtCompany]]&lt;=10,"6–10 years",TRUE,"11+ years")</f>
        <v>6–10 years</v>
      </c>
    </row>
    <row r="1166" spans="1:4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cm="1">
        <f t="array" ref="AJ1166">_xlfn.SWITCH(CleanEmployeeData[[#This Row],[Education]],1,"Below College",2,"College",3,"Bachelor",4,"Master",5,"Doctor","Unknown")</f>
        <v>Bachelor</v>
      </c>
      <c r="AK1166" t="str" cm="1">
        <f t="array" ref="AK1166">_xlfn.SWITCH(CleanEmployeeData[[#This Row],[EnvironmentSatisfaction]],1,"Low",2,"Medium",3,"High",4,"Very High","Unknown")</f>
        <v>High</v>
      </c>
      <c r="AL1166" t="str" cm="1">
        <f t="array" ref="AL1166">_xlfn.SWITCH(CleanEmployeeData[[#This Row],[JobInvolvement]],1,"Low",2,"Medium",3,"High",4,"Very High","Unknown")</f>
        <v>High</v>
      </c>
      <c r="AM1166" t="str" cm="1">
        <f t="array" ref="AM1166">_xlfn.SWITCH(CleanEmployeeData[[#This Row],[JobSatisfaction]],1,"Low",2,"Medium",3,"High",4,"Very High","Unknown")</f>
        <v>Very High</v>
      </c>
      <c r="AN1166" t="str" cm="1">
        <f t="array" ref="AN1166">_xlfn.SWITCH(CleanEmployeeData[[#This Row],[PerformanceRating]],1,"Low",2,"Good",3,"Excellent",4,"Outstanding","Unknown")</f>
        <v>Excellent</v>
      </c>
      <c r="AO1166" t="str" cm="1">
        <f t="array" ref="AO1166">_xlfn.SWITCH(CleanEmployeeData[[#This Row],[WorkLifeBalance]],1,"Bad",2,"Good",3,"Better",4,"Best","Unknown")</f>
        <v>Good</v>
      </c>
      <c r="AP1166">
        <f>IF(CleanEmployeeData[[#This Row],[Attrition]]="Yes",1,IF(CleanEmployeeData[[#This Row],[Attrition]]="No",0,""))</f>
        <v>0</v>
      </c>
      <c r="AQ1166" t="str" cm="1">
        <f t="array" ref="AQ1166">_xlfn.IFS(CleanEmployeeData[[#This Row],[MonthlyIncome]]&lt;=3000,"0–3,000",CleanEmployeeData[[#This Row],[MonthlyIncome]]&lt;=6000,"3,001–6,000",CleanEmployeeData[[#This Row],[MonthlyIncome]]&lt;=10000,"6,001–10,000",TRUE,"10,001+")</f>
        <v>6,001–10,000</v>
      </c>
      <c r="AR1166" t="str" cm="1">
        <f t="array" ref="AR1166">_xlfn.IFS(CleanEmployeeData[[#This Row],[DistanceFromHome]]&lt;=5,"0–5 miles",CleanEmployeeData[[#This Row],[DistanceFromHome]]&lt;=10,"6–10 miles",CleanEmployeeData[[#This Row],[DistanceFromHome]]&lt;=15,"11–15 miles",TRUE,"16+ miles")</f>
        <v>16+ miles</v>
      </c>
      <c r="AS1166" t="str" cm="1">
        <f t="array" ref="AS1166">_xlfn.IFS(CleanEmployeeData[[#This Row],[YearsAtCompany]]&lt;=1,"0–1 years",CleanEmployeeData[[#This Row],[YearsAtCompany]]&lt;=5,"2–5 years",CleanEmployeeData[[#This Row],[YearsAtCompany]]&lt;=10,"6–10 years",TRUE,"11+ years")</f>
        <v>2–5 years</v>
      </c>
    </row>
    <row r="1167" spans="1:4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cm="1">
        <f t="array" ref="AJ1167">_xlfn.SWITCH(CleanEmployeeData[[#This Row],[Education]],1,"Below College",2,"College",3,"Bachelor",4,"Master",5,"Doctor","Unknown")</f>
        <v>Doctor</v>
      </c>
      <c r="AK1167" t="str" cm="1">
        <f t="array" ref="AK1167">_xlfn.SWITCH(CleanEmployeeData[[#This Row],[EnvironmentSatisfaction]],1,"Low",2,"Medium",3,"High",4,"Very High","Unknown")</f>
        <v>Low</v>
      </c>
      <c r="AL1167" t="str" cm="1">
        <f t="array" ref="AL1167">_xlfn.SWITCH(CleanEmployeeData[[#This Row],[JobInvolvement]],1,"Low",2,"Medium",3,"High",4,"Very High","Unknown")</f>
        <v>High</v>
      </c>
      <c r="AM1167" t="str" cm="1">
        <f t="array" ref="AM1167">_xlfn.SWITCH(CleanEmployeeData[[#This Row],[JobSatisfaction]],1,"Low",2,"Medium",3,"High",4,"Very High","Unknown")</f>
        <v>Very High</v>
      </c>
      <c r="AN1167" t="str" cm="1">
        <f t="array" ref="AN1167">_xlfn.SWITCH(CleanEmployeeData[[#This Row],[PerformanceRating]],1,"Low",2,"Good",3,"Excellent",4,"Outstanding","Unknown")</f>
        <v>Excellent</v>
      </c>
      <c r="AO1167" t="str" cm="1">
        <f t="array" ref="AO1167">_xlfn.SWITCH(CleanEmployeeData[[#This Row],[WorkLifeBalance]],1,"Bad",2,"Good",3,"Better",4,"Best","Unknown")</f>
        <v>Better</v>
      </c>
      <c r="AP1167">
        <f>IF(CleanEmployeeData[[#This Row],[Attrition]]="Yes",1,IF(CleanEmployeeData[[#This Row],[Attrition]]="No",0,""))</f>
        <v>0</v>
      </c>
      <c r="AQ1167" t="str" cm="1">
        <f t="array" ref="AQ1167">_xlfn.IFS(CleanEmployeeData[[#This Row],[MonthlyIncome]]&lt;=3000,"0–3,000",CleanEmployeeData[[#This Row],[MonthlyIncome]]&lt;=6000,"3,001–6,000",CleanEmployeeData[[#This Row],[MonthlyIncome]]&lt;=10000,"6,001–10,000",TRUE,"10,001+")</f>
        <v>3,001–6,000</v>
      </c>
      <c r="AR1167" t="str" cm="1">
        <f t="array" ref="AR1167">_xlfn.IFS(CleanEmployeeData[[#This Row],[DistanceFromHome]]&lt;=5,"0–5 miles",CleanEmployeeData[[#This Row],[DistanceFromHome]]&lt;=10,"6–10 miles",CleanEmployeeData[[#This Row],[DistanceFromHome]]&lt;=15,"11–15 miles",TRUE,"16+ miles")</f>
        <v>0–5 miles</v>
      </c>
      <c r="AS1167" t="str" cm="1">
        <f t="array" ref="AS1167">_xlfn.IFS(CleanEmployeeData[[#This Row],[YearsAtCompany]]&lt;=1,"0–1 years",CleanEmployeeData[[#This Row],[YearsAtCompany]]&lt;=5,"2–5 years",CleanEmployeeData[[#This Row],[YearsAtCompany]]&lt;=10,"6–10 years",TRUE,"11+ years")</f>
        <v>6–10 years</v>
      </c>
    </row>
    <row r="1168" spans="1:4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cm="1">
        <f t="array" ref="AJ1168">_xlfn.SWITCH(CleanEmployeeData[[#This Row],[Education]],1,"Below College",2,"College",3,"Bachelor",4,"Master",5,"Doctor","Unknown")</f>
        <v>Doctor</v>
      </c>
      <c r="AK1168" t="str" cm="1">
        <f t="array" ref="AK1168">_xlfn.SWITCH(CleanEmployeeData[[#This Row],[EnvironmentSatisfaction]],1,"Low",2,"Medium",3,"High",4,"Very High","Unknown")</f>
        <v>High</v>
      </c>
      <c r="AL1168" t="str" cm="1">
        <f t="array" ref="AL1168">_xlfn.SWITCH(CleanEmployeeData[[#This Row],[JobInvolvement]],1,"Low",2,"Medium",3,"High",4,"Very High","Unknown")</f>
        <v>Medium</v>
      </c>
      <c r="AM1168" t="str" cm="1">
        <f t="array" ref="AM1168">_xlfn.SWITCH(CleanEmployeeData[[#This Row],[JobSatisfaction]],1,"Low",2,"Medium",3,"High",4,"Very High","Unknown")</f>
        <v>Very High</v>
      </c>
      <c r="AN1168" t="str" cm="1">
        <f t="array" ref="AN1168">_xlfn.SWITCH(CleanEmployeeData[[#This Row],[PerformanceRating]],1,"Low",2,"Good",3,"Excellent",4,"Outstanding","Unknown")</f>
        <v>Outstanding</v>
      </c>
      <c r="AO1168" t="str" cm="1">
        <f t="array" ref="AO1168">_xlfn.SWITCH(CleanEmployeeData[[#This Row],[WorkLifeBalance]],1,"Bad",2,"Good",3,"Better",4,"Best","Unknown")</f>
        <v>Better</v>
      </c>
      <c r="AP1168">
        <f>IF(CleanEmployeeData[[#This Row],[Attrition]]="Yes",1,IF(CleanEmployeeData[[#This Row],[Attrition]]="No",0,""))</f>
        <v>0</v>
      </c>
      <c r="AQ1168" t="str" cm="1">
        <f t="array" ref="AQ1168">_xlfn.IFS(CleanEmployeeData[[#This Row],[MonthlyIncome]]&lt;=3000,"0–3,000",CleanEmployeeData[[#This Row],[MonthlyIncome]]&lt;=6000,"3,001–6,000",CleanEmployeeData[[#This Row],[MonthlyIncome]]&lt;=10000,"6,001–10,000",TRUE,"10,001+")</f>
        <v>10,001+</v>
      </c>
      <c r="AR1168" t="str" cm="1">
        <f t="array" ref="AR1168">_xlfn.IFS(CleanEmployeeData[[#This Row],[DistanceFromHome]]&lt;=5,"0–5 miles",CleanEmployeeData[[#This Row],[DistanceFromHome]]&lt;=10,"6–10 miles",CleanEmployeeData[[#This Row],[DistanceFromHome]]&lt;=15,"11–15 miles",TRUE,"16+ miles")</f>
        <v>0–5 miles</v>
      </c>
      <c r="AS1168" t="str" cm="1">
        <f t="array" ref="AS1168">_xlfn.IFS(CleanEmployeeData[[#This Row],[YearsAtCompany]]&lt;=1,"0–1 years",CleanEmployeeData[[#This Row],[YearsAtCompany]]&lt;=5,"2–5 years",CleanEmployeeData[[#This Row],[YearsAtCompany]]&lt;=10,"6–10 years",TRUE,"11+ years")</f>
        <v>2–5 years</v>
      </c>
    </row>
    <row r="1169" spans="1:4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cm="1">
        <f t="array" ref="AJ1169">_xlfn.SWITCH(CleanEmployeeData[[#This Row],[Education]],1,"Below College",2,"College",3,"Bachelor",4,"Master",5,"Doctor","Unknown")</f>
        <v>College</v>
      </c>
      <c r="AK1169" t="str" cm="1">
        <f t="array" ref="AK1169">_xlfn.SWITCH(CleanEmployeeData[[#This Row],[EnvironmentSatisfaction]],1,"Low",2,"Medium",3,"High",4,"Very High","Unknown")</f>
        <v>Low</v>
      </c>
      <c r="AL1169" t="str" cm="1">
        <f t="array" ref="AL1169">_xlfn.SWITCH(CleanEmployeeData[[#This Row],[JobInvolvement]],1,"Low",2,"Medium",3,"High",4,"Very High","Unknown")</f>
        <v>Low</v>
      </c>
      <c r="AM1169" t="str" cm="1">
        <f t="array" ref="AM1169">_xlfn.SWITCH(CleanEmployeeData[[#This Row],[JobSatisfaction]],1,"Low",2,"Medium",3,"High",4,"Very High","Unknown")</f>
        <v>Very High</v>
      </c>
      <c r="AN1169" t="str" cm="1">
        <f t="array" ref="AN1169">_xlfn.SWITCH(CleanEmployeeData[[#This Row],[PerformanceRating]],1,"Low",2,"Good",3,"Excellent",4,"Outstanding","Unknown")</f>
        <v>Excellent</v>
      </c>
      <c r="AO1169" t="str" cm="1">
        <f t="array" ref="AO1169">_xlfn.SWITCH(CleanEmployeeData[[#This Row],[WorkLifeBalance]],1,"Bad",2,"Good",3,"Better",4,"Best","Unknown")</f>
        <v>Good</v>
      </c>
      <c r="AP1169">
        <f>IF(CleanEmployeeData[[#This Row],[Attrition]]="Yes",1,IF(CleanEmployeeData[[#This Row],[Attrition]]="No",0,""))</f>
        <v>1</v>
      </c>
      <c r="AQ1169" t="str" cm="1">
        <f t="array" ref="AQ1169">_xlfn.IFS(CleanEmployeeData[[#This Row],[MonthlyIncome]]&lt;=3000,"0–3,000",CleanEmployeeData[[#This Row],[MonthlyIncome]]&lt;=6000,"3,001–6,000",CleanEmployeeData[[#This Row],[MonthlyIncome]]&lt;=10000,"6,001–10,000",TRUE,"10,001+")</f>
        <v>3,001–6,000</v>
      </c>
      <c r="AR1169" t="str" cm="1">
        <f t="array" ref="AR1169">_xlfn.IFS(CleanEmployeeData[[#This Row],[DistanceFromHome]]&lt;=5,"0–5 miles",CleanEmployeeData[[#This Row],[DistanceFromHome]]&lt;=10,"6–10 miles",CleanEmployeeData[[#This Row],[DistanceFromHome]]&lt;=15,"11–15 miles",TRUE,"16+ miles")</f>
        <v>11–15 miles</v>
      </c>
      <c r="AS1169" t="str" cm="1">
        <f t="array" ref="AS1169">_xlfn.IFS(CleanEmployeeData[[#This Row],[YearsAtCompany]]&lt;=1,"0–1 years",CleanEmployeeData[[#This Row],[YearsAtCompany]]&lt;=5,"2–5 years",CleanEmployeeData[[#This Row],[YearsAtCompany]]&lt;=10,"6–10 years",TRUE,"11+ years")</f>
        <v>2–5 years</v>
      </c>
    </row>
    <row r="1170" spans="1:4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cm="1">
        <f t="array" ref="AJ1170">_xlfn.SWITCH(CleanEmployeeData[[#This Row],[Education]],1,"Below College",2,"College",3,"Bachelor",4,"Master",5,"Doctor","Unknown")</f>
        <v>Below College</v>
      </c>
      <c r="AK1170" t="str" cm="1">
        <f t="array" ref="AK1170">_xlfn.SWITCH(CleanEmployeeData[[#This Row],[EnvironmentSatisfaction]],1,"Low",2,"Medium",3,"High",4,"Very High","Unknown")</f>
        <v>Low</v>
      </c>
      <c r="AL1170" t="str" cm="1">
        <f t="array" ref="AL1170">_xlfn.SWITCH(CleanEmployeeData[[#This Row],[JobInvolvement]],1,"Low",2,"Medium",3,"High",4,"Very High","Unknown")</f>
        <v>High</v>
      </c>
      <c r="AM1170" t="str" cm="1">
        <f t="array" ref="AM1170">_xlfn.SWITCH(CleanEmployeeData[[#This Row],[JobSatisfaction]],1,"Low",2,"Medium",3,"High",4,"Very High","Unknown")</f>
        <v>Very High</v>
      </c>
      <c r="AN1170" t="str" cm="1">
        <f t="array" ref="AN1170">_xlfn.SWITCH(CleanEmployeeData[[#This Row],[PerformanceRating]],1,"Low",2,"Good",3,"Excellent",4,"Outstanding","Unknown")</f>
        <v>Excellent</v>
      </c>
      <c r="AO1170" t="str" cm="1">
        <f t="array" ref="AO1170">_xlfn.SWITCH(CleanEmployeeData[[#This Row],[WorkLifeBalance]],1,"Bad",2,"Good",3,"Better",4,"Best","Unknown")</f>
        <v>Better</v>
      </c>
      <c r="AP1170">
        <f>IF(CleanEmployeeData[[#This Row],[Attrition]]="Yes",1,IF(CleanEmployeeData[[#This Row],[Attrition]]="No",0,""))</f>
        <v>0</v>
      </c>
      <c r="AQ1170" t="str" cm="1">
        <f t="array" ref="AQ1170">_xlfn.IFS(CleanEmployeeData[[#This Row],[MonthlyIncome]]&lt;=3000,"0–3,000",CleanEmployeeData[[#This Row],[MonthlyIncome]]&lt;=6000,"3,001–6,000",CleanEmployeeData[[#This Row],[MonthlyIncome]]&lt;=10000,"6,001–10,000",TRUE,"10,001+")</f>
        <v>3,001–6,000</v>
      </c>
      <c r="AR1170" t="str" cm="1">
        <f t="array" ref="AR1170">_xlfn.IFS(CleanEmployeeData[[#This Row],[DistanceFromHome]]&lt;=5,"0–5 miles",CleanEmployeeData[[#This Row],[DistanceFromHome]]&lt;=10,"6–10 miles",CleanEmployeeData[[#This Row],[DistanceFromHome]]&lt;=15,"11–15 miles",TRUE,"16+ miles")</f>
        <v>0–5 miles</v>
      </c>
      <c r="AS1170" t="str" cm="1">
        <f t="array" ref="AS1170">_xlfn.IFS(CleanEmployeeData[[#This Row],[YearsAtCompany]]&lt;=1,"0–1 years",CleanEmployeeData[[#This Row],[YearsAtCompany]]&lt;=5,"2–5 years",CleanEmployeeData[[#This Row],[YearsAtCompany]]&lt;=10,"6–10 years",TRUE,"11+ years")</f>
        <v>6–10 years</v>
      </c>
    </row>
    <row r="1171" spans="1:4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cm="1">
        <f t="array" ref="AJ1171">_xlfn.SWITCH(CleanEmployeeData[[#This Row],[Education]],1,"Below College",2,"College",3,"Bachelor",4,"Master",5,"Doctor","Unknown")</f>
        <v>Bachelor</v>
      </c>
      <c r="AK1171" t="str" cm="1">
        <f t="array" ref="AK1171">_xlfn.SWITCH(CleanEmployeeData[[#This Row],[EnvironmentSatisfaction]],1,"Low",2,"Medium",3,"High",4,"Very High","Unknown")</f>
        <v>Medium</v>
      </c>
      <c r="AL1171" t="str" cm="1">
        <f t="array" ref="AL1171">_xlfn.SWITCH(CleanEmployeeData[[#This Row],[JobInvolvement]],1,"Low",2,"Medium",3,"High",4,"Very High","Unknown")</f>
        <v>Very High</v>
      </c>
      <c r="AM1171" t="str" cm="1">
        <f t="array" ref="AM1171">_xlfn.SWITCH(CleanEmployeeData[[#This Row],[JobSatisfaction]],1,"Low",2,"Medium",3,"High",4,"Very High","Unknown")</f>
        <v>High</v>
      </c>
      <c r="AN1171" t="str" cm="1">
        <f t="array" ref="AN1171">_xlfn.SWITCH(CleanEmployeeData[[#This Row],[PerformanceRating]],1,"Low",2,"Good",3,"Excellent",4,"Outstanding","Unknown")</f>
        <v>Excellent</v>
      </c>
      <c r="AO1171" t="str" cm="1">
        <f t="array" ref="AO1171">_xlfn.SWITCH(CleanEmployeeData[[#This Row],[WorkLifeBalance]],1,"Bad",2,"Good",3,"Better",4,"Best","Unknown")</f>
        <v>Better</v>
      </c>
      <c r="AP1171">
        <f>IF(CleanEmployeeData[[#This Row],[Attrition]]="Yes",1,IF(CleanEmployeeData[[#This Row],[Attrition]]="No",0,""))</f>
        <v>0</v>
      </c>
      <c r="AQ1171" t="str" cm="1">
        <f t="array" ref="AQ1171">_xlfn.IFS(CleanEmployeeData[[#This Row],[MonthlyIncome]]&lt;=3000,"0–3,000",CleanEmployeeData[[#This Row],[MonthlyIncome]]&lt;=6000,"3,001–6,000",CleanEmployeeData[[#This Row],[MonthlyIncome]]&lt;=10000,"6,001–10,000",TRUE,"10,001+")</f>
        <v>3,001–6,000</v>
      </c>
      <c r="AR1171" t="str" cm="1">
        <f t="array" ref="AR1171">_xlfn.IFS(CleanEmployeeData[[#This Row],[DistanceFromHome]]&lt;=5,"0–5 miles",CleanEmployeeData[[#This Row],[DistanceFromHome]]&lt;=10,"6–10 miles",CleanEmployeeData[[#This Row],[DistanceFromHome]]&lt;=15,"11–15 miles",TRUE,"16+ miles")</f>
        <v>6–10 miles</v>
      </c>
      <c r="AS1171" t="str" cm="1">
        <f t="array" ref="AS1171">_xlfn.IFS(CleanEmployeeData[[#This Row],[YearsAtCompany]]&lt;=1,"0–1 years",CleanEmployeeData[[#This Row],[YearsAtCompany]]&lt;=5,"2–5 years",CleanEmployeeData[[#This Row],[YearsAtCompany]]&lt;=10,"6–10 years",TRUE,"11+ years")</f>
        <v>2–5 years</v>
      </c>
    </row>
    <row r="1172" spans="1:4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cm="1">
        <f t="array" ref="AJ1172">_xlfn.SWITCH(CleanEmployeeData[[#This Row],[Education]],1,"Below College",2,"College",3,"Bachelor",4,"Master",5,"Doctor","Unknown")</f>
        <v>Bachelor</v>
      </c>
      <c r="AK1172" t="str" cm="1">
        <f t="array" ref="AK1172">_xlfn.SWITCH(CleanEmployeeData[[#This Row],[EnvironmentSatisfaction]],1,"Low",2,"Medium",3,"High",4,"Very High","Unknown")</f>
        <v>Very High</v>
      </c>
      <c r="AL1172" t="str" cm="1">
        <f t="array" ref="AL1172">_xlfn.SWITCH(CleanEmployeeData[[#This Row],[JobInvolvement]],1,"Low",2,"Medium",3,"High",4,"Very High","Unknown")</f>
        <v>High</v>
      </c>
      <c r="AM1172" t="str" cm="1">
        <f t="array" ref="AM1172">_xlfn.SWITCH(CleanEmployeeData[[#This Row],[JobSatisfaction]],1,"Low",2,"Medium",3,"High",4,"Very High","Unknown")</f>
        <v>Very High</v>
      </c>
      <c r="AN1172" t="str" cm="1">
        <f t="array" ref="AN1172">_xlfn.SWITCH(CleanEmployeeData[[#This Row],[PerformanceRating]],1,"Low",2,"Good",3,"Excellent",4,"Outstanding","Unknown")</f>
        <v>Excellent</v>
      </c>
      <c r="AO1172" t="str" cm="1">
        <f t="array" ref="AO1172">_xlfn.SWITCH(CleanEmployeeData[[#This Row],[WorkLifeBalance]],1,"Bad",2,"Good",3,"Better",4,"Best","Unknown")</f>
        <v>Good</v>
      </c>
      <c r="AP1172">
        <f>IF(CleanEmployeeData[[#This Row],[Attrition]]="Yes",1,IF(CleanEmployeeData[[#This Row],[Attrition]]="No",0,""))</f>
        <v>0</v>
      </c>
      <c r="AQ1172" t="str" cm="1">
        <f t="array" ref="AQ1172">_xlfn.IFS(CleanEmployeeData[[#This Row],[MonthlyIncome]]&lt;=3000,"0–3,000",CleanEmployeeData[[#This Row],[MonthlyIncome]]&lt;=6000,"3,001–6,000",CleanEmployeeData[[#This Row],[MonthlyIncome]]&lt;=10000,"6,001–10,000",TRUE,"10,001+")</f>
        <v>0–3,000</v>
      </c>
      <c r="AR1172" t="str" cm="1">
        <f t="array" ref="AR1172">_xlfn.IFS(CleanEmployeeData[[#This Row],[DistanceFromHome]]&lt;=5,"0–5 miles",CleanEmployeeData[[#This Row],[DistanceFromHome]]&lt;=10,"6–10 miles",CleanEmployeeData[[#This Row],[DistanceFromHome]]&lt;=15,"11–15 miles",TRUE,"16+ miles")</f>
        <v>0–5 miles</v>
      </c>
      <c r="AS1172" t="str" cm="1">
        <f t="array" ref="AS1172">_xlfn.IFS(CleanEmployeeData[[#This Row],[YearsAtCompany]]&lt;=1,"0–1 years",CleanEmployeeData[[#This Row],[YearsAtCompany]]&lt;=5,"2–5 years",CleanEmployeeData[[#This Row],[YearsAtCompany]]&lt;=10,"6–10 years",TRUE,"11+ years")</f>
        <v>2–5 years</v>
      </c>
    </row>
    <row r="1173" spans="1:4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cm="1">
        <f t="array" ref="AJ1173">_xlfn.SWITCH(CleanEmployeeData[[#This Row],[Education]],1,"Below College",2,"College",3,"Bachelor",4,"Master",5,"Doctor","Unknown")</f>
        <v>Bachelor</v>
      </c>
      <c r="AK1173" t="str" cm="1">
        <f t="array" ref="AK1173">_xlfn.SWITCH(CleanEmployeeData[[#This Row],[EnvironmentSatisfaction]],1,"Low",2,"Medium",3,"High",4,"Very High","Unknown")</f>
        <v>Low</v>
      </c>
      <c r="AL1173" t="str" cm="1">
        <f t="array" ref="AL1173">_xlfn.SWITCH(CleanEmployeeData[[#This Row],[JobInvolvement]],1,"Low",2,"Medium",3,"High",4,"Very High","Unknown")</f>
        <v>High</v>
      </c>
      <c r="AM1173" t="str" cm="1">
        <f t="array" ref="AM1173">_xlfn.SWITCH(CleanEmployeeData[[#This Row],[JobSatisfaction]],1,"Low",2,"Medium",3,"High",4,"Very High","Unknown")</f>
        <v>Low</v>
      </c>
      <c r="AN1173" t="str" cm="1">
        <f t="array" ref="AN1173">_xlfn.SWITCH(CleanEmployeeData[[#This Row],[PerformanceRating]],1,"Low",2,"Good",3,"Excellent",4,"Outstanding","Unknown")</f>
        <v>Excellent</v>
      </c>
      <c r="AO1173" t="str" cm="1">
        <f t="array" ref="AO1173">_xlfn.SWITCH(CleanEmployeeData[[#This Row],[WorkLifeBalance]],1,"Bad",2,"Good",3,"Better",4,"Best","Unknown")</f>
        <v>Bad</v>
      </c>
      <c r="AP1173">
        <f>IF(CleanEmployeeData[[#This Row],[Attrition]]="Yes",1,IF(CleanEmployeeData[[#This Row],[Attrition]]="No",0,""))</f>
        <v>1</v>
      </c>
      <c r="AQ1173" t="str" cm="1">
        <f t="array" ref="AQ1173">_xlfn.IFS(CleanEmployeeData[[#This Row],[MonthlyIncome]]&lt;=3000,"0–3,000",CleanEmployeeData[[#This Row],[MonthlyIncome]]&lt;=6000,"3,001–6,000",CleanEmployeeData[[#This Row],[MonthlyIncome]]&lt;=10000,"6,001–10,000",TRUE,"10,001+")</f>
        <v>0–3,000</v>
      </c>
      <c r="AR1173" t="str" cm="1">
        <f t="array" ref="AR1173">_xlfn.IFS(CleanEmployeeData[[#This Row],[DistanceFromHome]]&lt;=5,"0–5 miles",CleanEmployeeData[[#This Row],[DistanceFromHome]]&lt;=10,"6–10 miles",CleanEmployeeData[[#This Row],[DistanceFromHome]]&lt;=15,"11–15 miles",TRUE,"16+ miles")</f>
        <v>6–10 miles</v>
      </c>
      <c r="AS1173" t="str" cm="1">
        <f t="array" ref="AS1173">_xlfn.IFS(CleanEmployeeData[[#This Row],[YearsAtCompany]]&lt;=1,"0–1 years",CleanEmployeeData[[#This Row],[YearsAtCompany]]&lt;=5,"2–5 years",CleanEmployeeData[[#This Row],[YearsAtCompany]]&lt;=10,"6–10 years",TRUE,"11+ years")</f>
        <v>2–5 years</v>
      </c>
    </row>
    <row r="1174" spans="1:4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cm="1">
        <f t="array" ref="AJ1174">_xlfn.SWITCH(CleanEmployeeData[[#This Row],[Education]],1,"Below College",2,"College",3,"Bachelor",4,"Master",5,"Doctor","Unknown")</f>
        <v>Bachelor</v>
      </c>
      <c r="AK1174" t="str" cm="1">
        <f t="array" ref="AK1174">_xlfn.SWITCH(CleanEmployeeData[[#This Row],[EnvironmentSatisfaction]],1,"Low",2,"Medium",3,"High",4,"Very High","Unknown")</f>
        <v>High</v>
      </c>
      <c r="AL1174" t="str" cm="1">
        <f t="array" ref="AL1174">_xlfn.SWITCH(CleanEmployeeData[[#This Row],[JobInvolvement]],1,"Low",2,"Medium",3,"High",4,"Very High","Unknown")</f>
        <v>Medium</v>
      </c>
      <c r="AM1174" t="str" cm="1">
        <f t="array" ref="AM1174">_xlfn.SWITCH(CleanEmployeeData[[#This Row],[JobSatisfaction]],1,"Low",2,"Medium",3,"High",4,"Very High","Unknown")</f>
        <v>High</v>
      </c>
      <c r="AN1174" t="str" cm="1">
        <f t="array" ref="AN1174">_xlfn.SWITCH(CleanEmployeeData[[#This Row],[PerformanceRating]],1,"Low",2,"Good",3,"Excellent",4,"Outstanding","Unknown")</f>
        <v>Excellent</v>
      </c>
      <c r="AO1174" t="str" cm="1">
        <f t="array" ref="AO1174">_xlfn.SWITCH(CleanEmployeeData[[#This Row],[WorkLifeBalance]],1,"Bad",2,"Good",3,"Better",4,"Best","Unknown")</f>
        <v>Better</v>
      </c>
      <c r="AP1174">
        <f>IF(CleanEmployeeData[[#This Row],[Attrition]]="Yes",1,IF(CleanEmployeeData[[#This Row],[Attrition]]="No",0,""))</f>
        <v>0</v>
      </c>
      <c r="AQ1174" t="str" cm="1">
        <f t="array" ref="AQ1174">_xlfn.IFS(CleanEmployeeData[[#This Row],[MonthlyIncome]]&lt;=3000,"0–3,000",CleanEmployeeData[[#This Row],[MonthlyIncome]]&lt;=6000,"3,001–6,000",CleanEmployeeData[[#This Row],[MonthlyIncome]]&lt;=10000,"6,001–10,000",TRUE,"10,001+")</f>
        <v>3,001–6,000</v>
      </c>
      <c r="AR1174" t="str" cm="1">
        <f t="array" ref="AR1174">_xlfn.IFS(CleanEmployeeData[[#This Row],[DistanceFromHome]]&lt;=5,"0–5 miles",CleanEmployeeData[[#This Row],[DistanceFromHome]]&lt;=10,"6–10 miles",CleanEmployeeData[[#This Row],[DistanceFromHome]]&lt;=15,"11–15 miles",TRUE,"16+ miles")</f>
        <v>6–10 miles</v>
      </c>
      <c r="AS1174" t="str" cm="1">
        <f t="array" ref="AS1174">_xlfn.IFS(CleanEmployeeData[[#This Row],[YearsAtCompany]]&lt;=1,"0–1 years",CleanEmployeeData[[#This Row],[YearsAtCompany]]&lt;=5,"2–5 years",CleanEmployeeData[[#This Row],[YearsAtCompany]]&lt;=10,"6–10 years",TRUE,"11+ years")</f>
        <v>2–5 years</v>
      </c>
    </row>
    <row r="1175" spans="1:4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cm="1">
        <f t="array" ref="AJ1175">_xlfn.SWITCH(CleanEmployeeData[[#This Row],[Education]],1,"Below College",2,"College",3,"Bachelor",4,"Master",5,"Doctor","Unknown")</f>
        <v>Master</v>
      </c>
      <c r="AK1175" t="str" cm="1">
        <f t="array" ref="AK1175">_xlfn.SWITCH(CleanEmployeeData[[#This Row],[EnvironmentSatisfaction]],1,"Low",2,"Medium",3,"High",4,"Very High","Unknown")</f>
        <v>Medium</v>
      </c>
      <c r="AL1175" t="str" cm="1">
        <f t="array" ref="AL1175">_xlfn.SWITCH(CleanEmployeeData[[#This Row],[JobInvolvement]],1,"Low",2,"Medium",3,"High",4,"Very High","Unknown")</f>
        <v>High</v>
      </c>
      <c r="AM1175" t="str" cm="1">
        <f t="array" ref="AM1175">_xlfn.SWITCH(CleanEmployeeData[[#This Row],[JobSatisfaction]],1,"Low",2,"Medium",3,"High",4,"Very High","Unknown")</f>
        <v>Low</v>
      </c>
      <c r="AN1175" t="str" cm="1">
        <f t="array" ref="AN1175">_xlfn.SWITCH(CleanEmployeeData[[#This Row],[PerformanceRating]],1,"Low",2,"Good",3,"Excellent",4,"Outstanding","Unknown")</f>
        <v>Excellent</v>
      </c>
      <c r="AO1175" t="str" cm="1">
        <f t="array" ref="AO1175">_xlfn.SWITCH(CleanEmployeeData[[#This Row],[WorkLifeBalance]],1,"Bad",2,"Good",3,"Better",4,"Best","Unknown")</f>
        <v>Better</v>
      </c>
      <c r="AP1175">
        <f>IF(CleanEmployeeData[[#This Row],[Attrition]]="Yes",1,IF(CleanEmployeeData[[#This Row],[Attrition]]="No",0,""))</f>
        <v>0</v>
      </c>
      <c r="AQ1175" t="str" cm="1">
        <f t="array" ref="AQ1175">_xlfn.IFS(CleanEmployeeData[[#This Row],[MonthlyIncome]]&lt;=3000,"0–3,000",CleanEmployeeData[[#This Row],[MonthlyIncome]]&lt;=6000,"3,001–6,000",CleanEmployeeData[[#This Row],[MonthlyIncome]]&lt;=10000,"6,001–10,000",TRUE,"10,001+")</f>
        <v>6,001–10,000</v>
      </c>
      <c r="AR1175" t="str" cm="1">
        <f t="array" ref="AR1175">_xlfn.IFS(CleanEmployeeData[[#This Row],[DistanceFromHome]]&lt;=5,"0–5 miles",CleanEmployeeData[[#This Row],[DistanceFromHome]]&lt;=10,"6–10 miles",CleanEmployeeData[[#This Row],[DistanceFromHome]]&lt;=15,"11–15 miles",TRUE,"16+ miles")</f>
        <v>0–5 miles</v>
      </c>
      <c r="AS1175" t="str" cm="1">
        <f t="array" ref="AS1175">_xlfn.IFS(CleanEmployeeData[[#This Row],[YearsAtCompany]]&lt;=1,"0–1 years",CleanEmployeeData[[#This Row],[YearsAtCompany]]&lt;=5,"2–5 years",CleanEmployeeData[[#This Row],[YearsAtCompany]]&lt;=10,"6–10 years",TRUE,"11+ years")</f>
        <v>2–5 years</v>
      </c>
    </row>
    <row r="1176" spans="1:4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cm="1">
        <f t="array" ref="AJ1176">_xlfn.SWITCH(CleanEmployeeData[[#This Row],[Education]],1,"Below College",2,"College",3,"Bachelor",4,"Master",5,"Doctor","Unknown")</f>
        <v>Below College</v>
      </c>
      <c r="AK1176" t="str" cm="1">
        <f t="array" ref="AK1176">_xlfn.SWITCH(CleanEmployeeData[[#This Row],[EnvironmentSatisfaction]],1,"Low",2,"Medium",3,"High",4,"Very High","Unknown")</f>
        <v>Very High</v>
      </c>
      <c r="AL1176" t="str" cm="1">
        <f t="array" ref="AL1176">_xlfn.SWITCH(CleanEmployeeData[[#This Row],[JobInvolvement]],1,"Low",2,"Medium",3,"High",4,"Very High","Unknown")</f>
        <v>Very High</v>
      </c>
      <c r="AM1176" t="str" cm="1">
        <f t="array" ref="AM1176">_xlfn.SWITCH(CleanEmployeeData[[#This Row],[JobSatisfaction]],1,"Low",2,"Medium",3,"High",4,"Very High","Unknown")</f>
        <v>High</v>
      </c>
      <c r="AN1176" t="str" cm="1">
        <f t="array" ref="AN1176">_xlfn.SWITCH(CleanEmployeeData[[#This Row],[PerformanceRating]],1,"Low",2,"Good",3,"Excellent",4,"Outstanding","Unknown")</f>
        <v>Excellent</v>
      </c>
      <c r="AO1176" t="str" cm="1">
        <f t="array" ref="AO1176">_xlfn.SWITCH(CleanEmployeeData[[#This Row],[WorkLifeBalance]],1,"Bad",2,"Good",3,"Better",4,"Best","Unknown")</f>
        <v>Better</v>
      </c>
      <c r="AP1176">
        <f>IF(CleanEmployeeData[[#This Row],[Attrition]]="Yes",1,IF(CleanEmployeeData[[#This Row],[Attrition]]="No",0,""))</f>
        <v>0</v>
      </c>
      <c r="AQ1176" t="str" cm="1">
        <f t="array" ref="AQ1176">_xlfn.IFS(CleanEmployeeData[[#This Row],[MonthlyIncome]]&lt;=3000,"0–3,000",CleanEmployeeData[[#This Row],[MonthlyIncome]]&lt;=6000,"3,001–6,000",CleanEmployeeData[[#This Row],[MonthlyIncome]]&lt;=10000,"6,001–10,000",TRUE,"10,001+")</f>
        <v>3,001–6,000</v>
      </c>
      <c r="AR1176" t="str" cm="1">
        <f t="array" ref="AR1176">_xlfn.IFS(CleanEmployeeData[[#This Row],[DistanceFromHome]]&lt;=5,"0–5 miles",CleanEmployeeData[[#This Row],[DistanceFromHome]]&lt;=10,"6–10 miles",CleanEmployeeData[[#This Row],[DistanceFromHome]]&lt;=15,"11–15 miles",TRUE,"16+ miles")</f>
        <v>0–5 miles</v>
      </c>
      <c r="AS1176" t="str" cm="1">
        <f t="array" ref="AS1176">_xlfn.IFS(CleanEmployeeData[[#This Row],[YearsAtCompany]]&lt;=1,"0–1 years",CleanEmployeeData[[#This Row],[YearsAtCompany]]&lt;=5,"2–5 years",CleanEmployeeData[[#This Row],[YearsAtCompany]]&lt;=10,"6–10 years",TRUE,"11+ years")</f>
        <v>6–10 years</v>
      </c>
    </row>
    <row r="1177" spans="1:4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cm="1">
        <f t="array" ref="AJ1177">_xlfn.SWITCH(CleanEmployeeData[[#This Row],[Education]],1,"Below College",2,"College",3,"Bachelor",4,"Master",5,"Doctor","Unknown")</f>
        <v>Bachelor</v>
      </c>
      <c r="AK1177" t="str" cm="1">
        <f t="array" ref="AK1177">_xlfn.SWITCH(CleanEmployeeData[[#This Row],[EnvironmentSatisfaction]],1,"Low",2,"Medium",3,"High",4,"Very High","Unknown")</f>
        <v>Very High</v>
      </c>
      <c r="AL1177" t="str" cm="1">
        <f t="array" ref="AL1177">_xlfn.SWITCH(CleanEmployeeData[[#This Row],[JobInvolvement]],1,"Low",2,"Medium",3,"High",4,"Very High","Unknown")</f>
        <v>High</v>
      </c>
      <c r="AM1177" t="str" cm="1">
        <f t="array" ref="AM1177">_xlfn.SWITCH(CleanEmployeeData[[#This Row],[JobSatisfaction]],1,"Low",2,"Medium",3,"High",4,"Very High","Unknown")</f>
        <v>Medium</v>
      </c>
      <c r="AN1177" t="str" cm="1">
        <f t="array" ref="AN1177">_xlfn.SWITCH(CleanEmployeeData[[#This Row],[PerformanceRating]],1,"Low",2,"Good",3,"Excellent",4,"Outstanding","Unknown")</f>
        <v>Outstanding</v>
      </c>
      <c r="AO1177" t="str" cm="1">
        <f t="array" ref="AO1177">_xlfn.SWITCH(CleanEmployeeData[[#This Row],[WorkLifeBalance]],1,"Bad",2,"Good",3,"Better",4,"Best","Unknown")</f>
        <v>Better</v>
      </c>
      <c r="AP1177">
        <f>IF(CleanEmployeeData[[#This Row],[Attrition]]="Yes",1,IF(CleanEmployeeData[[#This Row],[Attrition]]="No",0,""))</f>
        <v>0</v>
      </c>
      <c r="AQ1177" t="str" cm="1">
        <f t="array" ref="AQ1177">_xlfn.IFS(CleanEmployeeData[[#This Row],[MonthlyIncome]]&lt;=3000,"0–3,000",CleanEmployeeData[[#This Row],[MonthlyIncome]]&lt;=6000,"3,001–6,000",CleanEmployeeData[[#This Row],[MonthlyIncome]]&lt;=10000,"6,001–10,000",TRUE,"10,001+")</f>
        <v>3,001–6,000</v>
      </c>
      <c r="AR1177" t="str" cm="1">
        <f t="array" ref="AR1177">_xlfn.IFS(CleanEmployeeData[[#This Row],[DistanceFromHome]]&lt;=5,"0–5 miles",CleanEmployeeData[[#This Row],[DistanceFromHome]]&lt;=10,"6–10 miles",CleanEmployeeData[[#This Row],[DistanceFromHome]]&lt;=15,"11–15 miles",TRUE,"16+ miles")</f>
        <v>11–15 miles</v>
      </c>
      <c r="AS1177" t="str" cm="1">
        <f t="array" ref="AS1177">_xlfn.IFS(CleanEmployeeData[[#This Row],[YearsAtCompany]]&lt;=1,"0–1 years",CleanEmployeeData[[#This Row],[YearsAtCompany]]&lt;=5,"2–5 years",CleanEmployeeData[[#This Row],[YearsAtCompany]]&lt;=10,"6–10 years",TRUE,"11+ years")</f>
        <v>2–5 years</v>
      </c>
    </row>
    <row r="1178" spans="1:4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cm="1">
        <f t="array" ref="AJ1178">_xlfn.SWITCH(CleanEmployeeData[[#This Row],[Education]],1,"Below College",2,"College",3,"Bachelor",4,"Master",5,"Doctor","Unknown")</f>
        <v>Master</v>
      </c>
      <c r="AK1178" t="str" cm="1">
        <f t="array" ref="AK1178">_xlfn.SWITCH(CleanEmployeeData[[#This Row],[EnvironmentSatisfaction]],1,"Low",2,"Medium",3,"High",4,"Very High","Unknown")</f>
        <v>Low</v>
      </c>
      <c r="AL1178" t="str" cm="1">
        <f t="array" ref="AL1178">_xlfn.SWITCH(CleanEmployeeData[[#This Row],[JobInvolvement]],1,"Low",2,"Medium",3,"High",4,"Very High","Unknown")</f>
        <v>High</v>
      </c>
      <c r="AM1178" t="str" cm="1">
        <f t="array" ref="AM1178">_xlfn.SWITCH(CleanEmployeeData[[#This Row],[JobSatisfaction]],1,"Low",2,"Medium",3,"High",4,"Very High","Unknown")</f>
        <v>Medium</v>
      </c>
      <c r="AN1178" t="str" cm="1">
        <f t="array" ref="AN1178">_xlfn.SWITCH(CleanEmployeeData[[#This Row],[PerformanceRating]],1,"Low",2,"Good",3,"Excellent",4,"Outstanding","Unknown")</f>
        <v>Excellent</v>
      </c>
      <c r="AO1178" t="str" cm="1">
        <f t="array" ref="AO1178">_xlfn.SWITCH(CleanEmployeeData[[#This Row],[WorkLifeBalance]],1,"Bad",2,"Good",3,"Better",4,"Best","Unknown")</f>
        <v>Better</v>
      </c>
      <c r="AP1178">
        <f>IF(CleanEmployeeData[[#This Row],[Attrition]]="Yes",1,IF(CleanEmployeeData[[#This Row],[Attrition]]="No",0,""))</f>
        <v>0</v>
      </c>
      <c r="AQ1178" t="str" cm="1">
        <f t="array" ref="AQ1178">_xlfn.IFS(CleanEmployeeData[[#This Row],[MonthlyIncome]]&lt;=3000,"0–3,000",CleanEmployeeData[[#This Row],[MonthlyIncome]]&lt;=6000,"3,001–6,000",CleanEmployeeData[[#This Row],[MonthlyIncome]]&lt;=10000,"6,001–10,000",TRUE,"10,001+")</f>
        <v>10,001+</v>
      </c>
      <c r="AR1178" t="str" cm="1">
        <f t="array" ref="AR1178">_xlfn.IFS(CleanEmployeeData[[#This Row],[DistanceFromHome]]&lt;=5,"0–5 miles",CleanEmployeeData[[#This Row],[DistanceFromHome]]&lt;=10,"6–10 miles",CleanEmployeeData[[#This Row],[DistanceFromHome]]&lt;=15,"11–15 miles",TRUE,"16+ miles")</f>
        <v>16+ miles</v>
      </c>
      <c r="AS1178" t="str" cm="1">
        <f t="array" ref="AS1178">_xlfn.IFS(CleanEmployeeData[[#This Row],[YearsAtCompany]]&lt;=1,"0–1 years",CleanEmployeeData[[#This Row],[YearsAtCompany]]&lt;=5,"2–5 years",CleanEmployeeData[[#This Row],[YearsAtCompany]]&lt;=10,"6–10 years",TRUE,"11+ years")</f>
        <v>2–5 years</v>
      </c>
    </row>
    <row r="1179" spans="1:4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cm="1">
        <f t="array" ref="AJ1179">_xlfn.SWITCH(CleanEmployeeData[[#This Row],[Education]],1,"Below College",2,"College",3,"Bachelor",4,"Master",5,"Doctor","Unknown")</f>
        <v>Doctor</v>
      </c>
      <c r="AK1179" t="str" cm="1">
        <f t="array" ref="AK1179">_xlfn.SWITCH(CleanEmployeeData[[#This Row],[EnvironmentSatisfaction]],1,"Low",2,"Medium",3,"High",4,"Very High","Unknown")</f>
        <v>Very High</v>
      </c>
      <c r="AL1179" t="str" cm="1">
        <f t="array" ref="AL1179">_xlfn.SWITCH(CleanEmployeeData[[#This Row],[JobInvolvement]],1,"Low",2,"Medium",3,"High",4,"Very High","Unknown")</f>
        <v>Medium</v>
      </c>
      <c r="AM1179" t="str" cm="1">
        <f t="array" ref="AM1179">_xlfn.SWITCH(CleanEmployeeData[[#This Row],[JobSatisfaction]],1,"Low",2,"Medium",3,"High",4,"Very High","Unknown")</f>
        <v>Low</v>
      </c>
      <c r="AN1179" t="str" cm="1">
        <f t="array" ref="AN1179">_xlfn.SWITCH(CleanEmployeeData[[#This Row],[PerformanceRating]],1,"Low",2,"Good",3,"Excellent",4,"Outstanding","Unknown")</f>
        <v>Excellent</v>
      </c>
      <c r="AO1179" t="str" cm="1">
        <f t="array" ref="AO1179">_xlfn.SWITCH(CleanEmployeeData[[#This Row],[WorkLifeBalance]],1,"Bad",2,"Good",3,"Better",4,"Best","Unknown")</f>
        <v>Better</v>
      </c>
      <c r="AP1179">
        <f>IF(CleanEmployeeData[[#This Row],[Attrition]]="Yes",1,IF(CleanEmployeeData[[#This Row],[Attrition]]="No",0,""))</f>
        <v>0</v>
      </c>
      <c r="AQ1179" t="str" cm="1">
        <f t="array" ref="AQ1179">_xlfn.IFS(CleanEmployeeData[[#This Row],[MonthlyIncome]]&lt;=3000,"0–3,000",CleanEmployeeData[[#This Row],[MonthlyIncome]]&lt;=6000,"3,001–6,000",CleanEmployeeData[[#This Row],[MonthlyIncome]]&lt;=10000,"6,001–10,000",TRUE,"10,001+")</f>
        <v>10,001+</v>
      </c>
      <c r="AR1179" t="str" cm="1">
        <f t="array" ref="AR1179">_xlfn.IFS(CleanEmployeeData[[#This Row],[DistanceFromHome]]&lt;=5,"0–5 miles",CleanEmployeeData[[#This Row],[DistanceFromHome]]&lt;=10,"6–10 miles",CleanEmployeeData[[#This Row],[DistanceFromHome]]&lt;=15,"11–15 miles",TRUE,"16+ miles")</f>
        <v>16+ miles</v>
      </c>
      <c r="AS1179" t="str" cm="1">
        <f t="array" ref="AS1179">_xlfn.IFS(CleanEmployeeData[[#This Row],[YearsAtCompany]]&lt;=1,"0–1 years",CleanEmployeeData[[#This Row],[YearsAtCompany]]&lt;=5,"2–5 years",CleanEmployeeData[[#This Row],[YearsAtCompany]]&lt;=10,"6–10 years",TRUE,"11+ years")</f>
        <v>11+ years</v>
      </c>
    </row>
    <row r="1180" spans="1:4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cm="1">
        <f t="array" ref="AJ1180">_xlfn.SWITCH(CleanEmployeeData[[#This Row],[Education]],1,"Below College",2,"College",3,"Bachelor",4,"Master",5,"Doctor","Unknown")</f>
        <v>Bachelor</v>
      </c>
      <c r="AK1180" t="str" cm="1">
        <f t="array" ref="AK1180">_xlfn.SWITCH(CleanEmployeeData[[#This Row],[EnvironmentSatisfaction]],1,"Low",2,"Medium",3,"High",4,"Very High","Unknown")</f>
        <v>High</v>
      </c>
      <c r="AL1180" t="str" cm="1">
        <f t="array" ref="AL1180">_xlfn.SWITCH(CleanEmployeeData[[#This Row],[JobInvolvement]],1,"Low",2,"Medium",3,"High",4,"Very High","Unknown")</f>
        <v>High</v>
      </c>
      <c r="AM1180" t="str" cm="1">
        <f t="array" ref="AM1180">_xlfn.SWITCH(CleanEmployeeData[[#This Row],[JobSatisfaction]],1,"Low",2,"Medium",3,"High",4,"Very High","Unknown")</f>
        <v>High</v>
      </c>
      <c r="AN1180" t="str" cm="1">
        <f t="array" ref="AN1180">_xlfn.SWITCH(CleanEmployeeData[[#This Row],[PerformanceRating]],1,"Low",2,"Good",3,"Excellent",4,"Outstanding","Unknown")</f>
        <v>Excellent</v>
      </c>
      <c r="AO1180" t="str" cm="1">
        <f t="array" ref="AO1180">_xlfn.SWITCH(CleanEmployeeData[[#This Row],[WorkLifeBalance]],1,"Bad",2,"Good",3,"Better",4,"Best","Unknown")</f>
        <v>Better</v>
      </c>
      <c r="AP1180">
        <f>IF(CleanEmployeeData[[#This Row],[Attrition]]="Yes",1,IF(CleanEmployeeData[[#This Row],[Attrition]]="No",0,""))</f>
        <v>0</v>
      </c>
      <c r="AQ1180" t="str" cm="1">
        <f t="array" ref="AQ1180">_xlfn.IFS(CleanEmployeeData[[#This Row],[MonthlyIncome]]&lt;=3000,"0–3,000",CleanEmployeeData[[#This Row],[MonthlyIncome]]&lt;=6000,"3,001–6,000",CleanEmployeeData[[#This Row],[MonthlyIncome]]&lt;=10000,"6,001–10,000",TRUE,"10,001+")</f>
        <v>0–3,000</v>
      </c>
      <c r="AR1180" t="str" cm="1">
        <f t="array" ref="AR1180">_xlfn.IFS(CleanEmployeeData[[#This Row],[DistanceFromHome]]&lt;=5,"0–5 miles",CleanEmployeeData[[#This Row],[DistanceFromHome]]&lt;=10,"6–10 miles",CleanEmployeeData[[#This Row],[DistanceFromHome]]&lt;=15,"11–15 miles",TRUE,"16+ miles")</f>
        <v>0–5 miles</v>
      </c>
      <c r="AS1180" t="str" cm="1">
        <f t="array" ref="AS1180">_xlfn.IFS(CleanEmployeeData[[#This Row],[YearsAtCompany]]&lt;=1,"0–1 years",CleanEmployeeData[[#This Row],[YearsAtCompany]]&lt;=5,"2–5 years",CleanEmployeeData[[#This Row],[YearsAtCompany]]&lt;=10,"6–10 years",TRUE,"11+ years")</f>
        <v>2–5 years</v>
      </c>
    </row>
    <row r="1181" spans="1:4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cm="1">
        <f t="array" ref="AJ1181">_xlfn.SWITCH(CleanEmployeeData[[#This Row],[Education]],1,"Below College",2,"College",3,"Bachelor",4,"Master",5,"Doctor","Unknown")</f>
        <v>Bachelor</v>
      </c>
      <c r="AK1181" t="str" cm="1">
        <f t="array" ref="AK1181">_xlfn.SWITCH(CleanEmployeeData[[#This Row],[EnvironmentSatisfaction]],1,"Low",2,"Medium",3,"High",4,"Very High","Unknown")</f>
        <v>Very High</v>
      </c>
      <c r="AL1181" t="str" cm="1">
        <f t="array" ref="AL1181">_xlfn.SWITCH(CleanEmployeeData[[#This Row],[JobInvolvement]],1,"Low",2,"Medium",3,"High",4,"Very High","Unknown")</f>
        <v>High</v>
      </c>
      <c r="AM1181" t="str" cm="1">
        <f t="array" ref="AM1181">_xlfn.SWITCH(CleanEmployeeData[[#This Row],[JobSatisfaction]],1,"Low",2,"Medium",3,"High",4,"Very High","Unknown")</f>
        <v>Medium</v>
      </c>
      <c r="AN1181" t="str" cm="1">
        <f t="array" ref="AN1181">_xlfn.SWITCH(CleanEmployeeData[[#This Row],[PerformanceRating]],1,"Low",2,"Good",3,"Excellent",4,"Outstanding","Unknown")</f>
        <v>Excellent</v>
      </c>
      <c r="AO1181" t="str" cm="1">
        <f t="array" ref="AO1181">_xlfn.SWITCH(CleanEmployeeData[[#This Row],[WorkLifeBalance]],1,"Bad",2,"Good",3,"Better",4,"Best","Unknown")</f>
        <v>Better</v>
      </c>
      <c r="AP1181">
        <f>IF(CleanEmployeeData[[#This Row],[Attrition]]="Yes",1,IF(CleanEmployeeData[[#This Row],[Attrition]]="No",0,""))</f>
        <v>0</v>
      </c>
      <c r="AQ1181" t="str" cm="1">
        <f t="array" ref="AQ1181">_xlfn.IFS(CleanEmployeeData[[#This Row],[MonthlyIncome]]&lt;=3000,"0–3,000",CleanEmployeeData[[#This Row],[MonthlyIncome]]&lt;=6000,"3,001–6,000",CleanEmployeeData[[#This Row],[MonthlyIncome]]&lt;=10000,"6,001–10,000",TRUE,"10,001+")</f>
        <v>3,001–6,000</v>
      </c>
      <c r="AR1181" t="str" cm="1">
        <f t="array" ref="AR1181">_xlfn.IFS(CleanEmployeeData[[#This Row],[DistanceFromHome]]&lt;=5,"0–5 miles",CleanEmployeeData[[#This Row],[DistanceFromHome]]&lt;=10,"6–10 miles",CleanEmployeeData[[#This Row],[DistanceFromHome]]&lt;=15,"11–15 miles",TRUE,"16+ miles")</f>
        <v>0–5 miles</v>
      </c>
      <c r="AS1181" t="str" cm="1">
        <f t="array" ref="AS1181">_xlfn.IFS(CleanEmployeeData[[#This Row],[YearsAtCompany]]&lt;=1,"0–1 years",CleanEmployeeData[[#This Row],[YearsAtCompany]]&lt;=5,"2–5 years",CleanEmployeeData[[#This Row],[YearsAtCompany]]&lt;=10,"6–10 years",TRUE,"11+ years")</f>
        <v>11+ years</v>
      </c>
    </row>
    <row r="1182" spans="1:4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cm="1">
        <f t="array" ref="AJ1182">_xlfn.SWITCH(CleanEmployeeData[[#This Row],[Education]],1,"Below College",2,"College",3,"Bachelor",4,"Master",5,"Doctor","Unknown")</f>
        <v>Bachelor</v>
      </c>
      <c r="AK1182" t="str" cm="1">
        <f t="array" ref="AK1182">_xlfn.SWITCH(CleanEmployeeData[[#This Row],[EnvironmentSatisfaction]],1,"Low",2,"Medium",3,"High",4,"Very High","Unknown")</f>
        <v>Low</v>
      </c>
      <c r="AL1182" t="str" cm="1">
        <f t="array" ref="AL1182">_xlfn.SWITCH(CleanEmployeeData[[#This Row],[JobInvolvement]],1,"Low",2,"Medium",3,"High",4,"Very High","Unknown")</f>
        <v>High</v>
      </c>
      <c r="AM1182" t="str" cm="1">
        <f t="array" ref="AM1182">_xlfn.SWITCH(CleanEmployeeData[[#This Row],[JobSatisfaction]],1,"Low",2,"Medium",3,"High",4,"Very High","Unknown")</f>
        <v>Medium</v>
      </c>
      <c r="AN1182" t="str" cm="1">
        <f t="array" ref="AN1182">_xlfn.SWITCH(CleanEmployeeData[[#This Row],[PerformanceRating]],1,"Low",2,"Good",3,"Excellent",4,"Outstanding","Unknown")</f>
        <v>Excellent</v>
      </c>
      <c r="AO1182" t="str" cm="1">
        <f t="array" ref="AO1182">_xlfn.SWITCH(CleanEmployeeData[[#This Row],[WorkLifeBalance]],1,"Bad",2,"Good",3,"Better",4,"Best","Unknown")</f>
        <v>Better</v>
      </c>
      <c r="AP1182">
        <f>IF(CleanEmployeeData[[#This Row],[Attrition]]="Yes",1,IF(CleanEmployeeData[[#This Row],[Attrition]]="No",0,""))</f>
        <v>0</v>
      </c>
      <c r="AQ1182" t="str" cm="1">
        <f t="array" ref="AQ1182">_xlfn.IFS(CleanEmployeeData[[#This Row],[MonthlyIncome]]&lt;=3000,"0–3,000",CleanEmployeeData[[#This Row],[MonthlyIncome]]&lt;=6000,"3,001–6,000",CleanEmployeeData[[#This Row],[MonthlyIncome]]&lt;=10000,"6,001–10,000",TRUE,"10,001+")</f>
        <v>0–3,000</v>
      </c>
      <c r="AR1182" t="str" cm="1">
        <f t="array" ref="AR1182">_xlfn.IFS(CleanEmployeeData[[#This Row],[DistanceFromHome]]&lt;=5,"0–5 miles",CleanEmployeeData[[#This Row],[DistanceFromHome]]&lt;=10,"6–10 miles",CleanEmployeeData[[#This Row],[DistanceFromHome]]&lt;=15,"11–15 miles",TRUE,"16+ miles")</f>
        <v>6–10 miles</v>
      </c>
      <c r="AS1182" t="str" cm="1">
        <f t="array" ref="AS1182">_xlfn.IFS(CleanEmployeeData[[#This Row],[YearsAtCompany]]&lt;=1,"0–1 years",CleanEmployeeData[[#This Row],[YearsAtCompany]]&lt;=5,"2–5 years",CleanEmployeeData[[#This Row],[YearsAtCompany]]&lt;=10,"6–10 years",TRUE,"11+ years")</f>
        <v>2–5 years</v>
      </c>
    </row>
    <row r="1183" spans="1:4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cm="1">
        <f t="array" ref="AJ1183">_xlfn.SWITCH(CleanEmployeeData[[#This Row],[Education]],1,"Below College",2,"College",3,"Bachelor",4,"Master",5,"Doctor","Unknown")</f>
        <v>Below College</v>
      </c>
      <c r="AK1183" t="str" cm="1">
        <f t="array" ref="AK1183">_xlfn.SWITCH(CleanEmployeeData[[#This Row],[EnvironmentSatisfaction]],1,"Low",2,"Medium",3,"High",4,"Very High","Unknown")</f>
        <v>High</v>
      </c>
      <c r="AL1183" t="str" cm="1">
        <f t="array" ref="AL1183">_xlfn.SWITCH(CleanEmployeeData[[#This Row],[JobInvolvement]],1,"Low",2,"Medium",3,"High",4,"Very High","Unknown")</f>
        <v>Medium</v>
      </c>
      <c r="AM1183" t="str" cm="1">
        <f t="array" ref="AM1183">_xlfn.SWITCH(CleanEmployeeData[[#This Row],[JobSatisfaction]],1,"Low",2,"Medium",3,"High",4,"Very High","Unknown")</f>
        <v>High</v>
      </c>
      <c r="AN1183" t="str" cm="1">
        <f t="array" ref="AN1183">_xlfn.SWITCH(CleanEmployeeData[[#This Row],[PerformanceRating]],1,"Low",2,"Good",3,"Excellent",4,"Outstanding","Unknown")</f>
        <v>Excellent</v>
      </c>
      <c r="AO1183" t="str" cm="1">
        <f t="array" ref="AO1183">_xlfn.SWITCH(CleanEmployeeData[[#This Row],[WorkLifeBalance]],1,"Bad",2,"Good",3,"Better",4,"Best","Unknown")</f>
        <v>Better</v>
      </c>
      <c r="AP1183">
        <f>IF(CleanEmployeeData[[#This Row],[Attrition]]="Yes",1,IF(CleanEmployeeData[[#This Row],[Attrition]]="No",0,""))</f>
        <v>0</v>
      </c>
      <c r="AQ1183" t="str" cm="1">
        <f t="array" ref="AQ1183">_xlfn.IFS(CleanEmployeeData[[#This Row],[MonthlyIncome]]&lt;=3000,"0–3,000",CleanEmployeeData[[#This Row],[MonthlyIncome]]&lt;=6000,"3,001–6,000",CleanEmployeeData[[#This Row],[MonthlyIncome]]&lt;=10000,"6,001–10,000",TRUE,"10,001+")</f>
        <v>10,001+</v>
      </c>
      <c r="AR1183" t="str" cm="1">
        <f t="array" ref="AR1183">_xlfn.IFS(CleanEmployeeData[[#This Row],[DistanceFromHome]]&lt;=5,"0–5 miles",CleanEmployeeData[[#This Row],[DistanceFromHome]]&lt;=10,"6–10 miles",CleanEmployeeData[[#This Row],[DistanceFromHome]]&lt;=15,"11–15 miles",TRUE,"16+ miles")</f>
        <v>6–10 miles</v>
      </c>
      <c r="AS1183" t="str" cm="1">
        <f t="array" ref="AS1183">_xlfn.IFS(CleanEmployeeData[[#This Row],[YearsAtCompany]]&lt;=1,"0–1 years",CleanEmployeeData[[#This Row],[YearsAtCompany]]&lt;=5,"2–5 years",CleanEmployeeData[[#This Row],[YearsAtCompany]]&lt;=10,"6–10 years",TRUE,"11+ years")</f>
        <v>11+ years</v>
      </c>
    </row>
    <row r="1184" spans="1:4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cm="1">
        <f t="array" ref="AJ1184">_xlfn.SWITCH(CleanEmployeeData[[#This Row],[Education]],1,"Below College",2,"College",3,"Bachelor",4,"Master",5,"Doctor","Unknown")</f>
        <v>Master</v>
      </c>
      <c r="AK1184" t="str" cm="1">
        <f t="array" ref="AK1184">_xlfn.SWITCH(CleanEmployeeData[[#This Row],[EnvironmentSatisfaction]],1,"Low",2,"Medium",3,"High",4,"Very High","Unknown")</f>
        <v>Very High</v>
      </c>
      <c r="AL1184" t="str" cm="1">
        <f t="array" ref="AL1184">_xlfn.SWITCH(CleanEmployeeData[[#This Row],[JobInvolvement]],1,"Low",2,"Medium",3,"High",4,"Very High","Unknown")</f>
        <v>Medium</v>
      </c>
      <c r="AM1184" t="str" cm="1">
        <f t="array" ref="AM1184">_xlfn.SWITCH(CleanEmployeeData[[#This Row],[JobSatisfaction]],1,"Low",2,"Medium",3,"High",4,"Very High","Unknown")</f>
        <v>High</v>
      </c>
      <c r="AN1184" t="str" cm="1">
        <f t="array" ref="AN1184">_xlfn.SWITCH(CleanEmployeeData[[#This Row],[PerformanceRating]],1,"Low",2,"Good",3,"Excellent",4,"Outstanding","Unknown")</f>
        <v>Excellent</v>
      </c>
      <c r="AO1184" t="str" cm="1">
        <f t="array" ref="AO1184">_xlfn.SWITCH(CleanEmployeeData[[#This Row],[WorkLifeBalance]],1,"Bad",2,"Good",3,"Better",4,"Best","Unknown")</f>
        <v>Better</v>
      </c>
      <c r="AP1184">
        <f>IF(CleanEmployeeData[[#This Row],[Attrition]]="Yes",1,IF(CleanEmployeeData[[#This Row],[Attrition]]="No",0,""))</f>
        <v>0</v>
      </c>
      <c r="AQ1184" t="str" cm="1">
        <f t="array" ref="AQ1184">_xlfn.IFS(CleanEmployeeData[[#This Row],[MonthlyIncome]]&lt;=3000,"0–3,000",CleanEmployeeData[[#This Row],[MonthlyIncome]]&lt;=6000,"3,001–6,000",CleanEmployeeData[[#This Row],[MonthlyIncome]]&lt;=10000,"6,001–10,000",TRUE,"10,001+")</f>
        <v>3,001–6,000</v>
      </c>
      <c r="AR1184" t="str" cm="1">
        <f t="array" ref="AR1184">_xlfn.IFS(CleanEmployeeData[[#This Row],[DistanceFromHome]]&lt;=5,"0–5 miles",CleanEmployeeData[[#This Row],[DistanceFromHome]]&lt;=10,"6–10 miles",CleanEmployeeData[[#This Row],[DistanceFromHome]]&lt;=15,"11–15 miles",TRUE,"16+ miles")</f>
        <v>0–5 miles</v>
      </c>
      <c r="AS1184" t="str" cm="1">
        <f t="array" ref="AS1184">_xlfn.IFS(CleanEmployeeData[[#This Row],[YearsAtCompany]]&lt;=1,"0–1 years",CleanEmployeeData[[#This Row],[YearsAtCompany]]&lt;=5,"2–5 years",CleanEmployeeData[[#This Row],[YearsAtCompany]]&lt;=10,"6–10 years",TRUE,"11+ years")</f>
        <v>2–5 years</v>
      </c>
    </row>
    <row r="1185" spans="1:4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cm="1">
        <f t="array" ref="AJ1185">_xlfn.SWITCH(CleanEmployeeData[[#This Row],[Education]],1,"Below College",2,"College",3,"Bachelor",4,"Master",5,"Doctor","Unknown")</f>
        <v>College</v>
      </c>
      <c r="AK1185" t="str" cm="1">
        <f t="array" ref="AK1185">_xlfn.SWITCH(CleanEmployeeData[[#This Row],[EnvironmentSatisfaction]],1,"Low",2,"Medium",3,"High",4,"Very High","Unknown")</f>
        <v>Very High</v>
      </c>
      <c r="AL1185" t="str" cm="1">
        <f t="array" ref="AL1185">_xlfn.SWITCH(CleanEmployeeData[[#This Row],[JobInvolvement]],1,"Low",2,"Medium",3,"High",4,"Very High","Unknown")</f>
        <v>Very High</v>
      </c>
      <c r="AM1185" t="str" cm="1">
        <f t="array" ref="AM1185">_xlfn.SWITCH(CleanEmployeeData[[#This Row],[JobSatisfaction]],1,"Low",2,"Medium",3,"High",4,"Very High","Unknown")</f>
        <v>Low</v>
      </c>
      <c r="AN1185" t="str" cm="1">
        <f t="array" ref="AN1185">_xlfn.SWITCH(CleanEmployeeData[[#This Row],[PerformanceRating]],1,"Low",2,"Good",3,"Excellent",4,"Outstanding","Unknown")</f>
        <v>Outstanding</v>
      </c>
      <c r="AO1185" t="str" cm="1">
        <f t="array" ref="AO1185">_xlfn.SWITCH(CleanEmployeeData[[#This Row],[WorkLifeBalance]],1,"Bad",2,"Good",3,"Better",4,"Best","Unknown")</f>
        <v>Better</v>
      </c>
      <c r="AP1185">
        <f>IF(CleanEmployeeData[[#This Row],[Attrition]]="Yes",1,IF(CleanEmployeeData[[#This Row],[Attrition]]="No",0,""))</f>
        <v>0</v>
      </c>
      <c r="AQ1185" t="str" cm="1">
        <f t="array" ref="AQ1185">_xlfn.IFS(CleanEmployeeData[[#This Row],[MonthlyIncome]]&lt;=3000,"0–3,000",CleanEmployeeData[[#This Row],[MonthlyIncome]]&lt;=6000,"3,001–6,000",CleanEmployeeData[[#This Row],[MonthlyIncome]]&lt;=10000,"6,001–10,000",TRUE,"10,001+")</f>
        <v>6,001–10,000</v>
      </c>
      <c r="AR1185" t="str" cm="1">
        <f t="array" ref="AR1185">_xlfn.IFS(CleanEmployeeData[[#This Row],[DistanceFromHome]]&lt;=5,"0–5 miles",CleanEmployeeData[[#This Row],[DistanceFromHome]]&lt;=10,"6–10 miles",CleanEmployeeData[[#This Row],[DistanceFromHome]]&lt;=15,"11–15 miles",TRUE,"16+ miles")</f>
        <v>0–5 miles</v>
      </c>
      <c r="AS1185" t="str" cm="1">
        <f t="array" ref="AS1185">_xlfn.IFS(CleanEmployeeData[[#This Row],[YearsAtCompany]]&lt;=1,"0–1 years",CleanEmployeeData[[#This Row],[YearsAtCompany]]&lt;=5,"2–5 years",CleanEmployeeData[[#This Row],[YearsAtCompany]]&lt;=10,"6–10 years",TRUE,"11+ years")</f>
        <v>2–5 years</v>
      </c>
    </row>
    <row r="1186" spans="1:4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cm="1">
        <f t="array" ref="AJ1186">_xlfn.SWITCH(CleanEmployeeData[[#This Row],[Education]],1,"Below College",2,"College",3,"Bachelor",4,"Master",5,"Doctor","Unknown")</f>
        <v>Doctor</v>
      </c>
      <c r="AK1186" t="str" cm="1">
        <f t="array" ref="AK1186">_xlfn.SWITCH(CleanEmployeeData[[#This Row],[EnvironmentSatisfaction]],1,"Low",2,"Medium",3,"High",4,"Very High","Unknown")</f>
        <v>Medium</v>
      </c>
      <c r="AL1186" t="str" cm="1">
        <f t="array" ref="AL1186">_xlfn.SWITCH(CleanEmployeeData[[#This Row],[JobInvolvement]],1,"Low",2,"Medium",3,"High",4,"Very High","Unknown")</f>
        <v>High</v>
      </c>
      <c r="AM1186" t="str" cm="1">
        <f t="array" ref="AM1186">_xlfn.SWITCH(CleanEmployeeData[[#This Row],[JobSatisfaction]],1,"Low",2,"Medium",3,"High",4,"Very High","Unknown")</f>
        <v>High</v>
      </c>
      <c r="AN1186" t="str" cm="1">
        <f t="array" ref="AN1186">_xlfn.SWITCH(CleanEmployeeData[[#This Row],[PerformanceRating]],1,"Low",2,"Good",3,"Excellent",4,"Outstanding","Unknown")</f>
        <v>Outstanding</v>
      </c>
      <c r="AO1186" t="str" cm="1">
        <f t="array" ref="AO1186">_xlfn.SWITCH(CleanEmployeeData[[#This Row],[WorkLifeBalance]],1,"Bad",2,"Good",3,"Better",4,"Best","Unknown")</f>
        <v>Better</v>
      </c>
      <c r="AP1186">
        <f>IF(CleanEmployeeData[[#This Row],[Attrition]]="Yes",1,IF(CleanEmployeeData[[#This Row],[Attrition]]="No",0,""))</f>
        <v>0</v>
      </c>
      <c r="AQ1186" t="str" cm="1">
        <f t="array" ref="AQ1186">_xlfn.IFS(CleanEmployeeData[[#This Row],[MonthlyIncome]]&lt;=3000,"0–3,000",CleanEmployeeData[[#This Row],[MonthlyIncome]]&lt;=6000,"3,001–6,000",CleanEmployeeData[[#This Row],[MonthlyIncome]]&lt;=10000,"6,001–10,000",TRUE,"10,001+")</f>
        <v>10,001+</v>
      </c>
      <c r="AR1186" t="str" cm="1">
        <f t="array" ref="AR1186">_xlfn.IFS(CleanEmployeeData[[#This Row],[DistanceFromHome]]&lt;=5,"0–5 miles",CleanEmployeeData[[#This Row],[DistanceFromHome]]&lt;=10,"6–10 miles",CleanEmployeeData[[#This Row],[DistanceFromHome]]&lt;=15,"11–15 miles",TRUE,"16+ miles")</f>
        <v>16+ miles</v>
      </c>
      <c r="AS1186" t="str" cm="1">
        <f t="array" ref="AS1186">_xlfn.IFS(CleanEmployeeData[[#This Row],[YearsAtCompany]]&lt;=1,"0–1 years",CleanEmployeeData[[#This Row],[YearsAtCompany]]&lt;=5,"2–5 years",CleanEmployeeData[[#This Row],[YearsAtCompany]]&lt;=10,"6–10 years",TRUE,"11+ years")</f>
        <v>6–10 years</v>
      </c>
    </row>
    <row r="1187" spans="1:4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cm="1">
        <f t="array" ref="AJ1187">_xlfn.SWITCH(CleanEmployeeData[[#This Row],[Education]],1,"Below College",2,"College",3,"Bachelor",4,"Master",5,"Doctor","Unknown")</f>
        <v>College</v>
      </c>
      <c r="AK1187" t="str" cm="1">
        <f t="array" ref="AK1187">_xlfn.SWITCH(CleanEmployeeData[[#This Row],[EnvironmentSatisfaction]],1,"Low",2,"Medium",3,"High",4,"Very High","Unknown")</f>
        <v>High</v>
      </c>
      <c r="AL1187" t="str" cm="1">
        <f t="array" ref="AL1187">_xlfn.SWITCH(CleanEmployeeData[[#This Row],[JobInvolvement]],1,"Low",2,"Medium",3,"High",4,"Very High","Unknown")</f>
        <v>Medium</v>
      </c>
      <c r="AM1187" t="str" cm="1">
        <f t="array" ref="AM1187">_xlfn.SWITCH(CleanEmployeeData[[#This Row],[JobSatisfaction]],1,"Low",2,"Medium",3,"High",4,"Very High","Unknown")</f>
        <v>High</v>
      </c>
      <c r="AN1187" t="str" cm="1">
        <f t="array" ref="AN1187">_xlfn.SWITCH(CleanEmployeeData[[#This Row],[PerformanceRating]],1,"Low",2,"Good",3,"Excellent",4,"Outstanding","Unknown")</f>
        <v>Outstanding</v>
      </c>
      <c r="AO1187" t="str" cm="1">
        <f t="array" ref="AO1187">_xlfn.SWITCH(CleanEmployeeData[[#This Row],[WorkLifeBalance]],1,"Bad",2,"Good",3,"Better",4,"Best","Unknown")</f>
        <v>Better</v>
      </c>
      <c r="AP1187">
        <f>IF(CleanEmployeeData[[#This Row],[Attrition]]="Yes",1,IF(CleanEmployeeData[[#This Row],[Attrition]]="No",0,""))</f>
        <v>0</v>
      </c>
      <c r="AQ1187" t="str" cm="1">
        <f t="array" ref="AQ1187">_xlfn.IFS(CleanEmployeeData[[#This Row],[MonthlyIncome]]&lt;=3000,"0–3,000",CleanEmployeeData[[#This Row],[MonthlyIncome]]&lt;=6000,"3,001–6,000",CleanEmployeeData[[#This Row],[MonthlyIncome]]&lt;=10000,"6,001–10,000",TRUE,"10,001+")</f>
        <v>10,001+</v>
      </c>
      <c r="AR1187" t="str" cm="1">
        <f t="array" ref="AR1187">_xlfn.IFS(CleanEmployeeData[[#This Row],[DistanceFromHome]]&lt;=5,"0–5 miles",CleanEmployeeData[[#This Row],[DistanceFromHome]]&lt;=10,"6–10 miles",CleanEmployeeData[[#This Row],[DistanceFromHome]]&lt;=15,"11–15 miles",TRUE,"16+ miles")</f>
        <v>11–15 miles</v>
      </c>
      <c r="AS1187" t="str" cm="1">
        <f t="array" ref="AS1187">_xlfn.IFS(CleanEmployeeData[[#This Row],[YearsAtCompany]]&lt;=1,"0–1 years",CleanEmployeeData[[#This Row],[YearsAtCompany]]&lt;=5,"2–5 years",CleanEmployeeData[[#This Row],[YearsAtCompany]]&lt;=10,"6–10 years",TRUE,"11+ years")</f>
        <v>11+ years</v>
      </c>
    </row>
    <row r="1188" spans="1:4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cm="1">
        <f t="array" ref="AJ1188">_xlfn.SWITCH(CleanEmployeeData[[#This Row],[Education]],1,"Below College",2,"College",3,"Bachelor",4,"Master",5,"Doctor","Unknown")</f>
        <v>Master</v>
      </c>
      <c r="AK1188" t="str" cm="1">
        <f t="array" ref="AK1188">_xlfn.SWITCH(CleanEmployeeData[[#This Row],[EnvironmentSatisfaction]],1,"Low",2,"Medium",3,"High",4,"Very High","Unknown")</f>
        <v>Very High</v>
      </c>
      <c r="AL1188" t="str" cm="1">
        <f t="array" ref="AL1188">_xlfn.SWITCH(CleanEmployeeData[[#This Row],[JobInvolvement]],1,"Low",2,"Medium",3,"High",4,"Very High","Unknown")</f>
        <v>High</v>
      </c>
      <c r="AM1188" t="str" cm="1">
        <f t="array" ref="AM1188">_xlfn.SWITCH(CleanEmployeeData[[#This Row],[JobSatisfaction]],1,"Low",2,"Medium",3,"High",4,"Very High","Unknown")</f>
        <v>Very High</v>
      </c>
      <c r="AN1188" t="str" cm="1">
        <f t="array" ref="AN1188">_xlfn.SWITCH(CleanEmployeeData[[#This Row],[PerformanceRating]],1,"Low",2,"Good",3,"Excellent",4,"Outstanding","Unknown")</f>
        <v>Outstanding</v>
      </c>
      <c r="AO1188" t="str" cm="1">
        <f t="array" ref="AO1188">_xlfn.SWITCH(CleanEmployeeData[[#This Row],[WorkLifeBalance]],1,"Bad",2,"Good",3,"Better",4,"Best","Unknown")</f>
        <v>Best</v>
      </c>
      <c r="AP1188">
        <f>IF(CleanEmployeeData[[#This Row],[Attrition]]="Yes",1,IF(CleanEmployeeData[[#This Row],[Attrition]]="No",0,""))</f>
        <v>1</v>
      </c>
      <c r="AQ1188" t="str" cm="1">
        <f t="array" ref="AQ1188">_xlfn.IFS(CleanEmployeeData[[#This Row],[MonthlyIncome]]&lt;=3000,"0–3,000",CleanEmployeeData[[#This Row],[MonthlyIncome]]&lt;=6000,"3,001–6,000",CleanEmployeeData[[#This Row],[MonthlyIncome]]&lt;=10000,"6,001–10,000",TRUE,"10,001+")</f>
        <v>3,001–6,000</v>
      </c>
      <c r="AR1188" t="str" cm="1">
        <f t="array" ref="AR1188">_xlfn.IFS(CleanEmployeeData[[#This Row],[DistanceFromHome]]&lt;=5,"0–5 miles",CleanEmployeeData[[#This Row],[DistanceFromHome]]&lt;=10,"6–10 miles",CleanEmployeeData[[#This Row],[DistanceFromHome]]&lt;=15,"11–15 miles",TRUE,"16+ miles")</f>
        <v>11–15 miles</v>
      </c>
      <c r="AS1188" t="str" cm="1">
        <f t="array" ref="AS1188">_xlfn.IFS(CleanEmployeeData[[#This Row],[YearsAtCompany]]&lt;=1,"0–1 years",CleanEmployeeData[[#This Row],[YearsAtCompany]]&lt;=5,"2–5 years",CleanEmployeeData[[#This Row],[YearsAtCompany]]&lt;=10,"6–10 years",TRUE,"11+ years")</f>
        <v>11+ years</v>
      </c>
    </row>
    <row r="1189" spans="1:4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cm="1">
        <f t="array" ref="AJ1189">_xlfn.SWITCH(CleanEmployeeData[[#This Row],[Education]],1,"Below College",2,"College",3,"Bachelor",4,"Master",5,"Doctor","Unknown")</f>
        <v>Bachelor</v>
      </c>
      <c r="AK1189" t="str" cm="1">
        <f t="array" ref="AK1189">_xlfn.SWITCH(CleanEmployeeData[[#This Row],[EnvironmentSatisfaction]],1,"Low",2,"Medium",3,"High",4,"Very High","Unknown")</f>
        <v>Very High</v>
      </c>
      <c r="AL1189" t="str" cm="1">
        <f t="array" ref="AL1189">_xlfn.SWITCH(CleanEmployeeData[[#This Row],[JobInvolvement]],1,"Low",2,"Medium",3,"High",4,"Very High","Unknown")</f>
        <v>High</v>
      </c>
      <c r="AM1189" t="str" cm="1">
        <f t="array" ref="AM1189">_xlfn.SWITCH(CleanEmployeeData[[#This Row],[JobSatisfaction]],1,"Low",2,"Medium",3,"High",4,"Very High","Unknown")</f>
        <v>Very High</v>
      </c>
      <c r="AN1189" t="str" cm="1">
        <f t="array" ref="AN1189">_xlfn.SWITCH(CleanEmployeeData[[#This Row],[PerformanceRating]],1,"Low",2,"Good",3,"Excellent",4,"Outstanding","Unknown")</f>
        <v>Excellent</v>
      </c>
      <c r="AO1189" t="str" cm="1">
        <f t="array" ref="AO1189">_xlfn.SWITCH(CleanEmployeeData[[#This Row],[WorkLifeBalance]],1,"Bad",2,"Good",3,"Better",4,"Best","Unknown")</f>
        <v>Best</v>
      </c>
      <c r="AP1189">
        <f>IF(CleanEmployeeData[[#This Row],[Attrition]]="Yes",1,IF(CleanEmployeeData[[#This Row],[Attrition]]="No",0,""))</f>
        <v>0</v>
      </c>
      <c r="AQ1189" t="str" cm="1">
        <f t="array" ref="AQ1189">_xlfn.IFS(CleanEmployeeData[[#This Row],[MonthlyIncome]]&lt;=3000,"0–3,000",CleanEmployeeData[[#This Row],[MonthlyIncome]]&lt;=6000,"3,001–6,000",CleanEmployeeData[[#This Row],[MonthlyIncome]]&lt;=10000,"6,001–10,000",TRUE,"10,001+")</f>
        <v>3,001–6,000</v>
      </c>
      <c r="AR1189" t="str" cm="1">
        <f t="array" ref="AR1189">_xlfn.IFS(CleanEmployeeData[[#This Row],[DistanceFromHome]]&lt;=5,"0–5 miles",CleanEmployeeData[[#This Row],[DistanceFromHome]]&lt;=10,"6–10 miles",CleanEmployeeData[[#This Row],[DistanceFromHome]]&lt;=15,"11–15 miles",TRUE,"16+ miles")</f>
        <v>0–5 miles</v>
      </c>
      <c r="AS1189" t="str" cm="1">
        <f t="array" ref="AS1189">_xlfn.IFS(CleanEmployeeData[[#This Row],[YearsAtCompany]]&lt;=1,"0–1 years",CleanEmployeeData[[#This Row],[YearsAtCompany]]&lt;=5,"2–5 years",CleanEmployeeData[[#This Row],[YearsAtCompany]]&lt;=10,"6–10 years",TRUE,"11+ years")</f>
        <v>11+ years</v>
      </c>
    </row>
    <row r="1190" spans="1:4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cm="1">
        <f t="array" ref="AJ1190">_xlfn.SWITCH(CleanEmployeeData[[#This Row],[Education]],1,"Below College",2,"College",3,"Bachelor",4,"Master",5,"Doctor","Unknown")</f>
        <v>Bachelor</v>
      </c>
      <c r="AK1190" t="str" cm="1">
        <f t="array" ref="AK1190">_xlfn.SWITCH(CleanEmployeeData[[#This Row],[EnvironmentSatisfaction]],1,"Low",2,"Medium",3,"High",4,"Very High","Unknown")</f>
        <v>Low</v>
      </c>
      <c r="AL1190" t="str" cm="1">
        <f t="array" ref="AL1190">_xlfn.SWITCH(CleanEmployeeData[[#This Row],[JobInvolvement]],1,"Low",2,"Medium",3,"High",4,"Very High","Unknown")</f>
        <v>Medium</v>
      </c>
      <c r="AM1190" t="str" cm="1">
        <f t="array" ref="AM1190">_xlfn.SWITCH(CleanEmployeeData[[#This Row],[JobSatisfaction]],1,"Low",2,"Medium",3,"High",4,"Very High","Unknown")</f>
        <v>Medium</v>
      </c>
      <c r="AN1190" t="str" cm="1">
        <f t="array" ref="AN1190">_xlfn.SWITCH(CleanEmployeeData[[#This Row],[PerformanceRating]],1,"Low",2,"Good",3,"Excellent",4,"Outstanding","Unknown")</f>
        <v>Excellent</v>
      </c>
      <c r="AO1190" t="str" cm="1">
        <f t="array" ref="AO1190">_xlfn.SWITCH(CleanEmployeeData[[#This Row],[WorkLifeBalance]],1,"Bad",2,"Good",3,"Better",4,"Best","Unknown")</f>
        <v>Good</v>
      </c>
      <c r="AP1190">
        <f>IF(CleanEmployeeData[[#This Row],[Attrition]]="Yes",1,IF(CleanEmployeeData[[#This Row],[Attrition]]="No",0,""))</f>
        <v>0</v>
      </c>
      <c r="AQ1190" t="str" cm="1">
        <f t="array" ref="AQ1190">_xlfn.IFS(CleanEmployeeData[[#This Row],[MonthlyIncome]]&lt;=3000,"0–3,000",CleanEmployeeData[[#This Row],[MonthlyIncome]]&lt;=6000,"3,001–6,000",CleanEmployeeData[[#This Row],[MonthlyIncome]]&lt;=10000,"6,001–10,000",TRUE,"10,001+")</f>
        <v>3,001–6,000</v>
      </c>
      <c r="AR1190" t="str" cm="1">
        <f t="array" ref="AR1190">_xlfn.IFS(CleanEmployeeData[[#This Row],[DistanceFromHome]]&lt;=5,"0–5 miles",CleanEmployeeData[[#This Row],[DistanceFromHome]]&lt;=10,"6–10 miles",CleanEmployeeData[[#This Row],[DistanceFromHome]]&lt;=15,"11–15 miles",TRUE,"16+ miles")</f>
        <v>0–5 miles</v>
      </c>
      <c r="AS1190" t="str" cm="1">
        <f t="array" ref="AS1190">_xlfn.IFS(CleanEmployeeData[[#This Row],[YearsAtCompany]]&lt;=1,"0–1 years",CleanEmployeeData[[#This Row],[YearsAtCompany]]&lt;=5,"2–5 years",CleanEmployeeData[[#This Row],[YearsAtCompany]]&lt;=10,"6–10 years",TRUE,"11+ years")</f>
        <v>6–10 years</v>
      </c>
    </row>
    <row r="1191" spans="1:4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cm="1">
        <f t="array" ref="AJ1191">_xlfn.SWITCH(CleanEmployeeData[[#This Row],[Education]],1,"Below College",2,"College",3,"Bachelor",4,"Master",5,"Doctor","Unknown")</f>
        <v>Master</v>
      </c>
      <c r="AK1191" t="str" cm="1">
        <f t="array" ref="AK1191">_xlfn.SWITCH(CleanEmployeeData[[#This Row],[EnvironmentSatisfaction]],1,"Low",2,"Medium",3,"High",4,"Very High","Unknown")</f>
        <v>Very High</v>
      </c>
      <c r="AL1191" t="str" cm="1">
        <f t="array" ref="AL1191">_xlfn.SWITCH(CleanEmployeeData[[#This Row],[JobInvolvement]],1,"Low",2,"Medium",3,"High",4,"Very High","Unknown")</f>
        <v>High</v>
      </c>
      <c r="AM1191" t="str" cm="1">
        <f t="array" ref="AM1191">_xlfn.SWITCH(CleanEmployeeData[[#This Row],[JobSatisfaction]],1,"Low",2,"Medium",3,"High",4,"Very High","Unknown")</f>
        <v>Very High</v>
      </c>
      <c r="AN1191" t="str" cm="1">
        <f t="array" ref="AN1191">_xlfn.SWITCH(CleanEmployeeData[[#This Row],[PerformanceRating]],1,"Low",2,"Good",3,"Excellent",4,"Outstanding","Unknown")</f>
        <v>Excellent</v>
      </c>
      <c r="AO1191" t="str" cm="1">
        <f t="array" ref="AO1191">_xlfn.SWITCH(CleanEmployeeData[[#This Row],[WorkLifeBalance]],1,"Bad",2,"Good",3,"Better",4,"Best","Unknown")</f>
        <v>Better</v>
      </c>
      <c r="AP1191">
        <f>IF(CleanEmployeeData[[#This Row],[Attrition]]="Yes",1,IF(CleanEmployeeData[[#This Row],[Attrition]]="No",0,""))</f>
        <v>0</v>
      </c>
      <c r="AQ1191" t="str" cm="1">
        <f t="array" ref="AQ1191">_xlfn.IFS(CleanEmployeeData[[#This Row],[MonthlyIncome]]&lt;=3000,"0–3,000",CleanEmployeeData[[#This Row],[MonthlyIncome]]&lt;=6000,"3,001–6,000",CleanEmployeeData[[#This Row],[MonthlyIncome]]&lt;=10000,"6,001–10,000",TRUE,"10,001+")</f>
        <v>3,001–6,000</v>
      </c>
      <c r="AR1191" t="str" cm="1">
        <f t="array" ref="AR1191">_xlfn.IFS(CleanEmployeeData[[#This Row],[DistanceFromHome]]&lt;=5,"0–5 miles",CleanEmployeeData[[#This Row],[DistanceFromHome]]&lt;=10,"6–10 miles",CleanEmployeeData[[#This Row],[DistanceFromHome]]&lt;=15,"11–15 miles",TRUE,"16+ miles")</f>
        <v>0–5 miles</v>
      </c>
      <c r="AS1191" t="str" cm="1">
        <f t="array" ref="AS1191">_xlfn.IFS(CleanEmployeeData[[#This Row],[YearsAtCompany]]&lt;=1,"0–1 years",CleanEmployeeData[[#This Row],[YearsAtCompany]]&lt;=5,"2–5 years",CleanEmployeeData[[#This Row],[YearsAtCompany]]&lt;=10,"6–10 years",TRUE,"11+ years")</f>
        <v>6–10 years</v>
      </c>
    </row>
    <row r="1192" spans="1:4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cm="1">
        <f t="array" ref="AJ1192">_xlfn.SWITCH(CleanEmployeeData[[#This Row],[Education]],1,"Below College",2,"College",3,"Bachelor",4,"Master",5,"Doctor","Unknown")</f>
        <v>Bachelor</v>
      </c>
      <c r="AK1192" t="str" cm="1">
        <f t="array" ref="AK1192">_xlfn.SWITCH(CleanEmployeeData[[#This Row],[EnvironmentSatisfaction]],1,"Low",2,"Medium",3,"High",4,"Very High","Unknown")</f>
        <v>Very High</v>
      </c>
      <c r="AL1192" t="str" cm="1">
        <f t="array" ref="AL1192">_xlfn.SWITCH(CleanEmployeeData[[#This Row],[JobInvolvement]],1,"Low",2,"Medium",3,"High",4,"Very High","Unknown")</f>
        <v>High</v>
      </c>
      <c r="AM1192" t="str" cm="1">
        <f t="array" ref="AM1192">_xlfn.SWITCH(CleanEmployeeData[[#This Row],[JobSatisfaction]],1,"Low",2,"Medium",3,"High",4,"Very High","Unknown")</f>
        <v>Medium</v>
      </c>
      <c r="AN1192" t="str" cm="1">
        <f t="array" ref="AN1192">_xlfn.SWITCH(CleanEmployeeData[[#This Row],[PerformanceRating]],1,"Low",2,"Good",3,"Excellent",4,"Outstanding","Unknown")</f>
        <v>Excellent</v>
      </c>
      <c r="AO1192" t="str" cm="1">
        <f t="array" ref="AO1192">_xlfn.SWITCH(CleanEmployeeData[[#This Row],[WorkLifeBalance]],1,"Bad",2,"Good",3,"Better",4,"Best","Unknown")</f>
        <v>Good</v>
      </c>
      <c r="AP1192">
        <f>IF(CleanEmployeeData[[#This Row],[Attrition]]="Yes",1,IF(CleanEmployeeData[[#This Row],[Attrition]]="No",0,""))</f>
        <v>0</v>
      </c>
      <c r="AQ1192" t="str" cm="1">
        <f t="array" ref="AQ1192">_xlfn.IFS(CleanEmployeeData[[#This Row],[MonthlyIncome]]&lt;=3000,"0–3,000",CleanEmployeeData[[#This Row],[MonthlyIncome]]&lt;=6000,"3,001–6,000",CleanEmployeeData[[#This Row],[MonthlyIncome]]&lt;=10000,"6,001–10,000",TRUE,"10,001+")</f>
        <v>3,001–6,000</v>
      </c>
      <c r="AR1192" t="str" cm="1">
        <f t="array" ref="AR1192">_xlfn.IFS(CleanEmployeeData[[#This Row],[DistanceFromHome]]&lt;=5,"0–5 miles",CleanEmployeeData[[#This Row],[DistanceFromHome]]&lt;=10,"6–10 miles",CleanEmployeeData[[#This Row],[DistanceFromHome]]&lt;=15,"11–15 miles",TRUE,"16+ miles")</f>
        <v>0–5 miles</v>
      </c>
      <c r="AS1192" t="str" cm="1">
        <f t="array" ref="AS1192">_xlfn.IFS(CleanEmployeeData[[#This Row],[YearsAtCompany]]&lt;=1,"0–1 years",CleanEmployeeData[[#This Row],[YearsAtCompany]]&lt;=5,"2–5 years",CleanEmployeeData[[#This Row],[YearsAtCompany]]&lt;=10,"6–10 years",TRUE,"11+ years")</f>
        <v>6–10 years</v>
      </c>
    </row>
    <row r="1193" spans="1:4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cm="1">
        <f t="array" ref="AJ1193">_xlfn.SWITCH(CleanEmployeeData[[#This Row],[Education]],1,"Below College",2,"College",3,"Bachelor",4,"Master",5,"Doctor","Unknown")</f>
        <v>Master</v>
      </c>
      <c r="AK1193" t="str" cm="1">
        <f t="array" ref="AK1193">_xlfn.SWITCH(CleanEmployeeData[[#This Row],[EnvironmentSatisfaction]],1,"Low",2,"Medium",3,"High",4,"Very High","Unknown")</f>
        <v>Low</v>
      </c>
      <c r="AL1193" t="str" cm="1">
        <f t="array" ref="AL1193">_xlfn.SWITCH(CleanEmployeeData[[#This Row],[JobInvolvement]],1,"Low",2,"Medium",3,"High",4,"Very High","Unknown")</f>
        <v>High</v>
      </c>
      <c r="AM1193" t="str" cm="1">
        <f t="array" ref="AM1193">_xlfn.SWITCH(CleanEmployeeData[[#This Row],[JobSatisfaction]],1,"Low",2,"Medium",3,"High",4,"Very High","Unknown")</f>
        <v>Very High</v>
      </c>
      <c r="AN1193" t="str" cm="1">
        <f t="array" ref="AN1193">_xlfn.SWITCH(CleanEmployeeData[[#This Row],[PerformanceRating]],1,"Low",2,"Good",3,"Excellent",4,"Outstanding","Unknown")</f>
        <v>Excellent</v>
      </c>
      <c r="AO1193" t="str" cm="1">
        <f t="array" ref="AO1193">_xlfn.SWITCH(CleanEmployeeData[[#This Row],[WorkLifeBalance]],1,"Bad",2,"Good",3,"Better",4,"Best","Unknown")</f>
        <v>Better</v>
      </c>
      <c r="AP1193">
        <f>IF(CleanEmployeeData[[#This Row],[Attrition]]="Yes",1,IF(CleanEmployeeData[[#This Row],[Attrition]]="No",0,""))</f>
        <v>0</v>
      </c>
      <c r="AQ1193" t="str" cm="1">
        <f t="array" ref="AQ1193">_xlfn.IFS(CleanEmployeeData[[#This Row],[MonthlyIncome]]&lt;=3000,"0–3,000",CleanEmployeeData[[#This Row],[MonthlyIncome]]&lt;=6000,"3,001–6,000",CleanEmployeeData[[#This Row],[MonthlyIncome]]&lt;=10000,"6,001–10,000",TRUE,"10,001+")</f>
        <v>3,001–6,000</v>
      </c>
      <c r="AR1193" t="str" cm="1">
        <f t="array" ref="AR1193">_xlfn.IFS(CleanEmployeeData[[#This Row],[DistanceFromHome]]&lt;=5,"0–5 miles",CleanEmployeeData[[#This Row],[DistanceFromHome]]&lt;=10,"6–10 miles",CleanEmployeeData[[#This Row],[DistanceFromHome]]&lt;=15,"11–15 miles",TRUE,"16+ miles")</f>
        <v>0–5 miles</v>
      </c>
      <c r="AS1193" t="str" cm="1">
        <f t="array" ref="AS1193">_xlfn.IFS(CleanEmployeeData[[#This Row],[YearsAtCompany]]&lt;=1,"0–1 years",CleanEmployeeData[[#This Row],[YearsAtCompany]]&lt;=5,"2–5 years",CleanEmployeeData[[#This Row],[YearsAtCompany]]&lt;=10,"6–10 years",TRUE,"11+ years")</f>
        <v>6–10 years</v>
      </c>
    </row>
    <row r="1194" spans="1:4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cm="1">
        <f t="array" ref="AJ1194">_xlfn.SWITCH(CleanEmployeeData[[#This Row],[Education]],1,"Below College",2,"College",3,"Bachelor",4,"Master",5,"Doctor","Unknown")</f>
        <v>Bachelor</v>
      </c>
      <c r="AK1194" t="str" cm="1">
        <f t="array" ref="AK1194">_xlfn.SWITCH(CleanEmployeeData[[#This Row],[EnvironmentSatisfaction]],1,"Low",2,"Medium",3,"High",4,"Very High","Unknown")</f>
        <v>Very High</v>
      </c>
      <c r="AL1194" t="str" cm="1">
        <f t="array" ref="AL1194">_xlfn.SWITCH(CleanEmployeeData[[#This Row],[JobInvolvement]],1,"Low",2,"Medium",3,"High",4,"Very High","Unknown")</f>
        <v>High</v>
      </c>
      <c r="AM1194" t="str" cm="1">
        <f t="array" ref="AM1194">_xlfn.SWITCH(CleanEmployeeData[[#This Row],[JobSatisfaction]],1,"Low",2,"Medium",3,"High",4,"Very High","Unknown")</f>
        <v>Low</v>
      </c>
      <c r="AN1194" t="str" cm="1">
        <f t="array" ref="AN1194">_xlfn.SWITCH(CleanEmployeeData[[#This Row],[PerformanceRating]],1,"Low",2,"Good",3,"Excellent",4,"Outstanding","Unknown")</f>
        <v>Excellent</v>
      </c>
      <c r="AO1194" t="str" cm="1">
        <f t="array" ref="AO1194">_xlfn.SWITCH(CleanEmployeeData[[#This Row],[WorkLifeBalance]],1,"Bad",2,"Good",3,"Better",4,"Best","Unknown")</f>
        <v>Good</v>
      </c>
      <c r="AP1194">
        <f>IF(CleanEmployeeData[[#This Row],[Attrition]]="Yes",1,IF(CleanEmployeeData[[#This Row],[Attrition]]="No",0,""))</f>
        <v>0</v>
      </c>
      <c r="AQ1194" t="str" cm="1">
        <f t="array" ref="AQ1194">_xlfn.IFS(CleanEmployeeData[[#This Row],[MonthlyIncome]]&lt;=3000,"0–3,000",CleanEmployeeData[[#This Row],[MonthlyIncome]]&lt;=6000,"3,001–6,000",CleanEmployeeData[[#This Row],[MonthlyIncome]]&lt;=10000,"6,001–10,000",TRUE,"10,001+")</f>
        <v>0–3,000</v>
      </c>
      <c r="AR1194" t="str" cm="1">
        <f t="array" ref="AR1194">_xlfn.IFS(CleanEmployeeData[[#This Row],[DistanceFromHome]]&lt;=5,"0–5 miles",CleanEmployeeData[[#This Row],[DistanceFromHome]]&lt;=10,"6–10 miles",CleanEmployeeData[[#This Row],[DistanceFromHome]]&lt;=15,"11–15 miles",TRUE,"16+ miles")</f>
        <v>16+ miles</v>
      </c>
      <c r="AS1194" t="str" cm="1">
        <f t="array" ref="AS1194">_xlfn.IFS(CleanEmployeeData[[#This Row],[YearsAtCompany]]&lt;=1,"0–1 years",CleanEmployeeData[[#This Row],[YearsAtCompany]]&lt;=5,"2–5 years",CleanEmployeeData[[#This Row],[YearsAtCompany]]&lt;=10,"6–10 years",TRUE,"11+ years")</f>
        <v>2–5 years</v>
      </c>
    </row>
    <row r="1195" spans="1:4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cm="1">
        <f t="array" ref="AJ1195">_xlfn.SWITCH(CleanEmployeeData[[#This Row],[Education]],1,"Below College",2,"College",3,"Bachelor",4,"Master",5,"Doctor","Unknown")</f>
        <v>Bachelor</v>
      </c>
      <c r="AK1195" t="str" cm="1">
        <f t="array" ref="AK1195">_xlfn.SWITCH(CleanEmployeeData[[#This Row],[EnvironmentSatisfaction]],1,"Low",2,"Medium",3,"High",4,"Very High","Unknown")</f>
        <v>Very High</v>
      </c>
      <c r="AL1195" t="str" cm="1">
        <f t="array" ref="AL1195">_xlfn.SWITCH(CleanEmployeeData[[#This Row],[JobInvolvement]],1,"Low",2,"Medium",3,"High",4,"Very High","Unknown")</f>
        <v>Medium</v>
      </c>
      <c r="AM1195" t="str" cm="1">
        <f t="array" ref="AM1195">_xlfn.SWITCH(CleanEmployeeData[[#This Row],[JobSatisfaction]],1,"Low",2,"Medium",3,"High",4,"Very High","Unknown")</f>
        <v>Medium</v>
      </c>
      <c r="AN1195" t="str" cm="1">
        <f t="array" ref="AN1195">_xlfn.SWITCH(CleanEmployeeData[[#This Row],[PerformanceRating]],1,"Low",2,"Good",3,"Excellent",4,"Outstanding","Unknown")</f>
        <v>Outstanding</v>
      </c>
      <c r="AO1195" t="str" cm="1">
        <f t="array" ref="AO1195">_xlfn.SWITCH(CleanEmployeeData[[#This Row],[WorkLifeBalance]],1,"Bad",2,"Good",3,"Better",4,"Best","Unknown")</f>
        <v>Better</v>
      </c>
      <c r="AP1195">
        <f>IF(CleanEmployeeData[[#This Row],[Attrition]]="Yes",1,IF(CleanEmployeeData[[#This Row],[Attrition]]="No",0,""))</f>
        <v>0</v>
      </c>
      <c r="AQ1195" t="str" cm="1">
        <f t="array" ref="AQ1195">_xlfn.IFS(CleanEmployeeData[[#This Row],[MonthlyIncome]]&lt;=3000,"0–3,000",CleanEmployeeData[[#This Row],[MonthlyIncome]]&lt;=6000,"3,001–6,000",CleanEmployeeData[[#This Row],[MonthlyIncome]]&lt;=10000,"6,001–10,000",TRUE,"10,001+")</f>
        <v>0–3,000</v>
      </c>
      <c r="AR1195" t="str" cm="1">
        <f t="array" ref="AR1195">_xlfn.IFS(CleanEmployeeData[[#This Row],[DistanceFromHome]]&lt;=5,"0–5 miles",CleanEmployeeData[[#This Row],[DistanceFromHome]]&lt;=10,"6–10 miles",CleanEmployeeData[[#This Row],[DistanceFromHome]]&lt;=15,"11–15 miles",TRUE,"16+ miles")</f>
        <v>0–5 miles</v>
      </c>
      <c r="AS1195" t="str" cm="1">
        <f t="array" ref="AS1195">_xlfn.IFS(CleanEmployeeData[[#This Row],[YearsAtCompany]]&lt;=1,"0–1 years",CleanEmployeeData[[#This Row],[YearsAtCompany]]&lt;=5,"2–5 years",CleanEmployeeData[[#This Row],[YearsAtCompany]]&lt;=10,"6–10 years",TRUE,"11+ years")</f>
        <v>2–5 years</v>
      </c>
    </row>
    <row r="1196" spans="1:4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cm="1">
        <f t="array" ref="AJ1196">_xlfn.SWITCH(CleanEmployeeData[[#This Row],[Education]],1,"Below College",2,"College",3,"Bachelor",4,"Master",5,"Doctor","Unknown")</f>
        <v>Master</v>
      </c>
      <c r="AK1196" t="str" cm="1">
        <f t="array" ref="AK1196">_xlfn.SWITCH(CleanEmployeeData[[#This Row],[EnvironmentSatisfaction]],1,"Low",2,"Medium",3,"High",4,"Very High","Unknown")</f>
        <v>Medium</v>
      </c>
      <c r="AL1196" t="str" cm="1">
        <f t="array" ref="AL1196">_xlfn.SWITCH(CleanEmployeeData[[#This Row],[JobInvolvement]],1,"Low",2,"Medium",3,"High",4,"Very High","Unknown")</f>
        <v>Very High</v>
      </c>
      <c r="AM1196" t="str" cm="1">
        <f t="array" ref="AM1196">_xlfn.SWITCH(CleanEmployeeData[[#This Row],[JobSatisfaction]],1,"Low",2,"Medium",3,"High",4,"Very High","Unknown")</f>
        <v>Medium</v>
      </c>
      <c r="AN1196" t="str" cm="1">
        <f t="array" ref="AN1196">_xlfn.SWITCH(CleanEmployeeData[[#This Row],[PerformanceRating]],1,"Low",2,"Good",3,"Excellent",4,"Outstanding","Unknown")</f>
        <v>Excellent</v>
      </c>
      <c r="AO1196" t="str" cm="1">
        <f t="array" ref="AO1196">_xlfn.SWITCH(CleanEmployeeData[[#This Row],[WorkLifeBalance]],1,"Bad",2,"Good",3,"Better",4,"Best","Unknown")</f>
        <v>Better</v>
      </c>
      <c r="AP1196">
        <f>IF(CleanEmployeeData[[#This Row],[Attrition]]="Yes",1,IF(CleanEmployeeData[[#This Row],[Attrition]]="No",0,""))</f>
        <v>0</v>
      </c>
      <c r="AQ1196" t="str" cm="1">
        <f t="array" ref="AQ1196">_xlfn.IFS(CleanEmployeeData[[#This Row],[MonthlyIncome]]&lt;=3000,"0–3,000",CleanEmployeeData[[#This Row],[MonthlyIncome]]&lt;=6000,"3,001–6,000",CleanEmployeeData[[#This Row],[MonthlyIncome]]&lt;=10000,"6,001–10,000",TRUE,"10,001+")</f>
        <v>10,001+</v>
      </c>
      <c r="AR1196" t="str" cm="1">
        <f t="array" ref="AR1196">_xlfn.IFS(CleanEmployeeData[[#This Row],[DistanceFromHome]]&lt;=5,"0–5 miles",CleanEmployeeData[[#This Row],[DistanceFromHome]]&lt;=10,"6–10 miles",CleanEmployeeData[[#This Row],[DistanceFromHome]]&lt;=15,"11–15 miles",TRUE,"16+ miles")</f>
        <v>0–5 miles</v>
      </c>
      <c r="AS1196" t="str" cm="1">
        <f t="array" ref="AS1196">_xlfn.IFS(CleanEmployeeData[[#This Row],[YearsAtCompany]]&lt;=1,"0–1 years",CleanEmployeeData[[#This Row],[YearsAtCompany]]&lt;=5,"2–5 years",CleanEmployeeData[[#This Row],[YearsAtCompany]]&lt;=10,"6–10 years",TRUE,"11+ years")</f>
        <v>2–5 years</v>
      </c>
    </row>
    <row r="1197" spans="1:4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cm="1">
        <f t="array" ref="AJ1197">_xlfn.SWITCH(CleanEmployeeData[[#This Row],[Education]],1,"Below College",2,"College",3,"Bachelor",4,"Master",5,"Doctor","Unknown")</f>
        <v>Bachelor</v>
      </c>
      <c r="AK1197" t="str" cm="1">
        <f t="array" ref="AK1197">_xlfn.SWITCH(CleanEmployeeData[[#This Row],[EnvironmentSatisfaction]],1,"Low",2,"Medium",3,"High",4,"Very High","Unknown")</f>
        <v>High</v>
      </c>
      <c r="AL1197" t="str" cm="1">
        <f t="array" ref="AL1197">_xlfn.SWITCH(CleanEmployeeData[[#This Row],[JobInvolvement]],1,"Low",2,"Medium",3,"High",4,"Very High","Unknown")</f>
        <v>High</v>
      </c>
      <c r="AM1197" t="str" cm="1">
        <f t="array" ref="AM1197">_xlfn.SWITCH(CleanEmployeeData[[#This Row],[JobSatisfaction]],1,"Low",2,"Medium",3,"High",4,"Very High","Unknown")</f>
        <v>High</v>
      </c>
      <c r="AN1197" t="str" cm="1">
        <f t="array" ref="AN1197">_xlfn.SWITCH(CleanEmployeeData[[#This Row],[PerformanceRating]],1,"Low",2,"Good",3,"Excellent",4,"Outstanding","Unknown")</f>
        <v>Excellent</v>
      </c>
      <c r="AO1197" t="str" cm="1">
        <f t="array" ref="AO1197">_xlfn.SWITCH(CleanEmployeeData[[#This Row],[WorkLifeBalance]],1,"Bad",2,"Good",3,"Better",4,"Best","Unknown")</f>
        <v>Better</v>
      </c>
      <c r="AP1197">
        <f>IF(CleanEmployeeData[[#This Row],[Attrition]]="Yes",1,IF(CleanEmployeeData[[#This Row],[Attrition]]="No",0,""))</f>
        <v>0</v>
      </c>
      <c r="AQ1197" t="str" cm="1">
        <f t="array" ref="AQ1197">_xlfn.IFS(CleanEmployeeData[[#This Row],[MonthlyIncome]]&lt;=3000,"0–3,000",CleanEmployeeData[[#This Row],[MonthlyIncome]]&lt;=6000,"3,001–6,000",CleanEmployeeData[[#This Row],[MonthlyIncome]]&lt;=10000,"6,001–10,000",TRUE,"10,001+")</f>
        <v>10,001+</v>
      </c>
      <c r="AR1197" t="str" cm="1">
        <f t="array" ref="AR1197">_xlfn.IFS(CleanEmployeeData[[#This Row],[DistanceFromHome]]&lt;=5,"0–5 miles",CleanEmployeeData[[#This Row],[DistanceFromHome]]&lt;=10,"6–10 miles",CleanEmployeeData[[#This Row],[DistanceFromHome]]&lt;=15,"11–15 miles",TRUE,"16+ miles")</f>
        <v>0–5 miles</v>
      </c>
      <c r="AS1197" t="str" cm="1">
        <f t="array" ref="AS1197">_xlfn.IFS(CleanEmployeeData[[#This Row],[YearsAtCompany]]&lt;=1,"0–1 years",CleanEmployeeData[[#This Row],[YearsAtCompany]]&lt;=5,"2–5 years",CleanEmployeeData[[#This Row],[YearsAtCompany]]&lt;=10,"6–10 years",TRUE,"11+ years")</f>
        <v>6–10 years</v>
      </c>
    </row>
    <row r="1198" spans="1:4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cm="1">
        <f t="array" ref="AJ1198">_xlfn.SWITCH(CleanEmployeeData[[#This Row],[Education]],1,"Below College",2,"College",3,"Bachelor",4,"Master",5,"Doctor","Unknown")</f>
        <v>College</v>
      </c>
      <c r="AK1198" t="str" cm="1">
        <f t="array" ref="AK1198">_xlfn.SWITCH(CleanEmployeeData[[#This Row],[EnvironmentSatisfaction]],1,"Low",2,"Medium",3,"High",4,"Very High","Unknown")</f>
        <v>Very High</v>
      </c>
      <c r="AL1198" t="str" cm="1">
        <f t="array" ref="AL1198">_xlfn.SWITCH(CleanEmployeeData[[#This Row],[JobInvolvement]],1,"Low",2,"Medium",3,"High",4,"Very High","Unknown")</f>
        <v>High</v>
      </c>
      <c r="AM1198" t="str" cm="1">
        <f t="array" ref="AM1198">_xlfn.SWITCH(CleanEmployeeData[[#This Row],[JobSatisfaction]],1,"Low",2,"Medium",3,"High",4,"Very High","Unknown")</f>
        <v>High</v>
      </c>
      <c r="AN1198" t="str" cm="1">
        <f t="array" ref="AN1198">_xlfn.SWITCH(CleanEmployeeData[[#This Row],[PerformanceRating]],1,"Low",2,"Good",3,"Excellent",4,"Outstanding","Unknown")</f>
        <v>Excellent</v>
      </c>
      <c r="AO1198" t="str" cm="1">
        <f t="array" ref="AO1198">_xlfn.SWITCH(CleanEmployeeData[[#This Row],[WorkLifeBalance]],1,"Bad",2,"Good",3,"Better",4,"Best","Unknown")</f>
        <v>Better</v>
      </c>
      <c r="AP1198">
        <f>IF(CleanEmployeeData[[#This Row],[Attrition]]="Yes",1,IF(CleanEmployeeData[[#This Row],[Attrition]]="No",0,""))</f>
        <v>0</v>
      </c>
      <c r="AQ1198" t="str" cm="1">
        <f t="array" ref="AQ1198">_xlfn.IFS(CleanEmployeeData[[#This Row],[MonthlyIncome]]&lt;=3000,"0–3,000",CleanEmployeeData[[#This Row],[MonthlyIncome]]&lt;=6000,"3,001–6,000",CleanEmployeeData[[#This Row],[MonthlyIncome]]&lt;=10000,"6,001–10,000",TRUE,"10,001+")</f>
        <v>6,001–10,000</v>
      </c>
      <c r="AR1198" t="str" cm="1">
        <f t="array" ref="AR1198">_xlfn.IFS(CleanEmployeeData[[#This Row],[DistanceFromHome]]&lt;=5,"0–5 miles",CleanEmployeeData[[#This Row],[DistanceFromHome]]&lt;=10,"6–10 miles",CleanEmployeeData[[#This Row],[DistanceFromHome]]&lt;=15,"11–15 miles",TRUE,"16+ miles")</f>
        <v>16+ miles</v>
      </c>
      <c r="AS1198" t="str" cm="1">
        <f t="array" ref="AS1198">_xlfn.IFS(CleanEmployeeData[[#This Row],[YearsAtCompany]]&lt;=1,"0–1 years",CleanEmployeeData[[#This Row],[YearsAtCompany]]&lt;=5,"2–5 years",CleanEmployeeData[[#This Row],[YearsAtCompany]]&lt;=10,"6–10 years",TRUE,"11+ years")</f>
        <v>2–5 years</v>
      </c>
    </row>
    <row r="1199" spans="1:4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cm="1">
        <f t="array" ref="AJ1199">_xlfn.SWITCH(CleanEmployeeData[[#This Row],[Education]],1,"Below College",2,"College",3,"Bachelor",4,"Master",5,"Doctor","Unknown")</f>
        <v>Below College</v>
      </c>
      <c r="AK1199" t="str" cm="1">
        <f t="array" ref="AK1199">_xlfn.SWITCH(CleanEmployeeData[[#This Row],[EnvironmentSatisfaction]],1,"Low",2,"Medium",3,"High",4,"Very High","Unknown")</f>
        <v>Very High</v>
      </c>
      <c r="AL1199" t="str" cm="1">
        <f t="array" ref="AL1199">_xlfn.SWITCH(CleanEmployeeData[[#This Row],[JobInvolvement]],1,"Low",2,"Medium",3,"High",4,"Very High","Unknown")</f>
        <v>High</v>
      </c>
      <c r="AM1199" t="str" cm="1">
        <f t="array" ref="AM1199">_xlfn.SWITCH(CleanEmployeeData[[#This Row],[JobSatisfaction]],1,"Low",2,"Medium",3,"High",4,"Very High","Unknown")</f>
        <v>Low</v>
      </c>
      <c r="AN1199" t="str" cm="1">
        <f t="array" ref="AN1199">_xlfn.SWITCH(CleanEmployeeData[[#This Row],[PerformanceRating]],1,"Low",2,"Good",3,"Excellent",4,"Outstanding","Unknown")</f>
        <v>Excellent</v>
      </c>
      <c r="AO1199" t="str" cm="1">
        <f t="array" ref="AO1199">_xlfn.SWITCH(CleanEmployeeData[[#This Row],[WorkLifeBalance]],1,"Bad",2,"Good",3,"Better",4,"Best","Unknown")</f>
        <v>Better</v>
      </c>
      <c r="AP1199">
        <f>IF(CleanEmployeeData[[#This Row],[Attrition]]="Yes",1,IF(CleanEmployeeData[[#This Row],[Attrition]]="No",0,""))</f>
        <v>0</v>
      </c>
      <c r="AQ1199" t="str" cm="1">
        <f t="array" ref="AQ1199">_xlfn.IFS(CleanEmployeeData[[#This Row],[MonthlyIncome]]&lt;=3000,"0–3,000",CleanEmployeeData[[#This Row],[MonthlyIncome]]&lt;=6000,"3,001–6,000",CleanEmployeeData[[#This Row],[MonthlyIncome]]&lt;=10000,"6,001–10,000",TRUE,"10,001+")</f>
        <v>0–3,000</v>
      </c>
      <c r="AR1199" t="str" cm="1">
        <f t="array" ref="AR1199">_xlfn.IFS(CleanEmployeeData[[#This Row],[DistanceFromHome]]&lt;=5,"0–5 miles",CleanEmployeeData[[#This Row],[DistanceFromHome]]&lt;=10,"6–10 miles",CleanEmployeeData[[#This Row],[DistanceFromHome]]&lt;=15,"11–15 miles",TRUE,"16+ miles")</f>
        <v>6–10 miles</v>
      </c>
      <c r="AS1199" t="str" cm="1">
        <f t="array" ref="AS1199">_xlfn.IFS(CleanEmployeeData[[#This Row],[YearsAtCompany]]&lt;=1,"0–1 years",CleanEmployeeData[[#This Row],[YearsAtCompany]]&lt;=5,"2–5 years",CleanEmployeeData[[#This Row],[YearsAtCompany]]&lt;=10,"6–10 years",TRUE,"11+ years")</f>
        <v>2–5 years</v>
      </c>
    </row>
    <row r="1200" spans="1:4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cm="1">
        <f t="array" ref="AJ1200">_xlfn.SWITCH(CleanEmployeeData[[#This Row],[Education]],1,"Below College",2,"College",3,"Bachelor",4,"Master",5,"Doctor","Unknown")</f>
        <v>Bachelor</v>
      </c>
      <c r="AK1200" t="str" cm="1">
        <f t="array" ref="AK1200">_xlfn.SWITCH(CleanEmployeeData[[#This Row],[EnvironmentSatisfaction]],1,"Low",2,"Medium",3,"High",4,"Very High","Unknown")</f>
        <v>High</v>
      </c>
      <c r="AL1200" t="str" cm="1">
        <f t="array" ref="AL1200">_xlfn.SWITCH(CleanEmployeeData[[#This Row],[JobInvolvement]],1,"Low",2,"Medium",3,"High",4,"Very High","Unknown")</f>
        <v>High</v>
      </c>
      <c r="AM1200" t="str" cm="1">
        <f t="array" ref="AM1200">_xlfn.SWITCH(CleanEmployeeData[[#This Row],[JobSatisfaction]],1,"Low",2,"Medium",3,"High",4,"Very High","Unknown")</f>
        <v>Very High</v>
      </c>
      <c r="AN1200" t="str" cm="1">
        <f t="array" ref="AN1200">_xlfn.SWITCH(CleanEmployeeData[[#This Row],[PerformanceRating]],1,"Low",2,"Good",3,"Excellent",4,"Outstanding","Unknown")</f>
        <v>Outstanding</v>
      </c>
      <c r="AO1200" t="str" cm="1">
        <f t="array" ref="AO1200">_xlfn.SWITCH(CleanEmployeeData[[#This Row],[WorkLifeBalance]],1,"Bad",2,"Good",3,"Better",4,"Best","Unknown")</f>
        <v>Better</v>
      </c>
      <c r="AP1200">
        <f>IF(CleanEmployeeData[[#This Row],[Attrition]]="Yes",1,IF(CleanEmployeeData[[#This Row],[Attrition]]="No",0,""))</f>
        <v>0</v>
      </c>
      <c r="AQ1200" t="str" cm="1">
        <f t="array" ref="AQ1200">_xlfn.IFS(CleanEmployeeData[[#This Row],[MonthlyIncome]]&lt;=3000,"0–3,000",CleanEmployeeData[[#This Row],[MonthlyIncome]]&lt;=6000,"3,001–6,000",CleanEmployeeData[[#This Row],[MonthlyIncome]]&lt;=10000,"6,001–10,000",TRUE,"10,001+")</f>
        <v>3,001–6,000</v>
      </c>
      <c r="AR1200" t="str" cm="1">
        <f t="array" ref="AR1200">_xlfn.IFS(CleanEmployeeData[[#This Row],[DistanceFromHome]]&lt;=5,"0–5 miles",CleanEmployeeData[[#This Row],[DistanceFromHome]]&lt;=10,"6–10 miles",CleanEmployeeData[[#This Row],[DistanceFromHome]]&lt;=15,"11–15 miles",TRUE,"16+ miles")</f>
        <v>16+ miles</v>
      </c>
      <c r="AS1200" t="str" cm="1">
        <f t="array" ref="AS1200">_xlfn.IFS(CleanEmployeeData[[#This Row],[YearsAtCompany]]&lt;=1,"0–1 years",CleanEmployeeData[[#This Row],[YearsAtCompany]]&lt;=5,"2–5 years",CleanEmployeeData[[#This Row],[YearsAtCompany]]&lt;=10,"6–10 years",TRUE,"11+ years")</f>
        <v>6–10 years</v>
      </c>
    </row>
    <row r="1201" spans="1:4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cm="1">
        <f t="array" ref="AJ1201">_xlfn.SWITCH(CleanEmployeeData[[#This Row],[Education]],1,"Below College",2,"College",3,"Bachelor",4,"Master",5,"Doctor","Unknown")</f>
        <v>Master</v>
      </c>
      <c r="AK1201" t="str" cm="1">
        <f t="array" ref="AK1201">_xlfn.SWITCH(CleanEmployeeData[[#This Row],[EnvironmentSatisfaction]],1,"Low",2,"Medium",3,"High",4,"Very High","Unknown")</f>
        <v>Low</v>
      </c>
      <c r="AL1201" t="str" cm="1">
        <f t="array" ref="AL1201">_xlfn.SWITCH(CleanEmployeeData[[#This Row],[JobInvolvement]],1,"Low",2,"Medium",3,"High",4,"Very High","Unknown")</f>
        <v>High</v>
      </c>
      <c r="AM1201" t="str" cm="1">
        <f t="array" ref="AM1201">_xlfn.SWITCH(CleanEmployeeData[[#This Row],[JobSatisfaction]],1,"Low",2,"Medium",3,"High",4,"Very High","Unknown")</f>
        <v>High</v>
      </c>
      <c r="AN1201" t="str" cm="1">
        <f t="array" ref="AN1201">_xlfn.SWITCH(CleanEmployeeData[[#This Row],[PerformanceRating]],1,"Low",2,"Good",3,"Excellent",4,"Outstanding","Unknown")</f>
        <v>Excellent</v>
      </c>
      <c r="AO1201" t="str" cm="1">
        <f t="array" ref="AO1201">_xlfn.SWITCH(CleanEmployeeData[[#This Row],[WorkLifeBalance]],1,"Bad",2,"Good",3,"Better",4,"Best","Unknown")</f>
        <v>Good</v>
      </c>
      <c r="AP1201">
        <f>IF(CleanEmployeeData[[#This Row],[Attrition]]="Yes",1,IF(CleanEmployeeData[[#This Row],[Attrition]]="No",0,""))</f>
        <v>0</v>
      </c>
      <c r="AQ1201" t="str" cm="1">
        <f t="array" ref="AQ1201">_xlfn.IFS(CleanEmployeeData[[#This Row],[MonthlyIncome]]&lt;=3000,"0–3,000",CleanEmployeeData[[#This Row],[MonthlyIncome]]&lt;=6000,"3,001–6,000",CleanEmployeeData[[#This Row],[MonthlyIncome]]&lt;=10000,"6,001–10,000",TRUE,"10,001+")</f>
        <v>3,001–6,000</v>
      </c>
      <c r="AR1201" t="str" cm="1">
        <f t="array" ref="AR1201">_xlfn.IFS(CleanEmployeeData[[#This Row],[DistanceFromHome]]&lt;=5,"0–5 miles",CleanEmployeeData[[#This Row],[DistanceFromHome]]&lt;=10,"6–10 miles",CleanEmployeeData[[#This Row],[DistanceFromHome]]&lt;=15,"11–15 miles",TRUE,"16+ miles")</f>
        <v>16+ miles</v>
      </c>
      <c r="AS1201" t="str" cm="1">
        <f t="array" ref="AS1201">_xlfn.IFS(CleanEmployeeData[[#This Row],[YearsAtCompany]]&lt;=1,"0–1 years",CleanEmployeeData[[#This Row],[YearsAtCompany]]&lt;=5,"2–5 years",CleanEmployeeData[[#This Row],[YearsAtCompany]]&lt;=10,"6–10 years",TRUE,"11+ years")</f>
        <v>2–5 years</v>
      </c>
    </row>
    <row r="1202" spans="1:4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cm="1">
        <f t="array" ref="AJ1202">_xlfn.SWITCH(CleanEmployeeData[[#This Row],[Education]],1,"Below College",2,"College",3,"Bachelor",4,"Master",5,"Doctor","Unknown")</f>
        <v>Bachelor</v>
      </c>
      <c r="AK1202" t="str" cm="1">
        <f t="array" ref="AK1202">_xlfn.SWITCH(CleanEmployeeData[[#This Row],[EnvironmentSatisfaction]],1,"Low",2,"Medium",3,"High",4,"Very High","Unknown")</f>
        <v>High</v>
      </c>
      <c r="AL1202" t="str" cm="1">
        <f t="array" ref="AL1202">_xlfn.SWITCH(CleanEmployeeData[[#This Row],[JobInvolvement]],1,"Low",2,"Medium",3,"High",4,"Very High","Unknown")</f>
        <v>High</v>
      </c>
      <c r="AM1202" t="str" cm="1">
        <f t="array" ref="AM1202">_xlfn.SWITCH(CleanEmployeeData[[#This Row],[JobSatisfaction]],1,"Low",2,"Medium",3,"High",4,"Very High","Unknown")</f>
        <v>Very High</v>
      </c>
      <c r="AN1202" t="str" cm="1">
        <f t="array" ref="AN1202">_xlfn.SWITCH(CleanEmployeeData[[#This Row],[PerformanceRating]],1,"Low",2,"Good",3,"Excellent",4,"Outstanding","Unknown")</f>
        <v>Excellent</v>
      </c>
      <c r="AO1202" t="str" cm="1">
        <f t="array" ref="AO1202">_xlfn.SWITCH(CleanEmployeeData[[#This Row],[WorkLifeBalance]],1,"Bad",2,"Good",3,"Better",4,"Best","Unknown")</f>
        <v>Better</v>
      </c>
      <c r="AP1202">
        <f>IF(CleanEmployeeData[[#This Row],[Attrition]]="Yes",1,IF(CleanEmployeeData[[#This Row],[Attrition]]="No",0,""))</f>
        <v>0</v>
      </c>
      <c r="AQ1202" t="str" cm="1">
        <f t="array" ref="AQ1202">_xlfn.IFS(CleanEmployeeData[[#This Row],[MonthlyIncome]]&lt;=3000,"0–3,000",CleanEmployeeData[[#This Row],[MonthlyIncome]]&lt;=6000,"3,001–6,000",CleanEmployeeData[[#This Row],[MonthlyIncome]]&lt;=10000,"6,001–10,000",TRUE,"10,001+")</f>
        <v>3,001–6,000</v>
      </c>
      <c r="AR1202" t="str" cm="1">
        <f t="array" ref="AR1202">_xlfn.IFS(CleanEmployeeData[[#This Row],[DistanceFromHome]]&lt;=5,"0–5 miles",CleanEmployeeData[[#This Row],[DistanceFromHome]]&lt;=10,"6–10 miles",CleanEmployeeData[[#This Row],[DistanceFromHome]]&lt;=15,"11–15 miles",TRUE,"16+ miles")</f>
        <v>0–5 miles</v>
      </c>
      <c r="AS1202" t="str" cm="1">
        <f t="array" ref="AS1202">_xlfn.IFS(CleanEmployeeData[[#This Row],[YearsAtCompany]]&lt;=1,"0–1 years",CleanEmployeeData[[#This Row],[YearsAtCompany]]&lt;=5,"2–5 years",CleanEmployeeData[[#This Row],[YearsAtCompany]]&lt;=10,"6–10 years",TRUE,"11+ years")</f>
        <v>2–5 years</v>
      </c>
    </row>
    <row r="1203" spans="1:4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cm="1">
        <f t="array" ref="AJ1203">_xlfn.SWITCH(CleanEmployeeData[[#This Row],[Education]],1,"Below College",2,"College",3,"Bachelor",4,"Master",5,"Doctor","Unknown")</f>
        <v>Below College</v>
      </c>
      <c r="AK1203" t="str" cm="1">
        <f t="array" ref="AK1203">_xlfn.SWITCH(CleanEmployeeData[[#This Row],[EnvironmentSatisfaction]],1,"Low",2,"Medium",3,"High",4,"Very High","Unknown")</f>
        <v>Very High</v>
      </c>
      <c r="AL1203" t="str" cm="1">
        <f t="array" ref="AL1203">_xlfn.SWITCH(CleanEmployeeData[[#This Row],[JobInvolvement]],1,"Low",2,"Medium",3,"High",4,"Very High","Unknown")</f>
        <v>Medium</v>
      </c>
      <c r="AM1203" t="str" cm="1">
        <f t="array" ref="AM1203">_xlfn.SWITCH(CleanEmployeeData[[#This Row],[JobSatisfaction]],1,"Low",2,"Medium",3,"High",4,"Very High","Unknown")</f>
        <v>High</v>
      </c>
      <c r="AN1203" t="str" cm="1">
        <f t="array" ref="AN1203">_xlfn.SWITCH(CleanEmployeeData[[#This Row],[PerformanceRating]],1,"Low",2,"Good",3,"Excellent",4,"Outstanding","Unknown")</f>
        <v>Excellent</v>
      </c>
      <c r="AO1203" t="str" cm="1">
        <f t="array" ref="AO1203">_xlfn.SWITCH(CleanEmployeeData[[#This Row],[WorkLifeBalance]],1,"Bad",2,"Good",3,"Better",4,"Best","Unknown")</f>
        <v>Better</v>
      </c>
      <c r="AP1203">
        <f>IF(CleanEmployeeData[[#This Row],[Attrition]]="Yes",1,IF(CleanEmployeeData[[#This Row],[Attrition]]="No",0,""))</f>
        <v>1</v>
      </c>
      <c r="AQ1203" t="str" cm="1">
        <f t="array" ref="AQ1203">_xlfn.IFS(CleanEmployeeData[[#This Row],[MonthlyIncome]]&lt;=3000,"0–3,000",CleanEmployeeData[[#This Row],[MonthlyIncome]]&lt;=6000,"3,001–6,000",CleanEmployeeData[[#This Row],[MonthlyIncome]]&lt;=10000,"6,001–10,000",TRUE,"10,001+")</f>
        <v>3,001–6,000</v>
      </c>
      <c r="AR1203" t="str" cm="1">
        <f t="array" ref="AR1203">_xlfn.IFS(CleanEmployeeData[[#This Row],[DistanceFromHome]]&lt;=5,"0–5 miles",CleanEmployeeData[[#This Row],[DistanceFromHome]]&lt;=10,"6–10 miles",CleanEmployeeData[[#This Row],[DistanceFromHome]]&lt;=15,"11–15 miles",TRUE,"16+ miles")</f>
        <v>6–10 miles</v>
      </c>
      <c r="AS1203" t="str" cm="1">
        <f t="array" ref="AS1203">_xlfn.IFS(CleanEmployeeData[[#This Row],[YearsAtCompany]]&lt;=1,"0–1 years",CleanEmployeeData[[#This Row],[YearsAtCompany]]&lt;=5,"2–5 years",CleanEmployeeData[[#This Row],[YearsAtCompany]]&lt;=10,"6–10 years",TRUE,"11+ years")</f>
        <v>2–5 years</v>
      </c>
    </row>
    <row r="1204" spans="1:4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cm="1">
        <f t="array" ref="AJ1204">_xlfn.SWITCH(CleanEmployeeData[[#This Row],[Education]],1,"Below College",2,"College",3,"Bachelor",4,"Master",5,"Doctor","Unknown")</f>
        <v>College</v>
      </c>
      <c r="AK1204" t="str" cm="1">
        <f t="array" ref="AK1204">_xlfn.SWITCH(CleanEmployeeData[[#This Row],[EnvironmentSatisfaction]],1,"Low",2,"Medium",3,"High",4,"Very High","Unknown")</f>
        <v>Very High</v>
      </c>
      <c r="AL1204" t="str" cm="1">
        <f t="array" ref="AL1204">_xlfn.SWITCH(CleanEmployeeData[[#This Row],[JobInvolvement]],1,"Low",2,"Medium",3,"High",4,"Very High","Unknown")</f>
        <v>High</v>
      </c>
      <c r="AM1204" t="str" cm="1">
        <f t="array" ref="AM1204">_xlfn.SWITCH(CleanEmployeeData[[#This Row],[JobSatisfaction]],1,"Low",2,"Medium",3,"High",4,"Very High","Unknown")</f>
        <v>High</v>
      </c>
      <c r="AN1204" t="str" cm="1">
        <f t="array" ref="AN1204">_xlfn.SWITCH(CleanEmployeeData[[#This Row],[PerformanceRating]],1,"Low",2,"Good",3,"Excellent",4,"Outstanding","Unknown")</f>
        <v>Excellent</v>
      </c>
      <c r="AO1204" t="str" cm="1">
        <f t="array" ref="AO1204">_xlfn.SWITCH(CleanEmployeeData[[#This Row],[WorkLifeBalance]],1,"Bad",2,"Good",3,"Better",4,"Best","Unknown")</f>
        <v>Good</v>
      </c>
      <c r="AP1204">
        <f>IF(CleanEmployeeData[[#This Row],[Attrition]]="Yes",1,IF(CleanEmployeeData[[#This Row],[Attrition]]="No",0,""))</f>
        <v>0</v>
      </c>
      <c r="AQ1204" t="str" cm="1">
        <f t="array" ref="AQ1204">_xlfn.IFS(CleanEmployeeData[[#This Row],[MonthlyIncome]]&lt;=3000,"0–3,000",CleanEmployeeData[[#This Row],[MonthlyIncome]]&lt;=6000,"3,001–6,000",CleanEmployeeData[[#This Row],[MonthlyIncome]]&lt;=10000,"6,001–10,000",TRUE,"10,001+")</f>
        <v>3,001–6,000</v>
      </c>
      <c r="AR1204" t="str" cm="1">
        <f t="array" ref="AR1204">_xlfn.IFS(CleanEmployeeData[[#This Row],[DistanceFromHome]]&lt;=5,"0–5 miles",CleanEmployeeData[[#This Row],[DistanceFromHome]]&lt;=10,"6–10 miles",CleanEmployeeData[[#This Row],[DistanceFromHome]]&lt;=15,"11–15 miles",TRUE,"16+ miles")</f>
        <v>0–5 miles</v>
      </c>
      <c r="AS1204" t="str" cm="1">
        <f t="array" ref="AS1204">_xlfn.IFS(CleanEmployeeData[[#This Row],[YearsAtCompany]]&lt;=1,"0–1 years",CleanEmployeeData[[#This Row],[YearsAtCompany]]&lt;=5,"2–5 years",CleanEmployeeData[[#This Row],[YearsAtCompany]]&lt;=10,"6–10 years",TRUE,"11+ years")</f>
        <v>0–1 years</v>
      </c>
    </row>
    <row r="1205" spans="1:4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cm="1">
        <f t="array" ref="AJ1205">_xlfn.SWITCH(CleanEmployeeData[[#This Row],[Education]],1,"Below College",2,"College",3,"Bachelor",4,"Master",5,"Doctor","Unknown")</f>
        <v>Master</v>
      </c>
      <c r="AK1205" t="str" cm="1">
        <f t="array" ref="AK1205">_xlfn.SWITCH(CleanEmployeeData[[#This Row],[EnvironmentSatisfaction]],1,"Low",2,"Medium",3,"High",4,"Very High","Unknown")</f>
        <v>Medium</v>
      </c>
      <c r="AL1205" t="str" cm="1">
        <f t="array" ref="AL1205">_xlfn.SWITCH(CleanEmployeeData[[#This Row],[JobInvolvement]],1,"Low",2,"Medium",3,"High",4,"Very High","Unknown")</f>
        <v>Very High</v>
      </c>
      <c r="AM1205" t="str" cm="1">
        <f t="array" ref="AM1205">_xlfn.SWITCH(CleanEmployeeData[[#This Row],[JobSatisfaction]],1,"Low",2,"Medium",3,"High",4,"Very High","Unknown")</f>
        <v>Very High</v>
      </c>
      <c r="AN1205" t="str" cm="1">
        <f t="array" ref="AN1205">_xlfn.SWITCH(CleanEmployeeData[[#This Row],[PerformanceRating]],1,"Low",2,"Good",3,"Excellent",4,"Outstanding","Unknown")</f>
        <v>Excellent</v>
      </c>
      <c r="AO1205" t="str" cm="1">
        <f t="array" ref="AO1205">_xlfn.SWITCH(CleanEmployeeData[[#This Row],[WorkLifeBalance]],1,"Bad",2,"Good",3,"Better",4,"Best","Unknown")</f>
        <v>Better</v>
      </c>
      <c r="AP1205">
        <f>IF(CleanEmployeeData[[#This Row],[Attrition]]="Yes",1,IF(CleanEmployeeData[[#This Row],[Attrition]]="No",0,""))</f>
        <v>0</v>
      </c>
      <c r="AQ1205" t="str" cm="1">
        <f t="array" ref="AQ1205">_xlfn.IFS(CleanEmployeeData[[#This Row],[MonthlyIncome]]&lt;=3000,"0–3,000",CleanEmployeeData[[#This Row],[MonthlyIncome]]&lt;=6000,"3,001–6,000",CleanEmployeeData[[#This Row],[MonthlyIncome]]&lt;=10000,"6,001–10,000",TRUE,"10,001+")</f>
        <v>6,001–10,000</v>
      </c>
      <c r="AR1205" t="str" cm="1">
        <f t="array" ref="AR1205">_xlfn.IFS(CleanEmployeeData[[#This Row],[DistanceFromHome]]&lt;=5,"0–5 miles",CleanEmployeeData[[#This Row],[DistanceFromHome]]&lt;=10,"6–10 miles",CleanEmployeeData[[#This Row],[DistanceFromHome]]&lt;=15,"11–15 miles",TRUE,"16+ miles")</f>
        <v>16+ miles</v>
      </c>
      <c r="AS1205" t="str" cm="1">
        <f t="array" ref="AS1205">_xlfn.IFS(CleanEmployeeData[[#This Row],[YearsAtCompany]]&lt;=1,"0–1 years",CleanEmployeeData[[#This Row],[YearsAtCompany]]&lt;=5,"2–5 years",CleanEmployeeData[[#This Row],[YearsAtCompany]]&lt;=10,"6–10 years",TRUE,"11+ years")</f>
        <v>2–5 years</v>
      </c>
    </row>
    <row r="1206" spans="1:4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cm="1">
        <f t="array" ref="AJ1206">_xlfn.SWITCH(CleanEmployeeData[[#This Row],[Education]],1,"Below College",2,"College",3,"Bachelor",4,"Master",5,"Doctor","Unknown")</f>
        <v>College</v>
      </c>
      <c r="AK1206" t="str" cm="1">
        <f t="array" ref="AK1206">_xlfn.SWITCH(CleanEmployeeData[[#This Row],[EnvironmentSatisfaction]],1,"Low",2,"Medium",3,"High",4,"Very High","Unknown")</f>
        <v>Very High</v>
      </c>
      <c r="AL1206" t="str" cm="1">
        <f t="array" ref="AL1206">_xlfn.SWITCH(CleanEmployeeData[[#This Row],[JobInvolvement]],1,"Low",2,"Medium",3,"High",4,"Very High","Unknown")</f>
        <v>High</v>
      </c>
      <c r="AM1206" t="str" cm="1">
        <f t="array" ref="AM1206">_xlfn.SWITCH(CleanEmployeeData[[#This Row],[JobSatisfaction]],1,"Low",2,"Medium",3,"High",4,"Very High","Unknown")</f>
        <v>High</v>
      </c>
      <c r="AN1206" t="str" cm="1">
        <f t="array" ref="AN1206">_xlfn.SWITCH(CleanEmployeeData[[#This Row],[PerformanceRating]],1,"Low",2,"Good",3,"Excellent",4,"Outstanding","Unknown")</f>
        <v>Excellent</v>
      </c>
      <c r="AO1206" t="str" cm="1">
        <f t="array" ref="AO1206">_xlfn.SWITCH(CleanEmployeeData[[#This Row],[WorkLifeBalance]],1,"Bad",2,"Good",3,"Better",4,"Best","Unknown")</f>
        <v>Better</v>
      </c>
      <c r="AP1206">
        <f>IF(CleanEmployeeData[[#This Row],[Attrition]]="Yes",1,IF(CleanEmployeeData[[#This Row],[Attrition]]="No",0,""))</f>
        <v>1</v>
      </c>
      <c r="AQ1206" t="str" cm="1">
        <f t="array" ref="AQ1206">_xlfn.IFS(CleanEmployeeData[[#This Row],[MonthlyIncome]]&lt;=3000,"0–3,000",CleanEmployeeData[[#This Row],[MonthlyIncome]]&lt;=6000,"3,001–6,000",CleanEmployeeData[[#This Row],[MonthlyIncome]]&lt;=10000,"6,001–10,000",TRUE,"10,001+")</f>
        <v>0–3,000</v>
      </c>
      <c r="AR1206" t="str" cm="1">
        <f t="array" ref="AR1206">_xlfn.IFS(CleanEmployeeData[[#This Row],[DistanceFromHome]]&lt;=5,"0–5 miles",CleanEmployeeData[[#This Row],[DistanceFromHome]]&lt;=10,"6–10 miles",CleanEmployeeData[[#This Row],[DistanceFromHome]]&lt;=15,"11–15 miles",TRUE,"16+ miles")</f>
        <v>6–10 miles</v>
      </c>
      <c r="AS1206" t="str" cm="1">
        <f t="array" ref="AS1206">_xlfn.IFS(CleanEmployeeData[[#This Row],[YearsAtCompany]]&lt;=1,"0–1 years",CleanEmployeeData[[#This Row],[YearsAtCompany]]&lt;=5,"2–5 years",CleanEmployeeData[[#This Row],[YearsAtCompany]]&lt;=10,"6–10 years",TRUE,"11+ years")</f>
        <v>6–10 years</v>
      </c>
    </row>
    <row r="1207" spans="1:4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cm="1">
        <f t="array" ref="AJ1207">_xlfn.SWITCH(CleanEmployeeData[[#This Row],[Education]],1,"Below College",2,"College",3,"Bachelor",4,"Master",5,"Doctor","Unknown")</f>
        <v>Master</v>
      </c>
      <c r="AK1207" t="str" cm="1">
        <f t="array" ref="AK1207">_xlfn.SWITCH(CleanEmployeeData[[#This Row],[EnvironmentSatisfaction]],1,"Low",2,"Medium",3,"High",4,"Very High","Unknown")</f>
        <v>Very High</v>
      </c>
      <c r="AL1207" t="str" cm="1">
        <f t="array" ref="AL1207">_xlfn.SWITCH(CleanEmployeeData[[#This Row],[JobInvolvement]],1,"Low",2,"Medium",3,"High",4,"Very High","Unknown")</f>
        <v>High</v>
      </c>
      <c r="AM1207" t="str" cm="1">
        <f t="array" ref="AM1207">_xlfn.SWITCH(CleanEmployeeData[[#This Row],[JobSatisfaction]],1,"Low",2,"Medium",3,"High",4,"Very High","Unknown")</f>
        <v>Medium</v>
      </c>
      <c r="AN1207" t="str" cm="1">
        <f t="array" ref="AN1207">_xlfn.SWITCH(CleanEmployeeData[[#This Row],[PerformanceRating]],1,"Low",2,"Good",3,"Excellent",4,"Outstanding","Unknown")</f>
        <v>Excellent</v>
      </c>
      <c r="AO1207" t="str" cm="1">
        <f t="array" ref="AO1207">_xlfn.SWITCH(CleanEmployeeData[[#This Row],[WorkLifeBalance]],1,"Bad",2,"Good",3,"Better",4,"Best","Unknown")</f>
        <v>Better</v>
      </c>
      <c r="AP1207">
        <f>IF(CleanEmployeeData[[#This Row],[Attrition]]="Yes",1,IF(CleanEmployeeData[[#This Row],[Attrition]]="No",0,""))</f>
        <v>1</v>
      </c>
      <c r="AQ1207" t="str" cm="1">
        <f t="array" ref="AQ1207">_xlfn.IFS(CleanEmployeeData[[#This Row],[MonthlyIncome]]&lt;=3000,"0–3,000",CleanEmployeeData[[#This Row],[MonthlyIncome]]&lt;=6000,"3,001–6,000",CleanEmployeeData[[#This Row],[MonthlyIncome]]&lt;=10000,"6,001–10,000",TRUE,"10,001+")</f>
        <v>0–3,000</v>
      </c>
      <c r="AR1207" t="str" cm="1">
        <f t="array" ref="AR1207">_xlfn.IFS(CleanEmployeeData[[#This Row],[DistanceFromHome]]&lt;=5,"0–5 miles",CleanEmployeeData[[#This Row],[DistanceFromHome]]&lt;=10,"6–10 miles",CleanEmployeeData[[#This Row],[DistanceFromHome]]&lt;=15,"11–15 miles",TRUE,"16+ miles")</f>
        <v>0–5 miles</v>
      </c>
      <c r="AS1207" t="str" cm="1">
        <f t="array" ref="AS1207">_xlfn.IFS(CleanEmployeeData[[#This Row],[YearsAtCompany]]&lt;=1,"0–1 years",CleanEmployeeData[[#This Row],[YearsAtCompany]]&lt;=5,"2–5 years",CleanEmployeeData[[#This Row],[YearsAtCompany]]&lt;=10,"6–10 years",TRUE,"11+ years")</f>
        <v>0–1 years</v>
      </c>
    </row>
    <row r="1208" spans="1:4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cm="1">
        <f t="array" ref="AJ1208">_xlfn.SWITCH(CleanEmployeeData[[#This Row],[Education]],1,"Below College",2,"College",3,"Bachelor",4,"Master",5,"Doctor","Unknown")</f>
        <v>Bachelor</v>
      </c>
      <c r="AK1208" t="str" cm="1">
        <f t="array" ref="AK1208">_xlfn.SWITCH(CleanEmployeeData[[#This Row],[EnvironmentSatisfaction]],1,"Low",2,"Medium",3,"High",4,"Very High","Unknown")</f>
        <v>Very High</v>
      </c>
      <c r="AL1208" t="str" cm="1">
        <f t="array" ref="AL1208">_xlfn.SWITCH(CleanEmployeeData[[#This Row],[JobInvolvement]],1,"Low",2,"Medium",3,"High",4,"Very High","Unknown")</f>
        <v>High</v>
      </c>
      <c r="AM1208" t="str" cm="1">
        <f t="array" ref="AM1208">_xlfn.SWITCH(CleanEmployeeData[[#This Row],[JobSatisfaction]],1,"Low",2,"Medium",3,"High",4,"Very High","Unknown")</f>
        <v>Very High</v>
      </c>
      <c r="AN1208" t="str" cm="1">
        <f t="array" ref="AN1208">_xlfn.SWITCH(CleanEmployeeData[[#This Row],[PerformanceRating]],1,"Low",2,"Good",3,"Excellent",4,"Outstanding","Unknown")</f>
        <v>Outstanding</v>
      </c>
      <c r="AO1208" t="str" cm="1">
        <f t="array" ref="AO1208">_xlfn.SWITCH(CleanEmployeeData[[#This Row],[WorkLifeBalance]],1,"Bad",2,"Good",3,"Better",4,"Best","Unknown")</f>
        <v>Better</v>
      </c>
      <c r="AP1208">
        <f>IF(CleanEmployeeData[[#This Row],[Attrition]]="Yes",1,IF(CleanEmployeeData[[#This Row],[Attrition]]="No",0,""))</f>
        <v>0</v>
      </c>
      <c r="AQ1208" t="str" cm="1">
        <f t="array" ref="AQ1208">_xlfn.IFS(CleanEmployeeData[[#This Row],[MonthlyIncome]]&lt;=3000,"0–3,000",CleanEmployeeData[[#This Row],[MonthlyIncome]]&lt;=6000,"3,001–6,000",CleanEmployeeData[[#This Row],[MonthlyIncome]]&lt;=10000,"6,001–10,000",TRUE,"10,001+")</f>
        <v>0–3,000</v>
      </c>
      <c r="AR1208" t="str" cm="1">
        <f t="array" ref="AR1208">_xlfn.IFS(CleanEmployeeData[[#This Row],[DistanceFromHome]]&lt;=5,"0–5 miles",CleanEmployeeData[[#This Row],[DistanceFromHome]]&lt;=10,"6–10 miles",CleanEmployeeData[[#This Row],[DistanceFromHome]]&lt;=15,"11–15 miles",TRUE,"16+ miles")</f>
        <v>6–10 miles</v>
      </c>
      <c r="AS1208" t="str" cm="1">
        <f t="array" ref="AS1208">_xlfn.IFS(CleanEmployeeData[[#This Row],[YearsAtCompany]]&lt;=1,"0–1 years",CleanEmployeeData[[#This Row],[YearsAtCompany]]&lt;=5,"2–5 years",CleanEmployeeData[[#This Row],[YearsAtCompany]]&lt;=10,"6–10 years",TRUE,"11+ years")</f>
        <v>6–10 years</v>
      </c>
    </row>
    <row r="1209" spans="1:4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cm="1">
        <f t="array" ref="AJ1209">_xlfn.SWITCH(CleanEmployeeData[[#This Row],[Education]],1,"Below College",2,"College",3,"Bachelor",4,"Master",5,"Doctor","Unknown")</f>
        <v>Bachelor</v>
      </c>
      <c r="AK1209" t="str" cm="1">
        <f t="array" ref="AK1209">_xlfn.SWITCH(CleanEmployeeData[[#This Row],[EnvironmentSatisfaction]],1,"Low",2,"Medium",3,"High",4,"Very High","Unknown")</f>
        <v>Low</v>
      </c>
      <c r="AL1209" t="str" cm="1">
        <f t="array" ref="AL1209">_xlfn.SWITCH(CleanEmployeeData[[#This Row],[JobInvolvement]],1,"Low",2,"Medium",3,"High",4,"Very High","Unknown")</f>
        <v>Medium</v>
      </c>
      <c r="AM1209" t="str" cm="1">
        <f t="array" ref="AM1209">_xlfn.SWITCH(CleanEmployeeData[[#This Row],[JobSatisfaction]],1,"Low",2,"Medium",3,"High",4,"Very High","Unknown")</f>
        <v>Medium</v>
      </c>
      <c r="AN1209" t="str" cm="1">
        <f t="array" ref="AN1209">_xlfn.SWITCH(CleanEmployeeData[[#This Row],[PerformanceRating]],1,"Low",2,"Good",3,"Excellent",4,"Outstanding","Unknown")</f>
        <v>Excellent</v>
      </c>
      <c r="AO1209" t="str" cm="1">
        <f t="array" ref="AO1209">_xlfn.SWITCH(CleanEmployeeData[[#This Row],[WorkLifeBalance]],1,"Bad",2,"Good",3,"Better",4,"Best","Unknown")</f>
        <v>Better</v>
      </c>
      <c r="AP1209">
        <f>IF(CleanEmployeeData[[#This Row],[Attrition]]="Yes",1,IF(CleanEmployeeData[[#This Row],[Attrition]]="No",0,""))</f>
        <v>0</v>
      </c>
      <c r="AQ1209" t="str" cm="1">
        <f t="array" ref="AQ1209">_xlfn.IFS(CleanEmployeeData[[#This Row],[MonthlyIncome]]&lt;=3000,"0–3,000",CleanEmployeeData[[#This Row],[MonthlyIncome]]&lt;=6000,"3,001–6,000",CleanEmployeeData[[#This Row],[MonthlyIncome]]&lt;=10000,"6,001–10,000",TRUE,"10,001+")</f>
        <v>3,001–6,000</v>
      </c>
      <c r="AR1209" t="str" cm="1">
        <f t="array" ref="AR1209">_xlfn.IFS(CleanEmployeeData[[#This Row],[DistanceFromHome]]&lt;=5,"0–5 miles",CleanEmployeeData[[#This Row],[DistanceFromHome]]&lt;=10,"6–10 miles",CleanEmployeeData[[#This Row],[DistanceFromHome]]&lt;=15,"11–15 miles",TRUE,"16+ miles")</f>
        <v>16+ miles</v>
      </c>
      <c r="AS1209" t="str" cm="1">
        <f t="array" ref="AS1209">_xlfn.IFS(CleanEmployeeData[[#This Row],[YearsAtCompany]]&lt;=1,"0–1 years",CleanEmployeeData[[#This Row],[YearsAtCompany]]&lt;=5,"2–5 years",CleanEmployeeData[[#This Row],[YearsAtCompany]]&lt;=10,"6–10 years",TRUE,"11+ years")</f>
        <v>2–5 years</v>
      </c>
    </row>
    <row r="1210" spans="1:4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cm="1">
        <f t="array" ref="AJ1210">_xlfn.SWITCH(CleanEmployeeData[[#This Row],[Education]],1,"Below College",2,"College",3,"Bachelor",4,"Master",5,"Doctor","Unknown")</f>
        <v>College</v>
      </c>
      <c r="AK1210" t="str" cm="1">
        <f t="array" ref="AK1210">_xlfn.SWITCH(CleanEmployeeData[[#This Row],[EnvironmentSatisfaction]],1,"Low",2,"Medium",3,"High",4,"Very High","Unknown")</f>
        <v>Medium</v>
      </c>
      <c r="AL1210" t="str" cm="1">
        <f t="array" ref="AL1210">_xlfn.SWITCH(CleanEmployeeData[[#This Row],[JobInvolvement]],1,"Low",2,"Medium",3,"High",4,"Very High","Unknown")</f>
        <v>Medium</v>
      </c>
      <c r="AM1210" t="str" cm="1">
        <f t="array" ref="AM1210">_xlfn.SWITCH(CleanEmployeeData[[#This Row],[JobSatisfaction]],1,"Low",2,"Medium",3,"High",4,"Very High","Unknown")</f>
        <v>Very High</v>
      </c>
      <c r="AN1210" t="str" cm="1">
        <f t="array" ref="AN1210">_xlfn.SWITCH(CleanEmployeeData[[#This Row],[PerformanceRating]],1,"Low",2,"Good",3,"Excellent",4,"Outstanding","Unknown")</f>
        <v>Excellent</v>
      </c>
      <c r="AO1210" t="str" cm="1">
        <f t="array" ref="AO1210">_xlfn.SWITCH(CleanEmployeeData[[#This Row],[WorkLifeBalance]],1,"Bad",2,"Good",3,"Better",4,"Best","Unknown")</f>
        <v>Best</v>
      </c>
      <c r="AP1210">
        <f>IF(CleanEmployeeData[[#This Row],[Attrition]]="Yes",1,IF(CleanEmployeeData[[#This Row],[Attrition]]="No",0,""))</f>
        <v>0</v>
      </c>
      <c r="AQ1210" t="str" cm="1">
        <f t="array" ref="AQ1210">_xlfn.IFS(CleanEmployeeData[[#This Row],[MonthlyIncome]]&lt;=3000,"0–3,000",CleanEmployeeData[[#This Row],[MonthlyIncome]]&lt;=6000,"3,001–6,000",CleanEmployeeData[[#This Row],[MonthlyIncome]]&lt;=10000,"6,001–10,000",TRUE,"10,001+")</f>
        <v>3,001–6,000</v>
      </c>
      <c r="AR1210" t="str" cm="1">
        <f t="array" ref="AR1210">_xlfn.IFS(CleanEmployeeData[[#This Row],[DistanceFromHome]]&lt;=5,"0–5 miles",CleanEmployeeData[[#This Row],[DistanceFromHome]]&lt;=10,"6–10 miles",CleanEmployeeData[[#This Row],[DistanceFromHome]]&lt;=15,"11–15 miles",TRUE,"16+ miles")</f>
        <v>0–5 miles</v>
      </c>
      <c r="AS1210" t="str" cm="1">
        <f t="array" ref="AS1210">_xlfn.IFS(CleanEmployeeData[[#This Row],[YearsAtCompany]]&lt;=1,"0–1 years",CleanEmployeeData[[#This Row],[YearsAtCompany]]&lt;=5,"2–5 years",CleanEmployeeData[[#This Row],[YearsAtCompany]]&lt;=10,"6–10 years",TRUE,"11+ years")</f>
        <v>11+ years</v>
      </c>
    </row>
    <row r="1211" spans="1:4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cm="1">
        <f t="array" ref="AJ1211">_xlfn.SWITCH(CleanEmployeeData[[#This Row],[Education]],1,"Below College",2,"College",3,"Bachelor",4,"Master",5,"Doctor","Unknown")</f>
        <v>Master</v>
      </c>
      <c r="AK1211" t="str" cm="1">
        <f t="array" ref="AK1211">_xlfn.SWITCH(CleanEmployeeData[[#This Row],[EnvironmentSatisfaction]],1,"Low",2,"Medium",3,"High",4,"Very High","Unknown")</f>
        <v>High</v>
      </c>
      <c r="AL1211" t="str" cm="1">
        <f t="array" ref="AL1211">_xlfn.SWITCH(CleanEmployeeData[[#This Row],[JobInvolvement]],1,"Low",2,"Medium",3,"High",4,"Very High","Unknown")</f>
        <v>Low</v>
      </c>
      <c r="AM1211" t="str" cm="1">
        <f t="array" ref="AM1211">_xlfn.SWITCH(CleanEmployeeData[[#This Row],[JobSatisfaction]],1,"Low",2,"Medium",3,"High",4,"Very High","Unknown")</f>
        <v>Very High</v>
      </c>
      <c r="AN1211" t="str" cm="1">
        <f t="array" ref="AN1211">_xlfn.SWITCH(CleanEmployeeData[[#This Row],[PerformanceRating]],1,"Low",2,"Good",3,"Excellent",4,"Outstanding","Unknown")</f>
        <v>Outstanding</v>
      </c>
      <c r="AO1211" t="str" cm="1">
        <f t="array" ref="AO1211">_xlfn.SWITCH(CleanEmployeeData[[#This Row],[WorkLifeBalance]],1,"Bad",2,"Good",3,"Better",4,"Best","Unknown")</f>
        <v>Best</v>
      </c>
      <c r="AP1211">
        <f>IF(CleanEmployeeData[[#This Row],[Attrition]]="Yes",1,IF(CleanEmployeeData[[#This Row],[Attrition]]="No",0,""))</f>
        <v>0</v>
      </c>
      <c r="AQ1211" t="str" cm="1">
        <f t="array" ref="AQ1211">_xlfn.IFS(CleanEmployeeData[[#This Row],[MonthlyIncome]]&lt;=3000,"0–3,000",CleanEmployeeData[[#This Row],[MonthlyIncome]]&lt;=6000,"3,001–6,000",CleanEmployeeData[[#This Row],[MonthlyIncome]]&lt;=10000,"6,001–10,000",TRUE,"10,001+")</f>
        <v>10,001+</v>
      </c>
      <c r="AR1211" t="str" cm="1">
        <f t="array" ref="AR1211">_xlfn.IFS(CleanEmployeeData[[#This Row],[DistanceFromHome]]&lt;=5,"0–5 miles",CleanEmployeeData[[#This Row],[DistanceFromHome]]&lt;=10,"6–10 miles",CleanEmployeeData[[#This Row],[DistanceFromHome]]&lt;=15,"11–15 miles",TRUE,"16+ miles")</f>
        <v>0–5 miles</v>
      </c>
      <c r="AS1211" t="str" cm="1">
        <f t="array" ref="AS1211">_xlfn.IFS(CleanEmployeeData[[#This Row],[YearsAtCompany]]&lt;=1,"0–1 years",CleanEmployeeData[[#This Row],[YearsAtCompany]]&lt;=5,"2–5 years",CleanEmployeeData[[#This Row],[YearsAtCompany]]&lt;=10,"6–10 years",TRUE,"11+ years")</f>
        <v>0–1 years</v>
      </c>
    </row>
    <row r="1212" spans="1:4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cm="1">
        <f t="array" ref="AJ1212">_xlfn.SWITCH(CleanEmployeeData[[#This Row],[Education]],1,"Below College",2,"College",3,"Bachelor",4,"Master",5,"Doctor","Unknown")</f>
        <v>Bachelor</v>
      </c>
      <c r="AK1212" t="str" cm="1">
        <f t="array" ref="AK1212">_xlfn.SWITCH(CleanEmployeeData[[#This Row],[EnvironmentSatisfaction]],1,"Low",2,"Medium",3,"High",4,"Very High","Unknown")</f>
        <v>Medium</v>
      </c>
      <c r="AL1212" t="str" cm="1">
        <f t="array" ref="AL1212">_xlfn.SWITCH(CleanEmployeeData[[#This Row],[JobInvolvement]],1,"Low",2,"Medium",3,"High",4,"Very High","Unknown")</f>
        <v>Very High</v>
      </c>
      <c r="AM1212" t="str" cm="1">
        <f t="array" ref="AM1212">_xlfn.SWITCH(CleanEmployeeData[[#This Row],[JobSatisfaction]],1,"Low",2,"Medium",3,"High",4,"Very High","Unknown")</f>
        <v>Medium</v>
      </c>
      <c r="AN1212" t="str" cm="1">
        <f t="array" ref="AN1212">_xlfn.SWITCH(CleanEmployeeData[[#This Row],[PerformanceRating]],1,"Low",2,"Good",3,"Excellent",4,"Outstanding","Unknown")</f>
        <v>Excellent</v>
      </c>
      <c r="AO1212" t="str" cm="1">
        <f t="array" ref="AO1212">_xlfn.SWITCH(CleanEmployeeData[[#This Row],[WorkLifeBalance]],1,"Bad",2,"Good",3,"Better",4,"Best","Unknown")</f>
        <v>Better</v>
      </c>
      <c r="AP1212">
        <f>IF(CleanEmployeeData[[#This Row],[Attrition]]="Yes",1,IF(CleanEmployeeData[[#This Row],[Attrition]]="No",0,""))</f>
        <v>0</v>
      </c>
      <c r="AQ1212" t="str" cm="1">
        <f t="array" ref="AQ1212">_xlfn.IFS(CleanEmployeeData[[#This Row],[MonthlyIncome]]&lt;=3000,"0–3,000",CleanEmployeeData[[#This Row],[MonthlyIncome]]&lt;=6000,"3,001–6,000",CleanEmployeeData[[#This Row],[MonthlyIncome]]&lt;=10000,"6,001–10,000",TRUE,"10,001+")</f>
        <v>0–3,000</v>
      </c>
      <c r="AR1212" t="str" cm="1">
        <f t="array" ref="AR1212">_xlfn.IFS(CleanEmployeeData[[#This Row],[DistanceFromHome]]&lt;=5,"0–5 miles",CleanEmployeeData[[#This Row],[DistanceFromHome]]&lt;=10,"6–10 miles",CleanEmployeeData[[#This Row],[DistanceFromHome]]&lt;=15,"11–15 miles",TRUE,"16+ miles")</f>
        <v>16+ miles</v>
      </c>
      <c r="AS1212" t="str" cm="1">
        <f t="array" ref="AS1212">_xlfn.IFS(CleanEmployeeData[[#This Row],[YearsAtCompany]]&lt;=1,"0–1 years",CleanEmployeeData[[#This Row],[YearsAtCompany]]&lt;=5,"2–5 years",CleanEmployeeData[[#This Row],[YearsAtCompany]]&lt;=10,"6–10 years",TRUE,"11+ years")</f>
        <v>11+ years</v>
      </c>
    </row>
    <row r="1213" spans="1:4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cm="1">
        <f t="array" ref="AJ1213">_xlfn.SWITCH(CleanEmployeeData[[#This Row],[Education]],1,"Below College",2,"College",3,"Bachelor",4,"Master",5,"Doctor","Unknown")</f>
        <v>Master</v>
      </c>
      <c r="AK1213" t="str" cm="1">
        <f t="array" ref="AK1213">_xlfn.SWITCH(CleanEmployeeData[[#This Row],[EnvironmentSatisfaction]],1,"Low",2,"Medium",3,"High",4,"Very High","Unknown")</f>
        <v>High</v>
      </c>
      <c r="AL1213" t="str" cm="1">
        <f t="array" ref="AL1213">_xlfn.SWITCH(CleanEmployeeData[[#This Row],[JobInvolvement]],1,"Low",2,"Medium",3,"High",4,"Very High","Unknown")</f>
        <v>Low</v>
      </c>
      <c r="AM1213" t="str" cm="1">
        <f t="array" ref="AM1213">_xlfn.SWITCH(CleanEmployeeData[[#This Row],[JobSatisfaction]],1,"Low",2,"Medium",3,"High",4,"Very High","Unknown")</f>
        <v>Very High</v>
      </c>
      <c r="AN1213" t="str" cm="1">
        <f t="array" ref="AN1213">_xlfn.SWITCH(CleanEmployeeData[[#This Row],[PerformanceRating]],1,"Low",2,"Good",3,"Excellent",4,"Outstanding","Unknown")</f>
        <v>Excellent</v>
      </c>
      <c r="AO1213" t="str" cm="1">
        <f t="array" ref="AO1213">_xlfn.SWITCH(CleanEmployeeData[[#This Row],[WorkLifeBalance]],1,"Bad",2,"Good",3,"Better",4,"Best","Unknown")</f>
        <v>Good</v>
      </c>
      <c r="AP1213">
        <f>IF(CleanEmployeeData[[#This Row],[Attrition]]="Yes",1,IF(CleanEmployeeData[[#This Row],[Attrition]]="No",0,""))</f>
        <v>0</v>
      </c>
      <c r="AQ1213" t="str" cm="1">
        <f t="array" ref="AQ1213">_xlfn.IFS(CleanEmployeeData[[#This Row],[MonthlyIncome]]&lt;=3000,"0–3,000",CleanEmployeeData[[#This Row],[MonthlyIncome]]&lt;=6000,"3,001–6,000",CleanEmployeeData[[#This Row],[MonthlyIncome]]&lt;=10000,"6,001–10,000",TRUE,"10,001+")</f>
        <v>6,001–10,000</v>
      </c>
      <c r="AR1213" t="str" cm="1">
        <f t="array" ref="AR1213">_xlfn.IFS(CleanEmployeeData[[#This Row],[DistanceFromHome]]&lt;=5,"0–5 miles",CleanEmployeeData[[#This Row],[DistanceFromHome]]&lt;=10,"6–10 miles",CleanEmployeeData[[#This Row],[DistanceFromHome]]&lt;=15,"11–15 miles",TRUE,"16+ miles")</f>
        <v>0–5 miles</v>
      </c>
      <c r="AS1213" t="str" cm="1">
        <f t="array" ref="AS1213">_xlfn.IFS(CleanEmployeeData[[#This Row],[YearsAtCompany]]&lt;=1,"0–1 years",CleanEmployeeData[[#This Row],[YearsAtCompany]]&lt;=5,"2–5 years",CleanEmployeeData[[#This Row],[YearsAtCompany]]&lt;=10,"6–10 years",TRUE,"11+ years")</f>
        <v>6–10 years</v>
      </c>
    </row>
    <row r="1214" spans="1:4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cm="1">
        <f t="array" ref="AJ1214">_xlfn.SWITCH(CleanEmployeeData[[#This Row],[Education]],1,"Below College",2,"College",3,"Bachelor",4,"Master",5,"Doctor","Unknown")</f>
        <v>Bachelor</v>
      </c>
      <c r="AK1214" t="str" cm="1">
        <f t="array" ref="AK1214">_xlfn.SWITCH(CleanEmployeeData[[#This Row],[EnvironmentSatisfaction]],1,"Low",2,"Medium",3,"High",4,"Very High","Unknown")</f>
        <v>Medium</v>
      </c>
      <c r="AL1214" t="str" cm="1">
        <f t="array" ref="AL1214">_xlfn.SWITCH(CleanEmployeeData[[#This Row],[JobInvolvement]],1,"Low",2,"Medium",3,"High",4,"Very High","Unknown")</f>
        <v>Medium</v>
      </c>
      <c r="AM1214" t="str" cm="1">
        <f t="array" ref="AM1214">_xlfn.SWITCH(CleanEmployeeData[[#This Row],[JobSatisfaction]],1,"Low",2,"Medium",3,"High",4,"Very High","Unknown")</f>
        <v>Very High</v>
      </c>
      <c r="AN1214" t="str" cm="1">
        <f t="array" ref="AN1214">_xlfn.SWITCH(CleanEmployeeData[[#This Row],[PerformanceRating]],1,"Low",2,"Good",3,"Excellent",4,"Outstanding","Unknown")</f>
        <v>Excellent</v>
      </c>
      <c r="AO1214" t="str" cm="1">
        <f t="array" ref="AO1214">_xlfn.SWITCH(CleanEmployeeData[[#This Row],[WorkLifeBalance]],1,"Bad",2,"Good",3,"Better",4,"Best","Unknown")</f>
        <v>Better</v>
      </c>
      <c r="AP1214">
        <f>IF(CleanEmployeeData[[#This Row],[Attrition]]="Yes",1,IF(CleanEmployeeData[[#This Row],[Attrition]]="No",0,""))</f>
        <v>0</v>
      </c>
      <c r="AQ1214" t="str" cm="1">
        <f t="array" ref="AQ1214">_xlfn.IFS(CleanEmployeeData[[#This Row],[MonthlyIncome]]&lt;=3000,"0–3,000",CleanEmployeeData[[#This Row],[MonthlyIncome]]&lt;=6000,"3,001–6,000",CleanEmployeeData[[#This Row],[MonthlyIncome]]&lt;=10000,"6,001–10,000",TRUE,"10,001+")</f>
        <v>0–3,000</v>
      </c>
      <c r="AR1214" t="str" cm="1">
        <f t="array" ref="AR1214">_xlfn.IFS(CleanEmployeeData[[#This Row],[DistanceFromHome]]&lt;=5,"0–5 miles",CleanEmployeeData[[#This Row],[DistanceFromHome]]&lt;=10,"6–10 miles",CleanEmployeeData[[#This Row],[DistanceFromHome]]&lt;=15,"11–15 miles",TRUE,"16+ miles")</f>
        <v>16+ miles</v>
      </c>
      <c r="AS1214" t="str" cm="1">
        <f t="array" ref="AS1214">_xlfn.IFS(CleanEmployeeData[[#This Row],[YearsAtCompany]]&lt;=1,"0–1 years",CleanEmployeeData[[#This Row],[YearsAtCompany]]&lt;=5,"2–5 years",CleanEmployeeData[[#This Row],[YearsAtCompany]]&lt;=10,"6–10 years",TRUE,"11+ years")</f>
        <v>6–10 years</v>
      </c>
    </row>
    <row r="1215" spans="1:4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cm="1">
        <f t="array" ref="AJ1215">_xlfn.SWITCH(CleanEmployeeData[[#This Row],[Education]],1,"Below College",2,"College",3,"Bachelor",4,"Master",5,"Doctor","Unknown")</f>
        <v>Bachelor</v>
      </c>
      <c r="AK1215" t="str" cm="1">
        <f t="array" ref="AK1215">_xlfn.SWITCH(CleanEmployeeData[[#This Row],[EnvironmentSatisfaction]],1,"Low",2,"Medium",3,"High",4,"Very High","Unknown")</f>
        <v>High</v>
      </c>
      <c r="AL1215" t="str" cm="1">
        <f t="array" ref="AL1215">_xlfn.SWITCH(CleanEmployeeData[[#This Row],[JobInvolvement]],1,"Low",2,"Medium",3,"High",4,"Very High","Unknown")</f>
        <v>High</v>
      </c>
      <c r="AM1215" t="str" cm="1">
        <f t="array" ref="AM1215">_xlfn.SWITCH(CleanEmployeeData[[#This Row],[JobSatisfaction]],1,"Low",2,"Medium",3,"High",4,"Very High","Unknown")</f>
        <v>Very High</v>
      </c>
      <c r="AN1215" t="str" cm="1">
        <f t="array" ref="AN1215">_xlfn.SWITCH(CleanEmployeeData[[#This Row],[PerformanceRating]],1,"Low",2,"Good",3,"Excellent",4,"Outstanding","Unknown")</f>
        <v>Outstanding</v>
      </c>
      <c r="AO1215" t="str" cm="1">
        <f t="array" ref="AO1215">_xlfn.SWITCH(CleanEmployeeData[[#This Row],[WorkLifeBalance]],1,"Bad",2,"Good",3,"Better",4,"Best","Unknown")</f>
        <v>Better</v>
      </c>
      <c r="AP1215">
        <f>IF(CleanEmployeeData[[#This Row],[Attrition]]="Yes",1,IF(CleanEmployeeData[[#This Row],[Attrition]]="No",0,""))</f>
        <v>1</v>
      </c>
      <c r="AQ1215" t="str" cm="1">
        <f t="array" ref="AQ1215">_xlfn.IFS(CleanEmployeeData[[#This Row],[MonthlyIncome]]&lt;=3000,"0–3,000",CleanEmployeeData[[#This Row],[MonthlyIncome]]&lt;=6000,"3,001–6,000",CleanEmployeeData[[#This Row],[MonthlyIncome]]&lt;=10000,"6,001–10,000",TRUE,"10,001+")</f>
        <v>0–3,000</v>
      </c>
      <c r="AR1215" t="str" cm="1">
        <f t="array" ref="AR1215">_xlfn.IFS(CleanEmployeeData[[#This Row],[DistanceFromHome]]&lt;=5,"0–5 miles",CleanEmployeeData[[#This Row],[DistanceFromHome]]&lt;=10,"6–10 miles",CleanEmployeeData[[#This Row],[DistanceFromHome]]&lt;=15,"11–15 miles",TRUE,"16+ miles")</f>
        <v>6–10 miles</v>
      </c>
      <c r="AS1215" t="str" cm="1">
        <f t="array" ref="AS1215">_xlfn.IFS(CleanEmployeeData[[#This Row],[YearsAtCompany]]&lt;=1,"0–1 years",CleanEmployeeData[[#This Row],[YearsAtCompany]]&lt;=5,"2–5 years",CleanEmployeeData[[#This Row],[YearsAtCompany]]&lt;=10,"6–10 years",TRUE,"11+ years")</f>
        <v>2–5 years</v>
      </c>
    </row>
    <row r="1216" spans="1:4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cm="1">
        <f t="array" ref="AJ1216">_xlfn.SWITCH(CleanEmployeeData[[#This Row],[Education]],1,"Below College",2,"College",3,"Bachelor",4,"Master",5,"Doctor","Unknown")</f>
        <v>Bachelor</v>
      </c>
      <c r="AK1216" t="str" cm="1">
        <f t="array" ref="AK1216">_xlfn.SWITCH(CleanEmployeeData[[#This Row],[EnvironmentSatisfaction]],1,"Low",2,"Medium",3,"High",4,"Very High","Unknown")</f>
        <v>High</v>
      </c>
      <c r="AL1216" t="str" cm="1">
        <f t="array" ref="AL1216">_xlfn.SWITCH(CleanEmployeeData[[#This Row],[JobInvolvement]],1,"Low",2,"Medium",3,"High",4,"Very High","Unknown")</f>
        <v>Very High</v>
      </c>
      <c r="AM1216" t="str" cm="1">
        <f t="array" ref="AM1216">_xlfn.SWITCH(CleanEmployeeData[[#This Row],[JobSatisfaction]],1,"Low",2,"Medium",3,"High",4,"Very High","Unknown")</f>
        <v>Very High</v>
      </c>
      <c r="AN1216" t="str" cm="1">
        <f t="array" ref="AN1216">_xlfn.SWITCH(CleanEmployeeData[[#This Row],[PerformanceRating]],1,"Low",2,"Good",3,"Excellent",4,"Outstanding","Unknown")</f>
        <v>Excellent</v>
      </c>
      <c r="AO1216" t="str" cm="1">
        <f t="array" ref="AO1216">_xlfn.SWITCH(CleanEmployeeData[[#This Row],[WorkLifeBalance]],1,"Bad",2,"Good",3,"Better",4,"Best","Unknown")</f>
        <v>Better</v>
      </c>
      <c r="AP1216">
        <f>IF(CleanEmployeeData[[#This Row],[Attrition]]="Yes",1,IF(CleanEmployeeData[[#This Row],[Attrition]]="No",0,""))</f>
        <v>0</v>
      </c>
      <c r="AQ1216" t="str" cm="1">
        <f t="array" ref="AQ1216">_xlfn.IFS(CleanEmployeeData[[#This Row],[MonthlyIncome]]&lt;=3000,"0–3,000",CleanEmployeeData[[#This Row],[MonthlyIncome]]&lt;=6000,"3,001–6,000",CleanEmployeeData[[#This Row],[MonthlyIncome]]&lt;=10000,"6,001–10,000",TRUE,"10,001+")</f>
        <v>6,001–10,000</v>
      </c>
      <c r="AR1216" t="str" cm="1">
        <f t="array" ref="AR1216">_xlfn.IFS(CleanEmployeeData[[#This Row],[DistanceFromHome]]&lt;=5,"0–5 miles",CleanEmployeeData[[#This Row],[DistanceFromHome]]&lt;=10,"6–10 miles",CleanEmployeeData[[#This Row],[DistanceFromHome]]&lt;=15,"11–15 miles",TRUE,"16+ miles")</f>
        <v>0–5 miles</v>
      </c>
      <c r="AS1216" t="str" cm="1">
        <f t="array" ref="AS1216">_xlfn.IFS(CleanEmployeeData[[#This Row],[YearsAtCompany]]&lt;=1,"0–1 years",CleanEmployeeData[[#This Row],[YearsAtCompany]]&lt;=5,"2–5 years",CleanEmployeeData[[#This Row],[YearsAtCompany]]&lt;=10,"6–10 years",TRUE,"11+ years")</f>
        <v>6–10 years</v>
      </c>
    </row>
    <row r="1217" spans="1:4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cm="1">
        <f t="array" ref="AJ1217">_xlfn.SWITCH(CleanEmployeeData[[#This Row],[Education]],1,"Below College",2,"College",3,"Bachelor",4,"Master",5,"Doctor","Unknown")</f>
        <v>Master</v>
      </c>
      <c r="AK1217" t="str" cm="1">
        <f t="array" ref="AK1217">_xlfn.SWITCH(CleanEmployeeData[[#This Row],[EnvironmentSatisfaction]],1,"Low",2,"Medium",3,"High",4,"Very High","Unknown")</f>
        <v>Low</v>
      </c>
      <c r="AL1217" t="str" cm="1">
        <f t="array" ref="AL1217">_xlfn.SWITCH(CleanEmployeeData[[#This Row],[JobInvolvement]],1,"Low",2,"Medium",3,"High",4,"Very High","Unknown")</f>
        <v>Medium</v>
      </c>
      <c r="AM1217" t="str" cm="1">
        <f t="array" ref="AM1217">_xlfn.SWITCH(CleanEmployeeData[[#This Row],[JobSatisfaction]],1,"Low",2,"Medium",3,"High",4,"Very High","Unknown")</f>
        <v>Very High</v>
      </c>
      <c r="AN1217" t="str" cm="1">
        <f t="array" ref="AN1217">_xlfn.SWITCH(CleanEmployeeData[[#This Row],[PerformanceRating]],1,"Low",2,"Good",3,"Excellent",4,"Outstanding","Unknown")</f>
        <v>Excellent</v>
      </c>
      <c r="AO1217" t="str" cm="1">
        <f t="array" ref="AO1217">_xlfn.SWITCH(CleanEmployeeData[[#This Row],[WorkLifeBalance]],1,"Bad",2,"Good",3,"Better",4,"Best","Unknown")</f>
        <v>Best</v>
      </c>
      <c r="AP1217">
        <f>IF(CleanEmployeeData[[#This Row],[Attrition]]="Yes",1,IF(CleanEmployeeData[[#This Row],[Attrition]]="No",0,""))</f>
        <v>0</v>
      </c>
      <c r="AQ1217" t="str" cm="1">
        <f t="array" ref="AQ1217">_xlfn.IFS(CleanEmployeeData[[#This Row],[MonthlyIncome]]&lt;=3000,"0–3,000",CleanEmployeeData[[#This Row],[MonthlyIncome]]&lt;=6000,"3,001–6,000",CleanEmployeeData[[#This Row],[MonthlyIncome]]&lt;=10000,"6,001–10,000",TRUE,"10,001+")</f>
        <v>3,001–6,000</v>
      </c>
      <c r="AR1217" t="str" cm="1">
        <f t="array" ref="AR1217">_xlfn.IFS(CleanEmployeeData[[#This Row],[DistanceFromHome]]&lt;=5,"0–5 miles",CleanEmployeeData[[#This Row],[DistanceFromHome]]&lt;=10,"6–10 miles",CleanEmployeeData[[#This Row],[DistanceFromHome]]&lt;=15,"11–15 miles",TRUE,"16+ miles")</f>
        <v>0–5 miles</v>
      </c>
      <c r="AS1217" t="str" cm="1">
        <f t="array" ref="AS1217">_xlfn.IFS(CleanEmployeeData[[#This Row],[YearsAtCompany]]&lt;=1,"0–1 years",CleanEmployeeData[[#This Row],[YearsAtCompany]]&lt;=5,"2–5 years",CleanEmployeeData[[#This Row],[YearsAtCompany]]&lt;=10,"6–10 years",TRUE,"11+ years")</f>
        <v>2–5 years</v>
      </c>
    </row>
    <row r="1218" spans="1:4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cm="1">
        <f t="array" ref="AJ1218">_xlfn.SWITCH(CleanEmployeeData[[#This Row],[Education]],1,"Below College",2,"College",3,"Bachelor",4,"Master",5,"Doctor","Unknown")</f>
        <v>Bachelor</v>
      </c>
      <c r="AK1218" t="str" cm="1">
        <f t="array" ref="AK1218">_xlfn.SWITCH(CleanEmployeeData[[#This Row],[EnvironmentSatisfaction]],1,"Low",2,"Medium",3,"High",4,"Very High","Unknown")</f>
        <v>Very High</v>
      </c>
      <c r="AL1218" t="str" cm="1">
        <f t="array" ref="AL1218">_xlfn.SWITCH(CleanEmployeeData[[#This Row],[JobInvolvement]],1,"Low",2,"Medium",3,"High",4,"Very High","Unknown")</f>
        <v>High</v>
      </c>
      <c r="AM1218" t="str" cm="1">
        <f t="array" ref="AM1218">_xlfn.SWITCH(CleanEmployeeData[[#This Row],[JobSatisfaction]],1,"Low",2,"Medium",3,"High",4,"Very High","Unknown")</f>
        <v>Very High</v>
      </c>
      <c r="AN1218" t="str" cm="1">
        <f t="array" ref="AN1218">_xlfn.SWITCH(CleanEmployeeData[[#This Row],[PerformanceRating]],1,"Low",2,"Good",3,"Excellent",4,"Outstanding","Unknown")</f>
        <v>Excellent</v>
      </c>
      <c r="AO1218" t="str" cm="1">
        <f t="array" ref="AO1218">_xlfn.SWITCH(CleanEmployeeData[[#This Row],[WorkLifeBalance]],1,"Bad",2,"Good",3,"Better",4,"Best","Unknown")</f>
        <v>Better</v>
      </c>
      <c r="AP1218">
        <f>IF(CleanEmployeeData[[#This Row],[Attrition]]="Yes",1,IF(CleanEmployeeData[[#This Row],[Attrition]]="No",0,""))</f>
        <v>0</v>
      </c>
      <c r="AQ1218" t="str" cm="1">
        <f t="array" ref="AQ1218">_xlfn.IFS(CleanEmployeeData[[#This Row],[MonthlyIncome]]&lt;=3000,"0–3,000",CleanEmployeeData[[#This Row],[MonthlyIncome]]&lt;=6000,"3,001–6,000",CleanEmployeeData[[#This Row],[MonthlyIncome]]&lt;=10000,"6,001–10,000",TRUE,"10,001+")</f>
        <v>6,001–10,000</v>
      </c>
      <c r="AR1218" t="str" cm="1">
        <f t="array" ref="AR1218">_xlfn.IFS(CleanEmployeeData[[#This Row],[DistanceFromHome]]&lt;=5,"0–5 miles",CleanEmployeeData[[#This Row],[DistanceFromHome]]&lt;=10,"6–10 miles",CleanEmployeeData[[#This Row],[DistanceFromHome]]&lt;=15,"11–15 miles",TRUE,"16+ miles")</f>
        <v>0–5 miles</v>
      </c>
      <c r="AS1218" t="str" cm="1">
        <f t="array" ref="AS1218">_xlfn.IFS(CleanEmployeeData[[#This Row],[YearsAtCompany]]&lt;=1,"0–1 years",CleanEmployeeData[[#This Row],[YearsAtCompany]]&lt;=5,"2–5 years",CleanEmployeeData[[#This Row],[YearsAtCompany]]&lt;=10,"6–10 years",TRUE,"11+ years")</f>
        <v>6–10 years</v>
      </c>
    </row>
    <row r="1219" spans="1:4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cm="1">
        <f t="array" ref="AJ1219">_xlfn.SWITCH(CleanEmployeeData[[#This Row],[Education]],1,"Below College",2,"College",3,"Bachelor",4,"Master",5,"Doctor","Unknown")</f>
        <v>Bachelor</v>
      </c>
      <c r="AK1219" t="str" cm="1">
        <f t="array" ref="AK1219">_xlfn.SWITCH(CleanEmployeeData[[#This Row],[EnvironmentSatisfaction]],1,"Low",2,"Medium",3,"High",4,"Very High","Unknown")</f>
        <v>High</v>
      </c>
      <c r="AL1219" t="str" cm="1">
        <f t="array" ref="AL1219">_xlfn.SWITCH(CleanEmployeeData[[#This Row],[JobInvolvement]],1,"Low",2,"Medium",3,"High",4,"Very High","Unknown")</f>
        <v>Very High</v>
      </c>
      <c r="AM1219" t="str" cm="1">
        <f t="array" ref="AM1219">_xlfn.SWITCH(CleanEmployeeData[[#This Row],[JobSatisfaction]],1,"Low",2,"Medium",3,"High",4,"Very High","Unknown")</f>
        <v>High</v>
      </c>
      <c r="AN1219" t="str" cm="1">
        <f t="array" ref="AN1219">_xlfn.SWITCH(CleanEmployeeData[[#This Row],[PerformanceRating]],1,"Low",2,"Good",3,"Excellent",4,"Outstanding","Unknown")</f>
        <v>Excellent</v>
      </c>
      <c r="AO1219" t="str" cm="1">
        <f t="array" ref="AO1219">_xlfn.SWITCH(CleanEmployeeData[[#This Row],[WorkLifeBalance]],1,"Bad",2,"Good",3,"Better",4,"Best","Unknown")</f>
        <v>Better</v>
      </c>
      <c r="AP1219">
        <f>IF(CleanEmployeeData[[#This Row],[Attrition]]="Yes",1,IF(CleanEmployeeData[[#This Row],[Attrition]]="No",0,""))</f>
        <v>0</v>
      </c>
      <c r="AQ1219" t="str" cm="1">
        <f t="array" ref="AQ1219">_xlfn.IFS(CleanEmployeeData[[#This Row],[MonthlyIncome]]&lt;=3000,"0–3,000",CleanEmployeeData[[#This Row],[MonthlyIncome]]&lt;=6000,"3,001–6,000",CleanEmployeeData[[#This Row],[MonthlyIncome]]&lt;=10000,"6,001–10,000",TRUE,"10,001+")</f>
        <v>3,001–6,000</v>
      </c>
      <c r="AR1219" t="str" cm="1">
        <f t="array" ref="AR1219">_xlfn.IFS(CleanEmployeeData[[#This Row],[DistanceFromHome]]&lt;=5,"0–5 miles",CleanEmployeeData[[#This Row],[DistanceFromHome]]&lt;=10,"6–10 miles",CleanEmployeeData[[#This Row],[DistanceFromHome]]&lt;=15,"11–15 miles",TRUE,"16+ miles")</f>
        <v>6–10 miles</v>
      </c>
      <c r="AS1219" t="str" cm="1">
        <f t="array" ref="AS1219">_xlfn.IFS(CleanEmployeeData[[#This Row],[YearsAtCompany]]&lt;=1,"0–1 years",CleanEmployeeData[[#This Row],[YearsAtCompany]]&lt;=5,"2–5 years",CleanEmployeeData[[#This Row],[YearsAtCompany]]&lt;=10,"6–10 years",TRUE,"11+ years")</f>
        <v>2–5 years</v>
      </c>
    </row>
    <row r="1220" spans="1:4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cm="1">
        <f t="array" ref="AJ1220">_xlfn.SWITCH(CleanEmployeeData[[#This Row],[Education]],1,"Below College",2,"College",3,"Bachelor",4,"Master",5,"Doctor","Unknown")</f>
        <v>Bachelor</v>
      </c>
      <c r="AK1220" t="str" cm="1">
        <f t="array" ref="AK1220">_xlfn.SWITCH(CleanEmployeeData[[#This Row],[EnvironmentSatisfaction]],1,"Low",2,"Medium",3,"High",4,"Very High","Unknown")</f>
        <v>Very High</v>
      </c>
      <c r="AL1220" t="str" cm="1">
        <f t="array" ref="AL1220">_xlfn.SWITCH(CleanEmployeeData[[#This Row],[JobInvolvement]],1,"Low",2,"Medium",3,"High",4,"Very High","Unknown")</f>
        <v>High</v>
      </c>
      <c r="AM1220" t="str" cm="1">
        <f t="array" ref="AM1220">_xlfn.SWITCH(CleanEmployeeData[[#This Row],[JobSatisfaction]],1,"Low",2,"Medium",3,"High",4,"Very High","Unknown")</f>
        <v>High</v>
      </c>
      <c r="AN1220" t="str" cm="1">
        <f t="array" ref="AN1220">_xlfn.SWITCH(CleanEmployeeData[[#This Row],[PerformanceRating]],1,"Low",2,"Good",3,"Excellent",4,"Outstanding","Unknown")</f>
        <v>Excellent</v>
      </c>
      <c r="AO1220" t="str" cm="1">
        <f t="array" ref="AO1220">_xlfn.SWITCH(CleanEmployeeData[[#This Row],[WorkLifeBalance]],1,"Bad",2,"Good",3,"Better",4,"Best","Unknown")</f>
        <v>Better</v>
      </c>
      <c r="AP1220">
        <f>IF(CleanEmployeeData[[#This Row],[Attrition]]="Yes",1,IF(CleanEmployeeData[[#This Row],[Attrition]]="No",0,""))</f>
        <v>0</v>
      </c>
      <c r="AQ1220" t="str" cm="1">
        <f t="array" ref="AQ1220">_xlfn.IFS(CleanEmployeeData[[#This Row],[MonthlyIncome]]&lt;=3000,"0–3,000",CleanEmployeeData[[#This Row],[MonthlyIncome]]&lt;=6000,"3,001–6,000",CleanEmployeeData[[#This Row],[MonthlyIncome]]&lt;=10000,"6,001–10,000",TRUE,"10,001+")</f>
        <v>6,001–10,000</v>
      </c>
      <c r="AR1220" t="str" cm="1">
        <f t="array" ref="AR1220">_xlfn.IFS(CleanEmployeeData[[#This Row],[DistanceFromHome]]&lt;=5,"0–5 miles",CleanEmployeeData[[#This Row],[DistanceFromHome]]&lt;=10,"6–10 miles",CleanEmployeeData[[#This Row],[DistanceFromHome]]&lt;=15,"11–15 miles",TRUE,"16+ miles")</f>
        <v>6–10 miles</v>
      </c>
      <c r="AS1220" t="str" cm="1">
        <f t="array" ref="AS1220">_xlfn.IFS(CleanEmployeeData[[#This Row],[YearsAtCompany]]&lt;=1,"0–1 years",CleanEmployeeData[[#This Row],[YearsAtCompany]]&lt;=5,"2–5 years",CleanEmployeeData[[#This Row],[YearsAtCompany]]&lt;=10,"6–10 years",TRUE,"11+ years")</f>
        <v>6–10 years</v>
      </c>
    </row>
    <row r="1221" spans="1:4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cm="1">
        <f t="array" ref="AJ1221">_xlfn.SWITCH(CleanEmployeeData[[#This Row],[Education]],1,"Below College",2,"College",3,"Bachelor",4,"Master",5,"Doctor","Unknown")</f>
        <v>Master</v>
      </c>
      <c r="AK1221" t="str" cm="1">
        <f t="array" ref="AK1221">_xlfn.SWITCH(CleanEmployeeData[[#This Row],[EnvironmentSatisfaction]],1,"Low",2,"Medium",3,"High",4,"Very High","Unknown")</f>
        <v>Very High</v>
      </c>
      <c r="AL1221" t="str" cm="1">
        <f t="array" ref="AL1221">_xlfn.SWITCH(CleanEmployeeData[[#This Row],[JobInvolvement]],1,"Low",2,"Medium",3,"High",4,"Very High","Unknown")</f>
        <v>High</v>
      </c>
      <c r="AM1221" t="str" cm="1">
        <f t="array" ref="AM1221">_xlfn.SWITCH(CleanEmployeeData[[#This Row],[JobSatisfaction]],1,"Low",2,"Medium",3,"High",4,"Very High","Unknown")</f>
        <v>High</v>
      </c>
      <c r="AN1221" t="str" cm="1">
        <f t="array" ref="AN1221">_xlfn.SWITCH(CleanEmployeeData[[#This Row],[PerformanceRating]],1,"Low",2,"Good",3,"Excellent",4,"Outstanding","Unknown")</f>
        <v>Excellent</v>
      </c>
      <c r="AO1221" t="str" cm="1">
        <f t="array" ref="AO1221">_xlfn.SWITCH(CleanEmployeeData[[#This Row],[WorkLifeBalance]],1,"Bad",2,"Good",3,"Better",4,"Best","Unknown")</f>
        <v>Better</v>
      </c>
      <c r="AP1221">
        <f>IF(CleanEmployeeData[[#This Row],[Attrition]]="Yes",1,IF(CleanEmployeeData[[#This Row],[Attrition]]="No",0,""))</f>
        <v>0</v>
      </c>
      <c r="AQ1221" t="str" cm="1">
        <f t="array" ref="AQ1221">_xlfn.IFS(CleanEmployeeData[[#This Row],[MonthlyIncome]]&lt;=3000,"0–3,000",CleanEmployeeData[[#This Row],[MonthlyIncome]]&lt;=6000,"3,001–6,000",CleanEmployeeData[[#This Row],[MonthlyIncome]]&lt;=10000,"6,001–10,000",TRUE,"10,001+")</f>
        <v>0–3,000</v>
      </c>
      <c r="AR1221" t="str" cm="1">
        <f t="array" ref="AR1221">_xlfn.IFS(CleanEmployeeData[[#This Row],[DistanceFromHome]]&lt;=5,"0–5 miles",CleanEmployeeData[[#This Row],[DistanceFromHome]]&lt;=10,"6–10 miles",CleanEmployeeData[[#This Row],[DistanceFromHome]]&lt;=15,"11–15 miles",TRUE,"16+ miles")</f>
        <v>6–10 miles</v>
      </c>
      <c r="AS1221" t="str" cm="1">
        <f t="array" ref="AS1221">_xlfn.IFS(CleanEmployeeData[[#This Row],[YearsAtCompany]]&lt;=1,"0–1 years",CleanEmployeeData[[#This Row],[YearsAtCompany]]&lt;=5,"2–5 years",CleanEmployeeData[[#This Row],[YearsAtCompany]]&lt;=10,"6–10 years",TRUE,"11+ years")</f>
        <v>2–5 years</v>
      </c>
    </row>
    <row r="1222" spans="1:4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cm="1">
        <f t="array" ref="AJ1222">_xlfn.SWITCH(CleanEmployeeData[[#This Row],[Education]],1,"Below College",2,"College",3,"Bachelor",4,"Master",5,"Doctor","Unknown")</f>
        <v>Master</v>
      </c>
      <c r="AK1222" t="str" cm="1">
        <f t="array" ref="AK1222">_xlfn.SWITCH(CleanEmployeeData[[#This Row],[EnvironmentSatisfaction]],1,"Low",2,"Medium",3,"High",4,"Very High","Unknown")</f>
        <v>High</v>
      </c>
      <c r="AL1222" t="str" cm="1">
        <f t="array" ref="AL1222">_xlfn.SWITCH(CleanEmployeeData[[#This Row],[JobInvolvement]],1,"Low",2,"Medium",3,"High",4,"Very High","Unknown")</f>
        <v>High</v>
      </c>
      <c r="AM1222" t="str" cm="1">
        <f t="array" ref="AM1222">_xlfn.SWITCH(CleanEmployeeData[[#This Row],[JobSatisfaction]],1,"Low",2,"Medium",3,"High",4,"Very High","Unknown")</f>
        <v>Very High</v>
      </c>
      <c r="AN1222" t="str" cm="1">
        <f t="array" ref="AN1222">_xlfn.SWITCH(CleanEmployeeData[[#This Row],[PerformanceRating]],1,"Low",2,"Good",3,"Excellent",4,"Outstanding","Unknown")</f>
        <v>Excellent</v>
      </c>
      <c r="AO1222" t="str" cm="1">
        <f t="array" ref="AO1222">_xlfn.SWITCH(CleanEmployeeData[[#This Row],[WorkLifeBalance]],1,"Bad",2,"Good",3,"Better",4,"Best","Unknown")</f>
        <v>Good</v>
      </c>
      <c r="AP1222">
        <f>IF(CleanEmployeeData[[#This Row],[Attrition]]="Yes",1,IF(CleanEmployeeData[[#This Row],[Attrition]]="No",0,""))</f>
        <v>0</v>
      </c>
      <c r="AQ1222" t="str" cm="1">
        <f t="array" ref="AQ1222">_xlfn.IFS(CleanEmployeeData[[#This Row],[MonthlyIncome]]&lt;=3000,"0–3,000",CleanEmployeeData[[#This Row],[MonthlyIncome]]&lt;=6000,"3,001–6,000",CleanEmployeeData[[#This Row],[MonthlyIncome]]&lt;=10000,"6,001–10,000",TRUE,"10,001+")</f>
        <v>3,001–6,000</v>
      </c>
      <c r="AR1222" t="str" cm="1">
        <f t="array" ref="AR1222">_xlfn.IFS(CleanEmployeeData[[#This Row],[DistanceFromHome]]&lt;=5,"0–5 miles",CleanEmployeeData[[#This Row],[DistanceFromHome]]&lt;=10,"6–10 miles",CleanEmployeeData[[#This Row],[DistanceFromHome]]&lt;=15,"11–15 miles",TRUE,"16+ miles")</f>
        <v>0–5 miles</v>
      </c>
      <c r="AS1222" t="str" cm="1">
        <f t="array" ref="AS1222">_xlfn.IFS(CleanEmployeeData[[#This Row],[YearsAtCompany]]&lt;=1,"0–1 years",CleanEmployeeData[[#This Row],[YearsAtCompany]]&lt;=5,"2–5 years",CleanEmployeeData[[#This Row],[YearsAtCompany]]&lt;=10,"6–10 years",TRUE,"11+ years")</f>
        <v>11+ years</v>
      </c>
    </row>
    <row r="1223" spans="1:4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cm="1">
        <f t="array" ref="AJ1223">_xlfn.SWITCH(CleanEmployeeData[[#This Row],[Education]],1,"Below College",2,"College",3,"Bachelor",4,"Master",5,"Doctor","Unknown")</f>
        <v>Below College</v>
      </c>
      <c r="AK1223" t="str" cm="1">
        <f t="array" ref="AK1223">_xlfn.SWITCH(CleanEmployeeData[[#This Row],[EnvironmentSatisfaction]],1,"Low",2,"Medium",3,"High",4,"Very High","Unknown")</f>
        <v>High</v>
      </c>
      <c r="AL1223" t="str" cm="1">
        <f t="array" ref="AL1223">_xlfn.SWITCH(CleanEmployeeData[[#This Row],[JobInvolvement]],1,"Low",2,"Medium",3,"High",4,"Very High","Unknown")</f>
        <v>Medium</v>
      </c>
      <c r="AM1223" t="str" cm="1">
        <f t="array" ref="AM1223">_xlfn.SWITCH(CleanEmployeeData[[#This Row],[JobSatisfaction]],1,"Low",2,"Medium",3,"High",4,"Very High","Unknown")</f>
        <v>High</v>
      </c>
      <c r="AN1223" t="str" cm="1">
        <f t="array" ref="AN1223">_xlfn.SWITCH(CleanEmployeeData[[#This Row],[PerformanceRating]],1,"Low",2,"Good",3,"Excellent",4,"Outstanding","Unknown")</f>
        <v>Outstanding</v>
      </c>
      <c r="AO1223" t="str" cm="1">
        <f t="array" ref="AO1223">_xlfn.SWITCH(CleanEmployeeData[[#This Row],[WorkLifeBalance]],1,"Bad",2,"Good",3,"Better",4,"Best","Unknown")</f>
        <v>Good</v>
      </c>
      <c r="AP1223">
        <f>IF(CleanEmployeeData[[#This Row],[Attrition]]="Yes",1,IF(CleanEmployeeData[[#This Row],[Attrition]]="No",0,""))</f>
        <v>0</v>
      </c>
      <c r="AQ1223" t="str" cm="1">
        <f t="array" ref="AQ1223">_xlfn.IFS(CleanEmployeeData[[#This Row],[MonthlyIncome]]&lt;=3000,"0–3,000",CleanEmployeeData[[#This Row],[MonthlyIncome]]&lt;=6000,"3,001–6,000",CleanEmployeeData[[#This Row],[MonthlyIncome]]&lt;=10000,"6,001–10,000",TRUE,"10,001+")</f>
        <v>10,001+</v>
      </c>
      <c r="AR1223" t="str" cm="1">
        <f t="array" ref="AR1223">_xlfn.IFS(CleanEmployeeData[[#This Row],[DistanceFromHome]]&lt;=5,"0–5 miles",CleanEmployeeData[[#This Row],[DistanceFromHome]]&lt;=10,"6–10 miles",CleanEmployeeData[[#This Row],[DistanceFromHome]]&lt;=15,"11–15 miles",TRUE,"16+ miles")</f>
        <v>0–5 miles</v>
      </c>
      <c r="AS1223" t="str" cm="1">
        <f t="array" ref="AS1223">_xlfn.IFS(CleanEmployeeData[[#This Row],[YearsAtCompany]]&lt;=1,"0–1 years",CleanEmployeeData[[#This Row],[YearsAtCompany]]&lt;=5,"2–5 years",CleanEmployeeData[[#This Row],[YearsAtCompany]]&lt;=10,"6–10 years",TRUE,"11+ years")</f>
        <v>11+ years</v>
      </c>
    </row>
    <row r="1224" spans="1:4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cm="1">
        <f t="array" ref="AJ1224">_xlfn.SWITCH(CleanEmployeeData[[#This Row],[Education]],1,"Below College",2,"College",3,"Bachelor",4,"Master",5,"Doctor","Unknown")</f>
        <v>Below College</v>
      </c>
      <c r="AK1224" t="str" cm="1">
        <f t="array" ref="AK1224">_xlfn.SWITCH(CleanEmployeeData[[#This Row],[EnvironmentSatisfaction]],1,"Low",2,"Medium",3,"High",4,"Very High","Unknown")</f>
        <v>Very High</v>
      </c>
      <c r="AL1224" t="str" cm="1">
        <f t="array" ref="AL1224">_xlfn.SWITCH(CleanEmployeeData[[#This Row],[JobInvolvement]],1,"Low",2,"Medium",3,"High",4,"Very High","Unknown")</f>
        <v>Low</v>
      </c>
      <c r="AM1224" t="str" cm="1">
        <f t="array" ref="AM1224">_xlfn.SWITCH(CleanEmployeeData[[#This Row],[JobSatisfaction]],1,"Low",2,"Medium",3,"High",4,"Very High","Unknown")</f>
        <v>High</v>
      </c>
      <c r="AN1224" t="str" cm="1">
        <f t="array" ref="AN1224">_xlfn.SWITCH(CleanEmployeeData[[#This Row],[PerformanceRating]],1,"Low",2,"Good",3,"Excellent",4,"Outstanding","Unknown")</f>
        <v>Excellent</v>
      </c>
      <c r="AO1224" t="str" cm="1">
        <f t="array" ref="AO1224">_xlfn.SWITCH(CleanEmployeeData[[#This Row],[WorkLifeBalance]],1,"Bad",2,"Good",3,"Better",4,"Best","Unknown")</f>
        <v>Better</v>
      </c>
      <c r="AP1224">
        <f>IF(CleanEmployeeData[[#This Row],[Attrition]]="Yes",1,IF(CleanEmployeeData[[#This Row],[Attrition]]="No",0,""))</f>
        <v>1</v>
      </c>
      <c r="AQ1224" t="str" cm="1">
        <f t="array" ref="AQ1224">_xlfn.IFS(CleanEmployeeData[[#This Row],[MonthlyIncome]]&lt;=3000,"0–3,000",CleanEmployeeData[[#This Row],[MonthlyIncome]]&lt;=6000,"3,001–6,000",CleanEmployeeData[[#This Row],[MonthlyIncome]]&lt;=10000,"6,001–10,000",TRUE,"10,001+")</f>
        <v>0–3,000</v>
      </c>
      <c r="AR1224" t="str" cm="1">
        <f t="array" ref="AR1224">_xlfn.IFS(CleanEmployeeData[[#This Row],[DistanceFromHome]]&lt;=5,"0–5 miles",CleanEmployeeData[[#This Row],[DistanceFromHome]]&lt;=10,"6–10 miles",CleanEmployeeData[[#This Row],[DistanceFromHome]]&lt;=15,"11–15 miles",TRUE,"16+ miles")</f>
        <v>16+ miles</v>
      </c>
      <c r="AS1224" t="str" cm="1">
        <f t="array" ref="AS1224">_xlfn.IFS(CleanEmployeeData[[#This Row],[YearsAtCompany]]&lt;=1,"0–1 years",CleanEmployeeData[[#This Row],[YearsAtCompany]]&lt;=5,"2–5 years",CleanEmployeeData[[#This Row],[YearsAtCompany]]&lt;=10,"6–10 years",TRUE,"11+ years")</f>
        <v>0–1 years</v>
      </c>
    </row>
    <row r="1225" spans="1:4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cm="1">
        <f t="array" ref="AJ1225">_xlfn.SWITCH(CleanEmployeeData[[#This Row],[Education]],1,"Below College",2,"College",3,"Bachelor",4,"Master",5,"Doctor","Unknown")</f>
        <v>Bachelor</v>
      </c>
      <c r="AK1225" t="str" cm="1">
        <f t="array" ref="AK1225">_xlfn.SWITCH(CleanEmployeeData[[#This Row],[EnvironmentSatisfaction]],1,"Low",2,"Medium",3,"High",4,"Very High","Unknown")</f>
        <v>High</v>
      </c>
      <c r="AL1225" t="str" cm="1">
        <f t="array" ref="AL1225">_xlfn.SWITCH(CleanEmployeeData[[#This Row],[JobInvolvement]],1,"Low",2,"Medium",3,"High",4,"Very High","Unknown")</f>
        <v>Low</v>
      </c>
      <c r="AM1225" t="str" cm="1">
        <f t="array" ref="AM1225">_xlfn.SWITCH(CleanEmployeeData[[#This Row],[JobSatisfaction]],1,"Low",2,"Medium",3,"High",4,"Very High","Unknown")</f>
        <v>High</v>
      </c>
      <c r="AN1225" t="str" cm="1">
        <f t="array" ref="AN1225">_xlfn.SWITCH(CleanEmployeeData[[#This Row],[PerformanceRating]],1,"Low",2,"Good",3,"Excellent",4,"Outstanding","Unknown")</f>
        <v>Excellent</v>
      </c>
      <c r="AO1225" t="str" cm="1">
        <f t="array" ref="AO1225">_xlfn.SWITCH(CleanEmployeeData[[#This Row],[WorkLifeBalance]],1,"Bad",2,"Good",3,"Better",4,"Best","Unknown")</f>
        <v>Bad</v>
      </c>
      <c r="AP1225">
        <f>IF(CleanEmployeeData[[#This Row],[Attrition]]="Yes",1,IF(CleanEmployeeData[[#This Row],[Attrition]]="No",0,""))</f>
        <v>1</v>
      </c>
      <c r="AQ1225" t="str" cm="1">
        <f t="array" ref="AQ1225">_xlfn.IFS(CleanEmployeeData[[#This Row],[MonthlyIncome]]&lt;=3000,"0–3,000",CleanEmployeeData[[#This Row],[MonthlyIncome]]&lt;=6000,"3,001–6,000",CleanEmployeeData[[#This Row],[MonthlyIncome]]&lt;=10000,"6,001–10,000",TRUE,"10,001+")</f>
        <v>10,001+</v>
      </c>
      <c r="AR1225" t="str" cm="1">
        <f t="array" ref="AR1225">_xlfn.IFS(CleanEmployeeData[[#This Row],[DistanceFromHome]]&lt;=5,"0–5 miles",CleanEmployeeData[[#This Row],[DistanceFromHome]]&lt;=10,"6–10 miles",CleanEmployeeData[[#This Row],[DistanceFromHome]]&lt;=15,"11–15 miles",TRUE,"16+ miles")</f>
        <v>6–10 miles</v>
      </c>
      <c r="AS1225" t="str" cm="1">
        <f t="array" ref="AS1225">_xlfn.IFS(CleanEmployeeData[[#This Row],[YearsAtCompany]]&lt;=1,"0–1 years",CleanEmployeeData[[#This Row],[YearsAtCompany]]&lt;=5,"2–5 years",CleanEmployeeData[[#This Row],[YearsAtCompany]]&lt;=10,"6–10 years",TRUE,"11+ years")</f>
        <v>11+ years</v>
      </c>
    </row>
    <row r="1226" spans="1:4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cm="1">
        <f t="array" ref="AJ1226">_xlfn.SWITCH(CleanEmployeeData[[#This Row],[Education]],1,"Below College",2,"College",3,"Bachelor",4,"Master",5,"Doctor","Unknown")</f>
        <v>Master</v>
      </c>
      <c r="AK1226" t="str" cm="1">
        <f t="array" ref="AK1226">_xlfn.SWITCH(CleanEmployeeData[[#This Row],[EnvironmentSatisfaction]],1,"Low",2,"Medium",3,"High",4,"Very High","Unknown")</f>
        <v>Very High</v>
      </c>
      <c r="AL1226" t="str" cm="1">
        <f t="array" ref="AL1226">_xlfn.SWITCH(CleanEmployeeData[[#This Row],[JobInvolvement]],1,"Low",2,"Medium",3,"High",4,"Very High","Unknown")</f>
        <v>Low</v>
      </c>
      <c r="AM1226" t="str" cm="1">
        <f t="array" ref="AM1226">_xlfn.SWITCH(CleanEmployeeData[[#This Row],[JobSatisfaction]],1,"Low",2,"Medium",3,"High",4,"Very High","Unknown")</f>
        <v>High</v>
      </c>
      <c r="AN1226" t="str" cm="1">
        <f t="array" ref="AN1226">_xlfn.SWITCH(CleanEmployeeData[[#This Row],[PerformanceRating]],1,"Low",2,"Good",3,"Excellent",4,"Outstanding","Unknown")</f>
        <v>Excellent</v>
      </c>
      <c r="AO1226" t="str" cm="1">
        <f t="array" ref="AO1226">_xlfn.SWITCH(CleanEmployeeData[[#This Row],[WorkLifeBalance]],1,"Bad",2,"Good",3,"Better",4,"Best","Unknown")</f>
        <v>Best</v>
      </c>
      <c r="AP1226">
        <f>IF(CleanEmployeeData[[#This Row],[Attrition]]="Yes",1,IF(CleanEmployeeData[[#This Row],[Attrition]]="No",0,""))</f>
        <v>0</v>
      </c>
      <c r="AQ1226" t="str" cm="1">
        <f t="array" ref="AQ1226">_xlfn.IFS(CleanEmployeeData[[#This Row],[MonthlyIncome]]&lt;=3000,"0–3,000",CleanEmployeeData[[#This Row],[MonthlyIncome]]&lt;=6000,"3,001–6,000",CleanEmployeeData[[#This Row],[MonthlyIncome]]&lt;=10000,"6,001–10,000",TRUE,"10,001+")</f>
        <v>0–3,000</v>
      </c>
      <c r="AR1226" t="str" cm="1">
        <f t="array" ref="AR1226">_xlfn.IFS(CleanEmployeeData[[#This Row],[DistanceFromHome]]&lt;=5,"0–5 miles",CleanEmployeeData[[#This Row],[DistanceFromHome]]&lt;=10,"6–10 miles",CleanEmployeeData[[#This Row],[DistanceFromHome]]&lt;=15,"11–15 miles",TRUE,"16+ miles")</f>
        <v>16+ miles</v>
      </c>
      <c r="AS1226" t="str" cm="1">
        <f t="array" ref="AS1226">_xlfn.IFS(CleanEmployeeData[[#This Row],[YearsAtCompany]]&lt;=1,"0–1 years",CleanEmployeeData[[#This Row],[YearsAtCompany]]&lt;=5,"2–5 years",CleanEmployeeData[[#This Row],[YearsAtCompany]]&lt;=10,"6–10 years",TRUE,"11+ years")</f>
        <v>2–5 years</v>
      </c>
    </row>
    <row r="1227" spans="1:4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cm="1">
        <f t="array" ref="AJ1227">_xlfn.SWITCH(CleanEmployeeData[[#This Row],[Education]],1,"Below College",2,"College",3,"Bachelor",4,"Master",5,"Doctor","Unknown")</f>
        <v>College</v>
      </c>
      <c r="AK1227" t="str" cm="1">
        <f t="array" ref="AK1227">_xlfn.SWITCH(CleanEmployeeData[[#This Row],[EnvironmentSatisfaction]],1,"Low",2,"Medium",3,"High",4,"Very High","Unknown")</f>
        <v>Very High</v>
      </c>
      <c r="AL1227" t="str" cm="1">
        <f t="array" ref="AL1227">_xlfn.SWITCH(CleanEmployeeData[[#This Row],[JobInvolvement]],1,"Low",2,"Medium",3,"High",4,"Very High","Unknown")</f>
        <v>Medium</v>
      </c>
      <c r="AM1227" t="str" cm="1">
        <f t="array" ref="AM1227">_xlfn.SWITCH(CleanEmployeeData[[#This Row],[JobSatisfaction]],1,"Low",2,"Medium",3,"High",4,"Very High","Unknown")</f>
        <v>Medium</v>
      </c>
      <c r="AN1227" t="str" cm="1">
        <f t="array" ref="AN1227">_xlfn.SWITCH(CleanEmployeeData[[#This Row],[PerformanceRating]],1,"Low",2,"Good",3,"Excellent",4,"Outstanding","Unknown")</f>
        <v>Excellent</v>
      </c>
      <c r="AO1227" t="str" cm="1">
        <f t="array" ref="AO1227">_xlfn.SWITCH(CleanEmployeeData[[#This Row],[WorkLifeBalance]],1,"Bad",2,"Good",3,"Better",4,"Best","Unknown")</f>
        <v>Better</v>
      </c>
      <c r="AP1227">
        <f>IF(CleanEmployeeData[[#This Row],[Attrition]]="Yes",1,IF(CleanEmployeeData[[#This Row],[Attrition]]="No",0,""))</f>
        <v>0</v>
      </c>
      <c r="AQ1227" t="str" cm="1">
        <f t="array" ref="AQ1227">_xlfn.IFS(CleanEmployeeData[[#This Row],[MonthlyIncome]]&lt;=3000,"0–3,000",CleanEmployeeData[[#This Row],[MonthlyIncome]]&lt;=6000,"3,001–6,000",CleanEmployeeData[[#This Row],[MonthlyIncome]]&lt;=10000,"6,001–10,000",TRUE,"10,001+")</f>
        <v>10,001+</v>
      </c>
      <c r="AR1227" t="str" cm="1">
        <f t="array" ref="AR1227">_xlfn.IFS(CleanEmployeeData[[#This Row],[DistanceFromHome]]&lt;=5,"0–5 miles",CleanEmployeeData[[#This Row],[DistanceFromHome]]&lt;=10,"6–10 miles",CleanEmployeeData[[#This Row],[DistanceFromHome]]&lt;=15,"11–15 miles",TRUE,"16+ miles")</f>
        <v>16+ miles</v>
      </c>
      <c r="AS1227" t="str" cm="1">
        <f t="array" ref="AS1227">_xlfn.IFS(CleanEmployeeData[[#This Row],[YearsAtCompany]]&lt;=1,"0–1 years",CleanEmployeeData[[#This Row],[YearsAtCompany]]&lt;=5,"2–5 years",CleanEmployeeData[[#This Row],[YearsAtCompany]]&lt;=10,"6–10 years",TRUE,"11+ years")</f>
        <v>11+ years</v>
      </c>
    </row>
    <row r="1228" spans="1:4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cm="1">
        <f t="array" ref="AJ1228">_xlfn.SWITCH(CleanEmployeeData[[#This Row],[Education]],1,"Below College",2,"College",3,"Bachelor",4,"Master",5,"Doctor","Unknown")</f>
        <v>Bachelor</v>
      </c>
      <c r="AK1228" t="str" cm="1">
        <f t="array" ref="AK1228">_xlfn.SWITCH(CleanEmployeeData[[#This Row],[EnvironmentSatisfaction]],1,"Low",2,"Medium",3,"High",4,"Very High","Unknown")</f>
        <v>Low</v>
      </c>
      <c r="AL1228" t="str" cm="1">
        <f t="array" ref="AL1228">_xlfn.SWITCH(CleanEmployeeData[[#This Row],[JobInvolvement]],1,"Low",2,"Medium",3,"High",4,"Very High","Unknown")</f>
        <v>High</v>
      </c>
      <c r="AM1228" t="str" cm="1">
        <f t="array" ref="AM1228">_xlfn.SWITCH(CleanEmployeeData[[#This Row],[JobSatisfaction]],1,"Low",2,"Medium",3,"High",4,"Very High","Unknown")</f>
        <v>High</v>
      </c>
      <c r="AN1228" t="str" cm="1">
        <f t="array" ref="AN1228">_xlfn.SWITCH(CleanEmployeeData[[#This Row],[PerformanceRating]],1,"Low",2,"Good",3,"Excellent",4,"Outstanding","Unknown")</f>
        <v>Excellent</v>
      </c>
      <c r="AO1228" t="str" cm="1">
        <f t="array" ref="AO1228">_xlfn.SWITCH(CleanEmployeeData[[#This Row],[WorkLifeBalance]],1,"Bad",2,"Good",3,"Better",4,"Best","Unknown")</f>
        <v>Good</v>
      </c>
      <c r="AP1228">
        <f>IF(CleanEmployeeData[[#This Row],[Attrition]]="Yes",1,IF(CleanEmployeeData[[#This Row],[Attrition]]="No",0,""))</f>
        <v>0</v>
      </c>
      <c r="AQ1228" t="str" cm="1">
        <f t="array" ref="AQ1228">_xlfn.IFS(CleanEmployeeData[[#This Row],[MonthlyIncome]]&lt;=3000,"0–3,000",CleanEmployeeData[[#This Row],[MonthlyIncome]]&lt;=6000,"3,001–6,000",CleanEmployeeData[[#This Row],[MonthlyIncome]]&lt;=10000,"6,001–10,000",TRUE,"10,001+")</f>
        <v>3,001–6,000</v>
      </c>
      <c r="AR1228" t="str" cm="1">
        <f t="array" ref="AR1228">_xlfn.IFS(CleanEmployeeData[[#This Row],[DistanceFromHome]]&lt;=5,"0–5 miles",CleanEmployeeData[[#This Row],[DistanceFromHome]]&lt;=10,"6–10 miles",CleanEmployeeData[[#This Row],[DistanceFromHome]]&lt;=15,"11–15 miles",TRUE,"16+ miles")</f>
        <v>6–10 miles</v>
      </c>
      <c r="AS1228" t="str" cm="1">
        <f t="array" ref="AS1228">_xlfn.IFS(CleanEmployeeData[[#This Row],[YearsAtCompany]]&lt;=1,"0–1 years",CleanEmployeeData[[#This Row],[YearsAtCompany]]&lt;=5,"2–5 years",CleanEmployeeData[[#This Row],[YearsAtCompany]]&lt;=10,"6–10 years",TRUE,"11+ years")</f>
        <v>2–5 years</v>
      </c>
    </row>
    <row r="1229" spans="1:4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cm="1">
        <f t="array" ref="AJ1229">_xlfn.SWITCH(CleanEmployeeData[[#This Row],[Education]],1,"Below College",2,"College",3,"Bachelor",4,"Master",5,"Doctor","Unknown")</f>
        <v>Master</v>
      </c>
      <c r="AK1229" t="str" cm="1">
        <f t="array" ref="AK1229">_xlfn.SWITCH(CleanEmployeeData[[#This Row],[EnvironmentSatisfaction]],1,"Low",2,"Medium",3,"High",4,"Very High","Unknown")</f>
        <v>Medium</v>
      </c>
      <c r="AL1229" t="str" cm="1">
        <f t="array" ref="AL1229">_xlfn.SWITCH(CleanEmployeeData[[#This Row],[JobInvolvement]],1,"Low",2,"Medium",3,"High",4,"Very High","Unknown")</f>
        <v>High</v>
      </c>
      <c r="AM1229" t="str" cm="1">
        <f t="array" ref="AM1229">_xlfn.SWITCH(CleanEmployeeData[[#This Row],[JobSatisfaction]],1,"Low",2,"Medium",3,"High",4,"Very High","Unknown")</f>
        <v>High</v>
      </c>
      <c r="AN1229" t="str" cm="1">
        <f t="array" ref="AN1229">_xlfn.SWITCH(CleanEmployeeData[[#This Row],[PerformanceRating]],1,"Low",2,"Good",3,"Excellent",4,"Outstanding","Unknown")</f>
        <v>Excellent</v>
      </c>
      <c r="AO1229" t="str" cm="1">
        <f t="array" ref="AO1229">_xlfn.SWITCH(CleanEmployeeData[[#This Row],[WorkLifeBalance]],1,"Bad",2,"Good",3,"Better",4,"Best","Unknown")</f>
        <v>Best</v>
      </c>
      <c r="AP1229">
        <f>IF(CleanEmployeeData[[#This Row],[Attrition]]="Yes",1,IF(CleanEmployeeData[[#This Row],[Attrition]]="No",0,""))</f>
        <v>0</v>
      </c>
      <c r="AQ1229" t="str" cm="1">
        <f t="array" ref="AQ1229">_xlfn.IFS(CleanEmployeeData[[#This Row],[MonthlyIncome]]&lt;=3000,"0–3,000",CleanEmployeeData[[#This Row],[MonthlyIncome]]&lt;=6000,"3,001–6,000",CleanEmployeeData[[#This Row],[MonthlyIncome]]&lt;=10000,"6,001–10,000",TRUE,"10,001+")</f>
        <v>3,001–6,000</v>
      </c>
      <c r="AR1229" t="str" cm="1">
        <f t="array" ref="AR1229">_xlfn.IFS(CleanEmployeeData[[#This Row],[DistanceFromHome]]&lt;=5,"0–5 miles",CleanEmployeeData[[#This Row],[DistanceFromHome]]&lt;=10,"6–10 miles",CleanEmployeeData[[#This Row],[DistanceFromHome]]&lt;=15,"11–15 miles",TRUE,"16+ miles")</f>
        <v>0–5 miles</v>
      </c>
      <c r="AS1229" t="str" cm="1">
        <f t="array" ref="AS1229">_xlfn.IFS(CleanEmployeeData[[#This Row],[YearsAtCompany]]&lt;=1,"0–1 years",CleanEmployeeData[[#This Row],[YearsAtCompany]]&lt;=5,"2–5 years",CleanEmployeeData[[#This Row],[YearsAtCompany]]&lt;=10,"6–10 years",TRUE,"11+ years")</f>
        <v>2–5 years</v>
      </c>
    </row>
    <row r="1230" spans="1:4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cm="1">
        <f t="array" ref="AJ1230">_xlfn.SWITCH(CleanEmployeeData[[#This Row],[Education]],1,"Below College",2,"College",3,"Bachelor",4,"Master",5,"Doctor","Unknown")</f>
        <v>Bachelor</v>
      </c>
      <c r="AK1230" t="str" cm="1">
        <f t="array" ref="AK1230">_xlfn.SWITCH(CleanEmployeeData[[#This Row],[EnvironmentSatisfaction]],1,"Low",2,"Medium",3,"High",4,"Very High","Unknown")</f>
        <v>High</v>
      </c>
      <c r="AL1230" t="str" cm="1">
        <f t="array" ref="AL1230">_xlfn.SWITCH(CleanEmployeeData[[#This Row],[JobInvolvement]],1,"Low",2,"Medium",3,"High",4,"Very High","Unknown")</f>
        <v>Low</v>
      </c>
      <c r="AM1230" t="str" cm="1">
        <f t="array" ref="AM1230">_xlfn.SWITCH(CleanEmployeeData[[#This Row],[JobSatisfaction]],1,"Low",2,"Medium",3,"High",4,"Very High","Unknown")</f>
        <v>Medium</v>
      </c>
      <c r="AN1230" t="str" cm="1">
        <f t="array" ref="AN1230">_xlfn.SWITCH(CleanEmployeeData[[#This Row],[PerformanceRating]],1,"Low",2,"Good",3,"Excellent",4,"Outstanding","Unknown")</f>
        <v>Excellent</v>
      </c>
      <c r="AO1230" t="str" cm="1">
        <f t="array" ref="AO1230">_xlfn.SWITCH(CleanEmployeeData[[#This Row],[WorkLifeBalance]],1,"Bad",2,"Good",3,"Better",4,"Best","Unknown")</f>
        <v>Better</v>
      </c>
      <c r="AP1230">
        <f>IF(CleanEmployeeData[[#This Row],[Attrition]]="Yes",1,IF(CleanEmployeeData[[#This Row],[Attrition]]="No",0,""))</f>
        <v>0</v>
      </c>
      <c r="AQ1230" t="str" cm="1">
        <f t="array" ref="AQ1230">_xlfn.IFS(CleanEmployeeData[[#This Row],[MonthlyIncome]]&lt;=3000,"0–3,000",CleanEmployeeData[[#This Row],[MonthlyIncome]]&lt;=6000,"3,001–6,000",CleanEmployeeData[[#This Row],[MonthlyIncome]]&lt;=10000,"6,001–10,000",TRUE,"10,001+")</f>
        <v>6,001–10,000</v>
      </c>
      <c r="AR1230" t="str" cm="1">
        <f t="array" ref="AR1230">_xlfn.IFS(CleanEmployeeData[[#This Row],[DistanceFromHome]]&lt;=5,"0–5 miles",CleanEmployeeData[[#This Row],[DistanceFromHome]]&lt;=10,"6–10 miles",CleanEmployeeData[[#This Row],[DistanceFromHome]]&lt;=15,"11–15 miles",TRUE,"16+ miles")</f>
        <v>0–5 miles</v>
      </c>
      <c r="AS1230" t="str" cm="1">
        <f t="array" ref="AS1230">_xlfn.IFS(CleanEmployeeData[[#This Row],[YearsAtCompany]]&lt;=1,"0–1 years",CleanEmployeeData[[#This Row],[YearsAtCompany]]&lt;=5,"2–5 years",CleanEmployeeData[[#This Row],[YearsAtCompany]]&lt;=10,"6–10 years",TRUE,"11+ years")</f>
        <v>2–5 years</v>
      </c>
    </row>
    <row r="1231" spans="1:4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cm="1">
        <f t="array" ref="AJ1231">_xlfn.SWITCH(CleanEmployeeData[[#This Row],[Education]],1,"Below College",2,"College",3,"Bachelor",4,"Master",5,"Doctor","Unknown")</f>
        <v>College</v>
      </c>
      <c r="AK1231" t="str" cm="1">
        <f t="array" ref="AK1231">_xlfn.SWITCH(CleanEmployeeData[[#This Row],[EnvironmentSatisfaction]],1,"Low",2,"Medium",3,"High",4,"Very High","Unknown")</f>
        <v>Medium</v>
      </c>
      <c r="AL1231" t="str" cm="1">
        <f t="array" ref="AL1231">_xlfn.SWITCH(CleanEmployeeData[[#This Row],[JobInvolvement]],1,"Low",2,"Medium",3,"High",4,"Very High","Unknown")</f>
        <v>High</v>
      </c>
      <c r="AM1231" t="str" cm="1">
        <f t="array" ref="AM1231">_xlfn.SWITCH(CleanEmployeeData[[#This Row],[JobSatisfaction]],1,"Low",2,"Medium",3,"High",4,"Very High","Unknown")</f>
        <v>Low</v>
      </c>
      <c r="AN1231" t="str" cm="1">
        <f t="array" ref="AN1231">_xlfn.SWITCH(CleanEmployeeData[[#This Row],[PerformanceRating]],1,"Low",2,"Good",3,"Excellent",4,"Outstanding","Unknown")</f>
        <v>Excellent</v>
      </c>
      <c r="AO1231" t="str" cm="1">
        <f t="array" ref="AO1231">_xlfn.SWITCH(CleanEmployeeData[[#This Row],[WorkLifeBalance]],1,"Bad",2,"Good",3,"Better",4,"Best","Unknown")</f>
        <v>Better</v>
      </c>
      <c r="AP1231">
        <f>IF(CleanEmployeeData[[#This Row],[Attrition]]="Yes",1,IF(CleanEmployeeData[[#This Row],[Attrition]]="No",0,""))</f>
        <v>0</v>
      </c>
      <c r="AQ1231" t="str" cm="1">
        <f t="array" ref="AQ1231">_xlfn.IFS(CleanEmployeeData[[#This Row],[MonthlyIncome]]&lt;=3000,"0–3,000",CleanEmployeeData[[#This Row],[MonthlyIncome]]&lt;=6000,"3,001–6,000",CleanEmployeeData[[#This Row],[MonthlyIncome]]&lt;=10000,"6,001–10,000",TRUE,"10,001+")</f>
        <v>6,001–10,000</v>
      </c>
      <c r="AR1231" t="str" cm="1">
        <f t="array" ref="AR1231">_xlfn.IFS(CleanEmployeeData[[#This Row],[DistanceFromHome]]&lt;=5,"0–5 miles",CleanEmployeeData[[#This Row],[DistanceFromHome]]&lt;=10,"6–10 miles",CleanEmployeeData[[#This Row],[DistanceFromHome]]&lt;=15,"11–15 miles",TRUE,"16+ miles")</f>
        <v>6–10 miles</v>
      </c>
      <c r="AS1231" t="str" cm="1">
        <f t="array" ref="AS1231">_xlfn.IFS(CleanEmployeeData[[#This Row],[YearsAtCompany]]&lt;=1,"0–1 years",CleanEmployeeData[[#This Row],[YearsAtCompany]]&lt;=5,"2–5 years",CleanEmployeeData[[#This Row],[YearsAtCompany]]&lt;=10,"6–10 years",TRUE,"11+ years")</f>
        <v>0–1 years</v>
      </c>
    </row>
    <row r="1232" spans="1:4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cm="1">
        <f t="array" ref="AJ1232">_xlfn.SWITCH(CleanEmployeeData[[#This Row],[Education]],1,"Below College",2,"College",3,"Bachelor",4,"Master",5,"Doctor","Unknown")</f>
        <v>Below College</v>
      </c>
      <c r="AK1232" t="str" cm="1">
        <f t="array" ref="AK1232">_xlfn.SWITCH(CleanEmployeeData[[#This Row],[EnvironmentSatisfaction]],1,"Low",2,"Medium",3,"High",4,"Very High","Unknown")</f>
        <v>Medium</v>
      </c>
      <c r="AL1232" t="str" cm="1">
        <f t="array" ref="AL1232">_xlfn.SWITCH(CleanEmployeeData[[#This Row],[JobInvolvement]],1,"Low",2,"Medium",3,"High",4,"Very High","Unknown")</f>
        <v>High</v>
      </c>
      <c r="AM1232" t="str" cm="1">
        <f t="array" ref="AM1232">_xlfn.SWITCH(CleanEmployeeData[[#This Row],[JobSatisfaction]],1,"Low",2,"Medium",3,"High",4,"Very High","Unknown")</f>
        <v>Low</v>
      </c>
      <c r="AN1232" t="str" cm="1">
        <f t="array" ref="AN1232">_xlfn.SWITCH(CleanEmployeeData[[#This Row],[PerformanceRating]],1,"Low",2,"Good",3,"Excellent",4,"Outstanding","Unknown")</f>
        <v>Excellent</v>
      </c>
      <c r="AO1232" t="str" cm="1">
        <f t="array" ref="AO1232">_xlfn.SWITCH(CleanEmployeeData[[#This Row],[WorkLifeBalance]],1,"Bad",2,"Good",3,"Better",4,"Best","Unknown")</f>
        <v>Best</v>
      </c>
      <c r="AP1232">
        <f>IF(CleanEmployeeData[[#This Row],[Attrition]]="Yes",1,IF(CleanEmployeeData[[#This Row],[Attrition]]="No",0,""))</f>
        <v>0</v>
      </c>
      <c r="AQ1232" t="str" cm="1">
        <f t="array" ref="AQ1232">_xlfn.IFS(CleanEmployeeData[[#This Row],[MonthlyIncome]]&lt;=3000,"0–3,000",CleanEmployeeData[[#This Row],[MonthlyIncome]]&lt;=6000,"3,001–6,000",CleanEmployeeData[[#This Row],[MonthlyIncome]]&lt;=10000,"6,001–10,000",TRUE,"10,001+")</f>
        <v>3,001–6,000</v>
      </c>
      <c r="AR1232" t="str" cm="1">
        <f t="array" ref="AR1232">_xlfn.IFS(CleanEmployeeData[[#This Row],[DistanceFromHome]]&lt;=5,"0–5 miles",CleanEmployeeData[[#This Row],[DistanceFromHome]]&lt;=10,"6–10 miles",CleanEmployeeData[[#This Row],[DistanceFromHome]]&lt;=15,"11–15 miles",TRUE,"16+ miles")</f>
        <v>16+ miles</v>
      </c>
      <c r="AS1232" t="str" cm="1">
        <f t="array" ref="AS1232">_xlfn.IFS(CleanEmployeeData[[#This Row],[YearsAtCompany]]&lt;=1,"0–1 years",CleanEmployeeData[[#This Row],[YearsAtCompany]]&lt;=5,"2–5 years",CleanEmployeeData[[#This Row],[YearsAtCompany]]&lt;=10,"6–10 years",TRUE,"11+ years")</f>
        <v>6–10 years</v>
      </c>
    </row>
    <row r="1233" spans="1:4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cm="1">
        <f t="array" ref="AJ1233">_xlfn.SWITCH(CleanEmployeeData[[#This Row],[Education]],1,"Below College",2,"College",3,"Bachelor",4,"Master",5,"Doctor","Unknown")</f>
        <v>Master</v>
      </c>
      <c r="AK1233" t="str" cm="1">
        <f t="array" ref="AK1233">_xlfn.SWITCH(CleanEmployeeData[[#This Row],[EnvironmentSatisfaction]],1,"Low",2,"Medium",3,"High",4,"Very High","Unknown")</f>
        <v>High</v>
      </c>
      <c r="AL1233" t="str" cm="1">
        <f t="array" ref="AL1233">_xlfn.SWITCH(CleanEmployeeData[[#This Row],[JobInvolvement]],1,"Low",2,"Medium",3,"High",4,"Very High","Unknown")</f>
        <v>High</v>
      </c>
      <c r="AM1233" t="str" cm="1">
        <f t="array" ref="AM1233">_xlfn.SWITCH(CleanEmployeeData[[#This Row],[JobSatisfaction]],1,"Low",2,"Medium",3,"High",4,"Very High","Unknown")</f>
        <v>Medium</v>
      </c>
      <c r="AN1233" t="str" cm="1">
        <f t="array" ref="AN1233">_xlfn.SWITCH(CleanEmployeeData[[#This Row],[PerformanceRating]],1,"Low",2,"Good",3,"Excellent",4,"Outstanding","Unknown")</f>
        <v>Excellent</v>
      </c>
      <c r="AO1233" t="str" cm="1">
        <f t="array" ref="AO1233">_xlfn.SWITCH(CleanEmployeeData[[#This Row],[WorkLifeBalance]],1,"Bad",2,"Good",3,"Better",4,"Best","Unknown")</f>
        <v>Better</v>
      </c>
      <c r="AP1233">
        <f>IF(CleanEmployeeData[[#This Row],[Attrition]]="Yes",1,IF(CleanEmployeeData[[#This Row],[Attrition]]="No",0,""))</f>
        <v>0</v>
      </c>
      <c r="AQ1233" t="str" cm="1">
        <f t="array" ref="AQ1233">_xlfn.IFS(CleanEmployeeData[[#This Row],[MonthlyIncome]]&lt;=3000,"0–3,000",CleanEmployeeData[[#This Row],[MonthlyIncome]]&lt;=6000,"3,001–6,000",CleanEmployeeData[[#This Row],[MonthlyIncome]]&lt;=10000,"6,001–10,000",TRUE,"10,001+")</f>
        <v>3,001–6,000</v>
      </c>
      <c r="AR1233" t="str" cm="1">
        <f t="array" ref="AR1233">_xlfn.IFS(CleanEmployeeData[[#This Row],[DistanceFromHome]]&lt;=5,"0–5 miles",CleanEmployeeData[[#This Row],[DistanceFromHome]]&lt;=10,"6–10 miles",CleanEmployeeData[[#This Row],[DistanceFromHome]]&lt;=15,"11–15 miles",TRUE,"16+ miles")</f>
        <v>11–15 miles</v>
      </c>
      <c r="AS1233" t="str" cm="1">
        <f t="array" ref="AS1233">_xlfn.IFS(CleanEmployeeData[[#This Row],[YearsAtCompany]]&lt;=1,"0–1 years",CleanEmployeeData[[#This Row],[YearsAtCompany]]&lt;=5,"2–5 years",CleanEmployeeData[[#This Row],[YearsAtCompany]]&lt;=10,"6–10 years",TRUE,"11+ years")</f>
        <v>6–10 years</v>
      </c>
    </row>
    <row r="1234" spans="1:4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cm="1">
        <f t="array" ref="AJ1234">_xlfn.SWITCH(CleanEmployeeData[[#This Row],[Education]],1,"Below College",2,"College",3,"Bachelor",4,"Master",5,"Doctor","Unknown")</f>
        <v>Master</v>
      </c>
      <c r="AK1234" t="str" cm="1">
        <f t="array" ref="AK1234">_xlfn.SWITCH(CleanEmployeeData[[#This Row],[EnvironmentSatisfaction]],1,"Low",2,"Medium",3,"High",4,"Very High","Unknown")</f>
        <v>Very High</v>
      </c>
      <c r="AL1234" t="str" cm="1">
        <f t="array" ref="AL1234">_xlfn.SWITCH(CleanEmployeeData[[#This Row],[JobInvolvement]],1,"Low",2,"Medium",3,"High",4,"Very High","Unknown")</f>
        <v>High</v>
      </c>
      <c r="AM1234" t="str" cm="1">
        <f t="array" ref="AM1234">_xlfn.SWITCH(CleanEmployeeData[[#This Row],[JobSatisfaction]],1,"Low",2,"Medium",3,"High",4,"Very High","Unknown")</f>
        <v>High</v>
      </c>
      <c r="AN1234" t="str" cm="1">
        <f t="array" ref="AN1234">_xlfn.SWITCH(CleanEmployeeData[[#This Row],[PerformanceRating]],1,"Low",2,"Good",3,"Excellent",4,"Outstanding","Unknown")</f>
        <v>Excellent</v>
      </c>
      <c r="AO1234" t="str" cm="1">
        <f t="array" ref="AO1234">_xlfn.SWITCH(CleanEmployeeData[[#This Row],[WorkLifeBalance]],1,"Bad",2,"Good",3,"Better",4,"Best","Unknown")</f>
        <v>Better</v>
      </c>
      <c r="AP1234">
        <f>IF(CleanEmployeeData[[#This Row],[Attrition]]="Yes",1,IF(CleanEmployeeData[[#This Row],[Attrition]]="No",0,""))</f>
        <v>0</v>
      </c>
      <c r="AQ1234" t="str" cm="1">
        <f t="array" ref="AQ1234">_xlfn.IFS(CleanEmployeeData[[#This Row],[MonthlyIncome]]&lt;=3000,"0–3,000",CleanEmployeeData[[#This Row],[MonthlyIncome]]&lt;=6000,"3,001–6,000",CleanEmployeeData[[#This Row],[MonthlyIncome]]&lt;=10000,"6,001–10,000",TRUE,"10,001+")</f>
        <v>6,001–10,000</v>
      </c>
      <c r="AR1234" t="str" cm="1">
        <f t="array" ref="AR1234">_xlfn.IFS(CleanEmployeeData[[#This Row],[DistanceFromHome]]&lt;=5,"0–5 miles",CleanEmployeeData[[#This Row],[DistanceFromHome]]&lt;=10,"6–10 miles",CleanEmployeeData[[#This Row],[DistanceFromHome]]&lt;=15,"11–15 miles",TRUE,"16+ miles")</f>
        <v>16+ miles</v>
      </c>
      <c r="AS1234" t="str" cm="1">
        <f t="array" ref="AS1234">_xlfn.IFS(CleanEmployeeData[[#This Row],[YearsAtCompany]]&lt;=1,"0–1 years",CleanEmployeeData[[#This Row],[YearsAtCompany]]&lt;=5,"2–5 years",CleanEmployeeData[[#This Row],[YearsAtCompany]]&lt;=10,"6–10 years",TRUE,"11+ years")</f>
        <v>6–10 years</v>
      </c>
    </row>
    <row r="1235" spans="1:4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cm="1">
        <f t="array" ref="AJ1235">_xlfn.SWITCH(CleanEmployeeData[[#This Row],[Education]],1,"Below College",2,"College",3,"Bachelor",4,"Master",5,"Doctor","Unknown")</f>
        <v>Below College</v>
      </c>
      <c r="AK1235" t="str" cm="1">
        <f t="array" ref="AK1235">_xlfn.SWITCH(CleanEmployeeData[[#This Row],[EnvironmentSatisfaction]],1,"Low",2,"Medium",3,"High",4,"Very High","Unknown")</f>
        <v>Medium</v>
      </c>
      <c r="AL1235" t="str" cm="1">
        <f t="array" ref="AL1235">_xlfn.SWITCH(CleanEmployeeData[[#This Row],[JobInvolvement]],1,"Low",2,"Medium",3,"High",4,"Very High","Unknown")</f>
        <v>High</v>
      </c>
      <c r="AM1235" t="str" cm="1">
        <f t="array" ref="AM1235">_xlfn.SWITCH(CleanEmployeeData[[#This Row],[JobSatisfaction]],1,"Low",2,"Medium",3,"High",4,"Very High","Unknown")</f>
        <v>Very High</v>
      </c>
      <c r="AN1235" t="str" cm="1">
        <f t="array" ref="AN1235">_xlfn.SWITCH(CleanEmployeeData[[#This Row],[PerformanceRating]],1,"Low",2,"Good",3,"Excellent",4,"Outstanding","Unknown")</f>
        <v>Excellent</v>
      </c>
      <c r="AO1235" t="str" cm="1">
        <f t="array" ref="AO1235">_xlfn.SWITCH(CleanEmployeeData[[#This Row],[WorkLifeBalance]],1,"Bad",2,"Good",3,"Better",4,"Best","Unknown")</f>
        <v>Good</v>
      </c>
      <c r="AP1235">
        <f>IF(CleanEmployeeData[[#This Row],[Attrition]]="Yes",1,IF(CleanEmployeeData[[#This Row],[Attrition]]="No",0,""))</f>
        <v>0</v>
      </c>
      <c r="AQ1235" t="str" cm="1">
        <f t="array" ref="AQ1235">_xlfn.IFS(CleanEmployeeData[[#This Row],[MonthlyIncome]]&lt;=3000,"0–3,000",CleanEmployeeData[[#This Row],[MonthlyIncome]]&lt;=6000,"3,001–6,000",CleanEmployeeData[[#This Row],[MonthlyIncome]]&lt;=10000,"6,001–10,000",TRUE,"10,001+")</f>
        <v>0–3,000</v>
      </c>
      <c r="AR1235" t="str" cm="1">
        <f t="array" ref="AR1235">_xlfn.IFS(CleanEmployeeData[[#This Row],[DistanceFromHome]]&lt;=5,"0–5 miles",CleanEmployeeData[[#This Row],[DistanceFromHome]]&lt;=10,"6–10 miles",CleanEmployeeData[[#This Row],[DistanceFromHome]]&lt;=15,"11–15 miles",TRUE,"16+ miles")</f>
        <v>16+ miles</v>
      </c>
      <c r="AS1235" t="str" cm="1">
        <f t="array" ref="AS1235">_xlfn.IFS(CleanEmployeeData[[#This Row],[YearsAtCompany]]&lt;=1,"0–1 years",CleanEmployeeData[[#This Row],[YearsAtCompany]]&lt;=5,"2–5 years",CleanEmployeeData[[#This Row],[YearsAtCompany]]&lt;=10,"6–10 years",TRUE,"11+ years")</f>
        <v>6–10 years</v>
      </c>
    </row>
    <row r="1236" spans="1:4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cm="1">
        <f t="array" ref="AJ1236">_xlfn.SWITCH(CleanEmployeeData[[#This Row],[Education]],1,"Below College",2,"College",3,"Bachelor",4,"Master",5,"Doctor","Unknown")</f>
        <v>Master</v>
      </c>
      <c r="AK1236" t="str" cm="1">
        <f t="array" ref="AK1236">_xlfn.SWITCH(CleanEmployeeData[[#This Row],[EnvironmentSatisfaction]],1,"Low",2,"Medium",3,"High",4,"Very High","Unknown")</f>
        <v>High</v>
      </c>
      <c r="AL1236" t="str" cm="1">
        <f t="array" ref="AL1236">_xlfn.SWITCH(CleanEmployeeData[[#This Row],[JobInvolvement]],1,"Low",2,"Medium",3,"High",4,"Very High","Unknown")</f>
        <v>High</v>
      </c>
      <c r="AM1236" t="str" cm="1">
        <f t="array" ref="AM1236">_xlfn.SWITCH(CleanEmployeeData[[#This Row],[JobSatisfaction]],1,"Low",2,"Medium",3,"High",4,"Very High","Unknown")</f>
        <v>Medium</v>
      </c>
      <c r="AN1236" t="str" cm="1">
        <f t="array" ref="AN1236">_xlfn.SWITCH(CleanEmployeeData[[#This Row],[PerformanceRating]],1,"Low",2,"Good",3,"Excellent",4,"Outstanding","Unknown")</f>
        <v>Excellent</v>
      </c>
      <c r="AO1236" t="str" cm="1">
        <f t="array" ref="AO1236">_xlfn.SWITCH(CleanEmployeeData[[#This Row],[WorkLifeBalance]],1,"Bad",2,"Good",3,"Better",4,"Best","Unknown")</f>
        <v>Bad</v>
      </c>
      <c r="AP1236">
        <f>IF(CleanEmployeeData[[#This Row],[Attrition]]="Yes",1,IF(CleanEmployeeData[[#This Row],[Attrition]]="No",0,""))</f>
        <v>0</v>
      </c>
      <c r="AQ1236" t="str" cm="1">
        <f t="array" ref="AQ1236">_xlfn.IFS(CleanEmployeeData[[#This Row],[MonthlyIncome]]&lt;=3000,"0–3,000",CleanEmployeeData[[#This Row],[MonthlyIncome]]&lt;=6000,"3,001–6,000",CleanEmployeeData[[#This Row],[MonthlyIncome]]&lt;=10000,"6,001–10,000",TRUE,"10,001+")</f>
        <v>3,001–6,000</v>
      </c>
      <c r="AR1236" t="str" cm="1">
        <f t="array" ref="AR1236">_xlfn.IFS(CleanEmployeeData[[#This Row],[DistanceFromHome]]&lt;=5,"0–5 miles",CleanEmployeeData[[#This Row],[DistanceFromHome]]&lt;=10,"6–10 miles",CleanEmployeeData[[#This Row],[DistanceFromHome]]&lt;=15,"11–15 miles",TRUE,"16+ miles")</f>
        <v>0–5 miles</v>
      </c>
      <c r="AS1236" t="str" cm="1">
        <f t="array" ref="AS1236">_xlfn.IFS(CleanEmployeeData[[#This Row],[YearsAtCompany]]&lt;=1,"0–1 years",CleanEmployeeData[[#This Row],[YearsAtCompany]]&lt;=5,"2–5 years",CleanEmployeeData[[#This Row],[YearsAtCompany]]&lt;=10,"6–10 years",TRUE,"11+ years")</f>
        <v>0–1 years</v>
      </c>
    </row>
    <row r="1237" spans="1:4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cm="1">
        <f t="array" ref="AJ1237">_xlfn.SWITCH(CleanEmployeeData[[#This Row],[Education]],1,"Below College",2,"College",3,"Bachelor",4,"Master",5,"Doctor","Unknown")</f>
        <v>Bachelor</v>
      </c>
      <c r="AK1237" t="str" cm="1">
        <f t="array" ref="AK1237">_xlfn.SWITCH(CleanEmployeeData[[#This Row],[EnvironmentSatisfaction]],1,"Low",2,"Medium",3,"High",4,"Very High","Unknown")</f>
        <v>High</v>
      </c>
      <c r="AL1237" t="str" cm="1">
        <f t="array" ref="AL1237">_xlfn.SWITCH(CleanEmployeeData[[#This Row],[JobInvolvement]],1,"Low",2,"Medium",3,"High",4,"Very High","Unknown")</f>
        <v>High</v>
      </c>
      <c r="AM1237" t="str" cm="1">
        <f t="array" ref="AM1237">_xlfn.SWITCH(CleanEmployeeData[[#This Row],[JobSatisfaction]],1,"Low",2,"Medium",3,"High",4,"Very High","Unknown")</f>
        <v>Very High</v>
      </c>
      <c r="AN1237" t="str" cm="1">
        <f t="array" ref="AN1237">_xlfn.SWITCH(CleanEmployeeData[[#This Row],[PerformanceRating]],1,"Low",2,"Good",3,"Excellent",4,"Outstanding","Unknown")</f>
        <v>Excellent</v>
      </c>
      <c r="AO1237" t="str" cm="1">
        <f t="array" ref="AO1237">_xlfn.SWITCH(CleanEmployeeData[[#This Row],[WorkLifeBalance]],1,"Bad",2,"Good",3,"Better",4,"Best","Unknown")</f>
        <v>Good</v>
      </c>
      <c r="AP1237">
        <f>IF(CleanEmployeeData[[#This Row],[Attrition]]="Yes",1,IF(CleanEmployeeData[[#This Row],[Attrition]]="No",0,""))</f>
        <v>0</v>
      </c>
      <c r="AQ1237" t="str" cm="1">
        <f t="array" ref="AQ1237">_xlfn.IFS(CleanEmployeeData[[#This Row],[MonthlyIncome]]&lt;=3000,"0–3,000",CleanEmployeeData[[#This Row],[MonthlyIncome]]&lt;=6000,"3,001–6,000",CleanEmployeeData[[#This Row],[MonthlyIncome]]&lt;=10000,"6,001–10,000",TRUE,"10,001+")</f>
        <v>10,001+</v>
      </c>
      <c r="AR1237" t="str" cm="1">
        <f t="array" ref="AR1237">_xlfn.IFS(CleanEmployeeData[[#This Row],[DistanceFromHome]]&lt;=5,"0–5 miles",CleanEmployeeData[[#This Row],[DistanceFromHome]]&lt;=10,"6–10 miles",CleanEmployeeData[[#This Row],[DistanceFromHome]]&lt;=15,"11–15 miles",TRUE,"16+ miles")</f>
        <v>0–5 miles</v>
      </c>
      <c r="AS1237" t="str" cm="1">
        <f t="array" ref="AS1237">_xlfn.IFS(CleanEmployeeData[[#This Row],[YearsAtCompany]]&lt;=1,"0–1 years",CleanEmployeeData[[#This Row],[YearsAtCompany]]&lt;=5,"2–5 years",CleanEmployeeData[[#This Row],[YearsAtCompany]]&lt;=10,"6–10 years",TRUE,"11+ years")</f>
        <v>6–10 years</v>
      </c>
    </row>
    <row r="1238" spans="1:4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cm="1">
        <f t="array" ref="AJ1238">_xlfn.SWITCH(CleanEmployeeData[[#This Row],[Education]],1,"Below College",2,"College",3,"Bachelor",4,"Master",5,"Doctor","Unknown")</f>
        <v>Doctor</v>
      </c>
      <c r="AK1238" t="str" cm="1">
        <f t="array" ref="AK1238">_xlfn.SWITCH(CleanEmployeeData[[#This Row],[EnvironmentSatisfaction]],1,"Low",2,"Medium",3,"High",4,"Very High","Unknown")</f>
        <v>Medium</v>
      </c>
      <c r="AL1238" t="str" cm="1">
        <f t="array" ref="AL1238">_xlfn.SWITCH(CleanEmployeeData[[#This Row],[JobInvolvement]],1,"Low",2,"Medium",3,"High",4,"Very High","Unknown")</f>
        <v>Medium</v>
      </c>
      <c r="AM1238" t="str" cm="1">
        <f t="array" ref="AM1238">_xlfn.SWITCH(CleanEmployeeData[[#This Row],[JobSatisfaction]],1,"Low",2,"Medium",3,"High",4,"Very High","Unknown")</f>
        <v>Low</v>
      </c>
      <c r="AN1238" t="str" cm="1">
        <f t="array" ref="AN1238">_xlfn.SWITCH(CleanEmployeeData[[#This Row],[PerformanceRating]],1,"Low",2,"Good",3,"Excellent",4,"Outstanding","Unknown")</f>
        <v>Excellent</v>
      </c>
      <c r="AO1238" t="str" cm="1">
        <f t="array" ref="AO1238">_xlfn.SWITCH(CleanEmployeeData[[#This Row],[WorkLifeBalance]],1,"Bad",2,"Good",3,"Better",4,"Best","Unknown")</f>
        <v>Better</v>
      </c>
      <c r="AP1238">
        <f>IF(CleanEmployeeData[[#This Row],[Attrition]]="Yes",1,IF(CleanEmployeeData[[#This Row],[Attrition]]="No",0,""))</f>
        <v>1</v>
      </c>
      <c r="AQ1238" t="str" cm="1">
        <f t="array" ref="AQ1238">_xlfn.IFS(CleanEmployeeData[[#This Row],[MonthlyIncome]]&lt;=3000,"0–3,000",CleanEmployeeData[[#This Row],[MonthlyIncome]]&lt;=6000,"3,001–6,000",CleanEmployeeData[[#This Row],[MonthlyIncome]]&lt;=10000,"6,001–10,000",TRUE,"10,001+")</f>
        <v>6,001–10,000</v>
      </c>
      <c r="AR1238" t="str" cm="1">
        <f t="array" ref="AR1238">_xlfn.IFS(CleanEmployeeData[[#This Row],[DistanceFromHome]]&lt;=5,"0–5 miles",CleanEmployeeData[[#This Row],[DistanceFromHome]]&lt;=10,"6–10 miles",CleanEmployeeData[[#This Row],[DistanceFromHome]]&lt;=15,"11–15 miles",TRUE,"16+ miles")</f>
        <v>11–15 miles</v>
      </c>
      <c r="AS1238" t="str" cm="1">
        <f t="array" ref="AS1238">_xlfn.IFS(CleanEmployeeData[[#This Row],[YearsAtCompany]]&lt;=1,"0–1 years",CleanEmployeeData[[#This Row],[YearsAtCompany]]&lt;=5,"2–5 years",CleanEmployeeData[[#This Row],[YearsAtCompany]]&lt;=10,"6–10 years",TRUE,"11+ years")</f>
        <v>2–5 years</v>
      </c>
    </row>
    <row r="1239" spans="1:4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cm="1">
        <f t="array" ref="AJ1239">_xlfn.SWITCH(CleanEmployeeData[[#This Row],[Education]],1,"Below College",2,"College",3,"Bachelor",4,"Master",5,"Doctor","Unknown")</f>
        <v>College</v>
      </c>
      <c r="AK1239" t="str" cm="1">
        <f t="array" ref="AK1239">_xlfn.SWITCH(CleanEmployeeData[[#This Row],[EnvironmentSatisfaction]],1,"Low",2,"Medium",3,"High",4,"Very High","Unknown")</f>
        <v>Low</v>
      </c>
      <c r="AL1239" t="str" cm="1">
        <f t="array" ref="AL1239">_xlfn.SWITCH(CleanEmployeeData[[#This Row],[JobInvolvement]],1,"Low",2,"Medium",3,"High",4,"Very High","Unknown")</f>
        <v>Low</v>
      </c>
      <c r="AM1239" t="str" cm="1">
        <f t="array" ref="AM1239">_xlfn.SWITCH(CleanEmployeeData[[#This Row],[JobSatisfaction]],1,"Low",2,"Medium",3,"High",4,"Very High","Unknown")</f>
        <v>Medium</v>
      </c>
      <c r="AN1239" t="str" cm="1">
        <f t="array" ref="AN1239">_xlfn.SWITCH(CleanEmployeeData[[#This Row],[PerformanceRating]],1,"Low",2,"Good",3,"Excellent",4,"Outstanding","Unknown")</f>
        <v>Excellent</v>
      </c>
      <c r="AO1239" t="str" cm="1">
        <f t="array" ref="AO1239">_xlfn.SWITCH(CleanEmployeeData[[#This Row],[WorkLifeBalance]],1,"Bad",2,"Good",3,"Better",4,"Best","Unknown")</f>
        <v>Better</v>
      </c>
      <c r="AP1239">
        <f>IF(CleanEmployeeData[[#This Row],[Attrition]]="Yes",1,IF(CleanEmployeeData[[#This Row],[Attrition]]="No",0,""))</f>
        <v>1</v>
      </c>
      <c r="AQ1239" t="str" cm="1">
        <f t="array" ref="AQ1239">_xlfn.IFS(CleanEmployeeData[[#This Row],[MonthlyIncome]]&lt;=3000,"0–3,000",CleanEmployeeData[[#This Row],[MonthlyIncome]]&lt;=6000,"3,001–6,000",CleanEmployeeData[[#This Row],[MonthlyIncome]]&lt;=10000,"6,001–10,000",TRUE,"10,001+")</f>
        <v>6,001–10,000</v>
      </c>
      <c r="AR1239" t="str" cm="1">
        <f t="array" ref="AR1239">_xlfn.IFS(CleanEmployeeData[[#This Row],[DistanceFromHome]]&lt;=5,"0–5 miles",CleanEmployeeData[[#This Row],[DistanceFromHome]]&lt;=10,"6–10 miles",CleanEmployeeData[[#This Row],[DistanceFromHome]]&lt;=15,"11–15 miles",TRUE,"16+ miles")</f>
        <v>0–5 miles</v>
      </c>
      <c r="AS1239" t="str" cm="1">
        <f t="array" ref="AS1239">_xlfn.IFS(CleanEmployeeData[[#This Row],[YearsAtCompany]]&lt;=1,"0–1 years",CleanEmployeeData[[#This Row],[YearsAtCompany]]&lt;=5,"2–5 years",CleanEmployeeData[[#This Row],[YearsAtCompany]]&lt;=10,"6–10 years",TRUE,"11+ years")</f>
        <v>0–1 years</v>
      </c>
    </row>
    <row r="1240" spans="1:4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cm="1">
        <f t="array" ref="AJ1240">_xlfn.SWITCH(CleanEmployeeData[[#This Row],[Education]],1,"Below College",2,"College",3,"Bachelor",4,"Master",5,"Doctor","Unknown")</f>
        <v>Below College</v>
      </c>
      <c r="AK1240" t="str" cm="1">
        <f t="array" ref="AK1240">_xlfn.SWITCH(CleanEmployeeData[[#This Row],[EnvironmentSatisfaction]],1,"Low",2,"Medium",3,"High",4,"Very High","Unknown")</f>
        <v>High</v>
      </c>
      <c r="AL1240" t="str" cm="1">
        <f t="array" ref="AL1240">_xlfn.SWITCH(CleanEmployeeData[[#This Row],[JobInvolvement]],1,"Low",2,"Medium",3,"High",4,"Very High","Unknown")</f>
        <v>High</v>
      </c>
      <c r="AM1240" t="str" cm="1">
        <f t="array" ref="AM1240">_xlfn.SWITCH(CleanEmployeeData[[#This Row],[JobSatisfaction]],1,"Low",2,"Medium",3,"High",4,"Very High","Unknown")</f>
        <v>Medium</v>
      </c>
      <c r="AN1240" t="str" cm="1">
        <f t="array" ref="AN1240">_xlfn.SWITCH(CleanEmployeeData[[#This Row],[PerformanceRating]],1,"Low",2,"Good",3,"Excellent",4,"Outstanding","Unknown")</f>
        <v>Excellent</v>
      </c>
      <c r="AO1240" t="str" cm="1">
        <f t="array" ref="AO1240">_xlfn.SWITCH(CleanEmployeeData[[#This Row],[WorkLifeBalance]],1,"Bad",2,"Good",3,"Better",4,"Best","Unknown")</f>
        <v>Bad</v>
      </c>
      <c r="AP1240">
        <f>IF(CleanEmployeeData[[#This Row],[Attrition]]="Yes",1,IF(CleanEmployeeData[[#This Row],[Attrition]]="No",0,""))</f>
        <v>0</v>
      </c>
      <c r="AQ1240" t="str" cm="1">
        <f t="array" ref="AQ1240">_xlfn.IFS(CleanEmployeeData[[#This Row],[MonthlyIncome]]&lt;=3000,"0–3,000",CleanEmployeeData[[#This Row],[MonthlyIncome]]&lt;=6000,"3,001–6,000",CleanEmployeeData[[#This Row],[MonthlyIncome]]&lt;=10000,"6,001–10,000",TRUE,"10,001+")</f>
        <v>3,001–6,000</v>
      </c>
      <c r="AR1240" t="str" cm="1">
        <f t="array" ref="AR1240">_xlfn.IFS(CleanEmployeeData[[#This Row],[DistanceFromHome]]&lt;=5,"0–5 miles",CleanEmployeeData[[#This Row],[DistanceFromHome]]&lt;=10,"6–10 miles",CleanEmployeeData[[#This Row],[DistanceFromHome]]&lt;=15,"11–15 miles",TRUE,"16+ miles")</f>
        <v>0–5 miles</v>
      </c>
      <c r="AS1240" t="str" cm="1">
        <f t="array" ref="AS1240">_xlfn.IFS(CleanEmployeeData[[#This Row],[YearsAtCompany]]&lt;=1,"0–1 years",CleanEmployeeData[[#This Row],[YearsAtCompany]]&lt;=5,"2–5 years",CleanEmployeeData[[#This Row],[YearsAtCompany]]&lt;=10,"6–10 years",TRUE,"11+ years")</f>
        <v>2–5 years</v>
      </c>
    </row>
    <row r="1241" spans="1:4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cm="1">
        <f t="array" ref="AJ1241">_xlfn.SWITCH(CleanEmployeeData[[#This Row],[Education]],1,"Below College",2,"College",3,"Bachelor",4,"Master",5,"Doctor","Unknown")</f>
        <v>Below College</v>
      </c>
      <c r="AK1241" t="str" cm="1">
        <f t="array" ref="AK1241">_xlfn.SWITCH(CleanEmployeeData[[#This Row],[EnvironmentSatisfaction]],1,"Low",2,"Medium",3,"High",4,"Very High","Unknown")</f>
        <v>Very High</v>
      </c>
      <c r="AL1241" t="str" cm="1">
        <f t="array" ref="AL1241">_xlfn.SWITCH(CleanEmployeeData[[#This Row],[JobInvolvement]],1,"Low",2,"Medium",3,"High",4,"Very High","Unknown")</f>
        <v>High</v>
      </c>
      <c r="AM1241" t="str" cm="1">
        <f t="array" ref="AM1241">_xlfn.SWITCH(CleanEmployeeData[[#This Row],[JobSatisfaction]],1,"Low",2,"Medium",3,"High",4,"Very High","Unknown")</f>
        <v>Very High</v>
      </c>
      <c r="AN1241" t="str" cm="1">
        <f t="array" ref="AN1241">_xlfn.SWITCH(CleanEmployeeData[[#This Row],[PerformanceRating]],1,"Low",2,"Good",3,"Excellent",4,"Outstanding","Unknown")</f>
        <v>Outstanding</v>
      </c>
      <c r="AO1241" t="str" cm="1">
        <f t="array" ref="AO1241">_xlfn.SWITCH(CleanEmployeeData[[#This Row],[WorkLifeBalance]],1,"Bad",2,"Good",3,"Better",4,"Best","Unknown")</f>
        <v>Good</v>
      </c>
      <c r="AP1241">
        <f>IF(CleanEmployeeData[[#This Row],[Attrition]]="Yes",1,IF(CleanEmployeeData[[#This Row],[Attrition]]="No",0,""))</f>
        <v>0</v>
      </c>
      <c r="AQ1241" t="str" cm="1">
        <f t="array" ref="AQ1241">_xlfn.IFS(CleanEmployeeData[[#This Row],[MonthlyIncome]]&lt;=3000,"0–3,000",CleanEmployeeData[[#This Row],[MonthlyIncome]]&lt;=6000,"3,001–6,000",CleanEmployeeData[[#This Row],[MonthlyIncome]]&lt;=10000,"6,001–10,000",TRUE,"10,001+")</f>
        <v>3,001–6,000</v>
      </c>
      <c r="AR1241" t="str" cm="1">
        <f t="array" ref="AR1241">_xlfn.IFS(CleanEmployeeData[[#This Row],[DistanceFromHome]]&lt;=5,"0–5 miles",CleanEmployeeData[[#This Row],[DistanceFromHome]]&lt;=10,"6–10 miles",CleanEmployeeData[[#This Row],[DistanceFromHome]]&lt;=15,"11–15 miles",TRUE,"16+ miles")</f>
        <v>16+ miles</v>
      </c>
      <c r="AS1241" t="str" cm="1">
        <f t="array" ref="AS1241">_xlfn.IFS(CleanEmployeeData[[#This Row],[YearsAtCompany]]&lt;=1,"0–1 years",CleanEmployeeData[[#This Row],[YearsAtCompany]]&lt;=5,"2–5 years",CleanEmployeeData[[#This Row],[YearsAtCompany]]&lt;=10,"6–10 years",TRUE,"11+ years")</f>
        <v>2–5 years</v>
      </c>
    </row>
    <row r="1242" spans="1:4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cm="1">
        <f t="array" ref="AJ1242">_xlfn.SWITCH(CleanEmployeeData[[#This Row],[Education]],1,"Below College",2,"College",3,"Bachelor",4,"Master",5,"Doctor","Unknown")</f>
        <v>Bachelor</v>
      </c>
      <c r="AK1242" t="str" cm="1">
        <f t="array" ref="AK1242">_xlfn.SWITCH(CleanEmployeeData[[#This Row],[EnvironmentSatisfaction]],1,"Low",2,"Medium",3,"High",4,"Very High","Unknown")</f>
        <v>Very High</v>
      </c>
      <c r="AL1242" t="str" cm="1">
        <f t="array" ref="AL1242">_xlfn.SWITCH(CleanEmployeeData[[#This Row],[JobInvolvement]],1,"Low",2,"Medium",3,"High",4,"Very High","Unknown")</f>
        <v>High</v>
      </c>
      <c r="AM1242" t="str" cm="1">
        <f t="array" ref="AM1242">_xlfn.SWITCH(CleanEmployeeData[[#This Row],[JobSatisfaction]],1,"Low",2,"Medium",3,"High",4,"Very High","Unknown")</f>
        <v>Very High</v>
      </c>
      <c r="AN1242" t="str" cm="1">
        <f t="array" ref="AN1242">_xlfn.SWITCH(CleanEmployeeData[[#This Row],[PerformanceRating]],1,"Low",2,"Good",3,"Excellent",4,"Outstanding","Unknown")</f>
        <v>Excellent</v>
      </c>
      <c r="AO1242" t="str" cm="1">
        <f t="array" ref="AO1242">_xlfn.SWITCH(CleanEmployeeData[[#This Row],[WorkLifeBalance]],1,"Bad",2,"Good",3,"Better",4,"Best","Unknown")</f>
        <v>Better</v>
      </c>
      <c r="AP1242">
        <f>IF(CleanEmployeeData[[#This Row],[Attrition]]="Yes",1,IF(CleanEmployeeData[[#This Row],[Attrition]]="No",0,""))</f>
        <v>0</v>
      </c>
      <c r="AQ1242" t="str" cm="1">
        <f t="array" ref="AQ1242">_xlfn.IFS(CleanEmployeeData[[#This Row],[MonthlyIncome]]&lt;=3000,"0–3,000",CleanEmployeeData[[#This Row],[MonthlyIncome]]&lt;=6000,"3,001–6,000",CleanEmployeeData[[#This Row],[MonthlyIncome]]&lt;=10000,"6,001–10,000",TRUE,"10,001+")</f>
        <v>6,001–10,000</v>
      </c>
      <c r="AR1242" t="str" cm="1">
        <f t="array" ref="AR1242">_xlfn.IFS(CleanEmployeeData[[#This Row],[DistanceFromHome]]&lt;=5,"0–5 miles",CleanEmployeeData[[#This Row],[DistanceFromHome]]&lt;=10,"6–10 miles",CleanEmployeeData[[#This Row],[DistanceFromHome]]&lt;=15,"11–15 miles",TRUE,"16+ miles")</f>
        <v>0–5 miles</v>
      </c>
      <c r="AS1242" t="str" cm="1">
        <f t="array" ref="AS1242">_xlfn.IFS(CleanEmployeeData[[#This Row],[YearsAtCompany]]&lt;=1,"0–1 years",CleanEmployeeData[[#This Row],[YearsAtCompany]]&lt;=5,"2–5 years",CleanEmployeeData[[#This Row],[YearsAtCompany]]&lt;=10,"6–10 years",TRUE,"11+ years")</f>
        <v>6–10 years</v>
      </c>
    </row>
    <row r="1243" spans="1:4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cm="1">
        <f t="array" ref="AJ1243">_xlfn.SWITCH(CleanEmployeeData[[#This Row],[Education]],1,"Below College",2,"College",3,"Bachelor",4,"Master",5,"Doctor","Unknown")</f>
        <v>Bachelor</v>
      </c>
      <c r="AK1243" t="str" cm="1">
        <f t="array" ref="AK1243">_xlfn.SWITCH(CleanEmployeeData[[#This Row],[EnvironmentSatisfaction]],1,"Low",2,"Medium",3,"High",4,"Very High","Unknown")</f>
        <v>Very High</v>
      </c>
      <c r="AL1243" t="str" cm="1">
        <f t="array" ref="AL1243">_xlfn.SWITCH(CleanEmployeeData[[#This Row],[JobInvolvement]],1,"Low",2,"Medium",3,"High",4,"Very High","Unknown")</f>
        <v>Low</v>
      </c>
      <c r="AM1243" t="str" cm="1">
        <f t="array" ref="AM1243">_xlfn.SWITCH(CleanEmployeeData[[#This Row],[JobSatisfaction]],1,"Low",2,"Medium",3,"High",4,"Very High","Unknown")</f>
        <v>High</v>
      </c>
      <c r="AN1243" t="str" cm="1">
        <f t="array" ref="AN1243">_xlfn.SWITCH(CleanEmployeeData[[#This Row],[PerformanceRating]],1,"Low",2,"Good",3,"Excellent",4,"Outstanding","Unknown")</f>
        <v>Excellent</v>
      </c>
      <c r="AO1243" t="str" cm="1">
        <f t="array" ref="AO1243">_xlfn.SWITCH(CleanEmployeeData[[#This Row],[WorkLifeBalance]],1,"Bad",2,"Good",3,"Better",4,"Best","Unknown")</f>
        <v>Bad</v>
      </c>
      <c r="AP1243">
        <f>IF(CleanEmployeeData[[#This Row],[Attrition]]="Yes",1,IF(CleanEmployeeData[[#This Row],[Attrition]]="No",0,""))</f>
        <v>0</v>
      </c>
      <c r="AQ1243" t="str" cm="1">
        <f t="array" ref="AQ1243">_xlfn.IFS(CleanEmployeeData[[#This Row],[MonthlyIncome]]&lt;=3000,"0–3,000",CleanEmployeeData[[#This Row],[MonthlyIncome]]&lt;=6000,"3,001–6,000",CleanEmployeeData[[#This Row],[MonthlyIncome]]&lt;=10000,"6,001–10,000",TRUE,"10,001+")</f>
        <v>6,001–10,000</v>
      </c>
      <c r="AR1243" t="str" cm="1">
        <f t="array" ref="AR1243">_xlfn.IFS(CleanEmployeeData[[#This Row],[DistanceFromHome]]&lt;=5,"0–5 miles",CleanEmployeeData[[#This Row],[DistanceFromHome]]&lt;=10,"6–10 miles",CleanEmployeeData[[#This Row],[DistanceFromHome]]&lt;=15,"11–15 miles",TRUE,"16+ miles")</f>
        <v>16+ miles</v>
      </c>
      <c r="AS1243" t="str" cm="1">
        <f t="array" ref="AS1243">_xlfn.IFS(CleanEmployeeData[[#This Row],[YearsAtCompany]]&lt;=1,"0–1 years",CleanEmployeeData[[#This Row],[YearsAtCompany]]&lt;=5,"2–5 years",CleanEmployeeData[[#This Row],[YearsAtCompany]]&lt;=10,"6–10 years",TRUE,"11+ years")</f>
        <v>2–5 years</v>
      </c>
    </row>
    <row r="1244" spans="1:4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cm="1">
        <f t="array" ref="AJ1244">_xlfn.SWITCH(CleanEmployeeData[[#This Row],[Education]],1,"Below College",2,"College",3,"Bachelor",4,"Master",5,"Doctor","Unknown")</f>
        <v>Master</v>
      </c>
      <c r="AK1244" t="str" cm="1">
        <f t="array" ref="AK1244">_xlfn.SWITCH(CleanEmployeeData[[#This Row],[EnvironmentSatisfaction]],1,"Low",2,"Medium",3,"High",4,"Very High","Unknown")</f>
        <v>Medium</v>
      </c>
      <c r="AL1244" t="str" cm="1">
        <f t="array" ref="AL1244">_xlfn.SWITCH(CleanEmployeeData[[#This Row],[JobInvolvement]],1,"Low",2,"Medium",3,"High",4,"Very High","Unknown")</f>
        <v>High</v>
      </c>
      <c r="AM1244" t="str" cm="1">
        <f t="array" ref="AM1244">_xlfn.SWITCH(CleanEmployeeData[[#This Row],[JobSatisfaction]],1,"Low",2,"Medium",3,"High",4,"Very High","Unknown")</f>
        <v>Medium</v>
      </c>
      <c r="AN1244" t="str" cm="1">
        <f t="array" ref="AN1244">_xlfn.SWITCH(CleanEmployeeData[[#This Row],[PerformanceRating]],1,"Low",2,"Good",3,"Excellent",4,"Outstanding","Unknown")</f>
        <v>Excellent</v>
      </c>
      <c r="AO1244" t="str" cm="1">
        <f t="array" ref="AO1244">_xlfn.SWITCH(CleanEmployeeData[[#This Row],[WorkLifeBalance]],1,"Bad",2,"Good",3,"Better",4,"Best","Unknown")</f>
        <v>Good</v>
      </c>
      <c r="AP1244">
        <f>IF(CleanEmployeeData[[#This Row],[Attrition]]="Yes",1,IF(CleanEmployeeData[[#This Row],[Attrition]]="No",0,""))</f>
        <v>0</v>
      </c>
      <c r="AQ1244" t="str" cm="1">
        <f t="array" ref="AQ1244">_xlfn.IFS(CleanEmployeeData[[#This Row],[MonthlyIncome]]&lt;=3000,"0–3,000",CleanEmployeeData[[#This Row],[MonthlyIncome]]&lt;=6000,"3,001–6,000",CleanEmployeeData[[#This Row],[MonthlyIncome]]&lt;=10000,"6,001–10,000",TRUE,"10,001+")</f>
        <v>10,001+</v>
      </c>
      <c r="AR1244" t="str" cm="1">
        <f t="array" ref="AR1244">_xlfn.IFS(CleanEmployeeData[[#This Row],[DistanceFromHome]]&lt;=5,"0–5 miles",CleanEmployeeData[[#This Row],[DistanceFromHome]]&lt;=10,"6–10 miles",CleanEmployeeData[[#This Row],[DistanceFromHome]]&lt;=15,"11–15 miles",TRUE,"16+ miles")</f>
        <v>6–10 miles</v>
      </c>
      <c r="AS1244" t="str" cm="1">
        <f t="array" ref="AS1244">_xlfn.IFS(CleanEmployeeData[[#This Row],[YearsAtCompany]]&lt;=1,"0–1 years",CleanEmployeeData[[#This Row],[YearsAtCompany]]&lt;=5,"2–5 years",CleanEmployeeData[[#This Row],[YearsAtCompany]]&lt;=10,"6–10 years",TRUE,"11+ years")</f>
        <v>11+ years</v>
      </c>
    </row>
    <row r="1245" spans="1:4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cm="1">
        <f t="array" ref="AJ1245">_xlfn.SWITCH(CleanEmployeeData[[#This Row],[Education]],1,"Below College",2,"College",3,"Bachelor",4,"Master",5,"Doctor","Unknown")</f>
        <v>Bachelor</v>
      </c>
      <c r="AK1245" t="str" cm="1">
        <f t="array" ref="AK1245">_xlfn.SWITCH(CleanEmployeeData[[#This Row],[EnvironmentSatisfaction]],1,"Low",2,"Medium",3,"High",4,"Very High","Unknown")</f>
        <v>High</v>
      </c>
      <c r="AL1245" t="str" cm="1">
        <f t="array" ref="AL1245">_xlfn.SWITCH(CleanEmployeeData[[#This Row],[JobInvolvement]],1,"Low",2,"Medium",3,"High",4,"Very High","Unknown")</f>
        <v>Low</v>
      </c>
      <c r="AM1245" t="str" cm="1">
        <f t="array" ref="AM1245">_xlfn.SWITCH(CleanEmployeeData[[#This Row],[JobSatisfaction]],1,"Low",2,"Medium",3,"High",4,"Very High","Unknown")</f>
        <v>High</v>
      </c>
      <c r="AN1245" t="str" cm="1">
        <f t="array" ref="AN1245">_xlfn.SWITCH(CleanEmployeeData[[#This Row],[PerformanceRating]],1,"Low",2,"Good",3,"Excellent",4,"Outstanding","Unknown")</f>
        <v>Outstanding</v>
      </c>
      <c r="AO1245" t="str" cm="1">
        <f t="array" ref="AO1245">_xlfn.SWITCH(CleanEmployeeData[[#This Row],[WorkLifeBalance]],1,"Bad",2,"Good",3,"Better",4,"Best","Unknown")</f>
        <v>Best</v>
      </c>
      <c r="AP1245">
        <f>IF(CleanEmployeeData[[#This Row],[Attrition]]="Yes",1,IF(CleanEmployeeData[[#This Row],[Attrition]]="No",0,""))</f>
        <v>0</v>
      </c>
      <c r="AQ1245" t="str" cm="1">
        <f t="array" ref="AQ1245">_xlfn.IFS(CleanEmployeeData[[#This Row],[MonthlyIncome]]&lt;=3000,"0–3,000",CleanEmployeeData[[#This Row],[MonthlyIncome]]&lt;=6000,"3,001–6,000",CleanEmployeeData[[#This Row],[MonthlyIncome]]&lt;=10000,"6,001–10,000",TRUE,"10,001+")</f>
        <v>6,001–10,000</v>
      </c>
      <c r="AR1245" t="str" cm="1">
        <f t="array" ref="AR1245">_xlfn.IFS(CleanEmployeeData[[#This Row],[DistanceFromHome]]&lt;=5,"0–5 miles",CleanEmployeeData[[#This Row],[DistanceFromHome]]&lt;=10,"6–10 miles",CleanEmployeeData[[#This Row],[DistanceFromHome]]&lt;=15,"11–15 miles",TRUE,"16+ miles")</f>
        <v>0–5 miles</v>
      </c>
      <c r="AS1245" t="str" cm="1">
        <f t="array" ref="AS1245">_xlfn.IFS(CleanEmployeeData[[#This Row],[YearsAtCompany]]&lt;=1,"0–1 years",CleanEmployeeData[[#This Row],[YearsAtCompany]]&lt;=5,"2–5 years",CleanEmployeeData[[#This Row],[YearsAtCompany]]&lt;=10,"6–10 years",TRUE,"11+ years")</f>
        <v>2–5 years</v>
      </c>
    </row>
    <row r="1246" spans="1:4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cm="1">
        <f t="array" ref="AJ1246">_xlfn.SWITCH(CleanEmployeeData[[#This Row],[Education]],1,"Below College",2,"College",3,"Bachelor",4,"Master",5,"Doctor","Unknown")</f>
        <v>Master</v>
      </c>
      <c r="AK1246" t="str" cm="1">
        <f t="array" ref="AK1246">_xlfn.SWITCH(CleanEmployeeData[[#This Row],[EnvironmentSatisfaction]],1,"Low",2,"Medium",3,"High",4,"Very High","Unknown")</f>
        <v>Very High</v>
      </c>
      <c r="AL1246" t="str" cm="1">
        <f t="array" ref="AL1246">_xlfn.SWITCH(CleanEmployeeData[[#This Row],[JobInvolvement]],1,"Low",2,"Medium",3,"High",4,"Very High","Unknown")</f>
        <v>Medium</v>
      </c>
      <c r="AM1246" t="str" cm="1">
        <f t="array" ref="AM1246">_xlfn.SWITCH(CleanEmployeeData[[#This Row],[JobSatisfaction]],1,"Low",2,"Medium",3,"High",4,"Very High","Unknown")</f>
        <v>Low</v>
      </c>
      <c r="AN1246" t="str" cm="1">
        <f t="array" ref="AN1246">_xlfn.SWITCH(CleanEmployeeData[[#This Row],[PerformanceRating]],1,"Low",2,"Good",3,"Excellent",4,"Outstanding","Unknown")</f>
        <v>Excellent</v>
      </c>
      <c r="AO1246" t="str" cm="1">
        <f t="array" ref="AO1246">_xlfn.SWITCH(CleanEmployeeData[[#This Row],[WorkLifeBalance]],1,"Bad",2,"Good",3,"Better",4,"Best","Unknown")</f>
        <v>Better</v>
      </c>
      <c r="AP1246">
        <f>IF(CleanEmployeeData[[#This Row],[Attrition]]="Yes",1,IF(CleanEmployeeData[[#This Row],[Attrition]]="No",0,""))</f>
        <v>0</v>
      </c>
      <c r="AQ1246" t="str" cm="1">
        <f t="array" ref="AQ1246">_xlfn.IFS(CleanEmployeeData[[#This Row],[MonthlyIncome]]&lt;=3000,"0–3,000",CleanEmployeeData[[#This Row],[MonthlyIncome]]&lt;=6000,"3,001–6,000",CleanEmployeeData[[#This Row],[MonthlyIncome]]&lt;=10000,"6,001–10,000",TRUE,"10,001+")</f>
        <v>3,001–6,000</v>
      </c>
      <c r="AR1246" t="str" cm="1">
        <f t="array" ref="AR1246">_xlfn.IFS(CleanEmployeeData[[#This Row],[DistanceFromHome]]&lt;=5,"0–5 miles",CleanEmployeeData[[#This Row],[DistanceFromHome]]&lt;=10,"6–10 miles",CleanEmployeeData[[#This Row],[DistanceFromHome]]&lt;=15,"11–15 miles",TRUE,"16+ miles")</f>
        <v>0–5 miles</v>
      </c>
      <c r="AS1246" t="str" cm="1">
        <f t="array" ref="AS1246">_xlfn.IFS(CleanEmployeeData[[#This Row],[YearsAtCompany]]&lt;=1,"0–1 years",CleanEmployeeData[[#This Row],[YearsAtCompany]]&lt;=5,"2–5 years",CleanEmployeeData[[#This Row],[YearsAtCompany]]&lt;=10,"6–10 years",TRUE,"11+ years")</f>
        <v>6–10 years</v>
      </c>
    </row>
    <row r="1247" spans="1:4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cm="1">
        <f t="array" ref="AJ1247">_xlfn.SWITCH(CleanEmployeeData[[#This Row],[Education]],1,"Below College",2,"College",3,"Bachelor",4,"Master",5,"Doctor","Unknown")</f>
        <v>Bachelor</v>
      </c>
      <c r="AK1247" t="str" cm="1">
        <f t="array" ref="AK1247">_xlfn.SWITCH(CleanEmployeeData[[#This Row],[EnvironmentSatisfaction]],1,"Low",2,"Medium",3,"High",4,"Very High","Unknown")</f>
        <v>Low</v>
      </c>
      <c r="AL1247" t="str" cm="1">
        <f t="array" ref="AL1247">_xlfn.SWITCH(CleanEmployeeData[[#This Row],[JobInvolvement]],1,"Low",2,"Medium",3,"High",4,"Very High","Unknown")</f>
        <v>High</v>
      </c>
      <c r="AM1247" t="str" cm="1">
        <f t="array" ref="AM1247">_xlfn.SWITCH(CleanEmployeeData[[#This Row],[JobSatisfaction]],1,"Low",2,"Medium",3,"High",4,"Very High","Unknown")</f>
        <v>Very High</v>
      </c>
      <c r="AN1247" t="str" cm="1">
        <f t="array" ref="AN1247">_xlfn.SWITCH(CleanEmployeeData[[#This Row],[PerformanceRating]],1,"Low",2,"Good",3,"Excellent",4,"Outstanding","Unknown")</f>
        <v>Excellent</v>
      </c>
      <c r="AO1247" t="str" cm="1">
        <f t="array" ref="AO1247">_xlfn.SWITCH(CleanEmployeeData[[#This Row],[WorkLifeBalance]],1,"Bad",2,"Good",3,"Better",4,"Best","Unknown")</f>
        <v>Better</v>
      </c>
      <c r="AP1247">
        <f>IF(CleanEmployeeData[[#This Row],[Attrition]]="Yes",1,IF(CleanEmployeeData[[#This Row],[Attrition]]="No",0,""))</f>
        <v>0</v>
      </c>
      <c r="AQ1247" t="str" cm="1">
        <f t="array" ref="AQ1247">_xlfn.IFS(CleanEmployeeData[[#This Row],[MonthlyIncome]]&lt;=3000,"0–3,000",CleanEmployeeData[[#This Row],[MonthlyIncome]]&lt;=6000,"3,001–6,000",CleanEmployeeData[[#This Row],[MonthlyIncome]]&lt;=10000,"6,001–10,000",TRUE,"10,001+")</f>
        <v>0–3,000</v>
      </c>
      <c r="AR1247" t="str" cm="1">
        <f t="array" ref="AR1247">_xlfn.IFS(CleanEmployeeData[[#This Row],[DistanceFromHome]]&lt;=5,"0–5 miles",CleanEmployeeData[[#This Row],[DistanceFromHome]]&lt;=10,"6–10 miles",CleanEmployeeData[[#This Row],[DistanceFromHome]]&lt;=15,"11–15 miles",TRUE,"16+ miles")</f>
        <v>6–10 miles</v>
      </c>
      <c r="AS1247" t="str" cm="1">
        <f t="array" ref="AS1247">_xlfn.IFS(CleanEmployeeData[[#This Row],[YearsAtCompany]]&lt;=1,"0–1 years",CleanEmployeeData[[#This Row],[YearsAtCompany]]&lt;=5,"2–5 years",CleanEmployeeData[[#This Row],[YearsAtCompany]]&lt;=10,"6–10 years",TRUE,"11+ years")</f>
        <v>2–5 years</v>
      </c>
    </row>
    <row r="1248" spans="1:4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cm="1">
        <f t="array" ref="AJ1248">_xlfn.SWITCH(CleanEmployeeData[[#This Row],[Education]],1,"Below College",2,"College",3,"Bachelor",4,"Master",5,"Doctor","Unknown")</f>
        <v>Bachelor</v>
      </c>
      <c r="AK1248" t="str" cm="1">
        <f t="array" ref="AK1248">_xlfn.SWITCH(CleanEmployeeData[[#This Row],[EnvironmentSatisfaction]],1,"Low",2,"Medium",3,"High",4,"Very High","Unknown")</f>
        <v>High</v>
      </c>
      <c r="AL1248" t="str" cm="1">
        <f t="array" ref="AL1248">_xlfn.SWITCH(CleanEmployeeData[[#This Row],[JobInvolvement]],1,"Low",2,"Medium",3,"High",4,"Very High","Unknown")</f>
        <v>Medium</v>
      </c>
      <c r="AM1248" t="str" cm="1">
        <f t="array" ref="AM1248">_xlfn.SWITCH(CleanEmployeeData[[#This Row],[JobSatisfaction]],1,"Low",2,"Medium",3,"High",4,"Very High","Unknown")</f>
        <v>Very High</v>
      </c>
      <c r="AN1248" t="str" cm="1">
        <f t="array" ref="AN1248">_xlfn.SWITCH(CleanEmployeeData[[#This Row],[PerformanceRating]],1,"Low",2,"Good",3,"Excellent",4,"Outstanding","Unknown")</f>
        <v>Excellent</v>
      </c>
      <c r="AO1248" t="str" cm="1">
        <f t="array" ref="AO1248">_xlfn.SWITCH(CleanEmployeeData[[#This Row],[WorkLifeBalance]],1,"Bad",2,"Good",3,"Better",4,"Best","Unknown")</f>
        <v>Good</v>
      </c>
      <c r="AP1248">
        <f>IF(CleanEmployeeData[[#This Row],[Attrition]]="Yes",1,IF(CleanEmployeeData[[#This Row],[Attrition]]="No",0,""))</f>
        <v>1</v>
      </c>
      <c r="AQ1248" t="str" cm="1">
        <f t="array" ref="AQ1248">_xlfn.IFS(CleanEmployeeData[[#This Row],[MonthlyIncome]]&lt;=3000,"0–3,000",CleanEmployeeData[[#This Row],[MonthlyIncome]]&lt;=6000,"3,001–6,000",CleanEmployeeData[[#This Row],[MonthlyIncome]]&lt;=10000,"6,001–10,000",TRUE,"10,001+")</f>
        <v>0–3,000</v>
      </c>
      <c r="AR1248" t="str" cm="1">
        <f t="array" ref="AR1248">_xlfn.IFS(CleanEmployeeData[[#This Row],[DistanceFromHome]]&lt;=5,"0–5 miles",CleanEmployeeData[[#This Row],[DistanceFromHome]]&lt;=10,"6–10 miles",CleanEmployeeData[[#This Row],[DistanceFromHome]]&lt;=15,"11–15 miles",TRUE,"16+ miles")</f>
        <v>6–10 miles</v>
      </c>
      <c r="AS1248" t="str" cm="1">
        <f t="array" ref="AS1248">_xlfn.IFS(CleanEmployeeData[[#This Row],[YearsAtCompany]]&lt;=1,"0–1 years",CleanEmployeeData[[#This Row],[YearsAtCompany]]&lt;=5,"2–5 years",CleanEmployeeData[[#This Row],[YearsAtCompany]]&lt;=10,"6–10 years",TRUE,"11+ years")</f>
        <v>2–5 years</v>
      </c>
    </row>
    <row r="1249" spans="1:4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cm="1">
        <f t="array" ref="AJ1249">_xlfn.SWITCH(CleanEmployeeData[[#This Row],[Education]],1,"Below College",2,"College",3,"Bachelor",4,"Master",5,"Doctor","Unknown")</f>
        <v>Bachelor</v>
      </c>
      <c r="AK1249" t="str" cm="1">
        <f t="array" ref="AK1249">_xlfn.SWITCH(CleanEmployeeData[[#This Row],[EnvironmentSatisfaction]],1,"Low",2,"Medium",3,"High",4,"Very High","Unknown")</f>
        <v>Low</v>
      </c>
      <c r="AL1249" t="str" cm="1">
        <f t="array" ref="AL1249">_xlfn.SWITCH(CleanEmployeeData[[#This Row],[JobInvolvement]],1,"Low",2,"Medium",3,"High",4,"Very High","Unknown")</f>
        <v>High</v>
      </c>
      <c r="AM1249" t="str" cm="1">
        <f t="array" ref="AM1249">_xlfn.SWITCH(CleanEmployeeData[[#This Row],[JobSatisfaction]],1,"Low",2,"Medium",3,"High",4,"Very High","Unknown")</f>
        <v>High</v>
      </c>
      <c r="AN1249" t="str" cm="1">
        <f t="array" ref="AN1249">_xlfn.SWITCH(CleanEmployeeData[[#This Row],[PerformanceRating]],1,"Low",2,"Good",3,"Excellent",4,"Outstanding","Unknown")</f>
        <v>Excellent</v>
      </c>
      <c r="AO1249" t="str" cm="1">
        <f t="array" ref="AO1249">_xlfn.SWITCH(CleanEmployeeData[[#This Row],[WorkLifeBalance]],1,"Bad",2,"Good",3,"Better",4,"Best","Unknown")</f>
        <v>Better</v>
      </c>
      <c r="AP1249">
        <f>IF(CleanEmployeeData[[#This Row],[Attrition]]="Yes",1,IF(CleanEmployeeData[[#This Row],[Attrition]]="No",0,""))</f>
        <v>0</v>
      </c>
      <c r="AQ1249" t="str" cm="1">
        <f t="array" ref="AQ1249">_xlfn.IFS(CleanEmployeeData[[#This Row],[MonthlyIncome]]&lt;=3000,"0–3,000",CleanEmployeeData[[#This Row],[MonthlyIncome]]&lt;=6000,"3,001–6,000",CleanEmployeeData[[#This Row],[MonthlyIncome]]&lt;=10000,"6,001–10,000",TRUE,"10,001+")</f>
        <v>6,001–10,000</v>
      </c>
      <c r="AR1249" t="str" cm="1">
        <f t="array" ref="AR1249">_xlfn.IFS(CleanEmployeeData[[#This Row],[DistanceFromHome]]&lt;=5,"0–5 miles",CleanEmployeeData[[#This Row],[DistanceFromHome]]&lt;=10,"6–10 miles",CleanEmployeeData[[#This Row],[DistanceFromHome]]&lt;=15,"11–15 miles",TRUE,"16+ miles")</f>
        <v>0–5 miles</v>
      </c>
      <c r="AS1249" t="str" cm="1">
        <f t="array" ref="AS1249">_xlfn.IFS(CleanEmployeeData[[#This Row],[YearsAtCompany]]&lt;=1,"0–1 years",CleanEmployeeData[[#This Row],[YearsAtCompany]]&lt;=5,"2–5 years",CleanEmployeeData[[#This Row],[YearsAtCompany]]&lt;=10,"6–10 years",TRUE,"11+ years")</f>
        <v>2–5 years</v>
      </c>
    </row>
    <row r="1250" spans="1:4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cm="1">
        <f t="array" ref="AJ1250">_xlfn.SWITCH(CleanEmployeeData[[#This Row],[Education]],1,"Below College",2,"College",3,"Bachelor",4,"Master",5,"Doctor","Unknown")</f>
        <v>Bachelor</v>
      </c>
      <c r="AK1250" t="str" cm="1">
        <f t="array" ref="AK1250">_xlfn.SWITCH(CleanEmployeeData[[#This Row],[EnvironmentSatisfaction]],1,"Low",2,"Medium",3,"High",4,"Very High","Unknown")</f>
        <v>High</v>
      </c>
      <c r="AL1250" t="str" cm="1">
        <f t="array" ref="AL1250">_xlfn.SWITCH(CleanEmployeeData[[#This Row],[JobInvolvement]],1,"Low",2,"Medium",3,"High",4,"Very High","Unknown")</f>
        <v>High</v>
      </c>
      <c r="AM1250" t="str" cm="1">
        <f t="array" ref="AM1250">_xlfn.SWITCH(CleanEmployeeData[[#This Row],[JobSatisfaction]],1,"Low",2,"Medium",3,"High",4,"Very High","Unknown")</f>
        <v>Very High</v>
      </c>
      <c r="AN1250" t="str" cm="1">
        <f t="array" ref="AN1250">_xlfn.SWITCH(CleanEmployeeData[[#This Row],[PerformanceRating]],1,"Low",2,"Good",3,"Excellent",4,"Outstanding","Unknown")</f>
        <v>Excellent</v>
      </c>
      <c r="AO1250" t="str" cm="1">
        <f t="array" ref="AO1250">_xlfn.SWITCH(CleanEmployeeData[[#This Row],[WorkLifeBalance]],1,"Bad",2,"Good",3,"Better",4,"Best","Unknown")</f>
        <v>Good</v>
      </c>
      <c r="AP1250">
        <f>IF(CleanEmployeeData[[#This Row],[Attrition]]="Yes",1,IF(CleanEmployeeData[[#This Row],[Attrition]]="No",0,""))</f>
        <v>0</v>
      </c>
      <c r="AQ1250" t="str" cm="1">
        <f t="array" ref="AQ1250">_xlfn.IFS(CleanEmployeeData[[#This Row],[MonthlyIncome]]&lt;=3000,"0–3,000",CleanEmployeeData[[#This Row],[MonthlyIncome]]&lt;=6000,"3,001–6,000",CleanEmployeeData[[#This Row],[MonthlyIncome]]&lt;=10000,"6,001–10,000",TRUE,"10,001+")</f>
        <v>3,001–6,000</v>
      </c>
      <c r="AR1250" t="str" cm="1">
        <f t="array" ref="AR1250">_xlfn.IFS(CleanEmployeeData[[#This Row],[DistanceFromHome]]&lt;=5,"0–5 miles",CleanEmployeeData[[#This Row],[DistanceFromHome]]&lt;=10,"6–10 miles",CleanEmployeeData[[#This Row],[DistanceFromHome]]&lt;=15,"11–15 miles",TRUE,"16+ miles")</f>
        <v>6–10 miles</v>
      </c>
      <c r="AS1250" t="str" cm="1">
        <f t="array" ref="AS1250">_xlfn.IFS(CleanEmployeeData[[#This Row],[YearsAtCompany]]&lt;=1,"0–1 years",CleanEmployeeData[[#This Row],[YearsAtCompany]]&lt;=5,"2–5 years",CleanEmployeeData[[#This Row],[YearsAtCompany]]&lt;=10,"6–10 years",TRUE,"11+ years")</f>
        <v>6–10 years</v>
      </c>
    </row>
    <row r="1251" spans="1:4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cm="1">
        <f t="array" ref="AJ1251">_xlfn.SWITCH(CleanEmployeeData[[#This Row],[Education]],1,"Below College",2,"College",3,"Bachelor",4,"Master",5,"Doctor","Unknown")</f>
        <v>Bachelor</v>
      </c>
      <c r="AK1251" t="str" cm="1">
        <f t="array" ref="AK1251">_xlfn.SWITCH(CleanEmployeeData[[#This Row],[EnvironmentSatisfaction]],1,"Low",2,"Medium",3,"High",4,"Very High","Unknown")</f>
        <v>Medium</v>
      </c>
      <c r="AL1251" t="str" cm="1">
        <f t="array" ref="AL1251">_xlfn.SWITCH(CleanEmployeeData[[#This Row],[JobInvolvement]],1,"Low",2,"Medium",3,"High",4,"Very High","Unknown")</f>
        <v>Low</v>
      </c>
      <c r="AM1251" t="str" cm="1">
        <f t="array" ref="AM1251">_xlfn.SWITCH(CleanEmployeeData[[#This Row],[JobSatisfaction]],1,"Low",2,"Medium",3,"High",4,"Very High","Unknown")</f>
        <v>Medium</v>
      </c>
      <c r="AN1251" t="str" cm="1">
        <f t="array" ref="AN1251">_xlfn.SWITCH(CleanEmployeeData[[#This Row],[PerformanceRating]],1,"Low",2,"Good",3,"Excellent",4,"Outstanding","Unknown")</f>
        <v>Excellent</v>
      </c>
      <c r="AO1251" t="str" cm="1">
        <f t="array" ref="AO1251">_xlfn.SWITCH(CleanEmployeeData[[#This Row],[WorkLifeBalance]],1,"Bad",2,"Good",3,"Better",4,"Best","Unknown")</f>
        <v>Better</v>
      </c>
      <c r="AP1251">
        <f>IF(CleanEmployeeData[[#This Row],[Attrition]]="Yes",1,IF(CleanEmployeeData[[#This Row],[Attrition]]="No",0,""))</f>
        <v>1</v>
      </c>
      <c r="AQ1251" t="str" cm="1">
        <f t="array" ref="AQ1251">_xlfn.IFS(CleanEmployeeData[[#This Row],[MonthlyIncome]]&lt;=3000,"0–3,000",CleanEmployeeData[[#This Row],[MonthlyIncome]]&lt;=6000,"3,001–6,000",CleanEmployeeData[[#This Row],[MonthlyIncome]]&lt;=10000,"6,001–10,000",TRUE,"10,001+")</f>
        <v>0–3,000</v>
      </c>
      <c r="AR1251" t="str" cm="1">
        <f t="array" ref="AR1251">_xlfn.IFS(CleanEmployeeData[[#This Row],[DistanceFromHome]]&lt;=5,"0–5 miles",CleanEmployeeData[[#This Row],[DistanceFromHome]]&lt;=10,"6–10 miles",CleanEmployeeData[[#This Row],[DistanceFromHome]]&lt;=15,"11–15 miles",TRUE,"16+ miles")</f>
        <v>6–10 miles</v>
      </c>
      <c r="AS1251" t="str" cm="1">
        <f t="array" ref="AS1251">_xlfn.IFS(CleanEmployeeData[[#This Row],[YearsAtCompany]]&lt;=1,"0–1 years",CleanEmployeeData[[#This Row],[YearsAtCompany]]&lt;=5,"2–5 years",CleanEmployeeData[[#This Row],[YearsAtCompany]]&lt;=10,"6–10 years",TRUE,"11+ years")</f>
        <v>2–5 years</v>
      </c>
    </row>
    <row r="1252" spans="1:4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cm="1">
        <f t="array" ref="AJ1252">_xlfn.SWITCH(CleanEmployeeData[[#This Row],[Education]],1,"Below College",2,"College",3,"Bachelor",4,"Master",5,"Doctor","Unknown")</f>
        <v>Bachelor</v>
      </c>
      <c r="AK1252" t="str" cm="1">
        <f t="array" ref="AK1252">_xlfn.SWITCH(CleanEmployeeData[[#This Row],[EnvironmentSatisfaction]],1,"Low",2,"Medium",3,"High",4,"Very High","Unknown")</f>
        <v>Very High</v>
      </c>
      <c r="AL1252" t="str" cm="1">
        <f t="array" ref="AL1252">_xlfn.SWITCH(CleanEmployeeData[[#This Row],[JobInvolvement]],1,"Low",2,"Medium",3,"High",4,"Very High","Unknown")</f>
        <v>Very High</v>
      </c>
      <c r="AM1252" t="str" cm="1">
        <f t="array" ref="AM1252">_xlfn.SWITCH(CleanEmployeeData[[#This Row],[JobSatisfaction]],1,"Low",2,"Medium",3,"High",4,"Very High","Unknown")</f>
        <v>High</v>
      </c>
      <c r="AN1252" t="str" cm="1">
        <f t="array" ref="AN1252">_xlfn.SWITCH(CleanEmployeeData[[#This Row],[PerformanceRating]],1,"Low",2,"Good",3,"Excellent",4,"Outstanding","Unknown")</f>
        <v>Excellent</v>
      </c>
      <c r="AO1252" t="str" cm="1">
        <f t="array" ref="AO1252">_xlfn.SWITCH(CleanEmployeeData[[#This Row],[WorkLifeBalance]],1,"Bad",2,"Good",3,"Better",4,"Best","Unknown")</f>
        <v>Best</v>
      </c>
      <c r="AP1252">
        <f>IF(CleanEmployeeData[[#This Row],[Attrition]]="Yes",1,IF(CleanEmployeeData[[#This Row],[Attrition]]="No",0,""))</f>
        <v>0</v>
      </c>
      <c r="AQ1252" t="str" cm="1">
        <f t="array" ref="AQ1252">_xlfn.IFS(CleanEmployeeData[[#This Row],[MonthlyIncome]]&lt;=3000,"0–3,000",CleanEmployeeData[[#This Row],[MonthlyIncome]]&lt;=6000,"3,001–6,000",CleanEmployeeData[[#This Row],[MonthlyIncome]]&lt;=10000,"6,001–10,000",TRUE,"10,001+")</f>
        <v>6,001–10,000</v>
      </c>
      <c r="AR1252" t="str" cm="1">
        <f t="array" ref="AR1252">_xlfn.IFS(CleanEmployeeData[[#This Row],[DistanceFromHome]]&lt;=5,"0–5 miles",CleanEmployeeData[[#This Row],[DistanceFromHome]]&lt;=10,"6–10 miles",CleanEmployeeData[[#This Row],[DistanceFromHome]]&lt;=15,"11–15 miles",TRUE,"16+ miles")</f>
        <v>0–5 miles</v>
      </c>
      <c r="AS1252" t="str" cm="1">
        <f t="array" ref="AS1252">_xlfn.IFS(CleanEmployeeData[[#This Row],[YearsAtCompany]]&lt;=1,"0–1 years",CleanEmployeeData[[#This Row],[YearsAtCompany]]&lt;=5,"2–5 years",CleanEmployeeData[[#This Row],[YearsAtCompany]]&lt;=10,"6–10 years",TRUE,"11+ years")</f>
        <v>2–5 years</v>
      </c>
    </row>
    <row r="1253" spans="1:4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cm="1">
        <f t="array" ref="AJ1253">_xlfn.SWITCH(CleanEmployeeData[[#This Row],[Education]],1,"Below College",2,"College",3,"Bachelor",4,"Master",5,"Doctor","Unknown")</f>
        <v>College</v>
      </c>
      <c r="AK1253" t="str" cm="1">
        <f t="array" ref="AK1253">_xlfn.SWITCH(CleanEmployeeData[[#This Row],[EnvironmentSatisfaction]],1,"Low",2,"Medium",3,"High",4,"Very High","Unknown")</f>
        <v>High</v>
      </c>
      <c r="AL1253" t="str" cm="1">
        <f t="array" ref="AL1253">_xlfn.SWITCH(CleanEmployeeData[[#This Row],[JobInvolvement]],1,"Low",2,"Medium",3,"High",4,"Very High","Unknown")</f>
        <v>Medium</v>
      </c>
      <c r="AM1253" t="str" cm="1">
        <f t="array" ref="AM1253">_xlfn.SWITCH(CleanEmployeeData[[#This Row],[JobSatisfaction]],1,"Low",2,"Medium",3,"High",4,"Very High","Unknown")</f>
        <v>Low</v>
      </c>
      <c r="AN1253" t="str" cm="1">
        <f t="array" ref="AN1253">_xlfn.SWITCH(CleanEmployeeData[[#This Row],[PerformanceRating]],1,"Low",2,"Good",3,"Excellent",4,"Outstanding","Unknown")</f>
        <v>Excellent</v>
      </c>
      <c r="AO1253" t="str" cm="1">
        <f t="array" ref="AO1253">_xlfn.SWITCH(CleanEmployeeData[[#This Row],[WorkLifeBalance]],1,"Bad",2,"Good",3,"Better",4,"Best","Unknown")</f>
        <v>Better</v>
      </c>
      <c r="AP1253">
        <f>IF(CleanEmployeeData[[#This Row],[Attrition]]="Yes",1,IF(CleanEmployeeData[[#This Row],[Attrition]]="No",0,""))</f>
        <v>0</v>
      </c>
      <c r="AQ1253" t="str" cm="1">
        <f t="array" ref="AQ1253">_xlfn.IFS(CleanEmployeeData[[#This Row],[MonthlyIncome]]&lt;=3000,"0–3,000",CleanEmployeeData[[#This Row],[MonthlyIncome]]&lt;=6000,"3,001–6,000",CleanEmployeeData[[#This Row],[MonthlyIncome]]&lt;=10000,"6,001–10,000",TRUE,"10,001+")</f>
        <v>6,001–10,000</v>
      </c>
      <c r="AR1253" t="str" cm="1">
        <f t="array" ref="AR1253">_xlfn.IFS(CleanEmployeeData[[#This Row],[DistanceFromHome]]&lt;=5,"0–5 miles",CleanEmployeeData[[#This Row],[DistanceFromHome]]&lt;=10,"6–10 miles",CleanEmployeeData[[#This Row],[DistanceFromHome]]&lt;=15,"11–15 miles",TRUE,"16+ miles")</f>
        <v>11–15 miles</v>
      </c>
      <c r="AS1253" t="str" cm="1">
        <f t="array" ref="AS1253">_xlfn.IFS(CleanEmployeeData[[#This Row],[YearsAtCompany]]&lt;=1,"0–1 years",CleanEmployeeData[[#This Row],[YearsAtCompany]]&lt;=5,"2–5 years",CleanEmployeeData[[#This Row],[YearsAtCompany]]&lt;=10,"6–10 years",TRUE,"11+ years")</f>
        <v>6–10 years</v>
      </c>
    </row>
    <row r="1254" spans="1:4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cm="1">
        <f t="array" ref="AJ1254">_xlfn.SWITCH(CleanEmployeeData[[#This Row],[Education]],1,"Below College",2,"College",3,"Bachelor",4,"Master",5,"Doctor","Unknown")</f>
        <v>Master</v>
      </c>
      <c r="AK1254" t="str" cm="1">
        <f t="array" ref="AK1254">_xlfn.SWITCH(CleanEmployeeData[[#This Row],[EnvironmentSatisfaction]],1,"Low",2,"Medium",3,"High",4,"Very High","Unknown")</f>
        <v>Very High</v>
      </c>
      <c r="AL1254" t="str" cm="1">
        <f t="array" ref="AL1254">_xlfn.SWITCH(CleanEmployeeData[[#This Row],[JobInvolvement]],1,"Low",2,"Medium",3,"High",4,"Very High","Unknown")</f>
        <v>Very High</v>
      </c>
      <c r="AM1254" t="str" cm="1">
        <f t="array" ref="AM1254">_xlfn.SWITCH(CleanEmployeeData[[#This Row],[JobSatisfaction]],1,"Low",2,"Medium",3,"High",4,"Very High","Unknown")</f>
        <v>Very High</v>
      </c>
      <c r="AN1254" t="str" cm="1">
        <f t="array" ref="AN1254">_xlfn.SWITCH(CleanEmployeeData[[#This Row],[PerformanceRating]],1,"Low",2,"Good",3,"Excellent",4,"Outstanding","Unknown")</f>
        <v>Excellent</v>
      </c>
      <c r="AO1254" t="str" cm="1">
        <f t="array" ref="AO1254">_xlfn.SWITCH(CleanEmployeeData[[#This Row],[WorkLifeBalance]],1,"Bad",2,"Good",3,"Better",4,"Best","Unknown")</f>
        <v>Better</v>
      </c>
      <c r="AP1254">
        <f>IF(CleanEmployeeData[[#This Row],[Attrition]]="Yes",1,IF(CleanEmployeeData[[#This Row],[Attrition]]="No",0,""))</f>
        <v>0</v>
      </c>
      <c r="AQ1254" t="str" cm="1">
        <f t="array" ref="AQ1254">_xlfn.IFS(CleanEmployeeData[[#This Row],[MonthlyIncome]]&lt;=3000,"0–3,000",CleanEmployeeData[[#This Row],[MonthlyIncome]]&lt;=6000,"3,001–6,000",CleanEmployeeData[[#This Row],[MonthlyIncome]]&lt;=10000,"6,001–10,000",TRUE,"10,001+")</f>
        <v>0–3,000</v>
      </c>
      <c r="AR1254" t="str" cm="1">
        <f t="array" ref="AR1254">_xlfn.IFS(CleanEmployeeData[[#This Row],[DistanceFromHome]]&lt;=5,"0–5 miles",CleanEmployeeData[[#This Row],[DistanceFromHome]]&lt;=10,"6–10 miles",CleanEmployeeData[[#This Row],[DistanceFromHome]]&lt;=15,"11–15 miles",TRUE,"16+ miles")</f>
        <v>0–5 miles</v>
      </c>
      <c r="AS1254" t="str" cm="1">
        <f t="array" ref="AS1254">_xlfn.IFS(CleanEmployeeData[[#This Row],[YearsAtCompany]]&lt;=1,"0–1 years",CleanEmployeeData[[#This Row],[YearsAtCompany]]&lt;=5,"2–5 years",CleanEmployeeData[[#This Row],[YearsAtCompany]]&lt;=10,"6–10 years",TRUE,"11+ years")</f>
        <v>2–5 years</v>
      </c>
    </row>
    <row r="1255" spans="1:4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cm="1">
        <f t="array" ref="AJ1255">_xlfn.SWITCH(CleanEmployeeData[[#This Row],[Education]],1,"Below College",2,"College",3,"Bachelor",4,"Master",5,"Doctor","Unknown")</f>
        <v>Bachelor</v>
      </c>
      <c r="AK1255" t="str" cm="1">
        <f t="array" ref="AK1255">_xlfn.SWITCH(CleanEmployeeData[[#This Row],[EnvironmentSatisfaction]],1,"Low",2,"Medium",3,"High",4,"Very High","Unknown")</f>
        <v>Very High</v>
      </c>
      <c r="AL1255" t="str" cm="1">
        <f t="array" ref="AL1255">_xlfn.SWITCH(CleanEmployeeData[[#This Row],[JobInvolvement]],1,"Low",2,"Medium",3,"High",4,"Very High","Unknown")</f>
        <v>High</v>
      </c>
      <c r="AM1255" t="str" cm="1">
        <f t="array" ref="AM1255">_xlfn.SWITCH(CleanEmployeeData[[#This Row],[JobSatisfaction]],1,"Low",2,"Medium",3,"High",4,"Very High","Unknown")</f>
        <v>Medium</v>
      </c>
      <c r="AN1255" t="str" cm="1">
        <f t="array" ref="AN1255">_xlfn.SWITCH(CleanEmployeeData[[#This Row],[PerformanceRating]],1,"Low",2,"Good",3,"Excellent",4,"Outstanding","Unknown")</f>
        <v>Excellent</v>
      </c>
      <c r="AO1255" t="str" cm="1">
        <f t="array" ref="AO1255">_xlfn.SWITCH(CleanEmployeeData[[#This Row],[WorkLifeBalance]],1,"Bad",2,"Good",3,"Better",4,"Best","Unknown")</f>
        <v>Good</v>
      </c>
      <c r="AP1255">
        <f>IF(CleanEmployeeData[[#This Row],[Attrition]]="Yes",1,IF(CleanEmployeeData[[#This Row],[Attrition]]="No",0,""))</f>
        <v>0</v>
      </c>
      <c r="AQ1255" t="str" cm="1">
        <f t="array" ref="AQ1255">_xlfn.IFS(CleanEmployeeData[[#This Row],[MonthlyIncome]]&lt;=3000,"0–3,000",CleanEmployeeData[[#This Row],[MonthlyIncome]]&lt;=6000,"3,001–6,000",CleanEmployeeData[[#This Row],[MonthlyIncome]]&lt;=10000,"6,001–10,000",TRUE,"10,001+")</f>
        <v>3,001–6,000</v>
      </c>
      <c r="AR1255" t="str" cm="1">
        <f t="array" ref="AR1255">_xlfn.IFS(CleanEmployeeData[[#This Row],[DistanceFromHome]]&lt;=5,"0–5 miles",CleanEmployeeData[[#This Row],[DistanceFromHome]]&lt;=10,"6–10 miles",CleanEmployeeData[[#This Row],[DistanceFromHome]]&lt;=15,"11–15 miles",TRUE,"16+ miles")</f>
        <v>0–5 miles</v>
      </c>
      <c r="AS1255" t="str" cm="1">
        <f t="array" ref="AS1255">_xlfn.IFS(CleanEmployeeData[[#This Row],[YearsAtCompany]]&lt;=1,"0–1 years",CleanEmployeeData[[#This Row],[YearsAtCompany]]&lt;=5,"2–5 years",CleanEmployeeData[[#This Row],[YearsAtCompany]]&lt;=10,"6–10 years",TRUE,"11+ years")</f>
        <v>11+ years</v>
      </c>
    </row>
    <row r="1256" spans="1:4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cm="1">
        <f t="array" ref="AJ1256">_xlfn.SWITCH(CleanEmployeeData[[#This Row],[Education]],1,"Below College",2,"College",3,"Bachelor",4,"Master",5,"Doctor","Unknown")</f>
        <v>Master</v>
      </c>
      <c r="AK1256" t="str" cm="1">
        <f t="array" ref="AK1256">_xlfn.SWITCH(CleanEmployeeData[[#This Row],[EnvironmentSatisfaction]],1,"Low",2,"Medium",3,"High",4,"Very High","Unknown")</f>
        <v>Very High</v>
      </c>
      <c r="AL1256" t="str" cm="1">
        <f t="array" ref="AL1256">_xlfn.SWITCH(CleanEmployeeData[[#This Row],[JobInvolvement]],1,"Low",2,"Medium",3,"High",4,"Very High","Unknown")</f>
        <v>High</v>
      </c>
      <c r="AM1256" t="str" cm="1">
        <f t="array" ref="AM1256">_xlfn.SWITCH(CleanEmployeeData[[#This Row],[JobSatisfaction]],1,"Low",2,"Medium",3,"High",4,"Very High","Unknown")</f>
        <v>Very High</v>
      </c>
      <c r="AN1256" t="str" cm="1">
        <f t="array" ref="AN1256">_xlfn.SWITCH(CleanEmployeeData[[#This Row],[PerformanceRating]],1,"Low",2,"Good",3,"Excellent",4,"Outstanding","Unknown")</f>
        <v>Excellent</v>
      </c>
      <c r="AO1256" t="str" cm="1">
        <f t="array" ref="AO1256">_xlfn.SWITCH(CleanEmployeeData[[#This Row],[WorkLifeBalance]],1,"Bad",2,"Good",3,"Better",4,"Best","Unknown")</f>
        <v>Best</v>
      </c>
      <c r="AP1256">
        <f>IF(CleanEmployeeData[[#This Row],[Attrition]]="Yes",1,IF(CleanEmployeeData[[#This Row],[Attrition]]="No",0,""))</f>
        <v>0</v>
      </c>
      <c r="AQ1256" t="str" cm="1">
        <f t="array" ref="AQ1256">_xlfn.IFS(CleanEmployeeData[[#This Row],[MonthlyIncome]]&lt;=3000,"0–3,000",CleanEmployeeData[[#This Row],[MonthlyIncome]]&lt;=6000,"3,001–6,000",CleanEmployeeData[[#This Row],[MonthlyIncome]]&lt;=10000,"6,001–10,000",TRUE,"10,001+")</f>
        <v>3,001–6,000</v>
      </c>
      <c r="AR1256" t="str" cm="1">
        <f t="array" ref="AR1256">_xlfn.IFS(CleanEmployeeData[[#This Row],[DistanceFromHome]]&lt;=5,"0–5 miles",CleanEmployeeData[[#This Row],[DistanceFromHome]]&lt;=10,"6–10 miles",CleanEmployeeData[[#This Row],[DistanceFromHome]]&lt;=15,"11–15 miles",TRUE,"16+ miles")</f>
        <v>11–15 miles</v>
      </c>
      <c r="AS1256" t="str" cm="1">
        <f t="array" ref="AS1256">_xlfn.IFS(CleanEmployeeData[[#This Row],[YearsAtCompany]]&lt;=1,"0–1 years",CleanEmployeeData[[#This Row],[YearsAtCompany]]&lt;=5,"2–5 years",CleanEmployeeData[[#This Row],[YearsAtCompany]]&lt;=10,"6–10 years",TRUE,"11+ years")</f>
        <v>2–5 years</v>
      </c>
    </row>
    <row r="1257" spans="1:4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cm="1">
        <f t="array" ref="AJ1257">_xlfn.SWITCH(CleanEmployeeData[[#This Row],[Education]],1,"Below College",2,"College",3,"Bachelor",4,"Master",5,"Doctor","Unknown")</f>
        <v>Bachelor</v>
      </c>
      <c r="AK1257" t="str" cm="1">
        <f t="array" ref="AK1257">_xlfn.SWITCH(CleanEmployeeData[[#This Row],[EnvironmentSatisfaction]],1,"Low",2,"Medium",3,"High",4,"Very High","Unknown")</f>
        <v>Low</v>
      </c>
      <c r="AL1257" t="str" cm="1">
        <f t="array" ref="AL1257">_xlfn.SWITCH(CleanEmployeeData[[#This Row],[JobInvolvement]],1,"Low",2,"Medium",3,"High",4,"Very High","Unknown")</f>
        <v>High</v>
      </c>
      <c r="AM1257" t="str" cm="1">
        <f t="array" ref="AM1257">_xlfn.SWITCH(CleanEmployeeData[[#This Row],[JobSatisfaction]],1,"Low",2,"Medium",3,"High",4,"Very High","Unknown")</f>
        <v>Low</v>
      </c>
      <c r="AN1257" t="str" cm="1">
        <f t="array" ref="AN1257">_xlfn.SWITCH(CleanEmployeeData[[#This Row],[PerformanceRating]],1,"Low",2,"Good",3,"Excellent",4,"Outstanding","Unknown")</f>
        <v>Outstanding</v>
      </c>
      <c r="AO1257" t="str" cm="1">
        <f t="array" ref="AO1257">_xlfn.SWITCH(CleanEmployeeData[[#This Row],[WorkLifeBalance]],1,"Bad",2,"Good",3,"Better",4,"Best","Unknown")</f>
        <v>Good</v>
      </c>
      <c r="AP1257">
        <f>IF(CleanEmployeeData[[#This Row],[Attrition]]="Yes",1,IF(CleanEmployeeData[[#This Row],[Attrition]]="No",0,""))</f>
        <v>1</v>
      </c>
      <c r="AQ1257" t="str" cm="1">
        <f t="array" ref="AQ1257">_xlfn.IFS(CleanEmployeeData[[#This Row],[MonthlyIncome]]&lt;=3000,"0–3,000",CleanEmployeeData[[#This Row],[MonthlyIncome]]&lt;=6000,"3,001–6,000",CleanEmployeeData[[#This Row],[MonthlyIncome]]&lt;=10000,"6,001–10,000",TRUE,"10,001+")</f>
        <v>6,001–10,000</v>
      </c>
      <c r="AR1257" t="str" cm="1">
        <f t="array" ref="AR1257">_xlfn.IFS(CleanEmployeeData[[#This Row],[DistanceFromHome]]&lt;=5,"0–5 miles",CleanEmployeeData[[#This Row],[DistanceFromHome]]&lt;=10,"6–10 miles",CleanEmployeeData[[#This Row],[DistanceFromHome]]&lt;=15,"11–15 miles",TRUE,"16+ miles")</f>
        <v>16+ miles</v>
      </c>
      <c r="AS1257" t="str" cm="1">
        <f t="array" ref="AS1257">_xlfn.IFS(CleanEmployeeData[[#This Row],[YearsAtCompany]]&lt;=1,"0–1 years",CleanEmployeeData[[#This Row],[YearsAtCompany]]&lt;=5,"2–5 years",CleanEmployeeData[[#This Row],[YearsAtCompany]]&lt;=10,"6–10 years",TRUE,"11+ years")</f>
        <v>0–1 years</v>
      </c>
    </row>
    <row r="1258" spans="1:4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cm="1">
        <f t="array" ref="AJ1258">_xlfn.SWITCH(CleanEmployeeData[[#This Row],[Education]],1,"Below College",2,"College",3,"Bachelor",4,"Master",5,"Doctor","Unknown")</f>
        <v>College</v>
      </c>
      <c r="AK1258" t="str" cm="1">
        <f t="array" ref="AK1258">_xlfn.SWITCH(CleanEmployeeData[[#This Row],[EnvironmentSatisfaction]],1,"Low",2,"Medium",3,"High",4,"Very High","Unknown")</f>
        <v>High</v>
      </c>
      <c r="AL1258" t="str" cm="1">
        <f t="array" ref="AL1258">_xlfn.SWITCH(CleanEmployeeData[[#This Row],[JobInvolvement]],1,"Low",2,"Medium",3,"High",4,"Very High","Unknown")</f>
        <v>Medium</v>
      </c>
      <c r="AM1258" t="str" cm="1">
        <f t="array" ref="AM1258">_xlfn.SWITCH(CleanEmployeeData[[#This Row],[JobSatisfaction]],1,"Low",2,"Medium",3,"High",4,"Very High","Unknown")</f>
        <v>Medium</v>
      </c>
      <c r="AN1258" t="str" cm="1">
        <f t="array" ref="AN1258">_xlfn.SWITCH(CleanEmployeeData[[#This Row],[PerformanceRating]],1,"Low",2,"Good",3,"Excellent",4,"Outstanding","Unknown")</f>
        <v>Excellent</v>
      </c>
      <c r="AO1258" t="str" cm="1">
        <f t="array" ref="AO1258">_xlfn.SWITCH(CleanEmployeeData[[#This Row],[WorkLifeBalance]],1,"Bad",2,"Good",3,"Better",4,"Best","Unknown")</f>
        <v>Good</v>
      </c>
      <c r="AP1258">
        <f>IF(CleanEmployeeData[[#This Row],[Attrition]]="Yes",1,IF(CleanEmployeeData[[#This Row],[Attrition]]="No",0,""))</f>
        <v>0</v>
      </c>
      <c r="AQ1258" t="str" cm="1">
        <f t="array" ref="AQ1258">_xlfn.IFS(CleanEmployeeData[[#This Row],[MonthlyIncome]]&lt;=3000,"0–3,000",CleanEmployeeData[[#This Row],[MonthlyIncome]]&lt;=6000,"3,001–6,000",CleanEmployeeData[[#This Row],[MonthlyIncome]]&lt;=10000,"6,001–10,000",TRUE,"10,001+")</f>
        <v>0–3,000</v>
      </c>
      <c r="AR1258" t="str" cm="1">
        <f t="array" ref="AR1258">_xlfn.IFS(CleanEmployeeData[[#This Row],[DistanceFromHome]]&lt;=5,"0–5 miles",CleanEmployeeData[[#This Row],[DistanceFromHome]]&lt;=10,"6–10 miles",CleanEmployeeData[[#This Row],[DistanceFromHome]]&lt;=15,"11–15 miles",TRUE,"16+ miles")</f>
        <v>0–5 miles</v>
      </c>
      <c r="AS1258" t="str" cm="1">
        <f t="array" ref="AS1258">_xlfn.IFS(CleanEmployeeData[[#This Row],[YearsAtCompany]]&lt;=1,"0–1 years",CleanEmployeeData[[#This Row],[YearsAtCompany]]&lt;=5,"2–5 years",CleanEmployeeData[[#This Row],[YearsAtCompany]]&lt;=10,"6–10 years",TRUE,"11+ years")</f>
        <v>6–10 years</v>
      </c>
    </row>
    <row r="1259" spans="1:4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cm="1">
        <f t="array" ref="AJ1259">_xlfn.SWITCH(CleanEmployeeData[[#This Row],[Education]],1,"Below College",2,"College",3,"Bachelor",4,"Master",5,"Doctor","Unknown")</f>
        <v>Master</v>
      </c>
      <c r="AK1259" t="str" cm="1">
        <f t="array" ref="AK1259">_xlfn.SWITCH(CleanEmployeeData[[#This Row],[EnvironmentSatisfaction]],1,"Low",2,"Medium",3,"High",4,"Very High","Unknown")</f>
        <v>Low</v>
      </c>
      <c r="AL1259" t="str" cm="1">
        <f t="array" ref="AL1259">_xlfn.SWITCH(CleanEmployeeData[[#This Row],[JobInvolvement]],1,"Low",2,"Medium",3,"High",4,"Very High","Unknown")</f>
        <v>High</v>
      </c>
      <c r="AM1259" t="str" cm="1">
        <f t="array" ref="AM1259">_xlfn.SWITCH(CleanEmployeeData[[#This Row],[JobSatisfaction]],1,"Low",2,"Medium",3,"High",4,"Very High","Unknown")</f>
        <v>High</v>
      </c>
      <c r="AN1259" t="str" cm="1">
        <f t="array" ref="AN1259">_xlfn.SWITCH(CleanEmployeeData[[#This Row],[PerformanceRating]],1,"Low",2,"Good",3,"Excellent",4,"Outstanding","Unknown")</f>
        <v>Excellent</v>
      </c>
      <c r="AO1259" t="str" cm="1">
        <f t="array" ref="AO1259">_xlfn.SWITCH(CleanEmployeeData[[#This Row],[WorkLifeBalance]],1,"Bad",2,"Good",3,"Better",4,"Best","Unknown")</f>
        <v>Better</v>
      </c>
      <c r="AP1259">
        <f>IF(CleanEmployeeData[[#This Row],[Attrition]]="Yes",1,IF(CleanEmployeeData[[#This Row],[Attrition]]="No",0,""))</f>
        <v>1</v>
      </c>
      <c r="AQ1259" t="str" cm="1">
        <f t="array" ref="AQ1259">_xlfn.IFS(CleanEmployeeData[[#This Row],[MonthlyIncome]]&lt;=3000,"0–3,000",CleanEmployeeData[[#This Row],[MonthlyIncome]]&lt;=6000,"3,001–6,000",CleanEmployeeData[[#This Row],[MonthlyIncome]]&lt;=10000,"6,001–10,000",TRUE,"10,001+")</f>
        <v>6,001–10,000</v>
      </c>
      <c r="AR1259" t="str" cm="1">
        <f t="array" ref="AR1259">_xlfn.IFS(CleanEmployeeData[[#This Row],[DistanceFromHome]]&lt;=5,"0–5 miles",CleanEmployeeData[[#This Row],[DistanceFromHome]]&lt;=10,"6–10 miles",CleanEmployeeData[[#This Row],[DistanceFromHome]]&lt;=15,"11–15 miles",TRUE,"16+ miles")</f>
        <v>16+ miles</v>
      </c>
      <c r="AS1259" t="str" cm="1">
        <f t="array" ref="AS1259">_xlfn.IFS(CleanEmployeeData[[#This Row],[YearsAtCompany]]&lt;=1,"0–1 years",CleanEmployeeData[[#This Row],[YearsAtCompany]]&lt;=5,"2–5 years",CleanEmployeeData[[#This Row],[YearsAtCompany]]&lt;=10,"6–10 years",TRUE,"11+ years")</f>
        <v>0–1 years</v>
      </c>
    </row>
    <row r="1260" spans="1:4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cm="1">
        <f t="array" ref="AJ1260">_xlfn.SWITCH(CleanEmployeeData[[#This Row],[Education]],1,"Below College",2,"College",3,"Bachelor",4,"Master",5,"Doctor","Unknown")</f>
        <v>Bachelor</v>
      </c>
      <c r="AK1260" t="str" cm="1">
        <f t="array" ref="AK1260">_xlfn.SWITCH(CleanEmployeeData[[#This Row],[EnvironmentSatisfaction]],1,"Low",2,"Medium",3,"High",4,"Very High","Unknown")</f>
        <v>Very High</v>
      </c>
      <c r="AL1260" t="str" cm="1">
        <f t="array" ref="AL1260">_xlfn.SWITCH(CleanEmployeeData[[#This Row],[JobInvolvement]],1,"Low",2,"Medium",3,"High",4,"Very High","Unknown")</f>
        <v>Medium</v>
      </c>
      <c r="AM1260" t="str" cm="1">
        <f t="array" ref="AM1260">_xlfn.SWITCH(CleanEmployeeData[[#This Row],[JobSatisfaction]],1,"Low",2,"Medium",3,"High",4,"Very High","Unknown")</f>
        <v>Low</v>
      </c>
      <c r="AN1260" t="str" cm="1">
        <f t="array" ref="AN1260">_xlfn.SWITCH(CleanEmployeeData[[#This Row],[PerformanceRating]],1,"Low",2,"Good",3,"Excellent",4,"Outstanding","Unknown")</f>
        <v>Excellent</v>
      </c>
      <c r="AO1260" t="str" cm="1">
        <f t="array" ref="AO1260">_xlfn.SWITCH(CleanEmployeeData[[#This Row],[WorkLifeBalance]],1,"Bad",2,"Good",3,"Better",4,"Best","Unknown")</f>
        <v>Better</v>
      </c>
      <c r="AP1260">
        <f>IF(CleanEmployeeData[[#This Row],[Attrition]]="Yes",1,IF(CleanEmployeeData[[#This Row],[Attrition]]="No",0,""))</f>
        <v>0</v>
      </c>
      <c r="AQ1260" t="str" cm="1">
        <f t="array" ref="AQ1260">_xlfn.IFS(CleanEmployeeData[[#This Row],[MonthlyIncome]]&lt;=3000,"0–3,000",CleanEmployeeData[[#This Row],[MonthlyIncome]]&lt;=6000,"3,001–6,000",CleanEmployeeData[[#This Row],[MonthlyIncome]]&lt;=10000,"6,001–10,000",TRUE,"10,001+")</f>
        <v>0–3,000</v>
      </c>
      <c r="AR1260" t="str" cm="1">
        <f t="array" ref="AR1260">_xlfn.IFS(CleanEmployeeData[[#This Row],[DistanceFromHome]]&lt;=5,"0–5 miles",CleanEmployeeData[[#This Row],[DistanceFromHome]]&lt;=10,"6–10 miles",CleanEmployeeData[[#This Row],[DistanceFromHome]]&lt;=15,"11–15 miles",TRUE,"16+ miles")</f>
        <v>0–5 miles</v>
      </c>
      <c r="AS1260" t="str" cm="1">
        <f t="array" ref="AS1260">_xlfn.IFS(CleanEmployeeData[[#This Row],[YearsAtCompany]]&lt;=1,"0–1 years",CleanEmployeeData[[#This Row],[YearsAtCompany]]&lt;=5,"2–5 years",CleanEmployeeData[[#This Row],[YearsAtCompany]]&lt;=10,"6–10 years",TRUE,"11+ years")</f>
        <v>0–1 years</v>
      </c>
    </row>
    <row r="1261" spans="1:4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cm="1">
        <f t="array" ref="AJ1261">_xlfn.SWITCH(CleanEmployeeData[[#This Row],[Education]],1,"Below College",2,"College",3,"Bachelor",4,"Master",5,"Doctor","Unknown")</f>
        <v>Bachelor</v>
      </c>
      <c r="AK1261" t="str" cm="1">
        <f t="array" ref="AK1261">_xlfn.SWITCH(CleanEmployeeData[[#This Row],[EnvironmentSatisfaction]],1,"Low",2,"Medium",3,"High",4,"Very High","Unknown")</f>
        <v>High</v>
      </c>
      <c r="AL1261" t="str" cm="1">
        <f t="array" ref="AL1261">_xlfn.SWITCH(CleanEmployeeData[[#This Row],[JobInvolvement]],1,"Low",2,"Medium",3,"High",4,"Very High","Unknown")</f>
        <v>Very High</v>
      </c>
      <c r="AM1261" t="str" cm="1">
        <f t="array" ref="AM1261">_xlfn.SWITCH(CleanEmployeeData[[#This Row],[JobSatisfaction]],1,"Low",2,"Medium",3,"High",4,"Very High","Unknown")</f>
        <v>High</v>
      </c>
      <c r="AN1261" t="str" cm="1">
        <f t="array" ref="AN1261">_xlfn.SWITCH(CleanEmployeeData[[#This Row],[PerformanceRating]],1,"Low",2,"Good",3,"Excellent",4,"Outstanding","Unknown")</f>
        <v>Excellent</v>
      </c>
      <c r="AO1261" t="str" cm="1">
        <f t="array" ref="AO1261">_xlfn.SWITCH(CleanEmployeeData[[#This Row],[WorkLifeBalance]],1,"Bad",2,"Good",3,"Better",4,"Best","Unknown")</f>
        <v>Better</v>
      </c>
      <c r="AP1261">
        <f>IF(CleanEmployeeData[[#This Row],[Attrition]]="Yes",1,IF(CleanEmployeeData[[#This Row],[Attrition]]="No",0,""))</f>
        <v>0</v>
      </c>
      <c r="AQ1261" t="str" cm="1">
        <f t="array" ref="AQ1261">_xlfn.IFS(CleanEmployeeData[[#This Row],[MonthlyIncome]]&lt;=3000,"0–3,000",CleanEmployeeData[[#This Row],[MonthlyIncome]]&lt;=6000,"3,001–6,000",CleanEmployeeData[[#This Row],[MonthlyIncome]]&lt;=10000,"6,001–10,000",TRUE,"10,001+")</f>
        <v>3,001–6,000</v>
      </c>
      <c r="AR1261" t="str" cm="1">
        <f t="array" ref="AR1261">_xlfn.IFS(CleanEmployeeData[[#This Row],[DistanceFromHome]]&lt;=5,"0–5 miles",CleanEmployeeData[[#This Row],[DistanceFromHome]]&lt;=10,"6–10 miles",CleanEmployeeData[[#This Row],[DistanceFromHome]]&lt;=15,"11–15 miles",TRUE,"16+ miles")</f>
        <v>16+ miles</v>
      </c>
      <c r="AS1261" t="str" cm="1">
        <f t="array" ref="AS1261">_xlfn.IFS(CleanEmployeeData[[#This Row],[YearsAtCompany]]&lt;=1,"0–1 years",CleanEmployeeData[[#This Row],[YearsAtCompany]]&lt;=5,"2–5 years",CleanEmployeeData[[#This Row],[YearsAtCompany]]&lt;=10,"6–10 years",TRUE,"11+ years")</f>
        <v>6–10 years</v>
      </c>
    </row>
    <row r="1262" spans="1:4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cm="1">
        <f t="array" ref="AJ1262">_xlfn.SWITCH(CleanEmployeeData[[#This Row],[Education]],1,"Below College",2,"College",3,"Bachelor",4,"Master",5,"Doctor","Unknown")</f>
        <v>Master</v>
      </c>
      <c r="AK1262" t="str" cm="1">
        <f t="array" ref="AK1262">_xlfn.SWITCH(CleanEmployeeData[[#This Row],[EnvironmentSatisfaction]],1,"Low",2,"Medium",3,"High",4,"Very High","Unknown")</f>
        <v>Medium</v>
      </c>
      <c r="AL1262" t="str" cm="1">
        <f t="array" ref="AL1262">_xlfn.SWITCH(CleanEmployeeData[[#This Row],[JobInvolvement]],1,"Low",2,"Medium",3,"High",4,"Very High","Unknown")</f>
        <v>High</v>
      </c>
      <c r="AM1262" t="str" cm="1">
        <f t="array" ref="AM1262">_xlfn.SWITCH(CleanEmployeeData[[#This Row],[JobSatisfaction]],1,"Low",2,"Medium",3,"High",4,"Very High","Unknown")</f>
        <v>Medium</v>
      </c>
      <c r="AN1262" t="str" cm="1">
        <f t="array" ref="AN1262">_xlfn.SWITCH(CleanEmployeeData[[#This Row],[PerformanceRating]],1,"Low",2,"Good",3,"Excellent",4,"Outstanding","Unknown")</f>
        <v>Excellent</v>
      </c>
      <c r="AO1262" t="str" cm="1">
        <f t="array" ref="AO1262">_xlfn.SWITCH(CleanEmployeeData[[#This Row],[WorkLifeBalance]],1,"Bad",2,"Good",3,"Better",4,"Best","Unknown")</f>
        <v>Better</v>
      </c>
      <c r="AP1262">
        <f>IF(CleanEmployeeData[[#This Row],[Attrition]]="Yes",1,IF(CleanEmployeeData[[#This Row],[Attrition]]="No",0,""))</f>
        <v>0</v>
      </c>
      <c r="AQ1262" t="str" cm="1">
        <f t="array" ref="AQ1262">_xlfn.IFS(CleanEmployeeData[[#This Row],[MonthlyIncome]]&lt;=3000,"0–3,000",CleanEmployeeData[[#This Row],[MonthlyIncome]]&lt;=6000,"3,001–6,000",CleanEmployeeData[[#This Row],[MonthlyIncome]]&lt;=10000,"6,001–10,000",TRUE,"10,001+")</f>
        <v>0–3,000</v>
      </c>
      <c r="AR1262" t="str" cm="1">
        <f t="array" ref="AR1262">_xlfn.IFS(CleanEmployeeData[[#This Row],[DistanceFromHome]]&lt;=5,"0–5 miles",CleanEmployeeData[[#This Row],[DistanceFromHome]]&lt;=10,"6–10 miles",CleanEmployeeData[[#This Row],[DistanceFromHome]]&lt;=15,"11–15 miles",TRUE,"16+ miles")</f>
        <v>0–5 miles</v>
      </c>
      <c r="AS1262" t="str" cm="1">
        <f t="array" ref="AS1262">_xlfn.IFS(CleanEmployeeData[[#This Row],[YearsAtCompany]]&lt;=1,"0–1 years",CleanEmployeeData[[#This Row],[YearsAtCompany]]&lt;=5,"2–5 years",CleanEmployeeData[[#This Row],[YearsAtCompany]]&lt;=10,"6–10 years",TRUE,"11+ years")</f>
        <v>6–10 years</v>
      </c>
    </row>
    <row r="1263" spans="1:4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cm="1">
        <f t="array" ref="AJ1263">_xlfn.SWITCH(CleanEmployeeData[[#This Row],[Education]],1,"Below College",2,"College",3,"Bachelor",4,"Master",5,"Doctor","Unknown")</f>
        <v>Bachelor</v>
      </c>
      <c r="AK1263" t="str" cm="1">
        <f t="array" ref="AK1263">_xlfn.SWITCH(CleanEmployeeData[[#This Row],[EnvironmentSatisfaction]],1,"Low",2,"Medium",3,"High",4,"Very High","Unknown")</f>
        <v>Medium</v>
      </c>
      <c r="AL1263" t="str" cm="1">
        <f t="array" ref="AL1263">_xlfn.SWITCH(CleanEmployeeData[[#This Row],[JobInvolvement]],1,"Low",2,"Medium",3,"High",4,"Very High","Unknown")</f>
        <v>Low</v>
      </c>
      <c r="AM1263" t="str" cm="1">
        <f t="array" ref="AM1263">_xlfn.SWITCH(CleanEmployeeData[[#This Row],[JobSatisfaction]],1,"Low",2,"Medium",3,"High",4,"Very High","Unknown")</f>
        <v>Very High</v>
      </c>
      <c r="AN1263" t="str" cm="1">
        <f t="array" ref="AN1263">_xlfn.SWITCH(CleanEmployeeData[[#This Row],[PerformanceRating]],1,"Low",2,"Good",3,"Excellent",4,"Outstanding","Unknown")</f>
        <v>Excellent</v>
      </c>
      <c r="AO1263" t="str" cm="1">
        <f t="array" ref="AO1263">_xlfn.SWITCH(CleanEmployeeData[[#This Row],[WorkLifeBalance]],1,"Bad",2,"Good",3,"Better",4,"Best","Unknown")</f>
        <v>Better</v>
      </c>
      <c r="AP1263">
        <f>IF(CleanEmployeeData[[#This Row],[Attrition]]="Yes",1,IF(CleanEmployeeData[[#This Row],[Attrition]]="No",0,""))</f>
        <v>0</v>
      </c>
      <c r="AQ1263" t="str" cm="1">
        <f t="array" ref="AQ1263">_xlfn.IFS(CleanEmployeeData[[#This Row],[MonthlyIncome]]&lt;=3000,"0–3,000",CleanEmployeeData[[#This Row],[MonthlyIncome]]&lt;=6000,"3,001–6,000",CleanEmployeeData[[#This Row],[MonthlyIncome]]&lt;=10000,"6,001–10,000",TRUE,"10,001+")</f>
        <v>3,001–6,000</v>
      </c>
      <c r="AR1263" t="str" cm="1">
        <f t="array" ref="AR1263">_xlfn.IFS(CleanEmployeeData[[#This Row],[DistanceFromHome]]&lt;=5,"0–5 miles",CleanEmployeeData[[#This Row],[DistanceFromHome]]&lt;=10,"6–10 miles",CleanEmployeeData[[#This Row],[DistanceFromHome]]&lt;=15,"11–15 miles",TRUE,"16+ miles")</f>
        <v>16+ miles</v>
      </c>
      <c r="AS1263" t="str" cm="1">
        <f t="array" ref="AS1263">_xlfn.IFS(CleanEmployeeData[[#This Row],[YearsAtCompany]]&lt;=1,"0–1 years",CleanEmployeeData[[#This Row],[YearsAtCompany]]&lt;=5,"2–5 years",CleanEmployeeData[[#This Row],[YearsAtCompany]]&lt;=10,"6–10 years",TRUE,"11+ years")</f>
        <v>0–1 years</v>
      </c>
    </row>
    <row r="1264" spans="1:4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cm="1">
        <f t="array" ref="AJ1264">_xlfn.SWITCH(CleanEmployeeData[[#This Row],[Education]],1,"Below College",2,"College",3,"Bachelor",4,"Master",5,"Doctor","Unknown")</f>
        <v>Bachelor</v>
      </c>
      <c r="AK1264" t="str" cm="1">
        <f t="array" ref="AK1264">_xlfn.SWITCH(CleanEmployeeData[[#This Row],[EnvironmentSatisfaction]],1,"Low",2,"Medium",3,"High",4,"Very High","Unknown")</f>
        <v>High</v>
      </c>
      <c r="AL1264" t="str" cm="1">
        <f t="array" ref="AL1264">_xlfn.SWITCH(CleanEmployeeData[[#This Row],[JobInvolvement]],1,"Low",2,"Medium",3,"High",4,"Very High","Unknown")</f>
        <v>Medium</v>
      </c>
      <c r="AM1264" t="str" cm="1">
        <f t="array" ref="AM1264">_xlfn.SWITCH(CleanEmployeeData[[#This Row],[JobSatisfaction]],1,"Low",2,"Medium",3,"High",4,"Very High","Unknown")</f>
        <v>High</v>
      </c>
      <c r="AN1264" t="str" cm="1">
        <f t="array" ref="AN1264">_xlfn.SWITCH(CleanEmployeeData[[#This Row],[PerformanceRating]],1,"Low",2,"Good",3,"Excellent",4,"Outstanding","Unknown")</f>
        <v>Excellent</v>
      </c>
      <c r="AO1264" t="str" cm="1">
        <f t="array" ref="AO1264">_xlfn.SWITCH(CleanEmployeeData[[#This Row],[WorkLifeBalance]],1,"Bad",2,"Good",3,"Better",4,"Best","Unknown")</f>
        <v>Better</v>
      </c>
      <c r="AP1264">
        <f>IF(CleanEmployeeData[[#This Row],[Attrition]]="Yes",1,IF(CleanEmployeeData[[#This Row],[Attrition]]="No",0,""))</f>
        <v>1</v>
      </c>
      <c r="AQ1264" t="str" cm="1">
        <f t="array" ref="AQ1264">_xlfn.IFS(CleanEmployeeData[[#This Row],[MonthlyIncome]]&lt;=3000,"0–3,000",CleanEmployeeData[[#This Row],[MonthlyIncome]]&lt;=6000,"3,001–6,000",CleanEmployeeData[[#This Row],[MonthlyIncome]]&lt;=10000,"6,001–10,000",TRUE,"10,001+")</f>
        <v>0–3,000</v>
      </c>
      <c r="AR1264" t="str" cm="1">
        <f t="array" ref="AR1264">_xlfn.IFS(CleanEmployeeData[[#This Row],[DistanceFromHome]]&lt;=5,"0–5 miles",CleanEmployeeData[[#This Row],[DistanceFromHome]]&lt;=10,"6–10 miles",CleanEmployeeData[[#This Row],[DistanceFromHome]]&lt;=15,"11–15 miles",TRUE,"16+ miles")</f>
        <v>16+ miles</v>
      </c>
      <c r="AS1264" t="str" cm="1">
        <f t="array" ref="AS1264">_xlfn.IFS(CleanEmployeeData[[#This Row],[YearsAtCompany]]&lt;=1,"0–1 years",CleanEmployeeData[[#This Row],[YearsAtCompany]]&lt;=5,"2–5 years",CleanEmployeeData[[#This Row],[YearsAtCompany]]&lt;=10,"6–10 years",TRUE,"11+ years")</f>
        <v>0–1 years</v>
      </c>
    </row>
    <row r="1265" spans="1:4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cm="1">
        <f t="array" ref="AJ1265">_xlfn.SWITCH(CleanEmployeeData[[#This Row],[Education]],1,"Below College",2,"College",3,"Bachelor",4,"Master",5,"Doctor","Unknown")</f>
        <v>Bachelor</v>
      </c>
      <c r="AK1265" t="str" cm="1">
        <f t="array" ref="AK1265">_xlfn.SWITCH(CleanEmployeeData[[#This Row],[EnvironmentSatisfaction]],1,"Low",2,"Medium",3,"High",4,"Very High","Unknown")</f>
        <v>Medium</v>
      </c>
      <c r="AL1265" t="str" cm="1">
        <f t="array" ref="AL1265">_xlfn.SWITCH(CleanEmployeeData[[#This Row],[JobInvolvement]],1,"Low",2,"Medium",3,"High",4,"Very High","Unknown")</f>
        <v>High</v>
      </c>
      <c r="AM1265" t="str" cm="1">
        <f t="array" ref="AM1265">_xlfn.SWITCH(CleanEmployeeData[[#This Row],[JobSatisfaction]],1,"Low",2,"Medium",3,"High",4,"Very High","Unknown")</f>
        <v>Medium</v>
      </c>
      <c r="AN1265" t="str" cm="1">
        <f t="array" ref="AN1265">_xlfn.SWITCH(CleanEmployeeData[[#This Row],[PerformanceRating]],1,"Low",2,"Good",3,"Excellent",4,"Outstanding","Unknown")</f>
        <v>Outstanding</v>
      </c>
      <c r="AO1265" t="str" cm="1">
        <f t="array" ref="AO1265">_xlfn.SWITCH(CleanEmployeeData[[#This Row],[WorkLifeBalance]],1,"Bad",2,"Good",3,"Better",4,"Best","Unknown")</f>
        <v>Good</v>
      </c>
      <c r="AP1265">
        <f>IF(CleanEmployeeData[[#This Row],[Attrition]]="Yes",1,IF(CleanEmployeeData[[#This Row],[Attrition]]="No",0,""))</f>
        <v>0</v>
      </c>
      <c r="AQ1265" t="str" cm="1">
        <f t="array" ref="AQ1265">_xlfn.IFS(CleanEmployeeData[[#This Row],[MonthlyIncome]]&lt;=3000,"0–3,000",CleanEmployeeData[[#This Row],[MonthlyIncome]]&lt;=6000,"3,001–6,000",CleanEmployeeData[[#This Row],[MonthlyIncome]]&lt;=10000,"6,001–10,000",TRUE,"10,001+")</f>
        <v>0–3,000</v>
      </c>
      <c r="AR1265" t="str" cm="1">
        <f t="array" ref="AR1265">_xlfn.IFS(CleanEmployeeData[[#This Row],[DistanceFromHome]]&lt;=5,"0–5 miles",CleanEmployeeData[[#This Row],[DistanceFromHome]]&lt;=10,"6–10 miles",CleanEmployeeData[[#This Row],[DistanceFromHome]]&lt;=15,"11–15 miles",TRUE,"16+ miles")</f>
        <v>11–15 miles</v>
      </c>
      <c r="AS1265" t="str" cm="1">
        <f t="array" ref="AS1265">_xlfn.IFS(CleanEmployeeData[[#This Row],[YearsAtCompany]]&lt;=1,"0–1 years",CleanEmployeeData[[#This Row],[YearsAtCompany]]&lt;=5,"2–5 years",CleanEmployeeData[[#This Row],[YearsAtCompany]]&lt;=10,"6–10 years",TRUE,"11+ years")</f>
        <v>2–5 years</v>
      </c>
    </row>
    <row r="1266" spans="1:4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cm="1">
        <f t="array" ref="AJ1266">_xlfn.SWITCH(CleanEmployeeData[[#This Row],[Education]],1,"Below College",2,"College",3,"Bachelor",4,"Master",5,"Doctor","Unknown")</f>
        <v>Bachelor</v>
      </c>
      <c r="AK1266" t="str" cm="1">
        <f t="array" ref="AK1266">_xlfn.SWITCH(CleanEmployeeData[[#This Row],[EnvironmentSatisfaction]],1,"Low",2,"Medium",3,"High",4,"Very High","Unknown")</f>
        <v>High</v>
      </c>
      <c r="AL1266" t="str" cm="1">
        <f t="array" ref="AL1266">_xlfn.SWITCH(CleanEmployeeData[[#This Row],[JobInvolvement]],1,"Low",2,"Medium",3,"High",4,"Very High","Unknown")</f>
        <v>Medium</v>
      </c>
      <c r="AM1266" t="str" cm="1">
        <f t="array" ref="AM1266">_xlfn.SWITCH(CleanEmployeeData[[#This Row],[JobSatisfaction]],1,"Low",2,"Medium",3,"High",4,"Very High","Unknown")</f>
        <v>Low</v>
      </c>
      <c r="AN1266" t="str" cm="1">
        <f t="array" ref="AN1266">_xlfn.SWITCH(CleanEmployeeData[[#This Row],[PerformanceRating]],1,"Low",2,"Good",3,"Excellent",4,"Outstanding","Unknown")</f>
        <v>Excellent</v>
      </c>
      <c r="AO1266" t="str" cm="1">
        <f t="array" ref="AO1266">_xlfn.SWITCH(CleanEmployeeData[[#This Row],[WorkLifeBalance]],1,"Bad",2,"Good",3,"Better",4,"Best","Unknown")</f>
        <v>Better</v>
      </c>
      <c r="AP1266">
        <f>IF(CleanEmployeeData[[#This Row],[Attrition]]="Yes",1,IF(CleanEmployeeData[[#This Row],[Attrition]]="No",0,""))</f>
        <v>0</v>
      </c>
      <c r="AQ1266" t="str" cm="1">
        <f t="array" ref="AQ1266">_xlfn.IFS(CleanEmployeeData[[#This Row],[MonthlyIncome]]&lt;=3000,"0–3,000",CleanEmployeeData[[#This Row],[MonthlyIncome]]&lt;=6000,"3,001–6,000",CleanEmployeeData[[#This Row],[MonthlyIncome]]&lt;=10000,"6,001–10,000",TRUE,"10,001+")</f>
        <v>10,001+</v>
      </c>
      <c r="AR1266" t="str" cm="1">
        <f t="array" ref="AR1266">_xlfn.IFS(CleanEmployeeData[[#This Row],[DistanceFromHome]]&lt;=5,"0–5 miles",CleanEmployeeData[[#This Row],[DistanceFromHome]]&lt;=10,"6–10 miles",CleanEmployeeData[[#This Row],[DistanceFromHome]]&lt;=15,"11–15 miles",TRUE,"16+ miles")</f>
        <v>0–5 miles</v>
      </c>
      <c r="AS1266" t="str" cm="1">
        <f t="array" ref="AS1266">_xlfn.IFS(CleanEmployeeData[[#This Row],[YearsAtCompany]]&lt;=1,"0–1 years",CleanEmployeeData[[#This Row],[YearsAtCompany]]&lt;=5,"2–5 years",CleanEmployeeData[[#This Row],[YearsAtCompany]]&lt;=10,"6–10 years",TRUE,"11+ years")</f>
        <v>0–1 years</v>
      </c>
    </row>
    <row r="1267" spans="1:4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cm="1">
        <f t="array" ref="AJ1267">_xlfn.SWITCH(CleanEmployeeData[[#This Row],[Education]],1,"Below College",2,"College",3,"Bachelor",4,"Master",5,"Doctor","Unknown")</f>
        <v>Bachelor</v>
      </c>
      <c r="AK1267" t="str" cm="1">
        <f t="array" ref="AK1267">_xlfn.SWITCH(CleanEmployeeData[[#This Row],[EnvironmentSatisfaction]],1,"Low",2,"Medium",3,"High",4,"Very High","Unknown")</f>
        <v>Very High</v>
      </c>
      <c r="AL1267" t="str" cm="1">
        <f t="array" ref="AL1267">_xlfn.SWITCH(CleanEmployeeData[[#This Row],[JobInvolvement]],1,"Low",2,"Medium",3,"High",4,"Very High","Unknown")</f>
        <v>High</v>
      </c>
      <c r="AM1267" t="str" cm="1">
        <f t="array" ref="AM1267">_xlfn.SWITCH(CleanEmployeeData[[#This Row],[JobSatisfaction]],1,"Low",2,"Medium",3,"High",4,"Very High","Unknown")</f>
        <v>Medium</v>
      </c>
      <c r="AN1267" t="str" cm="1">
        <f t="array" ref="AN1267">_xlfn.SWITCH(CleanEmployeeData[[#This Row],[PerformanceRating]],1,"Low",2,"Good",3,"Excellent",4,"Outstanding","Unknown")</f>
        <v>Excellent</v>
      </c>
      <c r="AO1267" t="str" cm="1">
        <f t="array" ref="AO1267">_xlfn.SWITCH(CleanEmployeeData[[#This Row],[WorkLifeBalance]],1,"Bad",2,"Good",3,"Better",4,"Best","Unknown")</f>
        <v>Good</v>
      </c>
      <c r="AP1267">
        <f>IF(CleanEmployeeData[[#This Row],[Attrition]]="Yes",1,IF(CleanEmployeeData[[#This Row],[Attrition]]="No",0,""))</f>
        <v>0</v>
      </c>
      <c r="AQ1267" t="str" cm="1">
        <f t="array" ref="AQ1267">_xlfn.IFS(CleanEmployeeData[[#This Row],[MonthlyIncome]]&lt;=3000,"0–3,000",CleanEmployeeData[[#This Row],[MonthlyIncome]]&lt;=6000,"3,001–6,000",CleanEmployeeData[[#This Row],[MonthlyIncome]]&lt;=10000,"6,001–10,000",TRUE,"10,001+")</f>
        <v>3,001–6,000</v>
      </c>
      <c r="AR1267" t="str" cm="1">
        <f t="array" ref="AR1267">_xlfn.IFS(CleanEmployeeData[[#This Row],[DistanceFromHome]]&lt;=5,"0–5 miles",CleanEmployeeData[[#This Row],[DistanceFromHome]]&lt;=10,"6–10 miles",CleanEmployeeData[[#This Row],[DistanceFromHome]]&lt;=15,"11–15 miles",TRUE,"16+ miles")</f>
        <v>0–5 miles</v>
      </c>
      <c r="AS1267" t="str" cm="1">
        <f t="array" ref="AS1267">_xlfn.IFS(CleanEmployeeData[[#This Row],[YearsAtCompany]]&lt;=1,"0–1 years",CleanEmployeeData[[#This Row],[YearsAtCompany]]&lt;=5,"2–5 years",CleanEmployeeData[[#This Row],[YearsAtCompany]]&lt;=10,"6–10 years",TRUE,"11+ years")</f>
        <v>6–10 years</v>
      </c>
    </row>
    <row r="1268" spans="1:4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cm="1">
        <f t="array" ref="AJ1268">_xlfn.SWITCH(CleanEmployeeData[[#This Row],[Education]],1,"Below College",2,"College",3,"Bachelor",4,"Master",5,"Doctor","Unknown")</f>
        <v>Master</v>
      </c>
      <c r="AK1268" t="str" cm="1">
        <f t="array" ref="AK1268">_xlfn.SWITCH(CleanEmployeeData[[#This Row],[EnvironmentSatisfaction]],1,"Low",2,"Medium",3,"High",4,"Very High","Unknown")</f>
        <v>High</v>
      </c>
      <c r="AL1268" t="str" cm="1">
        <f t="array" ref="AL1268">_xlfn.SWITCH(CleanEmployeeData[[#This Row],[JobInvolvement]],1,"Low",2,"Medium",3,"High",4,"Very High","Unknown")</f>
        <v>High</v>
      </c>
      <c r="AM1268" t="str" cm="1">
        <f t="array" ref="AM1268">_xlfn.SWITCH(CleanEmployeeData[[#This Row],[JobSatisfaction]],1,"Low",2,"Medium",3,"High",4,"Very High","Unknown")</f>
        <v>Low</v>
      </c>
      <c r="AN1268" t="str" cm="1">
        <f t="array" ref="AN1268">_xlfn.SWITCH(CleanEmployeeData[[#This Row],[PerformanceRating]],1,"Low",2,"Good",3,"Excellent",4,"Outstanding","Unknown")</f>
        <v>Outstanding</v>
      </c>
      <c r="AO1268" t="str" cm="1">
        <f t="array" ref="AO1268">_xlfn.SWITCH(CleanEmployeeData[[#This Row],[WorkLifeBalance]],1,"Bad",2,"Good",3,"Better",4,"Best","Unknown")</f>
        <v>Better</v>
      </c>
      <c r="AP1268">
        <f>IF(CleanEmployeeData[[#This Row],[Attrition]]="Yes",1,IF(CleanEmployeeData[[#This Row],[Attrition]]="No",0,""))</f>
        <v>0</v>
      </c>
      <c r="AQ1268" t="str" cm="1">
        <f t="array" ref="AQ1268">_xlfn.IFS(CleanEmployeeData[[#This Row],[MonthlyIncome]]&lt;=3000,"0–3,000",CleanEmployeeData[[#This Row],[MonthlyIncome]]&lt;=6000,"3,001–6,000",CleanEmployeeData[[#This Row],[MonthlyIncome]]&lt;=10000,"6,001–10,000",TRUE,"10,001+")</f>
        <v>0–3,000</v>
      </c>
      <c r="AR1268" t="str" cm="1">
        <f t="array" ref="AR1268">_xlfn.IFS(CleanEmployeeData[[#This Row],[DistanceFromHome]]&lt;=5,"0–5 miles",CleanEmployeeData[[#This Row],[DistanceFromHome]]&lt;=10,"6–10 miles",CleanEmployeeData[[#This Row],[DistanceFromHome]]&lt;=15,"11–15 miles",TRUE,"16+ miles")</f>
        <v>6–10 miles</v>
      </c>
      <c r="AS1268" t="str" cm="1">
        <f t="array" ref="AS1268">_xlfn.IFS(CleanEmployeeData[[#This Row],[YearsAtCompany]]&lt;=1,"0–1 years",CleanEmployeeData[[#This Row],[YearsAtCompany]]&lt;=5,"2–5 years",CleanEmployeeData[[#This Row],[YearsAtCompany]]&lt;=10,"6–10 years",TRUE,"11+ years")</f>
        <v>2–5 years</v>
      </c>
    </row>
    <row r="1269" spans="1:4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cm="1">
        <f t="array" ref="AJ1269">_xlfn.SWITCH(CleanEmployeeData[[#This Row],[Education]],1,"Below College",2,"College",3,"Bachelor",4,"Master",5,"Doctor","Unknown")</f>
        <v>Bachelor</v>
      </c>
      <c r="AK1269" t="str" cm="1">
        <f t="array" ref="AK1269">_xlfn.SWITCH(CleanEmployeeData[[#This Row],[EnvironmentSatisfaction]],1,"Low",2,"Medium",3,"High",4,"Very High","Unknown")</f>
        <v>Very High</v>
      </c>
      <c r="AL1269" t="str" cm="1">
        <f t="array" ref="AL1269">_xlfn.SWITCH(CleanEmployeeData[[#This Row],[JobInvolvement]],1,"Low",2,"Medium",3,"High",4,"Very High","Unknown")</f>
        <v>High</v>
      </c>
      <c r="AM1269" t="str" cm="1">
        <f t="array" ref="AM1269">_xlfn.SWITCH(CleanEmployeeData[[#This Row],[JobSatisfaction]],1,"Low",2,"Medium",3,"High",4,"Very High","Unknown")</f>
        <v>High</v>
      </c>
      <c r="AN1269" t="str" cm="1">
        <f t="array" ref="AN1269">_xlfn.SWITCH(CleanEmployeeData[[#This Row],[PerformanceRating]],1,"Low",2,"Good",3,"Excellent",4,"Outstanding","Unknown")</f>
        <v>Excellent</v>
      </c>
      <c r="AO1269" t="str" cm="1">
        <f t="array" ref="AO1269">_xlfn.SWITCH(CleanEmployeeData[[#This Row],[WorkLifeBalance]],1,"Bad",2,"Good",3,"Better",4,"Best","Unknown")</f>
        <v>Better</v>
      </c>
      <c r="AP1269">
        <f>IF(CleanEmployeeData[[#This Row],[Attrition]]="Yes",1,IF(CleanEmployeeData[[#This Row],[Attrition]]="No",0,""))</f>
        <v>0</v>
      </c>
      <c r="AQ1269" t="str" cm="1">
        <f t="array" ref="AQ1269">_xlfn.IFS(CleanEmployeeData[[#This Row],[MonthlyIncome]]&lt;=3000,"0–3,000",CleanEmployeeData[[#This Row],[MonthlyIncome]]&lt;=6000,"3,001–6,000",CleanEmployeeData[[#This Row],[MonthlyIncome]]&lt;=10000,"6,001–10,000",TRUE,"10,001+")</f>
        <v>3,001–6,000</v>
      </c>
      <c r="AR1269" t="str" cm="1">
        <f t="array" ref="AR1269">_xlfn.IFS(CleanEmployeeData[[#This Row],[DistanceFromHome]]&lt;=5,"0–5 miles",CleanEmployeeData[[#This Row],[DistanceFromHome]]&lt;=10,"6–10 miles",CleanEmployeeData[[#This Row],[DistanceFromHome]]&lt;=15,"11–15 miles",TRUE,"16+ miles")</f>
        <v>6–10 miles</v>
      </c>
      <c r="AS1269" t="str" cm="1">
        <f t="array" ref="AS1269">_xlfn.IFS(CleanEmployeeData[[#This Row],[YearsAtCompany]]&lt;=1,"0–1 years",CleanEmployeeData[[#This Row],[YearsAtCompany]]&lt;=5,"2–5 years",CleanEmployeeData[[#This Row],[YearsAtCompany]]&lt;=10,"6–10 years",TRUE,"11+ years")</f>
        <v>11+ years</v>
      </c>
    </row>
    <row r="1270" spans="1:4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cm="1">
        <f t="array" ref="AJ1270">_xlfn.SWITCH(CleanEmployeeData[[#This Row],[Education]],1,"Below College",2,"College",3,"Bachelor",4,"Master",5,"Doctor","Unknown")</f>
        <v>Master</v>
      </c>
      <c r="AK1270" t="str" cm="1">
        <f t="array" ref="AK1270">_xlfn.SWITCH(CleanEmployeeData[[#This Row],[EnvironmentSatisfaction]],1,"Low",2,"Medium",3,"High",4,"Very High","Unknown")</f>
        <v>Low</v>
      </c>
      <c r="AL1270" t="str" cm="1">
        <f t="array" ref="AL1270">_xlfn.SWITCH(CleanEmployeeData[[#This Row],[JobInvolvement]],1,"Low",2,"Medium",3,"High",4,"Very High","Unknown")</f>
        <v>Medium</v>
      </c>
      <c r="AM1270" t="str" cm="1">
        <f t="array" ref="AM1270">_xlfn.SWITCH(CleanEmployeeData[[#This Row],[JobSatisfaction]],1,"Low",2,"Medium",3,"High",4,"Very High","Unknown")</f>
        <v>High</v>
      </c>
      <c r="AN1270" t="str" cm="1">
        <f t="array" ref="AN1270">_xlfn.SWITCH(CleanEmployeeData[[#This Row],[PerformanceRating]],1,"Low",2,"Good",3,"Excellent",4,"Outstanding","Unknown")</f>
        <v>Outstanding</v>
      </c>
      <c r="AO1270" t="str" cm="1">
        <f t="array" ref="AO1270">_xlfn.SWITCH(CleanEmployeeData[[#This Row],[WorkLifeBalance]],1,"Bad",2,"Good",3,"Better",4,"Best","Unknown")</f>
        <v>Good</v>
      </c>
      <c r="AP1270">
        <f>IF(CleanEmployeeData[[#This Row],[Attrition]]="Yes",1,IF(CleanEmployeeData[[#This Row],[Attrition]]="No",0,""))</f>
        <v>0</v>
      </c>
      <c r="AQ1270" t="str" cm="1">
        <f t="array" ref="AQ1270">_xlfn.IFS(CleanEmployeeData[[#This Row],[MonthlyIncome]]&lt;=3000,"0–3,000",CleanEmployeeData[[#This Row],[MonthlyIncome]]&lt;=6000,"3,001–6,000",CleanEmployeeData[[#This Row],[MonthlyIncome]]&lt;=10000,"6,001–10,000",TRUE,"10,001+")</f>
        <v>10,001+</v>
      </c>
      <c r="AR1270" t="str" cm="1">
        <f t="array" ref="AR1270">_xlfn.IFS(CleanEmployeeData[[#This Row],[DistanceFromHome]]&lt;=5,"0–5 miles",CleanEmployeeData[[#This Row],[DistanceFromHome]]&lt;=10,"6–10 miles",CleanEmployeeData[[#This Row],[DistanceFromHome]]&lt;=15,"11–15 miles",TRUE,"16+ miles")</f>
        <v>0–5 miles</v>
      </c>
      <c r="AS1270" t="str" cm="1">
        <f t="array" ref="AS1270">_xlfn.IFS(CleanEmployeeData[[#This Row],[YearsAtCompany]]&lt;=1,"0–1 years",CleanEmployeeData[[#This Row],[YearsAtCompany]]&lt;=5,"2–5 years",CleanEmployeeData[[#This Row],[YearsAtCompany]]&lt;=10,"6–10 years",TRUE,"11+ years")</f>
        <v>2–5 years</v>
      </c>
    </row>
    <row r="1271" spans="1:4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cm="1">
        <f t="array" ref="AJ1271">_xlfn.SWITCH(CleanEmployeeData[[#This Row],[Education]],1,"Below College",2,"College",3,"Bachelor",4,"Master",5,"Doctor","Unknown")</f>
        <v>Bachelor</v>
      </c>
      <c r="AK1271" t="str" cm="1">
        <f t="array" ref="AK1271">_xlfn.SWITCH(CleanEmployeeData[[#This Row],[EnvironmentSatisfaction]],1,"Low",2,"Medium",3,"High",4,"Very High","Unknown")</f>
        <v>Medium</v>
      </c>
      <c r="AL1271" t="str" cm="1">
        <f t="array" ref="AL1271">_xlfn.SWITCH(CleanEmployeeData[[#This Row],[JobInvolvement]],1,"Low",2,"Medium",3,"High",4,"Very High","Unknown")</f>
        <v>High</v>
      </c>
      <c r="AM1271" t="str" cm="1">
        <f t="array" ref="AM1271">_xlfn.SWITCH(CleanEmployeeData[[#This Row],[JobSatisfaction]],1,"Low",2,"Medium",3,"High",4,"Very High","Unknown")</f>
        <v>Very High</v>
      </c>
      <c r="AN1271" t="str" cm="1">
        <f t="array" ref="AN1271">_xlfn.SWITCH(CleanEmployeeData[[#This Row],[PerformanceRating]],1,"Low",2,"Good",3,"Excellent",4,"Outstanding","Unknown")</f>
        <v>Excellent</v>
      </c>
      <c r="AO1271" t="str" cm="1">
        <f t="array" ref="AO1271">_xlfn.SWITCH(CleanEmployeeData[[#This Row],[WorkLifeBalance]],1,"Bad",2,"Good",3,"Better",4,"Best","Unknown")</f>
        <v>Better</v>
      </c>
      <c r="AP1271">
        <f>IF(CleanEmployeeData[[#This Row],[Attrition]]="Yes",1,IF(CleanEmployeeData[[#This Row],[Attrition]]="No",0,""))</f>
        <v>0</v>
      </c>
      <c r="AQ1271" t="str" cm="1">
        <f t="array" ref="AQ1271">_xlfn.IFS(CleanEmployeeData[[#This Row],[MonthlyIncome]]&lt;=3000,"0–3,000",CleanEmployeeData[[#This Row],[MonthlyIncome]]&lt;=6000,"3,001–6,000",CleanEmployeeData[[#This Row],[MonthlyIncome]]&lt;=10000,"6,001–10,000",TRUE,"10,001+")</f>
        <v>3,001–6,000</v>
      </c>
      <c r="AR1271" t="str" cm="1">
        <f t="array" ref="AR1271">_xlfn.IFS(CleanEmployeeData[[#This Row],[DistanceFromHome]]&lt;=5,"0–5 miles",CleanEmployeeData[[#This Row],[DistanceFromHome]]&lt;=10,"6–10 miles",CleanEmployeeData[[#This Row],[DistanceFromHome]]&lt;=15,"11–15 miles",TRUE,"16+ miles")</f>
        <v>0–5 miles</v>
      </c>
      <c r="AS1271" t="str" cm="1">
        <f t="array" ref="AS1271">_xlfn.IFS(CleanEmployeeData[[#This Row],[YearsAtCompany]]&lt;=1,"0–1 years",CleanEmployeeData[[#This Row],[YearsAtCompany]]&lt;=5,"2–5 years",CleanEmployeeData[[#This Row],[YearsAtCompany]]&lt;=10,"6–10 years",TRUE,"11+ years")</f>
        <v>6–10 years</v>
      </c>
    </row>
    <row r="1272" spans="1:4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cm="1">
        <f t="array" ref="AJ1272">_xlfn.SWITCH(CleanEmployeeData[[#This Row],[Education]],1,"Below College",2,"College",3,"Bachelor",4,"Master",5,"Doctor","Unknown")</f>
        <v>College</v>
      </c>
      <c r="AK1272" t="str" cm="1">
        <f t="array" ref="AK1272">_xlfn.SWITCH(CleanEmployeeData[[#This Row],[EnvironmentSatisfaction]],1,"Low",2,"Medium",3,"High",4,"Very High","Unknown")</f>
        <v>Very High</v>
      </c>
      <c r="AL1272" t="str" cm="1">
        <f t="array" ref="AL1272">_xlfn.SWITCH(CleanEmployeeData[[#This Row],[JobInvolvement]],1,"Low",2,"Medium",3,"High",4,"Very High","Unknown")</f>
        <v>Low</v>
      </c>
      <c r="AM1272" t="str" cm="1">
        <f t="array" ref="AM1272">_xlfn.SWITCH(CleanEmployeeData[[#This Row],[JobSatisfaction]],1,"Low",2,"Medium",3,"High",4,"Very High","Unknown")</f>
        <v>Very High</v>
      </c>
      <c r="AN1272" t="str" cm="1">
        <f t="array" ref="AN1272">_xlfn.SWITCH(CleanEmployeeData[[#This Row],[PerformanceRating]],1,"Low",2,"Good",3,"Excellent",4,"Outstanding","Unknown")</f>
        <v>Excellent</v>
      </c>
      <c r="AO1272" t="str" cm="1">
        <f t="array" ref="AO1272">_xlfn.SWITCH(CleanEmployeeData[[#This Row],[WorkLifeBalance]],1,"Bad",2,"Good",3,"Better",4,"Best","Unknown")</f>
        <v>Better</v>
      </c>
      <c r="AP1272">
        <f>IF(CleanEmployeeData[[#This Row],[Attrition]]="Yes",1,IF(CleanEmployeeData[[#This Row],[Attrition]]="No",0,""))</f>
        <v>0</v>
      </c>
      <c r="AQ1272" t="str" cm="1">
        <f t="array" ref="AQ1272">_xlfn.IFS(CleanEmployeeData[[#This Row],[MonthlyIncome]]&lt;=3000,"0–3,000",CleanEmployeeData[[#This Row],[MonthlyIncome]]&lt;=6000,"3,001–6,000",CleanEmployeeData[[#This Row],[MonthlyIncome]]&lt;=10000,"6,001–10,000",TRUE,"10,001+")</f>
        <v>6,001–10,000</v>
      </c>
      <c r="AR1272" t="str" cm="1">
        <f t="array" ref="AR1272">_xlfn.IFS(CleanEmployeeData[[#This Row],[DistanceFromHome]]&lt;=5,"0–5 miles",CleanEmployeeData[[#This Row],[DistanceFromHome]]&lt;=10,"6–10 miles",CleanEmployeeData[[#This Row],[DistanceFromHome]]&lt;=15,"11–15 miles",TRUE,"16+ miles")</f>
        <v>0–5 miles</v>
      </c>
      <c r="AS1272" t="str" cm="1">
        <f t="array" ref="AS1272">_xlfn.IFS(CleanEmployeeData[[#This Row],[YearsAtCompany]]&lt;=1,"0–1 years",CleanEmployeeData[[#This Row],[YearsAtCompany]]&lt;=5,"2–5 years",CleanEmployeeData[[#This Row],[YearsAtCompany]]&lt;=10,"6–10 years",TRUE,"11+ years")</f>
        <v>2–5 years</v>
      </c>
    </row>
    <row r="1273" spans="1:4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cm="1">
        <f t="array" ref="AJ1273">_xlfn.SWITCH(CleanEmployeeData[[#This Row],[Education]],1,"Below College",2,"College",3,"Bachelor",4,"Master",5,"Doctor","Unknown")</f>
        <v>Below College</v>
      </c>
      <c r="AK1273" t="str" cm="1">
        <f t="array" ref="AK1273">_xlfn.SWITCH(CleanEmployeeData[[#This Row],[EnvironmentSatisfaction]],1,"Low",2,"Medium",3,"High",4,"Very High","Unknown")</f>
        <v>Medium</v>
      </c>
      <c r="AL1273" t="str" cm="1">
        <f t="array" ref="AL1273">_xlfn.SWITCH(CleanEmployeeData[[#This Row],[JobInvolvement]],1,"Low",2,"Medium",3,"High",4,"Very High","Unknown")</f>
        <v>High</v>
      </c>
      <c r="AM1273" t="str" cm="1">
        <f t="array" ref="AM1273">_xlfn.SWITCH(CleanEmployeeData[[#This Row],[JobSatisfaction]],1,"Low",2,"Medium",3,"High",4,"Very High","Unknown")</f>
        <v>Medium</v>
      </c>
      <c r="AN1273" t="str" cm="1">
        <f t="array" ref="AN1273">_xlfn.SWITCH(CleanEmployeeData[[#This Row],[PerformanceRating]],1,"Low",2,"Good",3,"Excellent",4,"Outstanding","Unknown")</f>
        <v>Excellent</v>
      </c>
      <c r="AO1273" t="str" cm="1">
        <f t="array" ref="AO1273">_xlfn.SWITCH(CleanEmployeeData[[#This Row],[WorkLifeBalance]],1,"Bad",2,"Good",3,"Better",4,"Best","Unknown")</f>
        <v>Better</v>
      </c>
      <c r="AP1273">
        <f>IF(CleanEmployeeData[[#This Row],[Attrition]]="Yes",1,IF(CleanEmployeeData[[#This Row],[Attrition]]="No",0,""))</f>
        <v>1</v>
      </c>
      <c r="AQ1273" t="str" cm="1">
        <f t="array" ref="AQ1273">_xlfn.IFS(CleanEmployeeData[[#This Row],[MonthlyIncome]]&lt;=3000,"0–3,000",CleanEmployeeData[[#This Row],[MonthlyIncome]]&lt;=6000,"3,001–6,000",CleanEmployeeData[[#This Row],[MonthlyIncome]]&lt;=10000,"6,001–10,000",TRUE,"10,001+")</f>
        <v>0–3,000</v>
      </c>
      <c r="AR1273" t="str" cm="1">
        <f t="array" ref="AR1273">_xlfn.IFS(CleanEmployeeData[[#This Row],[DistanceFromHome]]&lt;=5,"0–5 miles",CleanEmployeeData[[#This Row],[DistanceFromHome]]&lt;=10,"6–10 miles",CleanEmployeeData[[#This Row],[DistanceFromHome]]&lt;=15,"11–15 miles",TRUE,"16+ miles")</f>
        <v>6–10 miles</v>
      </c>
      <c r="AS1273" t="str" cm="1">
        <f t="array" ref="AS1273">_xlfn.IFS(CleanEmployeeData[[#This Row],[YearsAtCompany]]&lt;=1,"0–1 years",CleanEmployeeData[[#This Row],[YearsAtCompany]]&lt;=5,"2–5 years",CleanEmployeeData[[#This Row],[YearsAtCompany]]&lt;=10,"6–10 years",TRUE,"11+ years")</f>
        <v>0–1 years</v>
      </c>
    </row>
    <row r="1274" spans="1:4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cm="1">
        <f t="array" ref="AJ1274">_xlfn.SWITCH(CleanEmployeeData[[#This Row],[Education]],1,"Below College",2,"College",3,"Bachelor",4,"Master",5,"Doctor","Unknown")</f>
        <v>College</v>
      </c>
      <c r="AK1274" t="str" cm="1">
        <f t="array" ref="AK1274">_xlfn.SWITCH(CleanEmployeeData[[#This Row],[EnvironmentSatisfaction]],1,"Low",2,"Medium",3,"High",4,"Very High","Unknown")</f>
        <v>Very High</v>
      </c>
      <c r="AL1274" t="str" cm="1">
        <f t="array" ref="AL1274">_xlfn.SWITCH(CleanEmployeeData[[#This Row],[JobInvolvement]],1,"Low",2,"Medium",3,"High",4,"Very High","Unknown")</f>
        <v>Medium</v>
      </c>
      <c r="AM1274" t="str" cm="1">
        <f t="array" ref="AM1274">_xlfn.SWITCH(CleanEmployeeData[[#This Row],[JobSatisfaction]],1,"Low",2,"Medium",3,"High",4,"Very High","Unknown")</f>
        <v>High</v>
      </c>
      <c r="AN1274" t="str" cm="1">
        <f t="array" ref="AN1274">_xlfn.SWITCH(CleanEmployeeData[[#This Row],[PerformanceRating]],1,"Low",2,"Good",3,"Excellent",4,"Outstanding","Unknown")</f>
        <v>Excellent</v>
      </c>
      <c r="AO1274" t="str" cm="1">
        <f t="array" ref="AO1274">_xlfn.SWITCH(CleanEmployeeData[[#This Row],[WorkLifeBalance]],1,"Bad",2,"Good",3,"Better",4,"Best","Unknown")</f>
        <v>Better</v>
      </c>
      <c r="AP1274">
        <f>IF(CleanEmployeeData[[#This Row],[Attrition]]="Yes",1,IF(CleanEmployeeData[[#This Row],[Attrition]]="No",0,""))</f>
        <v>0</v>
      </c>
      <c r="AQ1274" t="str" cm="1">
        <f t="array" ref="AQ1274">_xlfn.IFS(CleanEmployeeData[[#This Row],[MonthlyIncome]]&lt;=3000,"0–3,000",CleanEmployeeData[[#This Row],[MonthlyIncome]]&lt;=6000,"3,001–6,000",CleanEmployeeData[[#This Row],[MonthlyIncome]]&lt;=10000,"6,001–10,000",TRUE,"10,001+")</f>
        <v>3,001–6,000</v>
      </c>
      <c r="AR1274" t="str" cm="1">
        <f t="array" ref="AR1274">_xlfn.IFS(CleanEmployeeData[[#This Row],[DistanceFromHome]]&lt;=5,"0–5 miles",CleanEmployeeData[[#This Row],[DistanceFromHome]]&lt;=10,"6–10 miles",CleanEmployeeData[[#This Row],[DistanceFromHome]]&lt;=15,"11–15 miles",TRUE,"16+ miles")</f>
        <v>6–10 miles</v>
      </c>
      <c r="AS1274" t="str" cm="1">
        <f t="array" ref="AS1274">_xlfn.IFS(CleanEmployeeData[[#This Row],[YearsAtCompany]]&lt;=1,"0–1 years",CleanEmployeeData[[#This Row],[YearsAtCompany]]&lt;=5,"2–5 years",CleanEmployeeData[[#This Row],[YearsAtCompany]]&lt;=10,"6–10 years",TRUE,"11+ years")</f>
        <v>2–5 years</v>
      </c>
    </row>
    <row r="1275" spans="1:4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cm="1">
        <f t="array" ref="AJ1275">_xlfn.SWITCH(CleanEmployeeData[[#This Row],[Education]],1,"Below College",2,"College",3,"Bachelor",4,"Master",5,"Doctor","Unknown")</f>
        <v>Below College</v>
      </c>
      <c r="AK1275" t="str" cm="1">
        <f t="array" ref="AK1275">_xlfn.SWITCH(CleanEmployeeData[[#This Row],[EnvironmentSatisfaction]],1,"Low",2,"Medium",3,"High",4,"Very High","Unknown")</f>
        <v>High</v>
      </c>
      <c r="AL1275" t="str" cm="1">
        <f t="array" ref="AL1275">_xlfn.SWITCH(CleanEmployeeData[[#This Row],[JobInvolvement]],1,"Low",2,"Medium",3,"High",4,"Very High","Unknown")</f>
        <v>High</v>
      </c>
      <c r="AM1275" t="str" cm="1">
        <f t="array" ref="AM1275">_xlfn.SWITCH(CleanEmployeeData[[#This Row],[JobSatisfaction]],1,"Low",2,"Medium",3,"High",4,"Very High","Unknown")</f>
        <v>Low</v>
      </c>
      <c r="AN1275" t="str" cm="1">
        <f t="array" ref="AN1275">_xlfn.SWITCH(CleanEmployeeData[[#This Row],[PerformanceRating]],1,"Low",2,"Good",3,"Excellent",4,"Outstanding","Unknown")</f>
        <v>Excellent</v>
      </c>
      <c r="AO1275" t="str" cm="1">
        <f t="array" ref="AO1275">_xlfn.SWITCH(CleanEmployeeData[[#This Row],[WorkLifeBalance]],1,"Bad",2,"Good",3,"Better",4,"Best","Unknown")</f>
        <v>Better</v>
      </c>
      <c r="AP1275">
        <f>IF(CleanEmployeeData[[#This Row],[Attrition]]="Yes",1,IF(CleanEmployeeData[[#This Row],[Attrition]]="No",0,""))</f>
        <v>1</v>
      </c>
      <c r="AQ1275" t="str" cm="1">
        <f t="array" ref="AQ1275">_xlfn.IFS(CleanEmployeeData[[#This Row],[MonthlyIncome]]&lt;=3000,"0–3,000",CleanEmployeeData[[#This Row],[MonthlyIncome]]&lt;=6000,"3,001–6,000",CleanEmployeeData[[#This Row],[MonthlyIncome]]&lt;=10000,"6,001–10,000",TRUE,"10,001+")</f>
        <v>0–3,000</v>
      </c>
      <c r="AR1275" t="str" cm="1">
        <f t="array" ref="AR1275">_xlfn.IFS(CleanEmployeeData[[#This Row],[DistanceFromHome]]&lt;=5,"0–5 miles",CleanEmployeeData[[#This Row],[DistanceFromHome]]&lt;=10,"6–10 miles",CleanEmployeeData[[#This Row],[DistanceFromHome]]&lt;=15,"11–15 miles",TRUE,"16+ miles")</f>
        <v>6–10 miles</v>
      </c>
      <c r="AS1275" t="str" cm="1">
        <f t="array" ref="AS1275">_xlfn.IFS(CleanEmployeeData[[#This Row],[YearsAtCompany]]&lt;=1,"0–1 years",CleanEmployeeData[[#This Row],[YearsAtCompany]]&lt;=5,"2–5 years",CleanEmployeeData[[#This Row],[YearsAtCompany]]&lt;=10,"6–10 years",TRUE,"11+ years")</f>
        <v>0–1 years</v>
      </c>
    </row>
    <row r="1276" spans="1:4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cm="1">
        <f t="array" ref="AJ1276">_xlfn.SWITCH(CleanEmployeeData[[#This Row],[Education]],1,"Below College",2,"College",3,"Bachelor",4,"Master",5,"Doctor","Unknown")</f>
        <v>Master</v>
      </c>
      <c r="AK1276" t="str" cm="1">
        <f t="array" ref="AK1276">_xlfn.SWITCH(CleanEmployeeData[[#This Row],[EnvironmentSatisfaction]],1,"Low",2,"Medium",3,"High",4,"Very High","Unknown")</f>
        <v>Low</v>
      </c>
      <c r="AL1276" t="str" cm="1">
        <f t="array" ref="AL1276">_xlfn.SWITCH(CleanEmployeeData[[#This Row],[JobInvolvement]],1,"Low",2,"Medium",3,"High",4,"Very High","Unknown")</f>
        <v>Medium</v>
      </c>
      <c r="AM1276" t="str" cm="1">
        <f t="array" ref="AM1276">_xlfn.SWITCH(CleanEmployeeData[[#This Row],[JobSatisfaction]],1,"Low",2,"Medium",3,"High",4,"Very High","Unknown")</f>
        <v>Very High</v>
      </c>
      <c r="AN1276" t="str" cm="1">
        <f t="array" ref="AN1276">_xlfn.SWITCH(CleanEmployeeData[[#This Row],[PerformanceRating]],1,"Low",2,"Good",3,"Excellent",4,"Outstanding","Unknown")</f>
        <v>Excellent</v>
      </c>
      <c r="AO1276" t="str" cm="1">
        <f t="array" ref="AO1276">_xlfn.SWITCH(CleanEmployeeData[[#This Row],[WorkLifeBalance]],1,"Bad",2,"Good",3,"Better",4,"Best","Unknown")</f>
        <v>Better</v>
      </c>
      <c r="AP1276">
        <f>IF(CleanEmployeeData[[#This Row],[Attrition]]="Yes",1,IF(CleanEmployeeData[[#This Row],[Attrition]]="No",0,""))</f>
        <v>0</v>
      </c>
      <c r="AQ1276" t="str" cm="1">
        <f t="array" ref="AQ1276">_xlfn.IFS(CleanEmployeeData[[#This Row],[MonthlyIncome]]&lt;=3000,"0–3,000",CleanEmployeeData[[#This Row],[MonthlyIncome]]&lt;=6000,"3,001–6,000",CleanEmployeeData[[#This Row],[MonthlyIncome]]&lt;=10000,"6,001–10,000",TRUE,"10,001+")</f>
        <v>3,001–6,000</v>
      </c>
      <c r="AR1276" t="str" cm="1">
        <f t="array" ref="AR1276">_xlfn.IFS(CleanEmployeeData[[#This Row],[DistanceFromHome]]&lt;=5,"0–5 miles",CleanEmployeeData[[#This Row],[DistanceFromHome]]&lt;=10,"6–10 miles",CleanEmployeeData[[#This Row],[DistanceFromHome]]&lt;=15,"11–15 miles",TRUE,"16+ miles")</f>
        <v>16+ miles</v>
      </c>
      <c r="AS1276" t="str" cm="1">
        <f t="array" ref="AS1276">_xlfn.IFS(CleanEmployeeData[[#This Row],[YearsAtCompany]]&lt;=1,"0–1 years",CleanEmployeeData[[#This Row],[YearsAtCompany]]&lt;=5,"2–5 years",CleanEmployeeData[[#This Row],[YearsAtCompany]]&lt;=10,"6–10 years",TRUE,"11+ years")</f>
        <v>11+ years</v>
      </c>
    </row>
    <row r="1277" spans="1:4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cm="1">
        <f t="array" ref="AJ1277">_xlfn.SWITCH(CleanEmployeeData[[#This Row],[Education]],1,"Below College",2,"College",3,"Bachelor",4,"Master",5,"Doctor","Unknown")</f>
        <v>Bachelor</v>
      </c>
      <c r="AK1277" t="str" cm="1">
        <f t="array" ref="AK1277">_xlfn.SWITCH(CleanEmployeeData[[#This Row],[EnvironmentSatisfaction]],1,"Low",2,"Medium",3,"High",4,"Very High","Unknown")</f>
        <v>Low</v>
      </c>
      <c r="AL1277" t="str" cm="1">
        <f t="array" ref="AL1277">_xlfn.SWITCH(CleanEmployeeData[[#This Row],[JobInvolvement]],1,"Low",2,"Medium",3,"High",4,"Very High","Unknown")</f>
        <v>High</v>
      </c>
      <c r="AM1277" t="str" cm="1">
        <f t="array" ref="AM1277">_xlfn.SWITCH(CleanEmployeeData[[#This Row],[JobSatisfaction]],1,"Low",2,"Medium",3,"High",4,"Very High","Unknown")</f>
        <v>High</v>
      </c>
      <c r="AN1277" t="str" cm="1">
        <f t="array" ref="AN1277">_xlfn.SWITCH(CleanEmployeeData[[#This Row],[PerformanceRating]],1,"Low",2,"Good",3,"Excellent",4,"Outstanding","Unknown")</f>
        <v>Excellent</v>
      </c>
      <c r="AO1277" t="str" cm="1">
        <f t="array" ref="AO1277">_xlfn.SWITCH(CleanEmployeeData[[#This Row],[WorkLifeBalance]],1,"Bad",2,"Good",3,"Better",4,"Best","Unknown")</f>
        <v>Better</v>
      </c>
      <c r="AP1277">
        <f>IF(CleanEmployeeData[[#This Row],[Attrition]]="Yes",1,IF(CleanEmployeeData[[#This Row],[Attrition]]="No",0,""))</f>
        <v>0</v>
      </c>
      <c r="AQ1277" t="str" cm="1">
        <f t="array" ref="AQ1277">_xlfn.IFS(CleanEmployeeData[[#This Row],[MonthlyIncome]]&lt;=3000,"0–3,000",CleanEmployeeData[[#This Row],[MonthlyIncome]]&lt;=6000,"3,001–6,000",CleanEmployeeData[[#This Row],[MonthlyIncome]]&lt;=10000,"6,001–10,000",TRUE,"10,001+")</f>
        <v>10,001+</v>
      </c>
      <c r="AR1277" t="str" cm="1">
        <f t="array" ref="AR1277">_xlfn.IFS(CleanEmployeeData[[#This Row],[DistanceFromHome]]&lt;=5,"0–5 miles",CleanEmployeeData[[#This Row],[DistanceFromHome]]&lt;=10,"6–10 miles",CleanEmployeeData[[#This Row],[DistanceFromHome]]&lt;=15,"11–15 miles",TRUE,"16+ miles")</f>
        <v>0–5 miles</v>
      </c>
      <c r="AS1277" t="str" cm="1">
        <f t="array" ref="AS1277">_xlfn.IFS(CleanEmployeeData[[#This Row],[YearsAtCompany]]&lt;=1,"0–1 years",CleanEmployeeData[[#This Row],[YearsAtCompany]]&lt;=5,"2–5 years",CleanEmployeeData[[#This Row],[YearsAtCompany]]&lt;=10,"6–10 years",TRUE,"11+ years")</f>
        <v>2–5 years</v>
      </c>
    </row>
    <row r="1278" spans="1:4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cm="1">
        <f t="array" ref="AJ1278">_xlfn.SWITCH(CleanEmployeeData[[#This Row],[Education]],1,"Below College",2,"College",3,"Bachelor",4,"Master",5,"Doctor","Unknown")</f>
        <v>College</v>
      </c>
      <c r="AK1278" t="str" cm="1">
        <f t="array" ref="AK1278">_xlfn.SWITCH(CleanEmployeeData[[#This Row],[EnvironmentSatisfaction]],1,"Low",2,"Medium",3,"High",4,"Very High","Unknown")</f>
        <v>Medium</v>
      </c>
      <c r="AL1278" t="str" cm="1">
        <f t="array" ref="AL1278">_xlfn.SWITCH(CleanEmployeeData[[#This Row],[JobInvolvement]],1,"Low",2,"Medium",3,"High",4,"Very High","Unknown")</f>
        <v>Medium</v>
      </c>
      <c r="AM1278" t="str" cm="1">
        <f t="array" ref="AM1278">_xlfn.SWITCH(CleanEmployeeData[[#This Row],[JobSatisfaction]],1,"Low",2,"Medium",3,"High",4,"Very High","Unknown")</f>
        <v>Medium</v>
      </c>
      <c r="AN1278" t="str" cm="1">
        <f t="array" ref="AN1278">_xlfn.SWITCH(CleanEmployeeData[[#This Row],[PerformanceRating]],1,"Low",2,"Good",3,"Excellent",4,"Outstanding","Unknown")</f>
        <v>Excellent</v>
      </c>
      <c r="AO1278" t="str" cm="1">
        <f t="array" ref="AO1278">_xlfn.SWITCH(CleanEmployeeData[[#This Row],[WorkLifeBalance]],1,"Bad",2,"Good",3,"Better",4,"Best","Unknown")</f>
        <v>Better</v>
      </c>
      <c r="AP1278">
        <f>IF(CleanEmployeeData[[#This Row],[Attrition]]="Yes",1,IF(CleanEmployeeData[[#This Row],[Attrition]]="No",0,""))</f>
        <v>0</v>
      </c>
      <c r="AQ1278" t="str" cm="1">
        <f t="array" ref="AQ1278">_xlfn.IFS(CleanEmployeeData[[#This Row],[MonthlyIncome]]&lt;=3000,"0–3,000",CleanEmployeeData[[#This Row],[MonthlyIncome]]&lt;=6000,"3,001–6,000",CleanEmployeeData[[#This Row],[MonthlyIncome]]&lt;=10000,"6,001–10,000",TRUE,"10,001+")</f>
        <v>3,001–6,000</v>
      </c>
      <c r="AR1278" t="str" cm="1">
        <f t="array" ref="AR1278">_xlfn.IFS(CleanEmployeeData[[#This Row],[DistanceFromHome]]&lt;=5,"0–5 miles",CleanEmployeeData[[#This Row],[DistanceFromHome]]&lt;=10,"6–10 miles",CleanEmployeeData[[#This Row],[DistanceFromHome]]&lt;=15,"11–15 miles",TRUE,"16+ miles")</f>
        <v>6–10 miles</v>
      </c>
      <c r="AS1278" t="str" cm="1">
        <f t="array" ref="AS1278">_xlfn.IFS(CleanEmployeeData[[#This Row],[YearsAtCompany]]&lt;=1,"0–1 years",CleanEmployeeData[[#This Row],[YearsAtCompany]]&lt;=5,"2–5 years",CleanEmployeeData[[#This Row],[YearsAtCompany]]&lt;=10,"6–10 years",TRUE,"11+ years")</f>
        <v>2–5 years</v>
      </c>
    </row>
    <row r="1279" spans="1:4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cm="1">
        <f t="array" ref="AJ1279">_xlfn.SWITCH(CleanEmployeeData[[#This Row],[Education]],1,"Below College",2,"College",3,"Bachelor",4,"Master",5,"Doctor","Unknown")</f>
        <v>Master</v>
      </c>
      <c r="AK1279" t="str" cm="1">
        <f t="array" ref="AK1279">_xlfn.SWITCH(CleanEmployeeData[[#This Row],[EnvironmentSatisfaction]],1,"Low",2,"Medium",3,"High",4,"Very High","Unknown")</f>
        <v>High</v>
      </c>
      <c r="AL1279" t="str" cm="1">
        <f t="array" ref="AL1279">_xlfn.SWITCH(CleanEmployeeData[[#This Row],[JobInvolvement]],1,"Low",2,"Medium",3,"High",4,"Very High","Unknown")</f>
        <v>High</v>
      </c>
      <c r="AM1279" t="str" cm="1">
        <f t="array" ref="AM1279">_xlfn.SWITCH(CleanEmployeeData[[#This Row],[JobSatisfaction]],1,"Low",2,"Medium",3,"High",4,"Very High","Unknown")</f>
        <v>Very High</v>
      </c>
      <c r="AN1279" t="str" cm="1">
        <f t="array" ref="AN1279">_xlfn.SWITCH(CleanEmployeeData[[#This Row],[PerformanceRating]],1,"Low",2,"Good",3,"Excellent",4,"Outstanding","Unknown")</f>
        <v>Excellent</v>
      </c>
      <c r="AO1279" t="str" cm="1">
        <f t="array" ref="AO1279">_xlfn.SWITCH(CleanEmployeeData[[#This Row],[WorkLifeBalance]],1,"Bad",2,"Good",3,"Better",4,"Best","Unknown")</f>
        <v>Better</v>
      </c>
      <c r="AP1279">
        <f>IF(CleanEmployeeData[[#This Row],[Attrition]]="Yes",1,IF(CleanEmployeeData[[#This Row],[Attrition]]="No",0,""))</f>
        <v>0</v>
      </c>
      <c r="AQ1279" t="str" cm="1">
        <f t="array" ref="AQ1279">_xlfn.IFS(CleanEmployeeData[[#This Row],[MonthlyIncome]]&lt;=3000,"0–3,000",CleanEmployeeData[[#This Row],[MonthlyIncome]]&lt;=6000,"3,001–6,000",CleanEmployeeData[[#This Row],[MonthlyIncome]]&lt;=10000,"6,001–10,000",TRUE,"10,001+")</f>
        <v>10,001+</v>
      </c>
      <c r="AR1279" t="str" cm="1">
        <f t="array" ref="AR1279">_xlfn.IFS(CleanEmployeeData[[#This Row],[DistanceFromHome]]&lt;=5,"0–5 miles",CleanEmployeeData[[#This Row],[DistanceFromHome]]&lt;=10,"6–10 miles",CleanEmployeeData[[#This Row],[DistanceFromHome]]&lt;=15,"11–15 miles",TRUE,"16+ miles")</f>
        <v>0–5 miles</v>
      </c>
      <c r="AS1279" t="str" cm="1">
        <f t="array" ref="AS1279">_xlfn.IFS(CleanEmployeeData[[#This Row],[YearsAtCompany]]&lt;=1,"0–1 years",CleanEmployeeData[[#This Row],[YearsAtCompany]]&lt;=5,"2–5 years",CleanEmployeeData[[#This Row],[YearsAtCompany]]&lt;=10,"6–10 years",TRUE,"11+ years")</f>
        <v>2–5 years</v>
      </c>
    </row>
    <row r="1280" spans="1:4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cm="1">
        <f t="array" ref="AJ1280">_xlfn.SWITCH(CleanEmployeeData[[#This Row],[Education]],1,"Below College",2,"College",3,"Bachelor",4,"Master",5,"Doctor","Unknown")</f>
        <v>Bachelor</v>
      </c>
      <c r="AK1280" t="str" cm="1">
        <f t="array" ref="AK1280">_xlfn.SWITCH(CleanEmployeeData[[#This Row],[EnvironmentSatisfaction]],1,"Low",2,"Medium",3,"High",4,"Very High","Unknown")</f>
        <v>Very High</v>
      </c>
      <c r="AL1280" t="str" cm="1">
        <f t="array" ref="AL1280">_xlfn.SWITCH(CleanEmployeeData[[#This Row],[JobInvolvement]],1,"Low",2,"Medium",3,"High",4,"Very High","Unknown")</f>
        <v>High</v>
      </c>
      <c r="AM1280" t="str" cm="1">
        <f t="array" ref="AM1280">_xlfn.SWITCH(CleanEmployeeData[[#This Row],[JobSatisfaction]],1,"Low",2,"Medium",3,"High",4,"Very High","Unknown")</f>
        <v>Low</v>
      </c>
      <c r="AN1280" t="str" cm="1">
        <f t="array" ref="AN1280">_xlfn.SWITCH(CleanEmployeeData[[#This Row],[PerformanceRating]],1,"Low",2,"Good",3,"Excellent",4,"Outstanding","Unknown")</f>
        <v>Excellent</v>
      </c>
      <c r="AO1280" t="str" cm="1">
        <f t="array" ref="AO1280">_xlfn.SWITCH(CleanEmployeeData[[#This Row],[WorkLifeBalance]],1,"Bad",2,"Good",3,"Better",4,"Best","Unknown")</f>
        <v>Better</v>
      </c>
      <c r="AP1280">
        <f>IF(CleanEmployeeData[[#This Row],[Attrition]]="Yes",1,IF(CleanEmployeeData[[#This Row],[Attrition]]="No",0,""))</f>
        <v>0</v>
      </c>
      <c r="AQ1280" t="str" cm="1">
        <f t="array" ref="AQ1280">_xlfn.IFS(CleanEmployeeData[[#This Row],[MonthlyIncome]]&lt;=3000,"0–3,000",CleanEmployeeData[[#This Row],[MonthlyIncome]]&lt;=6000,"3,001–6,000",CleanEmployeeData[[#This Row],[MonthlyIncome]]&lt;=10000,"6,001–10,000",TRUE,"10,001+")</f>
        <v>6,001–10,000</v>
      </c>
      <c r="AR1280" t="str" cm="1">
        <f t="array" ref="AR1280">_xlfn.IFS(CleanEmployeeData[[#This Row],[DistanceFromHome]]&lt;=5,"0–5 miles",CleanEmployeeData[[#This Row],[DistanceFromHome]]&lt;=10,"6–10 miles",CleanEmployeeData[[#This Row],[DistanceFromHome]]&lt;=15,"11–15 miles",TRUE,"16+ miles")</f>
        <v>6–10 miles</v>
      </c>
      <c r="AS1280" t="str" cm="1">
        <f t="array" ref="AS1280">_xlfn.IFS(CleanEmployeeData[[#This Row],[YearsAtCompany]]&lt;=1,"0–1 years",CleanEmployeeData[[#This Row],[YearsAtCompany]]&lt;=5,"2–5 years",CleanEmployeeData[[#This Row],[YearsAtCompany]]&lt;=10,"6–10 years",TRUE,"11+ years")</f>
        <v>11+ years</v>
      </c>
    </row>
    <row r="1281" spans="1:4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cm="1">
        <f t="array" ref="AJ1281">_xlfn.SWITCH(CleanEmployeeData[[#This Row],[Education]],1,"Below College",2,"College",3,"Bachelor",4,"Master",5,"Doctor","Unknown")</f>
        <v>College</v>
      </c>
      <c r="AK1281" t="str" cm="1">
        <f t="array" ref="AK1281">_xlfn.SWITCH(CleanEmployeeData[[#This Row],[EnvironmentSatisfaction]],1,"Low",2,"Medium",3,"High",4,"Very High","Unknown")</f>
        <v>High</v>
      </c>
      <c r="AL1281" t="str" cm="1">
        <f t="array" ref="AL1281">_xlfn.SWITCH(CleanEmployeeData[[#This Row],[JobInvolvement]],1,"Low",2,"Medium",3,"High",4,"Very High","Unknown")</f>
        <v>High</v>
      </c>
      <c r="AM1281" t="str" cm="1">
        <f t="array" ref="AM1281">_xlfn.SWITCH(CleanEmployeeData[[#This Row],[JobSatisfaction]],1,"Low",2,"Medium",3,"High",4,"Very High","Unknown")</f>
        <v>Medium</v>
      </c>
      <c r="AN1281" t="str" cm="1">
        <f t="array" ref="AN1281">_xlfn.SWITCH(CleanEmployeeData[[#This Row],[PerformanceRating]],1,"Low",2,"Good",3,"Excellent",4,"Outstanding","Unknown")</f>
        <v>Excellent</v>
      </c>
      <c r="AO1281" t="str" cm="1">
        <f t="array" ref="AO1281">_xlfn.SWITCH(CleanEmployeeData[[#This Row],[WorkLifeBalance]],1,"Bad",2,"Good",3,"Better",4,"Best","Unknown")</f>
        <v>Good</v>
      </c>
      <c r="AP1281">
        <f>IF(CleanEmployeeData[[#This Row],[Attrition]]="Yes",1,IF(CleanEmployeeData[[#This Row],[Attrition]]="No",0,""))</f>
        <v>1</v>
      </c>
      <c r="AQ1281" t="str" cm="1">
        <f t="array" ref="AQ1281">_xlfn.IFS(CleanEmployeeData[[#This Row],[MonthlyIncome]]&lt;=3000,"0–3,000",CleanEmployeeData[[#This Row],[MonthlyIncome]]&lt;=6000,"3,001–6,000",CleanEmployeeData[[#This Row],[MonthlyIncome]]&lt;=10000,"6,001–10,000",TRUE,"10,001+")</f>
        <v>0–3,000</v>
      </c>
      <c r="AR1281" t="str" cm="1">
        <f t="array" ref="AR1281">_xlfn.IFS(CleanEmployeeData[[#This Row],[DistanceFromHome]]&lt;=5,"0–5 miles",CleanEmployeeData[[#This Row],[DistanceFromHome]]&lt;=10,"6–10 miles",CleanEmployeeData[[#This Row],[DistanceFromHome]]&lt;=15,"11–15 miles",TRUE,"16+ miles")</f>
        <v>0–5 miles</v>
      </c>
      <c r="AS1281" t="str" cm="1">
        <f t="array" ref="AS1281">_xlfn.IFS(CleanEmployeeData[[#This Row],[YearsAtCompany]]&lt;=1,"0–1 years",CleanEmployeeData[[#This Row],[YearsAtCompany]]&lt;=5,"2–5 years",CleanEmployeeData[[#This Row],[YearsAtCompany]]&lt;=10,"6–10 years",TRUE,"11+ years")</f>
        <v>2–5 years</v>
      </c>
    </row>
    <row r="1282" spans="1:4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cm="1">
        <f t="array" ref="AJ1282">_xlfn.SWITCH(CleanEmployeeData[[#This Row],[Education]],1,"Below College",2,"College",3,"Bachelor",4,"Master",5,"Doctor","Unknown")</f>
        <v>College</v>
      </c>
      <c r="AK1282" t="str" cm="1">
        <f t="array" ref="AK1282">_xlfn.SWITCH(CleanEmployeeData[[#This Row],[EnvironmentSatisfaction]],1,"Low",2,"Medium",3,"High",4,"Very High","Unknown")</f>
        <v>High</v>
      </c>
      <c r="AL1282" t="str" cm="1">
        <f t="array" ref="AL1282">_xlfn.SWITCH(CleanEmployeeData[[#This Row],[JobInvolvement]],1,"Low",2,"Medium",3,"High",4,"Very High","Unknown")</f>
        <v>High</v>
      </c>
      <c r="AM1282" t="str" cm="1">
        <f t="array" ref="AM1282">_xlfn.SWITCH(CleanEmployeeData[[#This Row],[JobSatisfaction]],1,"Low",2,"Medium",3,"High",4,"Very High","Unknown")</f>
        <v>Medium</v>
      </c>
      <c r="AN1282" t="str" cm="1">
        <f t="array" ref="AN1282">_xlfn.SWITCH(CleanEmployeeData[[#This Row],[PerformanceRating]],1,"Low",2,"Good",3,"Excellent",4,"Outstanding","Unknown")</f>
        <v>Excellent</v>
      </c>
      <c r="AO1282" t="str" cm="1">
        <f t="array" ref="AO1282">_xlfn.SWITCH(CleanEmployeeData[[#This Row],[WorkLifeBalance]],1,"Bad",2,"Good",3,"Better",4,"Best","Unknown")</f>
        <v>Good</v>
      </c>
      <c r="AP1282">
        <f>IF(CleanEmployeeData[[#This Row],[Attrition]]="Yes",1,IF(CleanEmployeeData[[#This Row],[Attrition]]="No",0,""))</f>
        <v>0</v>
      </c>
      <c r="AQ1282" t="str" cm="1">
        <f t="array" ref="AQ1282">_xlfn.IFS(CleanEmployeeData[[#This Row],[MonthlyIncome]]&lt;=3000,"0–3,000",CleanEmployeeData[[#This Row],[MonthlyIncome]]&lt;=6000,"3,001–6,000",CleanEmployeeData[[#This Row],[MonthlyIncome]]&lt;=10000,"6,001–10,000",TRUE,"10,001+")</f>
        <v>3,001–6,000</v>
      </c>
      <c r="AR1282" t="str" cm="1">
        <f t="array" ref="AR1282">_xlfn.IFS(CleanEmployeeData[[#This Row],[DistanceFromHome]]&lt;=5,"0–5 miles",CleanEmployeeData[[#This Row],[DistanceFromHome]]&lt;=10,"6–10 miles",CleanEmployeeData[[#This Row],[DistanceFromHome]]&lt;=15,"11–15 miles",TRUE,"16+ miles")</f>
        <v>6–10 miles</v>
      </c>
      <c r="AS1282" t="str" cm="1">
        <f t="array" ref="AS1282">_xlfn.IFS(CleanEmployeeData[[#This Row],[YearsAtCompany]]&lt;=1,"0–1 years",CleanEmployeeData[[#This Row],[YearsAtCompany]]&lt;=5,"2–5 years",CleanEmployeeData[[#This Row],[YearsAtCompany]]&lt;=10,"6–10 years",TRUE,"11+ years")</f>
        <v>6–10 years</v>
      </c>
    </row>
    <row r="1283" spans="1:4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cm="1">
        <f t="array" ref="AJ1283">_xlfn.SWITCH(CleanEmployeeData[[#This Row],[Education]],1,"Below College",2,"College",3,"Bachelor",4,"Master",5,"Doctor","Unknown")</f>
        <v>Bachelor</v>
      </c>
      <c r="AK1283" t="str" cm="1">
        <f t="array" ref="AK1283">_xlfn.SWITCH(CleanEmployeeData[[#This Row],[EnvironmentSatisfaction]],1,"Low",2,"Medium",3,"High",4,"Very High","Unknown")</f>
        <v>High</v>
      </c>
      <c r="AL1283" t="str" cm="1">
        <f t="array" ref="AL1283">_xlfn.SWITCH(CleanEmployeeData[[#This Row],[JobInvolvement]],1,"Low",2,"Medium",3,"High",4,"Very High","Unknown")</f>
        <v>High</v>
      </c>
      <c r="AM1283" t="str" cm="1">
        <f t="array" ref="AM1283">_xlfn.SWITCH(CleanEmployeeData[[#This Row],[JobSatisfaction]],1,"Low",2,"Medium",3,"High",4,"Very High","Unknown")</f>
        <v>Very High</v>
      </c>
      <c r="AN1283" t="str" cm="1">
        <f t="array" ref="AN1283">_xlfn.SWITCH(CleanEmployeeData[[#This Row],[PerformanceRating]],1,"Low",2,"Good",3,"Excellent",4,"Outstanding","Unknown")</f>
        <v>Excellent</v>
      </c>
      <c r="AO1283" t="str" cm="1">
        <f t="array" ref="AO1283">_xlfn.SWITCH(CleanEmployeeData[[#This Row],[WorkLifeBalance]],1,"Bad",2,"Good",3,"Better",4,"Best","Unknown")</f>
        <v>Better</v>
      </c>
      <c r="AP1283">
        <f>IF(CleanEmployeeData[[#This Row],[Attrition]]="Yes",1,IF(CleanEmployeeData[[#This Row],[Attrition]]="No",0,""))</f>
        <v>1</v>
      </c>
      <c r="AQ1283" t="str" cm="1">
        <f t="array" ref="AQ1283">_xlfn.IFS(CleanEmployeeData[[#This Row],[MonthlyIncome]]&lt;=3000,"0–3,000",CleanEmployeeData[[#This Row],[MonthlyIncome]]&lt;=6000,"3,001–6,000",CleanEmployeeData[[#This Row],[MonthlyIncome]]&lt;=10000,"6,001–10,000",TRUE,"10,001+")</f>
        <v>3,001–6,000</v>
      </c>
      <c r="AR1283" t="str" cm="1">
        <f t="array" ref="AR1283">_xlfn.IFS(CleanEmployeeData[[#This Row],[DistanceFromHome]]&lt;=5,"0–5 miles",CleanEmployeeData[[#This Row],[DistanceFromHome]]&lt;=10,"6–10 miles",CleanEmployeeData[[#This Row],[DistanceFromHome]]&lt;=15,"11–15 miles",TRUE,"16+ miles")</f>
        <v>16+ miles</v>
      </c>
      <c r="AS1283" t="str" cm="1">
        <f t="array" ref="AS1283">_xlfn.IFS(CleanEmployeeData[[#This Row],[YearsAtCompany]]&lt;=1,"0–1 years",CleanEmployeeData[[#This Row],[YearsAtCompany]]&lt;=5,"2–5 years",CleanEmployeeData[[#This Row],[YearsAtCompany]]&lt;=10,"6–10 years",TRUE,"11+ years")</f>
        <v>6–10 years</v>
      </c>
    </row>
    <row r="1284" spans="1:4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cm="1">
        <f t="array" ref="AJ1284">_xlfn.SWITCH(CleanEmployeeData[[#This Row],[Education]],1,"Below College",2,"College",3,"Bachelor",4,"Master",5,"Doctor","Unknown")</f>
        <v>Master</v>
      </c>
      <c r="AK1284" t="str" cm="1">
        <f t="array" ref="AK1284">_xlfn.SWITCH(CleanEmployeeData[[#This Row],[EnvironmentSatisfaction]],1,"Low",2,"Medium",3,"High",4,"Very High","Unknown")</f>
        <v>Very High</v>
      </c>
      <c r="AL1284" t="str" cm="1">
        <f t="array" ref="AL1284">_xlfn.SWITCH(CleanEmployeeData[[#This Row],[JobInvolvement]],1,"Low",2,"Medium",3,"High",4,"Very High","Unknown")</f>
        <v>Very High</v>
      </c>
      <c r="AM1284" t="str" cm="1">
        <f t="array" ref="AM1284">_xlfn.SWITCH(CleanEmployeeData[[#This Row],[JobSatisfaction]],1,"Low",2,"Medium",3,"High",4,"Very High","Unknown")</f>
        <v>Low</v>
      </c>
      <c r="AN1284" t="str" cm="1">
        <f t="array" ref="AN1284">_xlfn.SWITCH(CleanEmployeeData[[#This Row],[PerformanceRating]],1,"Low",2,"Good",3,"Excellent",4,"Outstanding","Unknown")</f>
        <v>Excellent</v>
      </c>
      <c r="AO1284" t="str" cm="1">
        <f t="array" ref="AO1284">_xlfn.SWITCH(CleanEmployeeData[[#This Row],[WorkLifeBalance]],1,"Bad",2,"Good",3,"Better",4,"Best","Unknown")</f>
        <v>Better</v>
      </c>
      <c r="AP1284">
        <f>IF(CleanEmployeeData[[#This Row],[Attrition]]="Yes",1,IF(CleanEmployeeData[[#This Row],[Attrition]]="No",0,""))</f>
        <v>0</v>
      </c>
      <c r="AQ1284" t="str" cm="1">
        <f t="array" ref="AQ1284">_xlfn.IFS(CleanEmployeeData[[#This Row],[MonthlyIncome]]&lt;=3000,"0–3,000",CleanEmployeeData[[#This Row],[MonthlyIncome]]&lt;=6000,"3,001–6,000",CleanEmployeeData[[#This Row],[MonthlyIncome]]&lt;=10000,"6,001–10,000",TRUE,"10,001+")</f>
        <v>3,001–6,000</v>
      </c>
      <c r="AR1284" t="str" cm="1">
        <f t="array" ref="AR1284">_xlfn.IFS(CleanEmployeeData[[#This Row],[DistanceFromHome]]&lt;=5,"0–5 miles",CleanEmployeeData[[#This Row],[DistanceFromHome]]&lt;=10,"6–10 miles",CleanEmployeeData[[#This Row],[DistanceFromHome]]&lt;=15,"11–15 miles",TRUE,"16+ miles")</f>
        <v>6–10 miles</v>
      </c>
      <c r="AS1284" t="str" cm="1">
        <f t="array" ref="AS1284">_xlfn.IFS(CleanEmployeeData[[#This Row],[YearsAtCompany]]&lt;=1,"0–1 years",CleanEmployeeData[[#This Row],[YearsAtCompany]]&lt;=5,"2–5 years",CleanEmployeeData[[#This Row],[YearsAtCompany]]&lt;=10,"6–10 years",TRUE,"11+ years")</f>
        <v>6–10 years</v>
      </c>
    </row>
    <row r="1285" spans="1:4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cm="1">
        <f t="array" ref="AJ1285">_xlfn.SWITCH(CleanEmployeeData[[#This Row],[Education]],1,"Below College",2,"College",3,"Bachelor",4,"Master",5,"Doctor","Unknown")</f>
        <v>Bachelor</v>
      </c>
      <c r="AK1285" t="str" cm="1">
        <f t="array" ref="AK1285">_xlfn.SWITCH(CleanEmployeeData[[#This Row],[EnvironmentSatisfaction]],1,"Low",2,"Medium",3,"High",4,"Very High","Unknown")</f>
        <v>High</v>
      </c>
      <c r="AL1285" t="str" cm="1">
        <f t="array" ref="AL1285">_xlfn.SWITCH(CleanEmployeeData[[#This Row],[JobInvolvement]],1,"Low",2,"Medium",3,"High",4,"Very High","Unknown")</f>
        <v>High</v>
      </c>
      <c r="AM1285" t="str" cm="1">
        <f t="array" ref="AM1285">_xlfn.SWITCH(CleanEmployeeData[[#This Row],[JobSatisfaction]],1,"Low",2,"Medium",3,"High",4,"Very High","Unknown")</f>
        <v>Very High</v>
      </c>
      <c r="AN1285" t="str" cm="1">
        <f t="array" ref="AN1285">_xlfn.SWITCH(CleanEmployeeData[[#This Row],[PerformanceRating]],1,"Low",2,"Good",3,"Excellent",4,"Outstanding","Unknown")</f>
        <v>Excellent</v>
      </c>
      <c r="AO1285" t="str" cm="1">
        <f t="array" ref="AO1285">_xlfn.SWITCH(CleanEmployeeData[[#This Row],[WorkLifeBalance]],1,"Bad",2,"Good",3,"Better",4,"Best","Unknown")</f>
        <v>Best</v>
      </c>
      <c r="AP1285">
        <f>IF(CleanEmployeeData[[#This Row],[Attrition]]="Yes",1,IF(CleanEmployeeData[[#This Row],[Attrition]]="No",0,""))</f>
        <v>0</v>
      </c>
      <c r="AQ1285" t="str" cm="1">
        <f t="array" ref="AQ1285">_xlfn.IFS(CleanEmployeeData[[#This Row],[MonthlyIncome]]&lt;=3000,"0–3,000",CleanEmployeeData[[#This Row],[MonthlyIncome]]&lt;=6000,"3,001–6,000",CleanEmployeeData[[#This Row],[MonthlyIncome]]&lt;=10000,"6,001–10,000",TRUE,"10,001+")</f>
        <v>0–3,000</v>
      </c>
      <c r="AR1285" t="str" cm="1">
        <f t="array" ref="AR1285">_xlfn.IFS(CleanEmployeeData[[#This Row],[DistanceFromHome]]&lt;=5,"0–5 miles",CleanEmployeeData[[#This Row],[DistanceFromHome]]&lt;=10,"6–10 miles",CleanEmployeeData[[#This Row],[DistanceFromHome]]&lt;=15,"11–15 miles",TRUE,"16+ miles")</f>
        <v>0–5 miles</v>
      </c>
      <c r="AS1285" t="str" cm="1">
        <f t="array" ref="AS1285">_xlfn.IFS(CleanEmployeeData[[#This Row],[YearsAtCompany]]&lt;=1,"0–1 years",CleanEmployeeData[[#This Row],[YearsAtCompany]]&lt;=5,"2–5 years",CleanEmployeeData[[#This Row],[YearsAtCompany]]&lt;=10,"6–10 years",TRUE,"11+ years")</f>
        <v>2–5 years</v>
      </c>
    </row>
    <row r="1286" spans="1:4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cm="1">
        <f t="array" ref="AJ1286">_xlfn.SWITCH(CleanEmployeeData[[#This Row],[Education]],1,"Below College",2,"College",3,"Bachelor",4,"Master",5,"Doctor","Unknown")</f>
        <v>Below College</v>
      </c>
      <c r="AK1286" t="str" cm="1">
        <f t="array" ref="AK1286">_xlfn.SWITCH(CleanEmployeeData[[#This Row],[EnvironmentSatisfaction]],1,"Low",2,"Medium",3,"High",4,"Very High","Unknown")</f>
        <v>High</v>
      </c>
      <c r="AL1286" t="str" cm="1">
        <f t="array" ref="AL1286">_xlfn.SWITCH(CleanEmployeeData[[#This Row],[JobInvolvement]],1,"Low",2,"Medium",3,"High",4,"Very High","Unknown")</f>
        <v>High</v>
      </c>
      <c r="AM1286" t="str" cm="1">
        <f t="array" ref="AM1286">_xlfn.SWITCH(CleanEmployeeData[[#This Row],[JobSatisfaction]],1,"Low",2,"Medium",3,"High",4,"Very High","Unknown")</f>
        <v>High</v>
      </c>
      <c r="AN1286" t="str" cm="1">
        <f t="array" ref="AN1286">_xlfn.SWITCH(CleanEmployeeData[[#This Row],[PerformanceRating]],1,"Low",2,"Good",3,"Excellent",4,"Outstanding","Unknown")</f>
        <v>Outstanding</v>
      </c>
      <c r="AO1286" t="str" cm="1">
        <f t="array" ref="AO1286">_xlfn.SWITCH(CleanEmployeeData[[#This Row],[WorkLifeBalance]],1,"Bad",2,"Good",3,"Better",4,"Best","Unknown")</f>
        <v>Better</v>
      </c>
      <c r="AP1286">
        <f>IF(CleanEmployeeData[[#This Row],[Attrition]]="Yes",1,IF(CleanEmployeeData[[#This Row],[Attrition]]="No",0,""))</f>
        <v>0</v>
      </c>
      <c r="AQ1286" t="str" cm="1">
        <f t="array" ref="AQ1286">_xlfn.IFS(CleanEmployeeData[[#This Row],[MonthlyIncome]]&lt;=3000,"0–3,000",CleanEmployeeData[[#This Row],[MonthlyIncome]]&lt;=6000,"3,001–6,000",CleanEmployeeData[[#This Row],[MonthlyIncome]]&lt;=10000,"6,001–10,000",TRUE,"10,001+")</f>
        <v>10,001+</v>
      </c>
      <c r="AR1286" t="str" cm="1">
        <f t="array" ref="AR1286">_xlfn.IFS(CleanEmployeeData[[#This Row],[DistanceFromHome]]&lt;=5,"0–5 miles",CleanEmployeeData[[#This Row],[DistanceFromHome]]&lt;=10,"6–10 miles",CleanEmployeeData[[#This Row],[DistanceFromHome]]&lt;=15,"11–15 miles",TRUE,"16+ miles")</f>
        <v>6–10 miles</v>
      </c>
      <c r="AS1286" t="str" cm="1">
        <f t="array" ref="AS1286">_xlfn.IFS(CleanEmployeeData[[#This Row],[YearsAtCompany]]&lt;=1,"0–1 years",CleanEmployeeData[[#This Row],[YearsAtCompany]]&lt;=5,"2–5 years",CleanEmployeeData[[#This Row],[YearsAtCompany]]&lt;=10,"6–10 years",TRUE,"11+ years")</f>
        <v>2–5 years</v>
      </c>
    </row>
    <row r="1287" spans="1:4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cm="1">
        <f t="array" ref="AJ1287">_xlfn.SWITCH(CleanEmployeeData[[#This Row],[Education]],1,"Below College",2,"College",3,"Bachelor",4,"Master",5,"Doctor","Unknown")</f>
        <v>College</v>
      </c>
      <c r="AK1287" t="str" cm="1">
        <f t="array" ref="AK1287">_xlfn.SWITCH(CleanEmployeeData[[#This Row],[EnvironmentSatisfaction]],1,"Low",2,"Medium",3,"High",4,"Very High","Unknown")</f>
        <v>Medium</v>
      </c>
      <c r="AL1287" t="str" cm="1">
        <f t="array" ref="AL1287">_xlfn.SWITCH(CleanEmployeeData[[#This Row],[JobInvolvement]],1,"Low",2,"Medium",3,"High",4,"Very High","Unknown")</f>
        <v>Medium</v>
      </c>
      <c r="AM1287" t="str" cm="1">
        <f t="array" ref="AM1287">_xlfn.SWITCH(CleanEmployeeData[[#This Row],[JobSatisfaction]],1,"Low",2,"Medium",3,"High",4,"Very High","Unknown")</f>
        <v>Medium</v>
      </c>
      <c r="AN1287" t="str" cm="1">
        <f t="array" ref="AN1287">_xlfn.SWITCH(CleanEmployeeData[[#This Row],[PerformanceRating]],1,"Low",2,"Good",3,"Excellent",4,"Outstanding","Unknown")</f>
        <v>Excellent</v>
      </c>
      <c r="AO1287" t="str" cm="1">
        <f t="array" ref="AO1287">_xlfn.SWITCH(CleanEmployeeData[[#This Row],[WorkLifeBalance]],1,"Bad",2,"Good",3,"Better",4,"Best","Unknown")</f>
        <v>Better</v>
      </c>
      <c r="AP1287">
        <f>IF(CleanEmployeeData[[#This Row],[Attrition]]="Yes",1,IF(CleanEmployeeData[[#This Row],[Attrition]]="No",0,""))</f>
        <v>0</v>
      </c>
      <c r="AQ1287" t="str" cm="1">
        <f t="array" ref="AQ1287">_xlfn.IFS(CleanEmployeeData[[#This Row],[MonthlyIncome]]&lt;=3000,"0–3,000",CleanEmployeeData[[#This Row],[MonthlyIncome]]&lt;=6000,"3,001–6,000",CleanEmployeeData[[#This Row],[MonthlyIncome]]&lt;=10000,"6,001–10,000",TRUE,"10,001+")</f>
        <v>6,001–10,000</v>
      </c>
      <c r="AR1287" t="str" cm="1">
        <f t="array" ref="AR1287">_xlfn.IFS(CleanEmployeeData[[#This Row],[DistanceFromHome]]&lt;=5,"0–5 miles",CleanEmployeeData[[#This Row],[DistanceFromHome]]&lt;=10,"6–10 miles",CleanEmployeeData[[#This Row],[DistanceFromHome]]&lt;=15,"11–15 miles",TRUE,"16+ miles")</f>
        <v>16+ miles</v>
      </c>
      <c r="AS1287" t="str" cm="1">
        <f t="array" ref="AS1287">_xlfn.IFS(CleanEmployeeData[[#This Row],[YearsAtCompany]]&lt;=1,"0–1 years",CleanEmployeeData[[#This Row],[YearsAtCompany]]&lt;=5,"2–5 years",CleanEmployeeData[[#This Row],[YearsAtCompany]]&lt;=10,"6–10 years",TRUE,"11+ years")</f>
        <v>2–5 years</v>
      </c>
    </row>
    <row r="1288" spans="1:4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cm="1">
        <f t="array" ref="AJ1288">_xlfn.SWITCH(CleanEmployeeData[[#This Row],[Education]],1,"Below College",2,"College",3,"Bachelor",4,"Master",5,"Doctor","Unknown")</f>
        <v>College</v>
      </c>
      <c r="AK1288" t="str" cm="1">
        <f t="array" ref="AK1288">_xlfn.SWITCH(CleanEmployeeData[[#This Row],[EnvironmentSatisfaction]],1,"Low",2,"Medium",3,"High",4,"Very High","Unknown")</f>
        <v>High</v>
      </c>
      <c r="AL1288" t="str" cm="1">
        <f t="array" ref="AL1288">_xlfn.SWITCH(CleanEmployeeData[[#This Row],[JobInvolvement]],1,"Low",2,"Medium",3,"High",4,"Very High","Unknown")</f>
        <v>High</v>
      </c>
      <c r="AM1288" t="str" cm="1">
        <f t="array" ref="AM1288">_xlfn.SWITCH(CleanEmployeeData[[#This Row],[JobSatisfaction]],1,"Low",2,"Medium",3,"High",4,"Very High","Unknown")</f>
        <v>Low</v>
      </c>
      <c r="AN1288" t="str" cm="1">
        <f t="array" ref="AN1288">_xlfn.SWITCH(CleanEmployeeData[[#This Row],[PerformanceRating]],1,"Low",2,"Good",3,"Excellent",4,"Outstanding","Unknown")</f>
        <v>Excellent</v>
      </c>
      <c r="AO1288" t="str" cm="1">
        <f t="array" ref="AO1288">_xlfn.SWITCH(CleanEmployeeData[[#This Row],[WorkLifeBalance]],1,"Bad",2,"Good",3,"Better",4,"Best","Unknown")</f>
        <v>Good</v>
      </c>
      <c r="AP1288">
        <f>IF(CleanEmployeeData[[#This Row],[Attrition]]="Yes",1,IF(CleanEmployeeData[[#This Row],[Attrition]]="No",0,""))</f>
        <v>0</v>
      </c>
      <c r="AQ1288" t="str" cm="1">
        <f t="array" ref="AQ1288">_xlfn.IFS(CleanEmployeeData[[#This Row],[MonthlyIncome]]&lt;=3000,"0–3,000",CleanEmployeeData[[#This Row],[MonthlyIncome]]&lt;=6000,"3,001–6,000",CleanEmployeeData[[#This Row],[MonthlyIncome]]&lt;=10000,"6,001–10,000",TRUE,"10,001+")</f>
        <v>3,001–6,000</v>
      </c>
      <c r="AR1288" t="str" cm="1">
        <f t="array" ref="AR1288">_xlfn.IFS(CleanEmployeeData[[#This Row],[DistanceFromHome]]&lt;=5,"0–5 miles",CleanEmployeeData[[#This Row],[DistanceFromHome]]&lt;=10,"6–10 miles",CleanEmployeeData[[#This Row],[DistanceFromHome]]&lt;=15,"11–15 miles",TRUE,"16+ miles")</f>
        <v>0–5 miles</v>
      </c>
      <c r="AS1288" t="str" cm="1">
        <f t="array" ref="AS1288">_xlfn.IFS(CleanEmployeeData[[#This Row],[YearsAtCompany]]&lt;=1,"0–1 years",CleanEmployeeData[[#This Row],[YearsAtCompany]]&lt;=5,"2–5 years",CleanEmployeeData[[#This Row],[YearsAtCompany]]&lt;=10,"6–10 years",TRUE,"11+ years")</f>
        <v>2–5 years</v>
      </c>
    </row>
    <row r="1289" spans="1:4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cm="1">
        <f t="array" ref="AJ1289">_xlfn.SWITCH(CleanEmployeeData[[#This Row],[Education]],1,"Below College",2,"College",3,"Bachelor",4,"Master",5,"Doctor","Unknown")</f>
        <v>Bachelor</v>
      </c>
      <c r="AK1289" t="str" cm="1">
        <f t="array" ref="AK1289">_xlfn.SWITCH(CleanEmployeeData[[#This Row],[EnvironmentSatisfaction]],1,"Low",2,"Medium",3,"High",4,"Very High","Unknown")</f>
        <v>Medium</v>
      </c>
      <c r="AL1289" t="str" cm="1">
        <f t="array" ref="AL1289">_xlfn.SWITCH(CleanEmployeeData[[#This Row],[JobInvolvement]],1,"Low",2,"Medium",3,"High",4,"Very High","Unknown")</f>
        <v>Very High</v>
      </c>
      <c r="AM1289" t="str" cm="1">
        <f t="array" ref="AM1289">_xlfn.SWITCH(CleanEmployeeData[[#This Row],[JobSatisfaction]],1,"Low",2,"Medium",3,"High",4,"Very High","Unknown")</f>
        <v>Low</v>
      </c>
      <c r="AN1289" t="str" cm="1">
        <f t="array" ref="AN1289">_xlfn.SWITCH(CleanEmployeeData[[#This Row],[PerformanceRating]],1,"Low",2,"Good",3,"Excellent",4,"Outstanding","Unknown")</f>
        <v>Excellent</v>
      </c>
      <c r="AO1289" t="str" cm="1">
        <f t="array" ref="AO1289">_xlfn.SWITCH(CleanEmployeeData[[#This Row],[WorkLifeBalance]],1,"Bad",2,"Good",3,"Better",4,"Best","Unknown")</f>
        <v>Good</v>
      </c>
      <c r="AP1289">
        <f>IF(CleanEmployeeData[[#This Row],[Attrition]]="Yes",1,IF(CleanEmployeeData[[#This Row],[Attrition]]="No",0,""))</f>
        <v>0</v>
      </c>
      <c r="AQ1289" t="str" cm="1">
        <f t="array" ref="AQ1289">_xlfn.IFS(CleanEmployeeData[[#This Row],[MonthlyIncome]]&lt;=3000,"0–3,000",CleanEmployeeData[[#This Row],[MonthlyIncome]]&lt;=6000,"3,001–6,000",CleanEmployeeData[[#This Row],[MonthlyIncome]]&lt;=10000,"6,001–10,000",TRUE,"10,001+")</f>
        <v>3,001–6,000</v>
      </c>
      <c r="AR1289" t="str" cm="1">
        <f t="array" ref="AR1289">_xlfn.IFS(CleanEmployeeData[[#This Row],[DistanceFromHome]]&lt;=5,"0–5 miles",CleanEmployeeData[[#This Row],[DistanceFromHome]]&lt;=10,"6–10 miles",CleanEmployeeData[[#This Row],[DistanceFromHome]]&lt;=15,"11–15 miles",TRUE,"16+ miles")</f>
        <v>11–15 miles</v>
      </c>
      <c r="AS1289" t="str" cm="1">
        <f t="array" ref="AS1289">_xlfn.IFS(CleanEmployeeData[[#This Row],[YearsAtCompany]]&lt;=1,"0–1 years",CleanEmployeeData[[#This Row],[YearsAtCompany]]&lt;=5,"2–5 years",CleanEmployeeData[[#This Row],[YearsAtCompany]]&lt;=10,"6–10 years",TRUE,"11+ years")</f>
        <v>0–1 years</v>
      </c>
    </row>
    <row r="1290" spans="1:4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cm="1">
        <f t="array" ref="AJ1290">_xlfn.SWITCH(CleanEmployeeData[[#This Row],[Education]],1,"Below College",2,"College",3,"Bachelor",4,"Master",5,"Doctor","Unknown")</f>
        <v>College</v>
      </c>
      <c r="AK1290" t="str" cm="1">
        <f t="array" ref="AK1290">_xlfn.SWITCH(CleanEmployeeData[[#This Row],[EnvironmentSatisfaction]],1,"Low",2,"Medium",3,"High",4,"Very High","Unknown")</f>
        <v>Medium</v>
      </c>
      <c r="AL1290" t="str" cm="1">
        <f t="array" ref="AL1290">_xlfn.SWITCH(CleanEmployeeData[[#This Row],[JobInvolvement]],1,"Low",2,"Medium",3,"High",4,"Very High","Unknown")</f>
        <v>High</v>
      </c>
      <c r="AM1290" t="str" cm="1">
        <f t="array" ref="AM1290">_xlfn.SWITCH(CleanEmployeeData[[#This Row],[JobSatisfaction]],1,"Low",2,"Medium",3,"High",4,"Very High","Unknown")</f>
        <v>Very High</v>
      </c>
      <c r="AN1290" t="str" cm="1">
        <f t="array" ref="AN1290">_xlfn.SWITCH(CleanEmployeeData[[#This Row],[PerformanceRating]],1,"Low",2,"Good",3,"Excellent",4,"Outstanding","Unknown")</f>
        <v>Excellent</v>
      </c>
      <c r="AO1290" t="str" cm="1">
        <f t="array" ref="AO1290">_xlfn.SWITCH(CleanEmployeeData[[#This Row],[WorkLifeBalance]],1,"Bad",2,"Good",3,"Better",4,"Best","Unknown")</f>
        <v>Better</v>
      </c>
      <c r="AP1290">
        <f>IF(CleanEmployeeData[[#This Row],[Attrition]]="Yes",1,IF(CleanEmployeeData[[#This Row],[Attrition]]="No",0,""))</f>
        <v>0</v>
      </c>
      <c r="AQ1290" t="str" cm="1">
        <f t="array" ref="AQ1290">_xlfn.IFS(CleanEmployeeData[[#This Row],[MonthlyIncome]]&lt;=3000,"0–3,000",CleanEmployeeData[[#This Row],[MonthlyIncome]]&lt;=6000,"3,001–6,000",CleanEmployeeData[[#This Row],[MonthlyIncome]]&lt;=10000,"6,001–10,000",TRUE,"10,001+")</f>
        <v>3,001–6,000</v>
      </c>
      <c r="AR1290" t="str" cm="1">
        <f t="array" ref="AR1290">_xlfn.IFS(CleanEmployeeData[[#This Row],[DistanceFromHome]]&lt;=5,"0–5 miles",CleanEmployeeData[[#This Row],[DistanceFromHome]]&lt;=10,"6–10 miles",CleanEmployeeData[[#This Row],[DistanceFromHome]]&lt;=15,"11–15 miles",TRUE,"16+ miles")</f>
        <v>0–5 miles</v>
      </c>
      <c r="AS1290" t="str" cm="1">
        <f t="array" ref="AS1290">_xlfn.IFS(CleanEmployeeData[[#This Row],[YearsAtCompany]]&lt;=1,"0–1 years",CleanEmployeeData[[#This Row],[YearsAtCompany]]&lt;=5,"2–5 years",CleanEmployeeData[[#This Row],[YearsAtCompany]]&lt;=10,"6–10 years",TRUE,"11+ years")</f>
        <v>6–10 years</v>
      </c>
    </row>
    <row r="1291" spans="1:4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cm="1">
        <f t="array" ref="AJ1291">_xlfn.SWITCH(CleanEmployeeData[[#This Row],[Education]],1,"Below College",2,"College",3,"Bachelor",4,"Master",5,"Doctor","Unknown")</f>
        <v>Bachelor</v>
      </c>
      <c r="AK1291" t="str" cm="1">
        <f t="array" ref="AK1291">_xlfn.SWITCH(CleanEmployeeData[[#This Row],[EnvironmentSatisfaction]],1,"Low",2,"Medium",3,"High",4,"Very High","Unknown")</f>
        <v>Low</v>
      </c>
      <c r="AL1291" t="str" cm="1">
        <f t="array" ref="AL1291">_xlfn.SWITCH(CleanEmployeeData[[#This Row],[JobInvolvement]],1,"Low",2,"Medium",3,"High",4,"Very High","Unknown")</f>
        <v>High</v>
      </c>
      <c r="AM1291" t="str" cm="1">
        <f t="array" ref="AM1291">_xlfn.SWITCH(CleanEmployeeData[[#This Row],[JobSatisfaction]],1,"Low",2,"Medium",3,"High",4,"Very High","Unknown")</f>
        <v>Medium</v>
      </c>
      <c r="AN1291" t="str" cm="1">
        <f t="array" ref="AN1291">_xlfn.SWITCH(CleanEmployeeData[[#This Row],[PerformanceRating]],1,"Low",2,"Good",3,"Excellent",4,"Outstanding","Unknown")</f>
        <v>Excellent</v>
      </c>
      <c r="AO1291" t="str" cm="1">
        <f t="array" ref="AO1291">_xlfn.SWITCH(CleanEmployeeData[[#This Row],[WorkLifeBalance]],1,"Bad",2,"Good",3,"Better",4,"Best","Unknown")</f>
        <v>Better</v>
      </c>
      <c r="AP1291">
        <f>IF(CleanEmployeeData[[#This Row],[Attrition]]="Yes",1,IF(CleanEmployeeData[[#This Row],[Attrition]]="No",0,""))</f>
        <v>0</v>
      </c>
      <c r="AQ1291" t="str" cm="1">
        <f t="array" ref="AQ1291">_xlfn.IFS(CleanEmployeeData[[#This Row],[MonthlyIncome]]&lt;=3000,"0–3,000",CleanEmployeeData[[#This Row],[MonthlyIncome]]&lt;=6000,"3,001–6,000",CleanEmployeeData[[#This Row],[MonthlyIncome]]&lt;=10000,"6,001–10,000",TRUE,"10,001+")</f>
        <v>0–3,000</v>
      </c>
      <c r="AR1291" t="str" cm="1">
        <f t="array" ref="AR1291">_xlfn.IFS(CleanEmployeeData[[#This Row],[DistanceFromHome]]&lt;=5,"0–5 miles",CleanEmployeeData[[#This Row],[DistanceFromHome]]&lt;=10,"6–10 miles",CleanEmployeeData[[#This Row],[DistanceFromHome]]&lt;=15,"11–15 miles",TRUE,"16+ miles")</f>
        <v>0–5 miles</v>
      </c>
      <c r="AS1291" t="str" cm="1">
        <f t="array" ref="AS1291">_xlfn.IFS(CleanEmployeeData[[#This Row],[YearsAtCompany]]&lt;=1,"0–1 years",CleanEmployeeData[[#This Row],[YearsAtCompany]]&lt;=5,"2–5 years",CleanEmployeeData[[#This Row],[YearsAtCompany]]&lt;=10,"6–10 years",TRUE,"11+ years")</f>
        <v>11+ years</v>
      </c>
    </row>
    <row r="1292" spans="1:4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cm="1">
        <f t="array" ref="AJ1292">_xlfn.SWITCH(CleanEmployeeData[[#This Row],[Education]],1,"Below College",2,"College",3,"Bachelor",4,"Master",5,"Doctor","Unknown")</f>
        <v>Master</v>
      </c>
      <c r="AK1292" t="str" cm="1">
        <f t="array" ref="AK1292">_xlfn.SWITCH(CleanEmployeeData[[#This Row],[EnvironmentSatisfaction]],1,"Low",2,"Medium",3,"High",4,"Very High","Unknown")</f>
        <v>Very High</v>
      </c>
      <c r="AL1292" t="str" cm="1">
        <f t="array" ref="AL1292">_xlfn.SWITCH(CleanEmployeeData[[#This Row],[JobInvolvement]],1,"Low",2,"Medium",3,"High",4,"Very High","Unknown")</f>
        <v>High</v>
      </c>
      <c r="AM1292" t="str" cm="1">
        <f t="array" ref="AM1292">_xlfn.SWITCH(CleanEmployeeData[[#This Row],[JobSatisfaction]],1,"Low",2,"Medium",3,"High",4,"Very High","Unknown")</f>
        <v>Low</v>
      </c>
      <c r="AN1292" t="str" cm="1">
        <f t="array" ref="AN1292">_xlfn.SWITCH(CleanEmployeeData[[#This Row],[PerformanceRating]],1,"Low",2,"Good",3,"Excellent",4,"Outstanding","Unknown")</f>
        <v>Excellent</v>
      </c>
      <c r="AO1292" t="str" cm="1">
        <f t="array" ref="AO1292">_xlfn.SWITCH(CleanEmployeeData[[#This Row],[WorkLifeBalance]],1,"Bad",2,"Good",3,"Better",4,"Best","Unknown")</f>
        <v>Good</v>
      </c>
      <c r="AP1292">
        <f>IF(CleanEmployeeData[[#This Row],[Attrition]]="Yes",1,IF(CleanEmployeeData[[#This Row],[Attrition]]="No",0,""))</f>
        <v>1</v>
      </c>
      <c r="AQ1292" t="str" cm="1">
        <f t="array" ref="AQ1292">_xlfn.IFS(CleanEmployeeData[[#This Row],[MonthlyIncome]]&lt;=3000,"0–3,000",CleanEmployeeData[[#This Row],[MonthlyIncome]]&lt;=6000,"3,001–6,000",CleanEmployeeData[[#This Row],[MonthlyIncome]]&lt;=10000,"6,001–10,000",TRUE,"10,001+")</f>
        <v>3,001–6,000</v>
      </c>
      <c r="AR1292" t="str" cm="1">
        <f t="array" ref="AR1292">_xlfn.IFS(CleanEmployeeData[[#This Row],[DistanceFromHome]]&lt;=5,"0–5 miles",CleanEmployeeData[[#This Row],[DistanceFromHome]]&lt;=10,"6–10 miles",CleanEmployeeData[[#This Row],[DistanceFromHome]]&lt;=15,"11–15 miles",TRUE,"16+ miles")</f>
        <v>6–10 miles</v>
      </c>
      <c r="AS1292" t="str" cm="1">
        <f t="array" ref="AS1292">_xlfn.IFS(CleanEmployeeData[[#This Row],[YearsAtCompany]]&lt;=1,"0–1 years",CleanEmployeeData[[#This Row],[YearsAtCompany]]&lt;=5,"2–5 years",CleanEmployeeData[[#This Row],[YearsAtCompany]]&lt;=10,"6–10 years",TRUE,"11+ years")</f>
        <v>6–10 years</v>
      </c>
    </row>
    <row r="1293" spans="1:4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cm="1">
        <f t="array" ref="AJ1293">_xlfn.SWITCH(CleanEmployeeData[[#This Row],[Education]],1,"Below College",2,"College",3,"Bachelor",4,"Master",5,"Doctor","Unknown")</f>
        <v>Master</v>
      </c>
      <c r="AK1293" t="str" cm="1">
        <f t="array" ref="AK1293">_xlfn.SWITCH(CleanEmployeeData[[#This Row],[EnvironmentSatisfaction]],1,"Low",2,"Medium",3,"High",4,"Very High","Unknown")</f>
        <v>Very High</v>
      </c>
      <c r="AL1293" t="str" cm="1">
        <f t="array" ref="AL1293">_xlfn.SWITCH(CleanEmployeeData[[#This Row],[JobInvolvement]],1,"Low",2,"Medium",3,"High",4,"Very High","Unknown")</f>
        <v>High</v>
      </c>
      <c r="AM1293" t="str" cm="1">
        <f t="array" ref="AM1293">_xlfn.SWITCH(CleanEmployeeData[[#This Row],[JobSatisfaction]],1,"Low",2,"Medium",3,"High",4,"Very High","Unknown")</f>
        <v>Low</v>
      </c>
      <c r="AN1293" t="str" cm="1">
        <f t="array" ref="AN1293">_xlfn.SWITCH(CleanEmployeeData[[#This Row],[PerformanceRating]],1,"Low",2,"Good",3,"Excellent",4,"Outstanding","Unknown")</f>
        <v>Excellent</v>
      </c>
      <c r="AO1293" t="str" cm="1">
        <f t="array" ref="AO1293">_xlfn.SWITCH(CleanEmployeeData[[#This Row],[WorkLifeBalance]],1,"Bad",2,"Good",3,"Better",4,"Best","Unknown")</f>
        <v>Bad</v>
      </c>
      <c r="AP1293">
        <f>IF(CleanEmployeeData[[#This Row],[Attrition]]="Yes",1,IF(CleanEmployeeData[[#This Row],[Attrition]]="No",0,""))</f>
        <v>1</v>
      </c>
      <c r="AQ1293" t="str" cm="1">
        <f t="array" ref="AQ1293">_xlfn.IFS(CleanEmployeeData[[#This Row],[MonthlyIncome]]&lt;=3000,"0–3,000",CleanEmployeeData[[#This Row],[MonthlyIncome]]&lt;=6000,"3,001–6,000",CleanEmployeeData[[#This Row],[MonthlyIncome]]&lt;=10000,"6,001–10,000",TRUE,"10,001+")</f>
        <v>3,001–6,000</v>
      </c>
      <c r="AR1293" t="str" cm="1">
        <f t="array" ref="AR1293">_xlfn.IFS(CleanEmployeeData[[#This Row],[DistanceFromHome]]&lt;=5,"0–5 miles",CleanEmployeeData[[#This Row],[DistanceFromHome]]&lt;=10,"6–10 miles",CleanEmployeeData[[#This Row],[DistanceFromHome]]&lt;=15,"11–15 miles",TRUE,"16+ miles")</f>
        <v>6–10 miles</v>
      </c>
      <c r="AS1293" t="str" cm="1">
        <f t="array" ref="AS1293">_xlfn.IFS(CleanEmployeeData[[#This Row],[YearsAtCompany]]&lt;=1,"0–1 years",CleanEmployeeData[[#This Row],[YearsAtCompany]]&lt;=5,"2–5 years",CleanEmployeeData[[#This Row],[YearsAtCompany]]&lt;=10,"6–10 years",TRUE,"11+ years")</f>
        <v>6–10 years</v>
      </c>
    </row>
    <row r="1294" spans="1:4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cm="1">
        <f t="array" ref="AJ1294">_xlfn.SWITCH(CleanEmployeeData[[#This Row],[Education]],1,"Below College",2,"College",3,"Bachelor",4,"Master",5,"Doctor","Unknown")</f>
        <v>Bachelor</v>
      </c>
      <c r="AK1294" t="str" cm="1">
        <f t="array" ref="AK1294">_xlfn.SWITCH(CleanEmployeeData[[#This Row],[EnvironmentSatisfaction]],1,"Low",2,"Medium",3,"High",4,"Very High","Unknown")</f>
        <v>High</v>
      </c>
      <c r="AL1294" t="str" cm="1">
        <f t="array" ref="AL1294">_xlfn.SWITCH(CleanEmployeeData[[#This Row],[JobInvolvement]],1,"Low",2,"Medium",3,"High",4,"Very High","Unknown")</f>
        <v>High</v>
      </c>
      <c r="AM1294" t="str" cm="1">
        <f t="array" ref="AM1294">_xlfn.SWITCH(CleanEmployeeData[[#This Row],[JobSatisfaction]],1,"Low",2,"Medium",3,"High",4,"Very High","Unknown")</f>
        <v>Very High</v>
      </c>
      <c r="AN1294" t="str" cm="1">
        <f t="array" ref="AN1294">_xlfn.SWITCH(CleanEmployeeData[[#This Row],[PerformanceRating]],1,"Low",2,"Good",3,"Excellent",4,"Outstanding","Unknown")</f>
        <v>Excellent</v>
      </c>
      <c r="AO1294" t="str" cm="1">
        <f t="array" ref="AO1294">_xlfn.SWITCH(CleanEmployeeData[[#This Row],[WorkLifeBalance]],1,"Bad",2,"Good",3,"Better",4,"Best","Unknown")</f>
        <v>Better</v>
      </c>
      <c r="AP1294">
        <f>IF(CleanEmployeeData[[#This Row],[Attrition]]="Yes",1,IF(CleanEmployeeData[[#This Row],[Attrition]]="No",0,""))</f>
        <v>0</v>
      </c>
      <c r="AQ1294" t="str" cm="1">
        <f t="array" ref="AQ1294">_xlfn.IFS(CleanEmployeeData[[#This Row],[MonthlyIncome]]&lt;=3000,"0–3,000",CleanEmployeeData[[#This Row],[MonthlyIncome]]&lt;=6000,"3,001–6,000",CleanEmployeeData[[#This Row],[MonthlyIncome]]&lt;=10000,"6,001–10,000",TRUE,"10,001+")</f>
        <v>3,001–6,000</v>
      </c>
      <c r="AR1294" t="str" cm="1">
        <f t="array" ref="AR1294">_xlfn.IFS(CleanEmployeeData[[#This Row],[DistanceFromHome]]&lt;=5,"0–5 miles",CleanEmployeeData[[#This Row],[DistanceFromHome]]&lt;=10,"6–10 miles",CleanEmployeeData[[#This Row],[DistanceFromHome]]&lt;=15,"11–15 miles",TRUE,"16+ miles")</f>
        <v>16+ miles</v>
      </c>
      <c r="AS1294" t="str" cm="1">
        <f t="array" ref="AS1294">_xlfn.IFS(CleanEmployeeData[[#This Row],[YearsAtCompany]]&lt;=1,"0–1 years",CleanEmployeeData[[#This Row],[YearsAtCompany]]&lt;=5,"2–5 years",CleanEmployeeData[[#This Row],[YearsAtCompany]]&lt;=10,"6–10 years",TRUE,"11+ years")</f>
        <v>2–5 years</v>
      </c>
    </row>
    <row r="1295" spans="1:4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cm="1">
        <f t="array" ref="AJ1295">_xlfn.SWITCH(CleanEmployeeData[[#This Row],[Education]],1,"Below College",2,"College",3,"Bachelor",4,"Master",5,"Doctor","Unknown")</f>
        <v>Bachelor</v>
      </c>
      <c r="AK1295" t="str" cm="1">
        <f t="array" ref="AK1295">_xlfn.SWITCH(CleanEmployeeData[[#This Row],[EnvironmentSatisfaction]],1,"Low",2,"Medium",3,"High",4,"Very High","Unknown")</f>
        <v>Low</v>
      </c>
      <c r="AL1295" t="str" cm="1">
        <f t="array" ref="AL1295">_xlfn.SWITCH(CleanEmployeeData[[#This Row],[JobInvolvement]],1,"Low",2,"Medium",3,"High",4,"Very High","Unknown")</f>
        <v>High</v>
      </c>
      <c r="AM1295" t="str" cm="1">
        <f t="array" ref="AM1295">_xlfn.SWITCH(CleanEmployeeData[[#This Row],[JobSatisfaction]],1,"Low",2,"Medium",3,"High",4,"Very High","Unknown")</f>
        <v>High</v>
      </c>
      <c r="AN1295" t="str" cm="1">
        <f t="array" ref="AN1295">_xlfn.SWITCH(CleanEmployeeData[[#This Row],[PerformanceRating]],1,"Low",2,"Good",3,"Excellent",4,"Outstanding","Unknown")</f>
        <v>Excellent</v>
      </c>
      <c r="AO1295" t="str" cm="1">
        <f t="array" ref="AO1295">_xlfn.SWITCH(CleanEmployeeData[[#This Row],[WorkLifeBalance]],1,"Bad",2,"Good",3,"Better",4,"Best","Unknown")</f>
        <v>Good</v>
      </c>
      <c r="AP1295">
        <f>IF(CleanEmployeeData[[#This Row],[Attrition]]="Yes",1,IF(CleanEmployeeData[[#This Row],[Attrition]]="No",0,""))</f>
        <v>0</v>
      </c>
      <c r="AQ1295" t="str" cm="1">
        <f t="array" ref="AQ1295">_xlfn.IFS(CleanEmployeeData[[#This Row],[MonthlyIncome]]&lt;=3000,"0–3,000",CleanEmployeeData[[#This Row],[MonthlyIncome]]&lt;=6000,"3,001–6,000",CleanEmployeeData[[#This Row],[MonthlyIncome]]&lt;=10000,"6,001–10,000",TRUE,"10,001+")</f>
        <v>0–3,000</v>
      </c>
      <c r="AR1295" t="str" cm="1">
        <f t="array" ref="AR1295">_xlfn.IFS(CleanEmployeeData[[#This Row],[DistanceFromHome]]&lt;=5,"0–5 miles",CleanEmployeeData[[#This Row],[DistanceFromHome]]&lt;=10,"6–10 miles",CleanEmployeeData[[#This Row],[DistanceFromHome]]&lt;=15,"11–15 miles",TRUE,"16+ miles")</f>
        <v>6–10 miles</v>
      </c>
      <c r="AS1295" t="str" cm="1">
        <f t="array" ref="AS1295">_xlfn.IFS(CleanEmployeeData[[#This Row],[YearsAtCompany]]&lt;=1,"0–1 years",CleanEmployeeData[[#This Row],[YearsAtCompany]]&lt;=5,"2–5 years",CleanEmployeeData[[#This Row],[YearsAtCompany]]&lt;=10,"6–10 years",TRUE,"11+ years")</f>
        <v>2–5 years</v>
      </c>
    </row>
    <row r="1296" spans="1:4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cm="1">
        <f t="array" ref="AJ1296">_xlfn.SWITCH(CleanEmployeeData[[#This Row],[Education]],1,"Below College",2,"College",3,"Bachelor",4,"Master",5,"Doctor","Unknown")</f>
        <v>Bachelor</v>
      </c>
      <c r="AK1296" t="str" cm="1">
        <f t="array" ref="AK1296">_xlfn.SWITCH(CleanEmployeeData[[#This Row],[EnvironmentSatisfaction]],1,"Low",2,"Medium",3,"High",4,"Very High","Unknown")</f>
        <v>Medium</v>
      </c>
      <c r="AL1296" t="str" cm="1">
        <f t="array" ref="AL1296">_xlfn.SWITCH(CleanEmployeeData[[#This Row],[JobInvolvement]],1,"Low",2,"Medium",3,"High",4,"Very High","Unknown")</f>
        <v>Very High</v>
      </c>
      <c r="AM1296" t="str" cm="1">
        <f t="array" ref="AM1296">_xlfn.SWITCH(CleanEmployeeData[[#This Row],[JobSatisfaction]],1,"Low",2,"Medium",3,"High",4,"Very High","Unknown")</f>
        <v>Medium</v>
      </c>
      <c r="AN1296" t="str" cm="1">
        <f t="array" ref="AN1296">_xlfn.SWITCH(CleanEmployeeData[[#This Row],[PerformanceRating]],1,"Low",2,"Good",3,"Excellent",4,"Outstanding","Unknown")</f>
        <v>Excellent</v>
      </c>
      <c r="AO1296" t="str" cm="1">
        <f t="array" ref="AO1296">_xlfn.SWITCH(CleanEmployeeData[[#This Row],[WorkLifeBalance]],1,"Bad",2,"Good",3,"Better",4,"Best","Unknown")</f>
        <v>Bad</v>
      </c>
      <c r="AP1296">
        <f>IF(CleanEmployeeData[[#This Row],[Attrition]]="Yes",1,IF(CleanEmployeeData[[#This Row],[Attrition]]="No",0,""))</f>
        <v>0</v>
      </c>
      <c r="AQ1296" t="str" cm="1">
        <f t="array" ref="AQ1296">_xlfn.IFS(CleanEmployeeData[[#This Row],[MonthlyIncome]]&lt;=3000,"0–3,000",CleanEmployeeData[[#This Row],[MonthlyIncome]]&lt;=6000,"3,001–6,000",CleanEmployeeData[[#This Row],[MonthlyIncome]]&lt;=10000,"6,001–10,000",TRUE,"10,001+")</f>
        <v>6,001–10,000</v>
      </c>
      <c r="AR1296" t="str" cm="1">
        <f t="array" ref="AR1296">_xlfn.IFS(CleanEmployeeData[[#This Row],[DistanceFromHome]]&lt;=5,"0–5 miles",CleanEmployeeData[[#This Row],[DistanceFromHome]]&lt;=10,"6–10 miles",CleanEmployeeData[[#This Row],[DistanceFromHome]]&lt;=15,"11–15 miles",TRUE,"16+ miles")</f>
        <v>0–5 miles</v>
      </c>
      <c r="AS1296" t="str" cm="1">
        <f t="array" ref="AS1296">_xlfn.IFS(CleanEmployeeData[[#This Row],[YearsAtCompany]]&lt;=1,"0–1 years",CleanEmployeeData[[#This Row],[YearsAtCompany]]&lt;=5,"2–5 years",CleanEmployeeData[[#This Row],[YearsAtCompany]]&lt;=10,"6–10 years",TRUE,"11+ years")</f>
        <v>2–5 years</v>
      </c>
    </row>
    <row r="1297" spans="1:4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cm="1">
        <f t="array" ref="AJ1297">_xlfn.SWITCH(CleanEmployeeData[[#This Row],[Education]],1,"Below College",2,"College",3,"Bachelor",4,"Master",5,"Doctor","Unknown")</f>
        <v>Below College</v>
      </c>
      <c r="AK1297" t="str" cm="1">
        <f t="array" ref="AK1297">_xlfn.SWITCH(CleanEmployeeData[[#This Row],[EnvironmentSatisfaction]],1,"Low",2,"Medium",3,"High",4,"Very High","Unknown")</f>
        <v>High</v>
      </c>
      <c r="AL1297" t="str" cm="1">
        <f t="array" ref="AL1297">_xlfn.SWITCH(CleanEmployeeData[[#This Row],[JobInvolvement]],1,"Low",2,"Medium",3,"High",4,"Very High","Unknown")</f>
        <v>High</v>
      </c>
      <c r="AM1297" t="str" cm="1">
        <f t="array" ref="AM1297">_xlfn.SWITCH(CleanEmployeeData[[#This Row],[JobSatisfaction]],1,"Low",2,"Medium",3,"High",4,"Very High","Unknown")</f>
        <v>High</v>
      </c>
      <c r="AN1297" t="str" cm="1">
        <f t="array" ref="AN1297">_xlfn.SWITCH(CleanEmployeeData[[#This Row],[PerformanceRating]],1,"Low",2,"Good",3,"Excellent",4,"Outstanding","Unknown")</f>
        <v>Excellent</v>
      </c>
      <c r="AO1297" t="str" cm="1">
        <f t="array" ref="AO1297">_xlfn.SWITCH(CleanEmployeeData[[#This Row],[WorkLifeBalance]],1,"Bad",2,"Good",3,"Better",4,"Best","Unknown")</f>
        <v>Best</v>
      </c>
      <c r="AP1297">
        <f>IF(CleanEmployeeData[[#This Row],[Attrition]]="Yes",1,IF(CleanEmployeeData[[#This Row],[Attrition]]="No",0,""))</f>
        <v>0</v>
      </c>
      <c r="AQ1297" t="str" cm="1">
        <f t="array" ref="AQ1297">_xlfn.IFS(CleanEmployeeData[[#This Row],[MonthlyIncome]]&lt;=3000,"0–3,000",CleanEmployeeData[[#This Row],[MonthlyIncome]]&lt;=6000,"3,001–6,000",CleanEmployeeData[[#This Row],[MonthlyIncome]]&lt;=10000,"6,001–10,000",TRUE,"10,001+")</f>
        <v>10,001+</v>
      </c>
      <c r="AR1297" t="str" cm="1">
        <f t="array" ref="AR1297">_xlfn.IFS(CleanEmployeeData[[#This Row],[DistanceFromHome]]&lt;=5,"0–5 miles",CleanEmployeeData[[#This Row],[DistanceFromHome]]&lt;=10,"6–10 miles",CleanEmployeeData[[#This Row],[DistanceFromHome]]&lt;=15,"11–15 miles",TRUE,"16+ miles")</f>
        <v>0–5 miles</v>
      </c>
      <c r="AS1297" t="str" cm="1">
        <f t="array" ref="AS1297">_xlfn.IFS(CleanEmployeeData[[#This Row],[YearsAtCompany]]&lt;=1,"0–1 years",CleanEmployeeData[[#This Row],[YearsAtCompany]]&lt;=5,"2–5 years",CleanEmployeeData[[#This Row],[YearsAtCompany]]&lt;=10,"6–10 years",TRUE,"11+ years")</f>
        <v>11+ years</v>
      </c>
    </row>
    <row r="1298" spans="1:4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cm="1">
        <f t="array" ref="AJ1298">_xlfn.SWITCH(CleanEmployeeData[[#This Row],[Education]],1,"Below College",2,"College",3,"Bachelor",4,"Master",5,"Doctor","Unknown")</f>
        <v>Bachelor</v>
      </c>
      <c r="AK1298" t="str" cm="1">
        <f t="array" ref="AK1298">_xlfn.SWITCH(CleanEmployeeData[[#This Row],[EnvironmentSatisfaction]],1,"Low",2,"Medium",3,"High",4,"Very High","Unknown")</f>
        <v>Low</v>
      </c>
      <c r="AL1298" t="str" cm="1">
        <f t="array" ref="AL1298">_xlfn.SWITCH(CleanEmployeeData[[#This Row],[JobInvolvement]],1,"Low",2,"Medium",3,"High",4,"Very High","Unknown")</f>
        <v>High</v>
      </c>
      <c r="AM1298" t="str" cm="1">
        <f t="array" ref="AM1298">_xlfn.SWITCH(CleanEmployeeData[[#This Row],[JobSatisfaction]],1,"Low",2,"Medium",3,"High",4,"Very High","Unknown")</f>
        <v>High</v>
      </c>
      <c r="AN1298" t="str" cm="1">
        <f t="array" ref="AN1298">_xlfn.SWITCH(CleanEmployeeData[[#This Row],[PerformanceRating]],1,"Low",2,"Good",3,"Excellent",4,"Outstanding","Unknown")</f>
        <v>Excellent</v>
      </c>
      <c r="AO1298" t="str" cm="1">
        <f t="array" ref="AO1298">_xlfn.SWITCH(CleanEmployeeData[[#This Row],[WorkLifeBalance]],1,"Bad",2,"Good",3,"Better",4,"Best","Unknown")</f>
        <v>Better</v>
      </c>
      <c r="AP1298">
        <f>IF(CleanEmployeeData[[#This Row],[Attrition]]="Yes",1,IF(CleanEmployeeData[[#This Row],[Attrition]]="No",0,""))</f>
        <v>0</v>
      </c>
      <c r="AQ1298" t="str" cm="1">
        <f t="array" ref="AQ1298">_xlfn.IFS(CleanEmployeeData[[#This Row],[MonthlyIncome]]&lt;=3000,"0–3,000",CleanEmployeeData[[#This Row],[MonthlyIncome]]&lt;=6000,"3,001–6,000",CleanEmployeeData[[#This Row],[MonthlyIncome]]&lt;=10000,"6,001–10,000",TRUE,"10,001+")</f>
        <v>6,001–10,000</v>
      </c>
      <c r="AR1298" t="str" cm="1">
        <f t="array" ref="AR1298">_xlfn.IFS(CleanEmployeeData[[#This Row],[DistanceFromHome]]&lt;=5,"0–5 miles",CleanEmployeeData[[#This Row],[DistanceFromHome]]&lt;=10,"6–10 miles",CleanEmployeeData[[#This Row],[DistanceFromHome]]&lt;=15,"11–15 miles",TRUE,"16+ miles")</f>
        <v>6–10 miles</v>
      </c>
      <c r="AS1298" t="str" cm="1">
        <f t="array" ref="AS1298">_xlfn.IFS(CleanEmployeeData[[#This Row],[YearsAtCompany]]&lt;=1,"0–1 years",CleanEmployeeData[[#This Row],[YearsAtCompany]]&lt;=5,"2–5 years",CleanEmployeeData[[#This Row],[YearsAtCompany]]&lt;=10,"6–10 years",TRUE,"11+ years")</f>
        <v>6–10 years</v>
      </c>
    </row>
    <row r="1299" spans="1:4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cm="1">
        <f t="array" ref="AJ1299">_xlfn.SWITCH(CleanEmployeeData[[#This Row],[Education]],1,"Below College",2,"College",3,"Bachelor",4,"Master",5,"Doctor","Unknown")</f>
        <v>College</v>
      </c>
      <c r="AK1299" t="str" cm="1">
        <f t="array" ref="AK1299">_xlfn.SWITCH(CleanEmployeeData[[#This Row],[EnvironmentSatisfaction]],1,"Low",2,"Medium",3,"High",4,"Very High","Unknown")</f>
        <v>Very High</v>
      </c>
      <c r="AL1299" t="str" cm="1">
        <f t="array" ref="AL1299">_xlfn.SWITCH(CleanEmployeeData[[#This Row],[JobInvolvement]],1,"Low",2,"Medium",3,"High",4,"Very High","Unknown")</f>
        <v>High</v>
      </c>
      <c r="AM1299" t="str" cm="1">
        <f t="array" ref="AM1299">_xlfn.SWITCH(CleanEmployeeData[[#This Row],[JobSatisfaction]],1,"Low",2,"Medium",3,"High",4,"Very High","Unknown")</f>
        <v>Medium</v>
      </c>
      <c r="AN1299" t="str" cm="1">
        <f t="array" ref="AN1299">_xlfn.SWITCH(CleanEmployeeData[[#This Row],[PerformanceRating]],1,"Low",2,"Good",3,"Excellent",4,"Outstanding","Unknown")</f>
        <v>Excellent</v>
      </c>
      <c r="AO1299" t="str" cm="1">
        <f t="array" ref="AO1299">_xlfn.SWITCH(CleanEmployeeData[[#This Row],[WorkLifeBalance]],1,"Bad",2,"Good",3,"Better",4,"Best","Unknown")</f>
        <v>Better</v>
      </c>
      <c r="AP1299">
        <f>IF(CleanEmployeeData[[#This Row],[Attrition]]="Yes",1,IF(CleanEmployeeData[[#This Row],[Attrition]]="No",0,""))</f>
        <v>1</v>
      </c>
      <c r="AQ1299" t="str" cm="1">
        <f t="array" ref="AQ1299">_xlfn.IFS(CleanEmployeeData[[#This Row],[MonthlyIncome]]&lt;=3000,"0–3,000",CleanEmployeeData[[#This Row],[MonthlyIncome]]&lt;=6000,"3,001–6,000",CleanEmployeeData[[#This Row],[MonthlyIncome]]&lt;=10000,"6,001–10,000",TRUE,"10,001+")</f>
        <v>0–3,000</v>
      </c>
      <c r="AR1299" t="str" cm="1">
        <f t="array" ref="AR1299">_xlfn.IFS(CleanEmployeeData[[#This Row],[DistanceFromHome]]&lt;=5,"0–5 miles",CleanEmployeeData[[#This Row],[DistanceFromHome]]&lt;=10,"6–10 miles",CleanEmployeeData[[#This Row],[DistanceFromHome]]&lt;=15,"11–15 miles",TRUE,"16+ miles")</f>
        <v>16+ miles</v>
      </c>
      <c r="AS1299" t="str" cm="1">
        <f t="array" ref="AS1299">_xlfn.IFS(CleanEmployeeData[[#This Row],[YearsAtCompany]]&lt;=1,"0–1 years",CleanEmployeeData[[#This Row],[YearsAtCompany]]&lt;=5,"2–5 years",CleanEmployeeData[[#This Row],[YearsAtCompany]]&lt;=10,"6–10 years",TRUE,"11+ years")</f>
        <v>2–5 years</v>
      </c>
    </row>
    <row r="1300" spans="1:4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cm="1">
        <f t="array" ref="AJ1300">_xlfn.SWITCH(CleanEmployeeData[[#This Row],[Education]],1,"Below College",2,"College",3,"Bachelor",4,"Master",5,"Doctor","Unknown")</f>
        <v>College</v>
      </c>
      <c r="AK1300" t="str" cm="1">
        <f t="array" ref="AK1300">_xlfn.SWITCH(CleanEmployeeData[[#This Row],[EnvironmentSatisfaction]],1,"Low",2,"Medium",3,"High",4,"Very High","Unknown")</f>
        <v>Very High</v>
      </c>
      <c r="AL1300" t="str" cm="1">
        <f t="array" ref="AL1300">_xlfn.SWITCH(CleanEmployeeData[[#This Row],[JobInvolvement]],1,"Low",2,"Medium",3,"High",4,"Very High","Unknown")</f>
        <v>High</v>
      </c>
      <c r="AM1300" t="str" cm="1">
        <f t="array" ref="AM1300">_xlfn.SWITCH(CleanEmployeeData[[#This Row],[JobSatisfaction]],1,"Low",2,"Medium",3,"High",4,"Very High","Unknown")</f>
        <v>Medium</v>
      </c>
      <c r="AN1300" t="str" cm="1">
        <f t="array" ref="AN1300">_xlfn.SWITCH(CleanEmployeeData[[#This Row],[PerformanceRating]],1,"Low",2,"Good",3,"Excellent",4,"Outstanding","Unknown")</f>
        <v>Outstanding</v>
      </c>
      <c r="AO1300" t="str" cm="1">
        <f t="array" ref="AO1300">_xlfn.SWITCH(CleanEmployeeData[[#This Row],[WorkLifeBalance]],1,"Bad",2,"Good",3,"Better",4,"Best","Unknown")</f>
        <v>Best</v>
      </c>
      <c r="AP1300">
        <f>IF(CleanEmployeeData[[#This Row],[Attrition]]="Yes",1,IF(CleanEmployeeData[[#This Row],[Attrition]]="No",0,""))</f>
        <v>1</v>
      </c>
      <c r="AQ1300" t="str" cm="1">
        <f t="array" ref="AQ1300">_xlfn.IFS(CleanEmployeeData[[#This Row],[MonthlyIncome]]&lt;=3000,"0–3,000",CleanEmployeeData[[#This Row],[MonthlyIncome]]&lt;=6000,"3,001–6,000",CleanEmployeeData[[#This Row],[MonthlyIncome]]&lt;=10000,"6,001–10,000",TRUE,"10,001+")</f>
        <v>6,001–10,000</v>
      </c>
      <c r="AR1300" t="str" cm="1">
        <f t="array" ref="AR1300">_xlfn.IFS(CleanEmployeeData[[#This Row],[DistanceFromHome]]&lt;=5,"0–5 miles",CleanEmployeeData[[#This Row],[DistanceFromHome]]&lt;=10,"6–10 miles",CleanEmployeeData[[#This Row],[DistanceFromHome]]&lt;=15,"11–15 miles",TRUE,"16+ miles")</f>
        <v>16+ miles</v>
      </c>
      <c r="AS1300" t="str" cm="1">
        <f t="array" ref="AS1300">_xlfn.IFS(CleanEmployeeData[[#This Row],[YearsAtCompany]]&lt;=1,"0–1 years",CleanEmployeeData[[#This Row],[YearsAtCompany]]&lt;=5,"2–5 years",CleanEmployeeData[[#This Row],[YearsAtCompany]]&lt;=10,"6–10 years",TRUE,"11+ years")</f>
        <v>6–10 years</v>
      </c>
    </row>
    <row r="1301" spans="1:4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cm="1">
        <f t="array" ref="AJ1301">_xlfn.SWITCH(CleanEmployeeData[[#This Row],[Education]],1,"Below College",2,"College",3,"Bachelor",4,"Master",5,"Doctor","Unknown")</f>
        <v>Bachelor</v>
      </c>
      <c r="AK1301" t="str" cm="1">
        <f t="array" ref="AK1301">_xlfn.SWITCH(CleanEmployeeData[[#This Row],[EnvironmentSatisfaction]],1,"Low",2,"Medium",3,"High",4,"Very High","Unknown")</f>
        <v>High</v>
      </c>
      <c r="AL1301" t="str" cm="1">
        <f t="array" ref="AL1301">_xlfn.SWITCH(CleanEmployeeData[[#This Row],[JobInvolvement]],1,"Low",2,"Medium",3,"High",4,"Very High","Unknown")</f>
        <v>High</v>
      </c>
      <c r="AM1301" t="str" cm="1">
        <f t="array" ref="AM1301">_xlfn.SWITCH(CleanEmployeeData[[#This Row],[JobSatisfaction]],1,"Low",2,"Medium",3,"High",4,"Very High","Unknown")</f>
        <v>Very High</v>
      </c>
      <c r="AN1301" t="str" cm="1">
        <f t="array" ref="AN1301">_xlfn.SWITCH(CleanEmployeeData[[#This Row],[PerformanceRating]],1,"Low",2,"Good",3,"Excellent",4,"Outstanding","Unknown")</f>
        <v>Excellent</v>
      </c>
      <c r="AO1301" t="str" cm="1">
        <f t="array" ref="AO1301">_xlfn.SWITCH(CleanEmployeeData[[#This Row],[WorkLifeBalance]],1,"Bad",2,"Good",3,"Better",4,"Best","Unknown")</f>
        <v>Better</v>
      </c>
      <c r="AP1301">
        <f>IF(CleanEmployeeData[[#This Row],[Attrition]]="Yes",1,IF(CleanEmployeeData[[#This Row],[Attrition]]="No",0,""))</f>
        <v>0</v>
      </c>
      <c r="AQ1301" t="str" cm="1">
        <f t="array" ref="AQ1301">_xlfn.IFS(CleanEmployeeData[[#This Row],[MonthlyIncome]]&lt;=3000,"0–3,000",CleanEmployeeData[[#This Row],[MonthlyIncome]]&lt;=6000,"3,001–6,000",CleanEmployeeData[[#This Row],[MonthlyIncome]]&lt;=10000,"6,001–10,000",TRUE,"10,001+")</f>
        <v>6,001–10,000</v>
      </c>
      <c r="AR1301" t="str" cm="1">
        <f t="array" ref="AR1301">_xlfn.IFS(CleanEmployeeData[[#This Row],[DistanceFromHome]]&lt;=5,"0–5 miles",CleanEmployeeData[[#This Row],[DistanceFromHome]]&lt;=10,"6–10 miles",CleanEmployeeData[[#This Row],[DistanceFromHome]]&lt;=15,"11–15 miles",TRUE,"16+ miles")</f>
        <v>0–5 miles</v>
      </c>
      <c r="AS1301" t="str" cm="1">
        <f t="array" ref="AS1301">_xlfn.IFS(CleanEmployeeData[[#This Row],[YearsAtCompany]]&lt;=1,"0–1 years",CleanEmployeeData[[#This Row],[YearsAtCompany]]&lt;=5,"2–5 years",CleanEmployeeData[[#This Row],[YearsAtCompany]]&lt;=10,"6–10 years",TRUE,"11+ years")</f>
        <v>2–5 years</v>
      </c>
    </row>
    <row r="1302" spans="1:4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cm="1">
        <f t="array" ref="AJ1302">_xlfn.SWITCH(CleanEmployeeData[[#This Row],[Education]],1,"Below College",2,"College",3,"Bachelor",4,"Master",5,"Doctor","Unknown")</f>
        <v>College</v>
      </c>
      <c r="AK1302" t="str" cm="1">
        <f t="array" ref="AK1302">_xlfn.SWITCH(CleanEmployeeData[[#This Row],[EnvironmentSatisfaction]],1,"Low",2,"Medium",3,"High",4,"Very High","Unknown")</f>
        <v>Medium</v>
      </c>
      <c r="AL1302" t="str" cm="1">
        <f t="array" ref="AL1302">_xlfn.SWITCH(CleanEmployeeData[[#This Row],[JobInvolvement]],1,"Low",2,"Medium",3,"High",4,"Very High","Unknown")</f>
        <v>Very High</v>
      </c>
      <c r="AM1302" t="str" cm="1">
        <f t="array" ref="AM1302">_xlfn.SWITCH(CleanEmployeeData[[#This Row],[JobSatisfaction]],1,"Low",2,"Medium",3,"High",4,"Very High","Unknown")</f>
        <v>High</v>
      </c>
      <c r="AN1302" t="str" cm="1">
        <f t="array" ref="AN1302">_xlfn.SWITCH(CleanEmployeeData[[#This Row],[PerformanceRating]],1,"Low",2,"Good",3,"Excellent",4,"Outstanding","Unknown")</f>
        <v>Outstanding</v>
      </c>
      <c r="AO1302" t="str" cm="1">
        <f t="array" ref="AO1302">_xlfn.SWITCH(CleanEmployeeData[[#This Row],[WorkLifeBalance]],1,"Bad",2,"Good",3,"Better",4,"Best","Unknown")</f>
        <v>Better</v>
      </c>
      <c r="AP1302">
        <f>IF(CleanEmployeeData[[#This Row],[Attrition]]="Yes",1,IF(CleanEmployeeData[[#This Row],[Attrition]]="No",0,""))</f>
        <v>0</v>
      </c>
      <c r="AQ1302" t="str" cm="1">
        <f t="array" ref="AQ1302">_xlfn.IFS(CleanEmployeeData[[#This Row],[MonthlyIncome]]&lt;=3000,"0–3,000",CleanEmployeeData[[#This Row],[MonthlyIncome]]&lt;=6000,"3,001–6,000",CleanEmployeeData[[#This Row],[MonthlyIncome]]&lt;=10000,"6,001–10,000",TRUE,"10,001+")</f>
        <v>6,001–10,000</v>
      </c>
      <c r="AR1302" t="str" cm="1">
        <f t="array" ref="AR1302">_xlfn.IFS(CleanEmployeeData[[#This Row],[DistanceFromHome]]&lt;=5,"0–5 miles",CleanEmployeeData[[#This Row],[DistanceFromHome]]&lt;=10,"6–10 miles",CleanEmployeeData[[#This Row],[DistanceFromHome]]&lt;=15,"11–15 miles",TRUE,"16+ miles")</f>
        <v>6–10 miles</v>
      </c>
      <c r="AS1302" t="str" cm="1">
        <f t="array" ref="AS1302">_xlfn.IFS(CleanEmployeeData[[#This Row],[YearsAtCompany]]&lt;=1,"0–1 years",CleanEmployeeData[[#This Row],[YearsAtCompany]]&lt;=5,"2–5 years",CleanEmployeeData[[#This Row],[YearsAtCompany]]&lt;=10,"6–10 years",TRUE,"11+ years")</f>
        <v>6–10 years</v>
      </c>
    </row>
    <row r="1303" spans="1:4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cm="1">
        <f t="array" ref="AJ1303">_xlfn.SWITCH(CleanEmployeeData[[#This Row],[Education]],1,"Below College",2,"College",3,"Bachelor",4,"Master",5,"Doctor","Unknown")</f>
        <v>Bachelor</v>
      </c>
      <c r="AK1303" t="str" cm="1">
        <f t="array" ref="AK1303">_xlfn.SWITCH(CleanEmployeeData[[#This Row],[EnvironmentSatisfaction]],1,"Low",2,"Medium",3,"High",4,"Very High","Unknown")</f>
        <v>Medium</v>
      </c>
      <c r="AL1303" t="str" cm="1">
        <f t="array" ref="AL1303">_xlfn.SWITCH(CleanEmployeeData[[#This Row],[JobInvolvement]],1,"Low",2,"Medium",3,"High",4,"Very High","Unknown")</f>
        <v>High</v>
      </c>
      <c r="AM1303" t="str" cm="1">
        <f t="array" ref="AM1303">_xlfn.SWITCH(CleanEmployeeData[[#This Row],[JobSatisfaction]],1,"Low",2,"Medium",3,"High",4,"Very High","Unknown")</f>
        <v>Medium</v>
      </c>
      <c r="AN1303" t="str" cm="1">
        <f t="array" ref="AN1303">_xlfn.SWITCH(CleanEmployeeData[[#This Row],[PerformanceRating]],1,"Low",2,"Good",3,"Excellent",4,"Outstanding","Unknown")</f>
        <v>Outstanding</v>
      </c>
      <c r="AO1303" t="str" cm="1">
        <f t="array" ref="AO1303">_xlfn.SWITCH(CleanEmployeeData[[#This Row],[WorkLifeBalance]],1,"Bad",2,"Good",3,"Better",4,"Best","Unknown")</f>
        <v>Good</v>
      </c>
      <c r="AP1303">
        <f>IF(CleanEmployeeData[[#This Row],[Attrition]]="Yes",1,IF(CleanEmployeeData[[#This Row],[Attrition]]="No",0,""))</f>
        <v>0</v>
      </c>
      <c r="AQ1303" t="str" cm="1">
        <f t="array" ref="AQ1303">_xlfn.IFS(CleanEmployeeData[[#This Row],[MonthlyIncome]]&lt;=3000,"0–3,000",CleanEmployeeData[[#This Row],[MonthlyIncome]]&lt;=6000,"3,001–6,000",CleanEmployeeData[[#This Row],[MonthlyIncome]]&lt;=10000,"6,001–10,000",TRUE,"10,001+")</f>
        <v>10,001+</v>
      </c>
      <c r="AR1303" t="str" cm="1">
        <f t="array" ref="AR1303">_xlfn.IFS(CleanEmployeeData[[#This Row],[DistanceFromHome]]&lt;=5,"0–5 miles",CleanEmployeeData[[#This Row],[DistanceFromHome]]&lt;=10,"6–10 miles",CleanEmployeeData[[#This Row],[DistanceFromHome]]&lt;=15,"11–15 miles",TRUE,"16+ miles")</f>
        <v>0–5 miles</v>
      </c>
      <c r="AS1303" t="str" cm="1">
        <f t="array" ref="AS1303">_xlfn.IFS(CleanEmployeeData[[#This Row],[YearsAtCompany]]&lt;=1,"0–1 years",CleanEmployeeData[[#This Row],[YearsAtCompany]]&lt;=5,"2–5 years",CleanEmployeeData[[#This Row],[YearsAtCompany]]&lt;=10,"6–10 years",TRUE,"11+ years")</f>
        <v>11+ years</v>
      </c>
    </row>
    <row r="1304" spans="1:4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cm="1">
        <f t="array" ref="AJ1304">_xlfn.SWITCH(CleanEmployeeData[[#This Row],[Education]],1,"Below College",2,"College",3,"Bachelor",4,"Master",5,"Doctor","Unknown")</f>
        <v>Master</v>
      </c>
      <c r="AK1304" t="str" cm="1">
        <f t="array" ref="AK1304">_xlfn.SWITCH(CleanEmployeeData[[#This Row],[EnvironmentSatisfaction]],1,"Low",2,"Medium",3,"High",4,"Very High","Unknown")</f>
        <v>Medium</v>
      </c>
      <c r="AL1304" t="str" cm="1">
        <f t="array" ref="AL1304">_xlfn.SWITCH(CleanEmployeeData[[#This Row],[JobInvolvement]],1,"Low",2,"Medium",3,"High",4,"Very High","Unknown")</f>
        <v>Low</v>
      </c>
      <c r="AM1304" t="str" cm="1">
        <f t="array" ref="AM1304">_xlfn.SWITCH(CleanEmployeeData[[#This Row],[JobSatisfaction]],1,"Low",2,"Medium",3,"High",4,"Very High","Unknown")</f>
        <v>High</v>
      </c>
      <c r="AN1304" t="str" cm="1">
        <f t="array" ref="AN1304">_xlfn.SWITCH(CleanEmployeeData[[#This Row],[PerformanceRating]],1,"Low",2,"Good",3,"Excellent",4,"Outstanding","Unknown")</f>
        <v>Excellent</v>
      </c>
      <c r="AO1304" t="str" cm="1">
        <f t="array" ref="AO1304">_xlfn.SWITCH(CleanEmployeeData[[#This Row],[WorkLifeBalance]],1,"Bad",2,"Good",3,"Better",4,"Best","Unknown")</f>
        <v>Best</v>
      </c>
      <c r="AP1304">
        <f>IF(CleanEmployeeData[[#This Row],[Attrition]]="Yes",1,IF(CleanEmployeeData[[#This Row],[Attrition]]="No",0,""))</f>
        <v>0</v>
      </c>
      <c r="AQ1304" t="str" cm="1">
        <f t="array" ref="AQ1304">_xlfn.IFS(CleanEmployeeData[[#This Row],[MonthlyIncome]]&lt;=3000,"0–3,000",CleanEmployeeData[[#This Row],[MonthlyIncome]]&lt;=6000,"3,001–6,000",CleanEmployeeData[[#This Row],[MonthlyIncome]]&lt;=10000,"6,001–10,000",TRUE,"10,001+")</f>
        <v>0–3,000</v>
      </c>
      <c r="AR1304" t="str" cm="1">
        <f t="array" ref="AR1304">_xlfn.IFS(CleanEmployeeData[[#This Row],[DistanceFromHome]]&lt;=5,"0–5 miles",CleanEmployeeData[[#This Row],[DistanceFromHome]]&lt;=10,"6–10 miles",CleanEmployeeData[[#This Row],[DistanceFromHome]]&lt;=15,"11–15 miles",TRUE,"16+ miles")</f>
        <v>16+ miles</v>
      </c>
      <c r="AS1304" t="str" cm="1">
        <f t="array" ref="AS1304">_xlfn.IFS(CleanEmployeeData[[#This Row],[YearsAtCompany]]&lt;=1,"0–1 years",CleanEmployeeData[[#This Row],[YearsAtCompany]]&lt;=5,"2–5 years",CleanEmployeeData[[#This Row],[YearsAtCompany]]&lt;=10,"6–10 years",TRUE,"11+ years")</f>
        <v>2–5 years</v>
      </c>
    </row>
    <row r="1305" spans="1:4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cm="1">
        <f t="array" ref="AJ1305">_xlfn.SWITCH(CleanEmployeeData[[#This Row],[Education]],1,"Below College",2,"College",3,"Bachelor",4,"Master",5,"Doctor","Unknown")</f>
        <v>Bachelor</v>
      </c>
      <c r="AK1305" t="str" cm="1">
        <f t="array" ref="AK1305">_xlfn.SWITCH(CleanEmployeeData[[#This Row],[EnvironmentSatisfaction]],1,"Low",2,"Medium",3,"High",4,"Very High","Unknown")</f>
        <v>High</v>
      </c>
      <c r="AL1305" t="str" cm="1">
        <f t="array" ref="AL1305">_xlfn.SWITCH(CleanEmployeeData[[#This Row],[JobInvolvement]],1,"Low",2,"Medium",3,"High",4,"Very High","Unknown")</f>
        <v>Medium</v>
      </c>
      <c r="AM1305" t="str" cm="1">
        <f t="array" ref="AM1305">_xlfn.SWITCH(CleanEmployeeData[[#This Row],[JobSatisfaction]],1,"Low",2,"Medium",3,"High",4,"Very High","Unknown")</f>
        <v>Medium</v>
      </c>
      <c r="AN1305" t="str" cm="1">
        <f t="array" ref="AN1305">_xlfn.SWITCH(CleanEmployeeData[[#This Row],[PerformanceRating]],1,"Low",2,"Good",3,"Excellent",4,"Outstanding","Unknown")</f>
        <v>Excellent</v>
      </c>
      <c r="AO1305" t="str" cm="1">
        <f t="array" ref="AO1305">_xlfn.SWITCH(CleanEmployeeData[[#This Row],[WorkLifeBalance]],1,"Bad",2,"Good",3,"Better",4,"Best","Unknown")</f>
        <v>Better</v>
      </c>
      <c r="AP1305">
        <f>IF(CleanEmployeeData[[#This Row],[Attrition]]="Yes",1,IF(CleanEmployeeData[[#This Row],[Attrition]]="No",0,""))</f>
        <v>0</v>
      </c>
      <c r="AQ1305" t="str" cm="1">
        <f t="array" ref="AQ1305">_xlfn.IFS(CleanEmployeeData[[#This Row],[MonthlyIncome]]&lt;=3000,"0–3,000",CleanEmployeeData[[#This Row],[MonthlyIncome]]&lt;=6000,"3,001–6,000",CleanEmployeeData[[#This Row],[MonthlyIncome]]&lt;=10000,"6,001–10,000",TRUE,"10,001+")</f>
        <v>10,001+</v>
      </c>
      <c r="AR1305" t="str" cm="1">
        <f t="array" ref="AR1305">_xlfn.IFS(CleanEmployeeData[[#This Row],[DistanceFromHome]]&lt;=5,"0–5 miles",CleanEmployeeData[[#This Row],[DistanceFromHome]]&lt;=10,"6–10 miles",CleanEmployeeData[[#This Row],[DistanceFromHome]]&lt;=15,"11–15 miles",TRUE,"16+ miles")</f>
        <v>0–5 miles</v>
      </c>
      <c r="AS1305" t="str" cm="1">
        <f t="array" ref="AS1305">_xlfn.IFS(CleanEmployeeData[[#This Row],[YearsAtCompany]]&lt;=1,"0–1 years",CleanEmployeeData[[#This Row],[YearsAtCompany]]&lt;=5,"2–5 years",CleanEmployeeData[[#This Row],[YearsAtCompany]]&lt;=10,"6–10 years",TRUE,"11+ years")</f>
        <v>11+ years</v>
      </c>
    </row>
    <row r="1306" spans="1:4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cm="1">
        <f t="array" ref="AJ1306">_xlfn.SWITCH(CleanEmployeeData[[#This Row],[Education]],1,"Below College",2,"College",3,"Bachelor",4,"Master",5,"Doctor","Unknown")</f>
        <v>Bachelor</v>
      </c>
      <c r="AK1306" t="str" cm="1">
        <f t="array" ref="AK1306">_xlfn.SWITCH(CleanEmployeeData[[#This Row],[EnvironmentSatisfaction]],1,"Low",2,"Medium",3,"High",4,"Very High","Unknown")</f>
        <v>Medium</v>
      </c>
      <c r="AL1306" t="str" cm="1">
        <f t="array" ref="AL1306">_xlfn.SWITCH(CleanEmployeeData[[#This Row],[JobInvolvement]],1,"Low",2,"Medium",3,"High",4,"Very High","Unknown")</f>
        <v>High</v>
      </c>
      <c r="AM1306" t="str" cm="1">
        <f t="array" ref="AM1306">_xlfn.SWITCH(CleanEmployeeData[[#This Row],[JobSatisfaction]],1,"Low",2,"Medium",3,"High",4,"Very High","Unknown")</f>
        <v>Low</v>
      </c>
      <c r="AN1306" t="str" cm="1">
        <f t="array" ref="AN1306">_xlfn.SWITCH(CleanEmployeeData[[#This Row],[PerformanceRating]],1,"Low",2,"Good",3,"Excellent",4,"Outstanding","Unknown")</f>
        <v>Excellent</v>
      </c>
      <c r="AO1306" t="str" cm="1">
        <f t="array" ref="AO1306">_xlfn.SWITCH(CleanEmployeeData[[#This Row],[WorkLifeBalance]],1,"Bad",2,"Good",3,"Better",4,"Best","Unknown")</f>
        <v>Better</v>
      </c>
      <c r="AP1306">
        <f>IF(CleanEmployeeData[[#This Row],[Attrition]]="Yes",1,IF(CleanEmployeeData[[#This Row],[Attrition]]="No",0,""))</f>
        <v>0</v>
      </c>
      <c r="AQ1306" t="str" cm="1">
        <f t="array" ref="AQ1306">_xlfn.IFS(CleanEmployeeData[[#This Row],[MonthlyIncome]]&lt;=3000,"0–3,000",CleanEmployeeData[[#This Row],[MonthlyIncome]]&lt;=6000,"3,001–6,000",CleanEmployeeData[[#This Row],[MonthlyIncome]]&lt;=10000,"6,001–10,000",TRUE,"10,001+")</f>
        <v>3,001–6,000</v>
      </c>
      <c r="AR1306" t="str" cm="1">
        <f t="array" ref="AR1306">_xlfn.IFS(CleanEmployeeData[[#This Row],[DistanceFromHome]]&lt;=5,"0–5 miles",CleanEmployeeData[[#This Row],[DistanceFromHome]]&lt;=10,"6–10 miles",CleanEmployeeData[[#This Row],[DistanceFromHome]]&lt;=15,"11–15 miles",TRUE,"16+ miles")</f>
        <v>11–15 miles</v>
      </c>
      <c r="AS1306" t="str" cm="1">
        <f t="array" ref="AS1306">_xlfn.IFS(CleanEmployeeData[[#This Row],[YearsAtCompany]]&lt;=1,"0–1 years",CleanEmployeeData[[#This Row],[YearsAtCompany]]&lt;=5,"2–5 years",CleanEmployeeData[[#This Row],[YearsAtCompany]]&lt;=10,"6–10 years",TRUE,"11+ years")</f>
        <v>6–10 years</v>
      </c>
    </row>
    <row r="1307" spans="1:4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cm="1">
        <f t="array" ref="AJ1307">_xlfn.SWITCH(CleanEmployeeData[[#This Row],[Education]],1,"Below College",2,"College",3,"Bachelor",4,"Master",5,"Doctor","Unknown")</f>
        <v>Master</v>
      </c>
      <c r="AK1307" t="str" cm="1">
        <f t="array" ref="AK1307">_xlfn.SWITCH(CleanEmployeeData[[#This Row],[EnvironmentSatisfaction]],1,"Low",2,"Medium",3,"High",4,"Very High","Unknown")</f>
        <v>Very High</v>
      </c>
      <c r="AL1307" t="str" cm="1">
        <f t="array" ref="AL1307">_xlfn.SWITCH(CleanEmployeeData[[#This Row],[JobInvolvement]],1,"Low",2,"Medium",3,"High",4,"Very High","Unknown")</f>
        <v>High</v>
      </c>
      <c r="AM1307" t="str" cm="1">
        <f t="array" ref="AM1307">_xlfn.SWITCH(CleanEmployeeData[[#This Row],[JobSatisfaction]],1,"Low",2,"Medium",3,"High",4,"Very High","Unknown")</f>
        <v>Very High</v>
      </c>
      <c r="AN1307" t="str" cm="1">
        <f t="array" ref="AN1307">_xlfn.SWITCH(CleanEmployeeData[[#This Row],[PerformanceRating]],1,"Low",2,"Good",3,"Excellent",4,"Outstanding","Unknown")</f>
        <v>Excellent</v>
      </c>
      <c r="AO1307" t="str" cm="1">
        <f t="array" ref="AO1307">_xlfn.SWITCH(CleanEmployeeData[[#This Row],[WorkLifeBalance]],1,"Bad",2,"Good",3,"Better",4,"Best","Unknown")</f>
        <v>Good</v>
      </c>
      <c r="AP1307">
        <f>IF(CleanEmployeeData[[#This Row],[Attrition]]="Yes",1,IF(CleanEmployeeData[[#This Row],[Attrition]]="No",0,""))</f>
        <v>0</v>
      </c>
      <c r="AQ1307" t="str" cm="1">
        <f t="array" ref="AQ1307">_xlfn.IFS(CleanEmployeeData[[#This Row],[MonthlyIncome]]&lt;=3000,"0–3,000",CleanEmployeeData[[#This Row],[MonthlyIncome]]&lt;=6000,"3,001–6,000",CleanEmployeeData[[#This Row],[MonthlyIncome]]&lt;=10000,"6,001–10,000",TRUE,"10,001+")</f>
        <v>6,001–10,000</v>
      </c>
      <c r="AR1307" t="str" cm="1">
        <f t="array" ref="AR1307">_xlfn.IFS(CleanEmployeeData[[#This Row],[DistanceFromHome]]&lt;=5,"0–5 miles",CleanEmployeeData[[#This Row],[DistanceFromHome]]&lt;=10,"6–10 miles",CleanEmployeeData[[#This Row],[DistanceFromHome]]&lt;=15,"11–15 miles",TRUE,"16+ miles")</f>
        <v>6–10 miles</v>
      </c>
      <c r="AS1307" t="str" cm="1">
        <f t="array" ref="AS1307">_xlfn.IFS(CleanEmployeeData[[#This Row],[YearsAtCompany]]&lt;=1,"0–1 years",CleanEmployeeData[[#This Row],[YearsAtCompany]]&lt;=5,"2–5 years",CleanEmployeeData[[#This Row],[YearsAtCompany]]&lt;=10,"6–10 years",TRUE,"11+ years")</f>
        <v>6–10 years</v>
      </c>
    </row>
    <row r="1308" spans="1:4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cm="1">
        <f t="array" ref="AJ1308">_xlfn.SWITCH(CleanEmployeeData[[#This Row],[Education]],1,"Below College",2,"College",3,"Bachelor",4,"Master",5,"Doctor","Unknown")</f>
        <v>Master</v>
      </c>
      <c r="AK1308" t="str" cm="1">
        <f t="array" ref="AK1308">_xlfn.SWITCH(CleanEmployeeData[[#This Row],[EnvironmentSatisfaction]],1,"Low",2,"Medium",3,"High",4,"Very High","Unknown")</f>
        <v>Low</v>
      </c>
      <c r="AL1308" t="str" cm="1">
        <f t="array" ref="AL1308">_xlfn.SWITCH(CleanEmployeeData[[#This Row],[JobInvolvement]],1,"Low",2,"Medium",3,"High",4,"Very High","Unknown")</f>
        <v>High</v>
      </c>
      <c r="AM1308" t="str" cm="1">
        <f t="array" ref="AM1308">_xlfn.SWITCH(CleanEmployeeData[[#This Row],[JobSatisfaction]],1,"Low",2,"Medium",3,"High",4,"Very High","Unknown")</f>
        <v>Low</v>
      </c>
      <c r="AN1308" t="str" cm="1">
        <f t="array" ref="AN1308">_xlfn.SWITCH(CleanEmployeeData[[#This Row],[PerformanceRating]],1,"Low",2,"Good",3,"Excellent",4,"Outstanding","Unknown")</f>
        <v>Excellent</v>
      </c>
      <c r="AO1308" t="str" cm="1">
        <f t="array" ref="AO1308">_xlfn.SWITCH(CleanEmployeeData[[#This Row],[WorkLifeBalance]],1,"Bad",2,"Good",3,"Better",4,"Best","Unknown")</f>
        <v>Better</v>
      </c>
      <c r="AP1308">
        <f>IF(CleanEmployeeData[[#This Row],[Attrition]]="Yes",1,IF(CleanEmployeeData[[#This Row],[Attrition]]="No",0,""))</f>
        <v>0</v>
      </c>
      <c r="AQ1308" t="str" cm="1">
        <f t="array" ref="AQ1308">_xlfn.IFS(CleanEmployeeData[[#This Row],[MonthlyIncome]]&lt;=3000,"0–3,000",CleanEmployeeData[[#This Row],[MonthlyIncome]]&lt;=6000,"3,001–6,000",CleanEmployeeData[[#This Row],[MonthlyIncome]]&lt;=10000,"6,001–10,000",TRUE,"10,001+")</f>
        <v>6,001–10,000</v>
      </c>
      <c r="AR1308" t="str" cm="1">
        <f t="array" ref="AR1308">_xlfn.IFS(CleanEmployeeData[[#This Row],[DistanceFromHome]]&lt;=5,"0–5 miles",CleanEmployeeData[[#This Row],[DistanceFromHome]]&lt;=10,"6–10 miles",CleanEmployeeData[[#This Row],[DistanceFromHome]]&lt;=15,"11–15 miles",TRUE,"16+ miles")</f>
        <v>6–10 miles</v>
      </c>
      <c r="AS1308" t="str" cm="1">
        <f t="array" ref="AS1308">_xlfn.IFS(CleanEmployeeData[[#This Row],[YearsAtCompany]]&lt;=1,"0–1 years",CleanEmployeeData[[#This Row],[YearsAtCompany]]&lt;=5,"2–5 years",CleanEmployeeData[[#This Row],[YearsAtCompany]]&lt;=10,"6–10 years",TRUE,"11+ years")</f>
        <v>2–5 years</v>
      </c>
    </row>
    <row r="1309" spans="1:4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cm="1">
        <f t="array" ref="AJ1309">_xlfn.SWITCH(CleanEmployeeData[[#This Row],[Education]],1,"Below College",2,"College",3,"Bachelor",4,"Master",5,"Doctor","Unknown")</f>
        <v>Bachelor</v>
      </c>
      <c r="AK1309" t="str" cm="1">
        <f t="array" ref="AK1309">_xlfn.SWITCH(CleanEmployeeData[[#This Row],[EnvironmentSatisfaction]],1,"Low",2,"Medium",3,"High",4,"Very High","Unknown")</f>
        <v>High</v>
      </c>
      <c r="AL1309" t="str" cm="1">
        <f t="array" ref="AL1309">_xlfn.SWITCH(CleanEmployeeData[[#This Row],[JobInvolvement]],1,"Low",2,"Medium",3,"High",4,"Very High","Unknown")</f>
        <v>High</v>
      </c>
      <c r="AM1309" t="str" cm="1">
        <f t="array" ref="AM1309">_xlfn.SWITCH(CleanEmployeeData[[#This Row],[JobSatisfaction]],1,"Low",2,"Medium",3,"High",4,"Very High","Unknown")</f>
        <v>Low</v>
      </c>
      <c r="AN1309" t="str" cm="1">
        <f t="array" ref="AN1309">_xlfn.SWITCH(CleanEmployeeData[[#This Row],[PerformanceRating]],1,"Low",2,"Good",3,"Excellent",4,"Outstanding","Unknown")</f>
        <v>Outstanding</v>
      </c>
      <c r="AO1309" t="str" cm="1">
        <f t="array" ref="AO1309">_xlfn.SWITCH(CleanEmployeeData[[#This Row],[WorkLifeBalance]],1,"Bad",2,"Good",3,"Better",4,"Best","Unknown")</f>
        <v>Better</v>
      </c>
      <c r="AP1309">
        <f>IF(CleanEmployeeData[[#This Row],[Attrition]]="Yes",1,IF(CleanEmployeeData[[#This Row],[Attrition]]="No",0,""))</f>
        <v>0</v>
      </c>
      <c r="AQ1309" t="str" cm="1">
        <f t="array" ref="AQ1309">_xlfn.IFS(CleanEmployeeData[[#This Row],[MonthlyIncome]]&lt;=3000,"0–3,000",CleanEmployeeData[[#This Row],[MonthlyIncome]]&lt;=6000,"3,001–6,000",CleanEmployeeData[[#This Row],[MonthlyIncome]]&lt;=10000,"6,001–10,000",TRUE,"10,001+")</f>
        <v>3,001–6,000</v>
      </c>
      <c r="AR1309" t="str" cm="1">
        <f t="array" ref="AR1309">_xlfn.IFS(CleanEmployeeData[[#This Row],[DistanceFromHome]]&lt;=5,"0–5 miles",CleanEmployeeData[[#This Row],[DistanceFromHome]]&lt;=10,"6–10 miles",CleanEmployeeData[[#This Row],[DistanceFromHome]]&lt;=15,"11–15 miles",TRUE,"16+ miles")</f>
        <v>0–5 miles</v>
      </c>
      <c r="AS1309" t="str" cm="1">
        <f t="array" ref="AS1309">_xlfn.IFS(CleanEmployeeData[[#This Row],[YearsAtCompany]]&lt;=1,"0–1 years",CleanEmployeeData[[#This Row],[YearsAtCompany]]&lt;=5,"2–5 years",CleanEmployeeData[[#This Row],[YearsAtCompany]]&lt;=10,"6–10 years",TRUE,"11+ years")</f>
        <v>2–5 years</v>
      </c>
    </row>
    <row r="1310" spans="1:4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cm="1">
        <f t="array" ref="AJ1310">_xlfn.SWITCH(CleanEmployeeData[[#This Row],[Education]],1,"Below College",2,"College",3,"Bachelor",4,"Master",5,"Doctor","Unknown")</f>
        <v>Master</v>
      </c>
      <c r="AK1310" t="str" cm="1">
        <f t="array" ref="AK1310">_xlfn.SWITCH(CleanEmployeeData[[#This Row],[EnvironmentSatisfaction]],1,"Low",2,"Medium",3,"High",4,"Very High","Unknown")</f>
        <v>Medium</v>
      </c>
      <c r="AL1310" t="str" cm="1">
        <f t="array" ref="AL1310">_xlfn.SWITCH(CleanEmployeeData[[#This Row],[JobInvolvement]],1,"Low",2,"Medium",3,"High",4,"Very High","Unknown")</f>
        <v>Low</v>
      </c>
      <c r="AM1310" t="str" cm="1">
        <f t="array" ref="AM1310">_xlfn.SWITCH(CleanEmployeeData[[#This Row],[JobSatisfaction]],1,"Low",2,"Medium",3,"High",4,"Very High","Unknown")</f>
        <v>Very High</v>
      </c>
      <c r="AN1310" t="str" cm="1">
        <f t="array" ref="AN1310">_xlfn.SWITCH(CleanEmployeeData[[#This Row],[PerformanceRating]],1,"Low",2,"Good",3,"Excellent",4,"Outstanding","Unknown")</f>
        <v>Outstanding</v>
      </c>
      <c r="AO1310" t="str" cm="1">
        <f t="array" ref="AO1310">_xlfn.SWITCH(CleanEmployeeData[[#This Row],[WorkLifeBalance]],1,"Bad",2,"Good",3,"Better",4,"Best","Unknown")</f>
        <v>Good</v>
      </c>
      <c r="AP1310">
        <f>IF(CleanEmployeeData[[#This Row],[Attrition]]="Yes",1,IF(CleanEmployeeData[[#This Row],[Attrition]]="No",0,""))</f>
        <v>0</v>
      </c>
      <c r="AQ1310" t="str" cm="1">
        <f t="array" ref="AQ1310">_xlfn.IFS(CleanEmployeeData[[#This Row],[MonthlyIncome]]&lt;=3000,"0–3,000",CleanEmployeeData[[#This Row],[MonthlyIncome]]&lt;=6000,"3,001–6,000",CleanEmployeeData[[#This Row],[MonthlyIncome]]&lt;=10000,"6,001–10,000",TRUE,"10,001+")</f>
        <v>3,001–6,000</v>
      </c>
      <c r="AR1310" t="str" cm="1">
        <f t="array" ref="AR1310">_xlfn.IFS(CleanEmployeeData[[#This Row],[DistanceFromHome]]&lt;=5,"0–5 miles",CleanEmployeeData[[#This Row],[DistanceFromHome]]&lt;=10,"6–10 miles",CleanEmployeeData[[#This Row],[DistanceFromHome]]&lt;=15,"11–15 miles",TRUE,"16+ miles")</f>
        <v>0–5 miles</v>
      </c>
      <c r="AS1310" t="str" cm="1">
        <f t="array" ref="AS1310">_xlfn.IFS(CleanEmployeeData[[#This Row],[YearsAtCompany]]&lt;=1,"0–1 years",CleanEmployeeData[[#This Row],[YearsAtCompany]]&lt;=5,"2–5 years",CleanEmployeeData[[#This Row],[YearsAtCompany]]&lt;=10,"6–10 years",TRUE,"11+ years")</f>
        <v>2–5 years</v>
      </c>
    </row>
    <row r="1311" spans="1:4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cm="1">
        <f t="array" ref="AJ1311">_xlfn.SWITCH(CleanEmployeeData[[#This Row],[Education]],1,"Below College",2,"College",3,"Bachelor",4,"Master",5,"Doctor","Unknown")</f>
        <v>Bachelor</v>
      </c>
      <c r="AK1311" t="str" cm="1">
        <f t="array" ref="AK1311">_xlfn.SWITCH(CleanEmployeeData[[#This Row],[EnvironmentSatisfaction]],1,"Low",2,"Medium",3,"High",4,"Very High","Unknown")</f>
        <v>High</v>
      </c>
      <c r="AL1311" t="str" cm="1">
        <f t="array" ref="AL1311">_xlfn.SWITCH(CleanEmployeeData[[#This Row],[JobInvolvement]],1,"Low",2,"Medium",3,"High",4,"Very High","Unknown")</f>
        <v>High</v>
      </c>
      <c r="AM1311" t="str" cm="1">
        <f t="array" ref="AM1311">_xlfn.SWITCH(CleanEmployeeData[[#This Row],[JobSatisfaction]],1,"Low",2,"Medium",3,"High",4,"Very High","Unknown")</f>
        <v>Very High</v>
      </c>
      <c r="AN1311" t="str" cm="1">
        <f t="array" ref="AN1311">_xlfn.SWITCH(CleanEmployeeData[[#This Row],[PerformanceRating]],1,"Low",2,"Good",3,"Excellent",4,"Outstanding","Unknown")</f>
        <v>Excellent</v>
      </c>
      <c r="AO1311" t="str" cm="1">
        <f t="array" ref="AO1311">_xlfn.SWITCH(CleanEmployeeData[[#This Row],[WorkLifeBalance]],1,"Bad",2,"Good",3,"Better",4,"Best","Unknown")</f>
        <v>Better</v>
      </c>
      <c r="AP1311">
        <f>IF(CleanEmployeeData[[#This Row],[Attrition]]="Yes",1,IF(CleanEmployeeData[[#This Row],[Attrition]]="No",0,""))</f>
        <v>0</v>
      </c>
      <c r="AQ1311" t="str" cm="1">
        <f t="array" ref="AQ1311">_xlfn.IFS(CleanEmployeeData[[#This Row],[MonthlyIncome]]&lt;=3000,"0–3,000",CleanEmployeeData[[#This Row],[MonthlyIncome]]&lt;=6000,"3,001–6,000",CleanEmployeeData[[#This Row],[MonthlyIncome]]&lt;=10000,"6,001–10,000",TRUE,"10,001+")</f>
        <v>3,001–6,000</v>
      </c>
      <c r="AR1311" t="str" cm="1">
        <f t="array" ref="AR1311">_xlfn.IFS(CleanEmployeeData[[#This Row],[DistanceFromHome]]&lt;=5,"0–5 miles",CleanEmployeeData[[#This Row],[DistanceFromHome]]&lt;=10,"6–10 miles",CleanEmployeeData[[#This Row],[DistanceFromHome]]&lt;=15,"11–15 miles",TRUE,"16+ miles")</f>
        <v>6–10 miles</v>
      </c>
      <c r="AS1311" t="str" cm="1">
        <f t="array" ref="AS1311">_xlfn.IFS(CleanEmployeeData[[#This Row],[YearsAtCompany]]&lt;=1,"0–1 years",CleanEmployeeData[[#This Row],[YearsAtCompany]]&lt;=5,"2–5 years",CleanEmployeeData[[#This Row],[YearsAtCompany]]&lt;=10,"6–10 years",TRUE,"11+ years")</f>
        <v>2–5 years</v>
      </c>
    </row>
    <row r="1312" spans="1:4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cm="1">
        <f t="array" ref="AJ1312">_xlfn.SWITCH(CleanEmployeeData[[#This Row],[Education]],1,"Below College",2,"College",3,"Bachelor",4,"Master",5,"Doctor","Unknown")</f>
        <v>Master</v>
      </c>
      <c r="AK1312" t="str" cm="1">
        <f t="array" ref="AK1312">_xlfn.SWITCH(CleanEmployeeData[[#This Row],[EnvironmentSatisfaction]],1,"Low",2,"Medium",3,"High",4,"Very High","Unknown")</f>
        <v>Low</v>
      </c>
      <c r="AL1312" t="str" cm="1">
        <f t="array" ref="AL1312">_xlfn.SWITCH(CleanEmployeeData[[#This Row],[JobInvolvement]],1,"Low",2,"Medium",3,"High",4,"Very High","Unknown")</f>
        <v>High</v>
      </c>
      <c r="AM1312" t="str" cm="1">
        <f t="array" ref="AM1312">_xlfn.SWITCH(CleanEmployeeData[[#This Row],[JobSatisfaction]],1,"Low",2,"Medium",3,"High",4,"Very High","Unknown")</f>
        <v>High</v>
      </c>
      <c r="AN1312" t="str" cm="1">
        <f t="array" ref="AN1312">_xlfn.SWITCH(CleanEmployeeData[[#This Row],[PerformanceRating]],1,"Low",2,"Good",3,"Excellent",4,"Outstanding","Unknown")</f>
        <v>Excellent</v>
      </c>
      <c r="AO1312" t="str" cm="1">
        <f t="array" ref="AO1312">_xlfn.SWITCH(CleanEmployeeData[[#This Row],[WorkLifeBalance]],1,"Bad",2,"Good",3,"Better",4,"Best","Unknown")</f>
        <v>Better</v>
      </c>
      <c r="AP1312">
        <f>IF(CleanEmployeeData[[#This Row],[Attrition]]="Yes",1,IF(CleanEmployeeData[[#This Row],[Attrition]]="No",0,""))</f>
        <v>0</v>
      </c>
      <c r="AQ1312" t="str" cm="1">
        <f t="array" ref="AQ1312">_xlfn.IFS(CleanEmployeeData[[#This Row],[MonthlyIncome]]&lt;=3000,"0–3,000",CleanEmployeeData[[#This Row],[MonthlyIncome]]&lt;=6000,"3,001–6,000",CleanEmployeeData[[#This Row],[MonthlyIncome]]&lt;=10000,"6,001–10,000",TRUE,"10,001+")</f>
        <v>10,001+</v>
      </c>
      <c r="AR1312" t="str" cm="1">
        <f t="array" ref="AR1312">_xlfn.IFS(CleanEmployeeData[[#This Row],[DistanceFromHome]]&lt;=5,"0–5 miles",CleanEmployeeData[[#This Row],[DistanceFromHome]]&lt;=10,"6–10 miles",CleanEmployeeData[[#This Row],[DistanceFromHome]]&lt;=15,"11–15 miles",TRUE,"16+ miles")</f>
        <v>11–15 miles</v>
      </c>
      <c r="AS1312" t="str" cm="1">
        <f t="array" ref="AS1312">_xlfn.IFS(CleanEmployeeData[[#This Row],[YearsAtCompany]]&lt;=1,"0–1 years",CleanEmployeeData[[#This Row],[YearsAtCompany]]&lt;=5,"2–5 years",CleanEmployeeData[[#This Row],[YearsAtCompany]]&lt;=10,"6–10 years",TRUE,"11+ years")</f>
        <v>2–5 years</v>
      </c>
    </row>
    <row r="1313" spans="1:4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cm="1">
        <f t="array" ref="AJ1313">_xlfn.SWITCH(CleanEmployeeData[[#This Row],[Education]],1,"Below College",2,"College",3,"Bachelor",4,"Master",5,"Doctor","Unknown")</f>
        <v>Bachelor</v>
      </c>
      <c r="AK1313" t="str" cm="1">
        <f t="array" ref="AK1313">_xlfn.SWITCH(CleanEmployeeData[[#This Row],[EnvironmentSatisfaction]],1,"Low",2,"Medium",3,"High",4,"Very High","Unknown")</f>
        <v>Medium</v>
      </c>
      <c r="AL1313" t="str" cm="1">
        <f t="array" ref="AL1313">_xlfn.SWITCH(CleanEmployeeData[[#This Row],[JobInvolvement]],1,"Low",2,"Medium",3,"High",4,"Very High","Unknown")</f>
        <v>High</v>
      </c>
      <c r="AM1313" t="str" cm="1">
        <f t="array" ref="AM1313">_xlfn.SWITCH(CleanEmployeeData[[#This Row],[JobSatisfaction]],1,"Low",2,"Medium",3,"High",4,"Very High","Unknown")</f>
        <v>High</v>
      </c>
      <c r="AN1313" t="str" cm="1">
        <f t="array" ref="AN1313">_xlfn.SWITCH(CleanEmployeeData[[#This Row],[PerformanceRating]],1,"Low",2,"Good",3,"Excellent",4,"Outstanding","Unknown")</f>
        <v>Excellent</v>
      </c>
      <c r="AO1313" t="str" cm="1">
        <f t="array" ref="AO1313">_xlfn.SWITCH(CleanEmployeeData[[#This Row],[WorkLifeBalance]],1,"Bad",2,"Good",3,"Better",4,"Best","Unknown")</f>
        <v>Bad</v>
      </c>
      <c r="AP1313">
        <f>IF(CleanEmployeeData[[#This Row],[Attrition]]="Yes",1,IF(CleanEmployeeData[[#This Row],[Attrition]]="No",0,""))</f>
        <v>0</v>
      </c>
      <c r="AQ1313" t="str" cm="1">
        <f t="array" ref="AQ1313">_xlfn.IFS(CleanEmployeeData[[#This Row],[MonthlyIncome]]&lt;=3000,"0–3,000",CleanEmployeeData[[#This Row],[MonthlyIncome]]&lt;=6000,"3,001–6,000",CleanEmployeeData[[#This Row],[MonthlyIncome]]&lt;=10000,"6,001–10,000",TRUE,"10,001+")</f>
        <v>0–3,000</v>
      </c>
      <c r="AR1313" t="str" cm="1">
        <f t="array" ref="AR1313">_xlfn.IFS(CleanEmployeeData[[#This Row],[DistanceFromHome]]&lt;=5,"0–5 miles",CleanEmployeeData[[#This Row],[DistanceFromHome]]&lt;=10,"6–10 miles",CleanEmployeeData[[#This Row],[DistanceFromHome]]&lt;=15,"11–15 miles",TRUE,"16+ miles")</f>
        <v>11–15 miles</v>
      </c>
      <c r="AS1313" t="str" cm="1">
        <f t="array" ref="AS1313">_xlfn.IFS(CleanEmployeeData[[#This Row],[YearsAtCompany]]&lt;=1,"0–1 years",CleanEmployeeData[[#This Row],[YearsAtCompany]]&lt;=5,"2–5 years",CleanEmployeeData[[#This Row],[YearsAtCompany]]&lt;=10,"6–10 years",TRUE,"11+ years")</f>
        <v>0–1 years</v>
      </c>
    </row>
    <row r="1314" spans="1:4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cm="1">
        <f t="array" ref="AJ1314">_xlfn.SWITCH(CleanEmployeeData[[#This Row],[Education]],1,"Below College",2,"College",3,"Bachelor",4,"Master",5,"Doctor","Unknown")</f>
        <v>Doctor</v>
      </c>
      <c r="AK1314" t="str" cm="1">
        <f t="array" ref="AK1314">_xlfn.SWITCH(CleanEmployeeData[[#This Row],[EnvironmentSatisfaction]],1,"Low",2,"Medium",3,"High",4,"Very High","Unknown")</f>
        <v>Very High</v>
      </c>
      <c r="AL1314" t="str" cm="1">
        <f t="array" ref="AL1314">_xlfn.SWITCH(CleanEmployeeData[[#This Row],[JobInvolvement]],1,"Low",2,"Medium",3,"High",4,"Very High","Unknown")</f>
        <v>Very High</v>
      </c>
      <c r="AM1314" t="str" cm="1">
        <f t="array" ref="AM1314">_xlfn.SWITCH(CleanEmployeeData[[#This Row],[JobSatisfaction]],1,"Low",2,"Medium",3,"High",4,"Very High","Unknown")</f>
        <v>Low</v>
      </c>
      <c r="AN1314" t="str" cm="1">
        <f t="array" ref="AN1314">_xlfn.SWITCH(CleanEmployeeData[[#This Row],[PerformanceRating]],1,"Low",2,"Good",3,"Excellent",4,"Outstanding","Unknown")</f>
        <v>Excellent</v>
      </c>
      <c r="AO1314" t="str" cm="1">
        <f t="array" ref="AO1314">_xlfn.SWITCH(CleanEmployeeData[[#This Row],[WorkLifeBalance]],1,"Bad",2,"Good",3,"Better",4,"Best","Unknown")</f>
        <v>Better</v>
      </c>
      <c r="AP1314">
        <f>IF(CleanEmployeeData[[#This Row],[Attrition]]="Yes",1,IF(CleanEmployeeData[[#This Row],[Attrition]]="No",0,""))</f>
        <v>1</v>
      </c>
      <c r="AQ1314" t="str" cm="1">
        <f t="array" ref="AQ1314">_xlfn.IFS(CleanEmployeeData[[#This Row],[MonthlyIncome]]&lt;=3000,"0–3,000",CleanEmployeeData[[#This Row],[MonthlyIncome]]&lt;=6000,"3,001–6,000",CleanEmployeeData[[#This Row],[MonthlyIncome]]&lt;=10000,"6,001–10,000",TRUE,"10,001+")</f>
        <v>0–3,000</v>
      </c>
      <c r="AR1314" t="str" cm="1">
        <f t="array" ref="AR1314">_xlfn.IFS(CleanEmployeeData[[#This Row],[DistanceFromHome]]&lt;=5,"0–5 miles",CleanEmployeeData[[#This Row],[DistanceFromHome]]&lt;=10,"6–10 miles",CleanEmployeeData[[#This Row],[DistanceFromHome]]&lt;=15,"11–15 miles",TRUE,"16+ miles")</f>
        <v>16+ miles</v>
      </c>
      <c r="AS1314" t="str" cm="1">
        <f t="array" ref="AS1314">_xlfn.IFS(CleanEmployeeData[[#This Row],[YearsAtCompany]]&lt;=1,"0–1 years",CleanEmployeeData[[#This Row],[YearsAtCompany]]&lt;=5,"2–5 years",CleanEmployeeData[[#This Row],[YearsAtCompany]]&lt;=10,"6–10 years",TRUE,"11+ years")</f>
        <v>0–1 years</v>
      </c>
    </row>
    <row r="1315" spans="1:4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cm="1">
        <f t="array" ref="AJ1315">_xlfn.SWITCH(CleanEmployeeData[[#This Row],[Education]],1,"Below College",2,"College",3,"Bachelor",4,"Master",5,"Doctor","Unknown")</f>
        <v>Bachelor</v>
      </c>
      <c r="AK1315" t="str" cm="1">
        <f t="array" ref="AK1315">_xlfn.SWITCH(CleanEmployeeData[[#This Row],[EnvironmentSatisfaction]],1,"Low",2,"Medium",3,"High",4,"Very High","Unknown")</f>
        <v>Low</v>
      </c>
      <c r="AL1315" t="str" cm="1">
        <f t="array" ref="AL1315">_xlfn.SWITCH(CleanEmployeeData[[#This Row],[JobInvolvement]],1,"Low",2,"Medium",3,"High",4,"Very High","Unknown")</f>
        <v>Medium</v>
      </c>
      <c r="AM1315" t="str" cm="1">
        <f t="array" ref="AM1315">_xlfn.SWITCH(CleanEmployeeData[[#This Row],[JobSatisfaction]],1,"Low",2,"Medium",3,"High",4,"Very High","Unknown")</f>
        <v>Low</v>
      </c>
      <c r="AN1315" t="str" cm="1">
        <f t="array" ref="AN1315">_xlfn.SWITCH(CleanEmployeeData[[#This Row],[PerformanceRating]],1,"Low",2,"Good",3,"Excellent",4,"Outstanding","Unknown")</f>
        <v>Excellent</v>
      </c>
      <c r="AO1315" t="str" cm="1">
        <f t="array" ref="AO1315">_xlfn.SWITCH(CleanEmployeeData[[#This Row],[WorkLifeBalance]],1,"Bad",2,"Good",3,"Better",4,"Best","Unknown")</f>
        <v>Better</v>
      </c>
      <c r="AP1315">
        <f>IF(CleanEmployeeData[[#This Row],[Attrition]]="Yes",1,IF(CleanEmployeeData[[#This Row],[Attrition]]="No",0,""))</f>
        <v>1</v>
      </c>
      <c r="AQ1315" t="str" cm="1">
        <f t="array" ref="AQ1315">_xlfn.IFS(CleanEmployeeData[[#This Row],[MonthlyIncome]]&lt;=3000,"0–3,000",CleanEmployeeData[[#This Row],[MonthlyIncome]]&lt;=6000,"3,001–6,000",CleanEmployeeData[[#This Row],[MonthlyIncome]]&lt;=10000,"6,001–10,000",TRUE,"10,001+")</f>
        <v>0–3,000</v>
      </c>
      <c r="AR1315" t="str" cm="1">
        <f t="array" ref="AR1315">_xlfn.IFS(CleanEmployeeData[[#This Row],[DistanceFromHome]]&lt;=5,"0–5 miles",CleanEmployeeData[[#This Row],[DistanceFromHome]]&lt;=10,"6–10 miles",CleanEmployeeData[[#This Row],[DistanceFromHome]]&lt;=15,"11–15 miles",TRUE,"16+ miles")</f>
        <v>11–15 miles</v>
      </c>
      <c r="AS1315" t="str" cm="1">
        <f t="array" ref="AS1315">_xlfn.IFS(CleanEmployeeData[[#This Row],[YearsAtCompany]]&lt;=1,"0–1 years",CleanEmployeeData[[#This Row],[YearsAtCompany]]&lt;=5,"2–5 years",CleanEmployeeData[[#This Row],[YearsAtCompany]]&lt;=10,"6–10 years",TRUE,"11+ years")</f>
        <v>2–5 years</v>
      </c>
    </row>
    <row r="1316" spans="1:4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cm="1">
        <f t="array" ref="AJ1316">_xlfn.SWITCH(CleanEmployeeData[[#This Row],[Education]],1,"Below College",2,"College",3,"Bachelor",4,"Master",5,"Doctor","Unknown")</f>
        <v>Master</v>
      </c>
      <c r="AK1316" t="str" cm="1">
        <f t="array" ref="AK1316">_xlfn.SWITCH(CleanEmployeeData[[#This Row],[EnvironmentSatisfaction]],1,"Low",2,"Medium",3,"High",4,"Very High","Unknown")</f>
        <v>High</v>
      </c>
      <c r="AL1316" t="str" cm="1">
        <f t="array" ref="AL1316">_xlfn.SWITCH(CleanEmployeeData[[#This Row],[JobInvolvement]],1,"Low",2,"Medium",3,"High",4,"Very High","Unknown")</f>
        <v>High</v>
      </c>
      <c r="AM1316" t="str" cm="1">
        <f t="array" ref="AM1316">_xlfn.SWITCH(CleanEmployeeData[[#This Row],[JobSatisfaction]],1,"Low",2,"Medium",3,"High",4,"Very High","Unknown")</f>
        <v>High</v>
      </c>
      <c r="AN1316" t="str" cm="1">
        <f t="array" ref="AN1316">_xlfn.SWITCH(CleanEmployeeData[[#This Row],[PerformanceRating]],1,"Low",2,"Good",3,"Excellent",4,"Outstanding","Unknown")</f>
        <v>Outstanding</v>
      </c>
      <c r="AO1316" t="str" cm="1">
        <f t="array" ref="AO1316">_xlfn.SWITCH(CleanEmployeeData[[#This Row],[WorkLifeBalance]],1,"Bad",2,"Good",3,"Better",4,"Best","Unknown")</f>
        <v>Best</v>
      </c>
      <c r="AP1316">
        <f>IF(CleanEmployeeData[[#This Row],[Attrition]]="Yes",1,IF(CleanEmployeeData[[#This Row],[Attrition]]="No",0,""))</f>
        <v>0</v>
      </c>
      <c r="AQ1316" t="str" cm="1">
        <f t="array" ref="AQ1316">_xlfn.IFS(CleanEmployeeData[[#This Row],[MonthlyIncome]]&lt;=3000,"0–3,000",CleanEmployeeData[[#This Row],[MonthlyIncome]]&lt;=6000,"3,001–6,000",CleanEmployeeData[[#This Row],[MonthlyIncome]]&lt;=10000,"6,001–10,000",TRUE,"10,001+")</f>
        <v>3,001–6,000</v>
      </c>
      <c r="AR1316" t="str" cm="1">
        <f t="array" ref="AR1316">_xlfn.IFS(CleanEmployeeData[[#This Row],[DistanceFromHome]]&lt;=5,"0–5 miles",CleanEmployeeData[[#This Row],[DistanceFromHome]]&lt;=10,"6–10 miles",CleanEmployeeData[[#This Row],[DistanceFromHome]]&lt;=15,"11–15 miles",TRUE,"16+ miles")</f>
        <v>0–5 miles</v>
      </c>
      <c r="AS1316" t="str" cm="1">
        <f t="array" ref="AS1316">_xlfn.IFS(CleanEmployeeData[[#This Row],[YearsAtCompany]]&lt;=1,"0–1 years",CleanEmployeeData[[#This Row],[YearsAtCompany]]&lt;=5,"2–5 years",CleanEmployeeData[[#This Row],[YearsAtCompany]]&lt;=10,"6–10 years",TRUE,"11+ years")</f>
        <v>6–10 years</v>
      </c>
    </row>
    <row r="1317" spans="1:4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cm="1">
        <f t="array" ref="AJ1317">_xlfn.SWITCH(CleanEmployeeData[[#This Row],[Education]],1,"Below College",2,"College",3,"Bachelor",4,"Master",5,"Doctor","Unknown")</f>
        <v>Master</v>
      </c>
      <c r="AK1317" t="str" cm="1">
        <f t="array" ref="AK1317">_xlfn.SWITCH(CleanEmployeeData[[#This Row],[EnvironmentSatisfaction]],1,"Low",2,"Medium",3,"High",4,"Very High","Unknown")</f>
        <v>Very High</v>
      </c>
      <c r="AL1317" t="str" cm="1">
        <f t="array" ref="AL1317">_xlfn.SWITCH(CleanEmployeeData[[#This Row],[JobInvolvement]],1,"Low",2,"Medium",3,"High",4,"Very High","Unknown")</f>
        <v>High</v>
      </c>
      <c r="AM1317" t="str" cm="1">
        <f t="array" ref="AM1317">_xlfn.SWITCH(CleanEmployeeData[[#This Row],[JobSatisfaction]],1,"Low",2,"Medium",3,"High",4,"Very High","Unknown")</f>
        <v>Medium</v>
      </c>
      <c r="AN1317" t="str" cm="1">
        <f t="array" ref="AN1317">_xlfn.SWITCH(CleanEmployeeData[[#This Row],[PerformanceRating]],1,"Low",2,"Good",3,"Excellent",4,"Outstanding","Unknown")</f>
        <v>Outstanding</v>
      </c>
      <c r="AO1317" t="str" cm="1">
        <f t="array" ref="AO1317">_xlfn.SWITCH(CleanEmployeeData[[#This Row],[WorkLifeBalance]],1,"Bad",2,"Good",3,"Better",4,"Best","Unknown")</f>
        <v>Better</v>
      </c>
      <c r="AP1317">
        <f>IF(CleanEmployeeData[[#This Row],[Attrition]]="Yes",1,IF(CleanEmployeeData[[#This Row],[Attrition]]="No",0,""))</f>
        <v>0</v>
      </c>
      <c r="AQ1317" t="str" cm="1">
        <f t="array" ref="AQ1317">_xlfn.IFS(CleanEmployeeData[[#This Row],[MonthlyIncome]]&lt;=3000,"0–3,000",CleanEmployeeData[[#This Row],[MonthlyIncome]]&lt;=6000,"3,001–6,000",CleanEmployeeData[[#This Row],[MonthlyIncome]]&lt;=10000,"6,001–10,000",TRUE,"10,001+")</f>
        <v>6,001–10,000</v>
      </c>
      <c r="AR1317" t="str" cm="1">
        <f t="array" ref="AR1317">_xlfn.IFS(CleanEmployeeData[[#This Row],[DistanceFromHome]]&lt;=5,"0–5 miles",CleanEmployeeData[[#This Row],[DistanceFromHome]]&lt;=10,"6–10 miles",CleanEmployeeData[[#This Row],[DistanceFromHome]]&lt;=15,"11–15 miles",TRUE,"16+ miles")</f>
        <v>0–5 miles</v>
      </c>
      <c r="AS1317" t="str" cm="1">
        <f t="array" ref="AS1317">_xlfn.IFS(CleanEmployeeData[[#This Row],[YearsAtCompany]]&lt;=1,"0–1 years",CleanEmployeeData[[#This Row],[YearsAtCompany]]&lt;=5,"2–5 years",CleanEmployeeData[[#This Row],[YearsAtCompany]]&lt;=10,"6–10 years",TRUE,"11+ years")</f>
        <v>0–1 years</v>
      </c>
    </row>
    <row r="1318" spans="1:4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cm="1">
        <f t="array" ref="AJ1318">_xlfn.SWITCH(CleanEmployeeData[[#This Row],[Education]],1,"Below College",2,"College",3,"Bachelor",4,"Master",5,"Doctor","Unknown")</f>
        <v>Master</v>
      </c>
      <c r="AK1318" t="str" cm="1">
        <f t="array" ref="AK1318">_xlfn.SWITCH(CleanEmployeeData[[#This Row],[EnvironmentSatisfaction]],1,"Low",2,"Medium",3,"High",4,"Very High","Unknown")</f>
        <v>Low</v>
      </c>
      <c r="AL1318" t="str" cm="1">
        <f t="array" ref="AL1318">_xlfn.SWITCH(CleanEmployeeData[[#This Row],[JobInvolvement]],1,"Low",2,"Medium",3,"High",4,"Very High","Unknown")</f>
        <v>High</v>
      </c>
      <c r="AM1318" t="str" cm="1">
        <f t="array" ref="AM1318">_xlfn.SWITCH(CleanEmployeeData[[#This Row],[JobSatisfaction]],1,"Low",2,"Medium",3,"High",4,"Very High","Unknown")</f>
        <v>Very High</v>
      </c>
      <c r="AN1318" t="str" cm="1">
        <f t="array" ref="AN1318">_xlfn.SWITCH(CleanEmployeeData[[#This Row],[PerformanceRating]],1,"Low",2,"Good",3,"Excellent",4,"Outstanding","Unknown")</f>
        <v>Outstanding</v>
      </c>
      <c r="AO1318" t="str" cm="1">
        <f t="array" ref="AO1318">_xlfn.SWITCH(CleanEmployeeData[[#This Row],[WorkLifeBalance]],1,"Bad",2,"Good",3,"Better",4,"Best","Unknown")</f>
        <v>Better</v>
      </c>
      <c r="AP1318">
        <f>IF(CleanEmployeeData[[#This Row],[Attrition]]="Yes",1,IF(CleanEmployeeData[[#This Row],[Attrition]]="No",0,""))</f>
        <v>0</v>
      </c>
      <c r="AQ1318" t="str" cm="1">
        <f t="array" ref="AQ1318">_xlfn.IFS(CleanEmployeeData[[#This Row],[MonthlyIncome]]&lt;=3000,"0–3,000",CleanEmployeeData[[#This Row],[MonthlyIncome]]&lt;=6000,"3,001–6,000",CleanEmployeeData[[#This Row],[MonthlyIncome]]&lt;=10000,"6,001–10,000",TRUE,"10,001+")</f>
        <v>3,001–6,000</v>
      </c>
      <c r="AR1318" t="str" cm="1">
        <f t="array" ref="AR1318">_xlfn.IFS(CleanEmployeeData[[#This Row],[DistanceFromHome]]&lt;=5,"0–5 miles",CleanEmployeeData[[#This Row],[DistanceFromHome]]&lt;=10,"6–10 miles",CleanEmployeeData[[#This Row],[DistanceFromHome]]&lt;=15,"11–15 miles",TRUE,"16+ miles")</f>
        <v>0–5 miles</v>
      </c>
      <c r="AS1318" t="str" cm="1">
        <f t="array" ref="AS1318">_xlfn.IFS(CleanEmployeeData[[#This Row],[YearsAtCompany]]&lt;=1,"0–1 years",CleanEmployeeData[[#This Row],[YearsAtCompany]]&lt;=5,"2–5 years",CleanEmployeeData[[#This Row],[YearsAtCompany]]&lt;=10,"6–10 years",TRUE,"11+ years")</f>
        <v>6–10 years</v>
      </c>
    </row>
    <row r="1319" spans="1:4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cm="1">
        <f t="array" ref="AJ1319">_xlfn.SWITCH(CleanEmployeeData[[#This Row],[Education]],1,"Below College",2,"College",3,"Bachelor",4,"Master",5,"Doctor","Unknown")</f>
        <v>College</v>
      </c>
      <c r="AK1319" t="str" cm="1">
        <f t="array" ref="AK1319">_xlfn.SWITCH(CleanEmployeeData[[#This Row],[EnvironmentSatisfaction]],1,"Low",2,"Medium",3,"High",4,"Very High","Unknown")</f>
        <v>Very High</v>
      </c>
      <c r="AL1319" t="str" cm="1">
        <f t="array" ref="AL1319">_xlfn.SWITCH(CleanEmployeeData[[#This Row],[JobInvolvement]],1,"Low",2,"Medium",3,"High",4,"Very High","Unknown")</f>
        <v>High</v>
      </c>
      <c r="AM1319" t="str" cm="1">
        <f t="array" ref="AM1319">_xlfn.SWITCH(CleanEmployeeData[[#This Row],[JobSatisfaction]],1,"Low",2,"Medium",3,"High",4,"Very High","Unknown")</f>
        <v>Very High</v>
      </c>
      <c r="AN1319" t="str" cm="1">
        <f t="array" ref="AN1319">_xlfn.SWITCH(CleanEmployeeData[[#This Row],[PerformanceRating]],1,"Low",2,"Good",3,"Excellent",4,"Outstanding","Unknown")</f>
        <v>Excellent</v>
      </c>
      <c r="AO1319" t="str" cm="1">
        <f t="array" ref="AO1319">_xlfn.SWITCH(CleanEmployeeData[[#This Row],[WorkLifeBalance]],1,"Bad",2,"Good",3,"Better",4,"Best","Unknown")</f>
        <v>Good</v>
      </c>
      <c r="AP1319">
        <f>IF(CleanEmployeeData[[#This Row],[Attrition]]="Yes",1,IF(CleanEmployeeData[[#This Row],[Attrition]]="No",0,""))</f>
        <v>0</v>
      </c>
      <c r="AQ1319" t="str" cm="1">
        <f t="array" ref="AQ1319">_xlfn.IFS(CleanEmployeeData[[#This Row],[MonthlyIncome]]&lt;=3000,"0–3,000",CleanEmployeeData[[#This Row],[MonthlyIncome]]&lt;=6000,"3,001–6,000",CleanEmployeeData[[#This Row],[MonthlyIncome]]&lt;=10000,"6,001–10,000",TRUE,"10,001+")</f>
        <v>0–3,000</v>
      </c>
      <c r="AR1319" t="str" cm="1">
        <f t="array" ref="AR1319">_xlfn.IFS(CleanEmployeeData[[#This Row],[DistanceFromHome]]&lt;=5,"0–5 miles",CleanEmployeeData[[#This Row],[DistanceFromHome]]&lt;=10,"6–10 miles",CleanEmployeeData[[#This Row],[DistanceFromHome]]&lt;=15,"11–15 miles",TRUE,"16+ miles")</f>
        <v>0–5 miles</v>
      </c>
      <c r="AS1319" t="str" cm="1">
        <f t="array" ref="AS1319">_xlfn.IFS(CleanEmployeeData[[#This Row],[YearsAtCompany]]&lt;=1,"0–1 years",CleanEmployeeData[[#This Row],[YearsAtCompany]]&lt;=5,"2–5 years",CleanEmployeeData[[#This Row],[YearsAtCompany]]&lt;=10,"6–10 years",TRUE,"11+ years")</f>
        <v>2–5 years</v>
      </c>
    </row>
    <row r="1320" spans="1:4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cm="1">
        <f t="array" ref="AJ1320">_xlfn.SWITCH(CleanEmployeeData[[#This Row],[Education]],1,"Below College",2,"College",3,"Bachelor",4,"Master",5,"Doctor","Unknown")</f>
        <v>Below College</v>
      </c>
      <c r="AK1320" t="str" cm="1">
        <f t="array" ref="AK1320">_xlfn.SWITCH(CleanEmployeeData[[#This Row],[EnvironmentSatisfaction]],1,"Low",2,"Medium",3,"High",4,"Very High","Unknown")</f>
        <v>Very High</v>
      </c>
      <c r="AL1320" t="str" cm="1">
        <f t="array" ref="AL1320">_xlfn.SWITCH(CleanEmployeeData[[#This Row],[JobInvolvement]],1,"Low",2,"Medium",3,"High",4,"Very High","Unknown")</f>
        <v>High</v>
      </c>
      <c r="AM1320" t="str" cm="1">
        <f t="array" ref="AM1320">_xlfn.SWITCH(CleanEmployeeData[[#This Row],[JobSatisfaction]],1,"Low",2,"Medium",3,"High",4,"Very High","Unknown")</f>
        <v>Very High</v>
      </c>
      <c r="AN1320" t="str" cm="1">
        <f t="array" ref="AN1320">_xlfn.SWITCH(CleanEmployeeData[[#This Row],[PerformanceRating]],1,"Low",2,"Good",3,"Excellent",4,"Outstanding","Unknown")</f>
        <v>Excellent</v>
      </c>
      <c r="AO1320" t="str" cm="1">
        <f t="array" ref="AO1320">_xlfn.SWITCH(CleanEmployeeData[[#This Row],[WorkLifeBalance]],1,"Bad",2,"Good",3,"Better",4,"Best","Unknown")</f>
        <v>Best</v>
      </c>
      <c r="AP1320">
        <f>IF(CleanEmployeeData[[#This Row],[Attrition]]="Yes",1,IF(CleanEmployeeData[[#This Row],[Attrition]]="No",0,""))</f>
        <v>0</v>
      </c>
      <c r="AQ1320" t="str" cm="1">
        <f t="array" ref="AQ1320">_xlfn.IFS(CleanEmployeeData[[#This Row],[MonthlyIncome]]&lt;=3000,"0–3,000",CleanEmployeeData[[#This Row],[MonthlyIncome]]&lt;=6000,"3,001–6,000",CleanEmployeeData[[#This Row],[MonthlyIncome]]&lt;=10000,"6,001–10,000",TRUE,"10,001+")</f>
        <v>3,001–6,000</v>
      </c>
      <c r="AR1320" t="str" cm="1">
        <f t="array" ref="AR1320">_xlfn.IFS(CleanEmployeeData[[#This Row],[DistanceFromHome]]&lt;=5,"0–5 miles",CleanEmployeeData[[#This Row],[DistanceFromHome]]&lt;=10,"6–10 miles",CleanEmployeeData[[#This Row],[DistanceFromHome]]&lt;=15,"11–15 miles",TRUE,"16+ miles")</f>
        <v>16+ miles</v>
      </c>
      <c r="AS1320" t="str" cm="1">
        <f t="array" ref="AS1320">_xlfn.IFS(CleanEmployeeData[[#This Row],[YearsAtCompany]]&lt;=1,"0–1 years",CleanEmployeeData[[#This Row],[YearsAtCompany]]&lt;=5,"2–5 years",CleanEmployeeData[[#This Row],[YearsAtCompany]]&lt;=10,"6–10 years",TRUE,"11+ years")</f>
        <v>11+ years</v>
      </c>
    </row>
    <row r="1321" spans="1:4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cm="1">
        <f t="array" ref="AJ1321">_xlfn.SWITCH(CleanEmployeeData[[#This Row],[Education]],1,"Below College",2,"College",3,"Bachelor",4,"Master",5,"Doctor","Unknown")</f>
        <v>Master</v>
      </c>
      <c r="AK1321" t="str" cm="1">
        <f t="array" ref="AK1321">_xlfn.SWITCH(CleanEmployeeData[[#This Row],[EnvironmentSatisfaction]],1,"Low",2,"Medium",3,"High",4,"Very High","Unknown")</f>
        <v>Very High</v>
      </c>
      <c r="AL1321" t="str" cm="1">
        <f t="array" ref="AL1321">_xlfn.SWITCH(CleanEmployeeData[[#This Row],[JobInvolvement]],1,"Low",2,"Medium",3,"High",4,"Very High","Unknown")</f>
        <v>High</v>
      </c>
      <c r="AM1321" t="str" cm="1">
        <f t="array" ref="AM1321">_xlfn.SWITCH(CleanEmployeeData[[#This Row],[JobSatisfaction]],1,"Low",2,"Medium",3,"High",4,"Very High","Unknown")</f>
        <v>Very High</v>
      </c>
      <c r="AN1321" t="str" cm="1">
        <f t="array" ref="AN1321">_xlfn.SWITCH(CleanEmployeeData[[#This Row],[PerformanceRating]],1,"Low",2,"Good",3,"Excellent",4,"Outstanding","Unknown")</f>
        <v>Excellent</v>
      </c>
      <c r="AO1321" t="str" cm="1">
        <f t="array" ref="AO1321">_xlfn.SWITCH(CleanEmployeeData[[#This Row],[WorkLifeBalance]],1,"Bad",2,"Good",3,"Better",4,"Best","Unknown")</f>
        <v>Best</v>
      </c>
      <c r="AP1321">
        <f>IF(CleanEmployeeData[[#This Row],[Attrition]]="Yes",1,IF(CleanEmployeeData[[#This Row],[Attrition]]="No",0,""))</f>
        <v>0</v>
      </c>
      <c r="AQ1321" t="str" cm="1">
        <f t="array" ref="AQ1321">_xlfn.IFS(CleanEmployeeData[[#This Row],[MonthlyIncome]]&lt;=3000,"0–3,000",CleanEmployeeData[[#This Row],[MonthlyIncome]]&lt;=6000,"3,001–6,000",CleanEmployeeData[[#This Row],[MonthlyIncome]]&lt;=10000,"6,001–10,000",TRUE,"10,001+")</f>
        <v>3,001–6,000</v>
      </c>
      <c r="AR1321" t="str" cm="1">
        <f t="array" ref="AR1321">_xlfn.IFS(CleanEmployeeData[[#This Row],[DistanceFromHome]]&lt;=5,"0–5 miles",CleanEmployeeData[[#This Row],[DistanceFromHome]]&lt;=10,"6–10 miles",CleanEmployeeData[[#This Row],[DistanceFromHome]]&lt;=15,"11–15 miles",TRUE,"16+ miles")</f>
        <v>6–10 miles</v>
      </c>
      <c r="AS1321" t="str" cm="1">
        <f t="array" ref="AS1321">_xlfn.IFS(CleanEmployeeData[[#This Row],[YearsAtCompany]]&lt;=1,"0–1 years",CleanEmployeeData[[#This Row],[YearsAtCompany]]&lt;=5,"2–5 years",CleanEmployeeData[[#This Row],[YearsAtCompany]]&lt;=10,"6–10 years",TRUE,"11+ years")</f>
        <v>0–1 years</v>
      </c>
    </row>
    <row r="1322" spans="1:4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cm="1">
        <f t="array" ref="AJ1322">_xlfn.SWITCH(CleanEmployeeData[[#This Row],[Education]],1,"Below College",2,"College",3,"Bachelor",4,"Master",5,"Doctor","Unknown")</f>
        <v>Master</v>
      </c>
      <c r="AK1322" t="str" cm="1">
        <f t="array" ref="AK1322">_xlfn.SWITCH(CleanEmployeeData[[#This Row],[EnvironmentSatisfaction]],1,"Low",2,"Medium",3,"High",4,"Very High","Unknown")</f>
        <v>High</v>
      </c>
      <c r="AL1322" t="str" cm="1">
        <f t="array" ref="AL1322">_xlfn.SWITCH(CleanEmployeeData[[#This Row],[JobInvolvement]],1,"Low",2,"Medium",3,"High",4,"Very High","Unknown")</f>
        <v>High</v>
      </c>
      <c r="AM1322" t="str" cm="1">
        <f t="array" ref="AM1322">_xlfn.SWITCH(CleanEmployeeData[[#This Row],[JobSatisfaction]],1,"Low",2,"Medium",3,"High",4,"Very High","Unknown")</f>
        <v>High</v>
      </c>
      <c r="AN1322" t="str" cm="1">
        <f t="array" ref="AN1322">_xlfn.SWITCH(CleanEmployeeData[[#This Row],[PerformanceRating]],1,"Low",2,"Good",3,"Excellent",4,"Outstanding","Unknown")</f>
        <v>Outstanding</v>
      </c>
      <c r="AO1322" t="str" cm="1">
        <f t="array" ref="AO1322">_xlfn.SWITCH(CleanEmployeeData[[#This Row],[WorkLifeBalance]],1,"Bad",2,"Good",3,"Better",4,"Best","Unknown")</f>
        <v>Good</v>
      </c>
      <c r="AP1322">
        <f>IF(CleanEmployeeData[[#This Row],[Attrition]]="Yes",1,IF(CleanEmployeeData[[#This Row],[Attrition]]="No",0,""))</f>
        <v>0</v>
      </c>
      <c r="AQ1322" t="str" cm="1">
        <f t="array" ref="AQ1322">_xlfn.IFS(CleanEmployeeData[[#This Row],[MonthlyIncome]]&lt;=3000,"0–3,000",CleanEmployeeData[[#This Row],[MonthlyIncome]]&lt;=6000,"3,001–6,000",CleanEmployeeData[[#This Row],[MonthlyIncome]]&lt;=10000,"6,001–10,000",TRUE,"10,001+")</f>
        <v>0–3,000</v>
      </c>
      <c r="AR1322" t="str" cm="1">
        <f t="array" ref="AR1322">_xlfn.IFS(CleanEmployeeData[[#This Row],[DistanceFromHome]]&lt;=5,"0–5 miles",CleanEmployeeData[[#This Row],[DistanceFromHome]]&lt;=10,"6–10 miles",CleanEmployeeData[[#This Row],[DistanceFromHome]]&lt;=15,"11–15 miles",TRUE,"16+ miles")</f>
        <v>6–10 miles</v>
      </c>
      <c r="AS1322" t="str" cm="1">
        <f t="array" ref="AS1322">_xlfn.IFS(CleanEmployeeData[[#This Row],[YearsAtCompany]]&lt;=1,"0–1 years",CleanEmployeeData[[#This Row],[YearsAtCompany]]&lt;=5,"2–5 years",CleanEmployeeData[[#This Row],[YearsAtCompany]]&lt;=10,"6–10 years",TRUE,"11+ years")</f>
        <v>6–10 years</v>
      </c>
    </row>
    <row r="1323" spans="1:4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cm="1">
        <f t="array" ref="AJ1323">_xlfn.SWITCH(CleanEmployeeData[[#This Row],[Education]],1,"Below College",2,"College",3,"Bachelor",4,"Master",5,"Doctor","Unknown")</f>
        <v>Master</v>
      </c>
      <c r="AK1323" t="str" cm="1">
        <f t="array" ref="AK1323">_xlfn.SWITCH(CleanEmployeeData[[#This Row],[EnvironmentSatisfaction]],1,"Low",2,"Medium",3,"High",4,"Very High","Unknown")</f>
        <v>Medium</v>
      </c>
      <c r="AL1323" t="str" cm="1">
        <f t="array" ref="AL1323">_xlfn.SWITCH(CleanEmployeeData[[#This Row],[JobInvolvement]],1,"Low",2,"Medium",3,"High",4,"Very High","Unknown")</f>
        <v>High</v>
      </c>
      <c r="AM1323" t="str" cm="1">
        <f t="array" ref="AM1323">_xlfn.SWITCH(CleanEmployeeData[[#This Row],[JobSatisfaction]],1,"Low",2,"Medium",3,"High",4,"Very High","Unknown")</f>
        <v>High</v>
      </c>
      <c r="AN1323" t="str" cm="1">
        <f t="array" ref="AN1323">_xlfn.SWITCH(CleanEmployeeData[[#This Row],[PerformanceRating]],1,"Low",2,"Good",3,"Excellent",4,"Outstanding","Unknown")</f>
        <v>Excellent</v>
      </c>
      <c r="AO1323" t="str" cm="1">
        <f t="array" ref="AO1323">_xlfn.SWITCH(CleanEmployeeData[[#This Row],[WorkLifeBalance]],1,"Bad",2,"Good",3,"Better",4,"Best","Unknown")</f>
        <v>Better</v>
      </c>
      <c r="AP1323">
        <f>IF(CleanEmployeeData[[#This Row],[Attrition]]="Yes",1,IF(CleanEmployeeData[[#This Row],[Attrition]]="No",0,""))</f>
        <v>0</v>
      </c>
      <c r="AQ1323" t="str" cm="1">
        <f t="array" ref="AQ1323">_xlfn.IFS(CleanEmployeeData[[#This Row],[MonthlyIncome]]&lt;=3000,"0–3,000",CleanEmployeeData[[#This Row],[MonthlyIncome]]&lt;=6000,"3,001–6,000",CleanEmployeeData[[#This Row],[MonthlyIncome]]&lt;=10000,"6,001–10,000",TRUE,"10,001+")</f>
        <v>0–3,000</v>
      </c>
      <c r="AR1323" t="str" cm="1">
        <f t="array" ref="AR1323">_xlfn.IFS(CleanEmployeeData[[#This Row],[DistanceFromHome]]&lt;=5,"0–5 miles",CleanEmployeeData[[#This Row],[DistanceFromHome]]&lt;=10,"6–10 miles",CleanEmployeeData[[#This Row],[DistanceFromHome]]&lt;=15,"11–15 miles",TRUE,"16+ miles")</f>
        <v>6–10 miles</v>
      </c>
      <c r="AS1323" t="str" cm="1">
        <f t="array" ref="AS1323">_xlfn.IFS(CleanEmployeeData[[#This Row],[YearsAtCompany]]&lt;=1,"0–1 years",CleanEmployeeData[[#This Row],[YearsAtCompany]]&lt;=5,"2–5 years",CleanEmployeeData[[#This Row],[YearsAtCompany]]&lt;=10,"6–10 years",TRUE,"11+ years")</f>
        <v>2–5 years</v>
      </c>
    </row>
    <row r="1324" spans="1:4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cm="1">
        <f t="array" ref="AJ1324">_xlfn.SWITCH(CleanEmployeeData[[#This Row],[Education]],1,"Below College",2,"College",3,"Bachelor",4,"Master",5,"Doctor","Unknown")</f>
        <v>College</v>
      </c>
      <c r="AK1324" t="str" cm="1">
        <f t="array" ref="AK1324">_xlfn.SWITCH(CleanEmployeeData[[#This Row],[EnvironmentSatisfaction]],1,"Low",2,"Medium",3,"High",4,"Very High","Unknown")</f>
        <v>Very High</v>
      </c>
      <c r="AL1324" t="str" cm="1">
        <f t="array" ref="AL1324">_xlfn.SWITCH(CleanEmployeeData[[#This Row],[JobInvolvement]],1,"Low",2,"Medium",3,"High",4,"Very High","Unknown")</f>
        <v>High</v>
      </c>
      <c r="AM1324" t="str" cm="1">
        <f t="array" ref="AM1324">_xlfn.SWITCH(CleanEmployeeData[[#This Row],[JobSatisfaction]],1,"Low",2,"Medium",3,"High",4,"Very High","Unknown")</f>
        <v>Very High</v>
      </c>
      <c r="AN1324" t="str" cm="1">
        <f t="array" ref="AN1324">_xlfn.SWITCH(CleanEmployeeData[[#This Row],[PerformanceRating]],1,"Low",2,"Good",3,"Excellent",4,"Outstanding","Unknown")</f>
        <v>Excellent</v>
      </c>
      <c r="AO1324" t="str" cm="1">
        <f t="array" ref="AO1324">_xlfn.SWITCH(CleanEmployeeData[[#This Row],[WorkLifeBalance]],1,"Bad",2,"Good",3,"Better",4,"Best","Unknown")</f>
        <v>Good</v>
      </c>
      <c r="AP1324">
        <f>IF(CleanEmployeeData[[#This Row],[Attrition]]="Yes",1,IF(CleanEmployeeData[[#This Row],[Attrition]]="No",0,""))</f>
        <v>0</v>
      </c>
      <c r="AQ1324" t="str" cm="1">
        <f t="array" ref="AQ1324">_xlfn.IFS(CleanEmployeeData[[#This Row],[MonthlyIncome]]&lt;=3000,"0–3,000",CleanEmployeeData[[#This Row],[MonthlyIncome]]&lt;=6000,"3,001–6,000",CleanEmployeeData[[#This Row],[MonthlyIncome]]&lt;=10000,"6,001–10,000",TRUE,"10,001+")</f>
        <v>6,001–10,000</v>
      </c>
      <c r="AR1324" t="str" cm="1">
        <f t="array" ref="AR1324">_xlfn.IFS(CleanEmployeeData[[#This Row],[DistanceFromHome]]&lt;=5,"0–5 miles",CleanEmployeeData[[#This Row],[DistanceFromHome]]&lt;=10,"6–10 miles",CleanEmployeeData[[#This Row],[DistanceFromHome]]&lt;=15,"11–15 miles",TRUE,"16+ miles")</f>
        <v>0–5 miles</v>
      </c>
      <c r="AS1324" t="str" cm="1">
        <f t="array" ref="AS1324">_xlfn.IFS(CleanEmployeeData[[#This Row],[YearsAtCompany]]&lt;=1,"0–1 years",CleanEmployeeData[[#This Row],[YearsAtCompany]]&lt;=5,"2–5 years",CleanEmployeeData[[#This Row],[YearsAtCompany]]&lt;=10,"6–10 years",TRUE,"11+ years")</f>
        <v>6–10 years</v>
      </c>
    </row>
    <row r="1325" spans="1:4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cm="1">
        <f t="array" ref="AJ1325">_xlfn.SWITCH(CleanEmployeeData[[#This Row],[Education]],1,"Below College",2,"College",3,"Bachelor",4,"Master",5,"Doctor","Unknown")</f>
        <v>College</v>
      </c>
      <c r="AK1325" t="str" cm="1">
        <f t="array" ref="AK1325">_xlfn.SWITCH(CleanEmployeeData[[#This Row],[EnvironmentSatisfaction]],1,"Low",2,"Medium",3,"High",4,"Very High","Unknown")</f>
        <v>High</v>
      </c>
      <c r="AL1325" t="str" cm="1">
        <f t="array" ref="AL1325">_xlfn.SWITCH(CleanEmployeeData[[#This Row],[JobInvolvement]],1,"Low",2,"Medium",3,"High",4,"Very High","Unknown")</f>
        <v>High</v>
      </c>
      <c r="AM1325" t="str" cm="1">
        <f t="array" ref="AM1325">_xlfn.SWITCH(CleanEmployeeData[[#This Row],[JobSatisfaction]],1,"Low",2,"Medium",3,"High",4,"Very High","Unknown")</f>
        <v>Very High</v>
      </c>
      <c r="AN1325" t="str" cm="1">
        <f t="array" ref="AN1325">_xlfn.SWITCH(CleanEmployeeData[[#This Row],[PerformanceRating]],1,"Low",2,"Good",3,"Excellent",4,"Outstanding","Unknown")</f>
        <v>Excellent</v>
      </c>
      <c r="AO1325" t="str" cm="1">
        <f t="array" ref="AO1325">_xlfn.SWITCH(CleanEmployeeData[[#This Row],[WorkLifeBalance]],1,"Bad",2,"Good",3,"Better",4,"Best","Unknown")</f>
        <v>Better</v>
      </c>
      <c r="AP1325">
        <f>IF(CleanEmployeeData[[#This Row],[Attrition]]="Yes",1,IF(CleanEmployeeData[[#This Row],[Attrition]]="No",0,""))</f>
        <v>0</v>
      </c>
      <c r="AQ1325" t="str" cm="1">
        <f t="array" ref="AQ1325">_xlfn.IFS(CleanEmployeeData[[#This Row],[MonthlyIncome]]&lt;=3000,"0–3,000",CleanEmployeeData[[#This Row],[MonthlyIncome]]&lt;=6000,"3,001–6,000",CleanEmployeeData[[#This Row],[MonthlyIncome]]&lt;=10000,"6,001–10,000",TRUE,"10,001+")</f>
        <v>0–3,000</v>
      </c>
      <c r="AR1325" t="str" cm="1">
        <f t="array" ref="AR1325">_xlfn.IFS(CleanEmployeeData[[#This Row],[DistanceFromHome]]&lt;=5,"0–5 miles",CleanEmployeeData[[#This Row],[DistanceFromHome]]&lt;=10,"6–10 miles",CleanEmployeeData[[#This Row],[DistanceFromHome]]&lt;=15,"11–15 miles",TRUE,"16+ miles")</f>
        <v>0–5 miles</v>
      </c>
      <c r="AS1325" t="str" cm="1">
        <f t="array" ref="AS1325">_xlfn.IFS(CleanEmployeeData[[#This Row],[YearsAtCompany]]&lt;=1,"0–1 years",CleanEmployeeData[[#This Row],[YearsAtCompany]]&lt;=5,"2–5 years",CleanEmployeeData[[#This Row],[YearsAtCompany]]&lt;=10,"6–10 years",TRUE,"11+ years")</f>
        <v>2–5 years</v>
      </c>
    </row>
    <row r="1326" spans="1:4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cm="1">
        <f t="array" ref="AJ1326">_xlfn.SWITCH(CleanEmployeeData[[#This Row],[Education]],1,"Below College",2,"College",3,"Bachelor",4,"Master",5,"Doctor","Unknown")</f>
        <v>Below College</v>
      </c>
      <c r="AK1326" t="str" cm="1">
        <f t="array" ref="AK1326">_xlfn.SWITCH(CleanEmployeeData[[#This Row],[EnvironmentSatisfaction]],1,"Low",2,"Medium",3,"High",4,"Very High","Unknown")</f>
        <v>Very High</v>
      </c>
      <c r="AL1326" t="str" cm="1">
        <f t="array" ref="AL1326">_xlfn.SWITCH(CleanEmployeeData[[#This Row],[JobInvolvement]],1,"Low",2,"Medium",3,"High",4,"Very High","Unknown")</f>
        <v>Low</v>
      </c>
      <c r="AM1326" t="str" cm="1">
        <f t="array" ref="AM1326">_xlfn.SWITCH(CleanEmployeeData[[#This Row],[JobSatisfaction]],1,"Low",2,"Medium",3,"High",4,"Very High","Unknown")</f>
        <v>High</v>
      </c>
      <c r="AN1326" t="str" cm="1">
        <f t="array" ref="AN1326">_xlfn.SWITCH(CleanEmployeeData[[#This Row],[PerformanceRating]],1,"Low",2,"Good",3,"Excellent",4,"Outstanding","Unknown")</f>
        <v>Excellent</v>
      </c>
      <c r="AO1326" t="str" cm="1">
        <f t="array" ref="AO1326">_xlfn.SWITCH(CleanEmployeeData[[#This Row],[WorkLifeBalance]],1,"Bad",2,"Good",3,"Better",4,"Best","Unknown")</f>
        <v>Better</v>
      </c>
      <c r="AP1326">
        <f>IF(CleanEmployeeData[[#This Row],[Attrition]]="Yes",1,IF(CleanEmployeeData[[#This Row],[Attrition]]="No",0,""))</f>
        <v>0</v>
      </c>
      <c r="AQ1326" t="str" cm="1">
        <f t="array" ref="AQ1326">_xlfn.IFS(CleanEmployeeData[[#This Row],[MonthlyIncome]]&lt;=3000,"0–3,000",CleanEmployeeData[[#This Row],[MonthlyIncome]]&lt;=6000,"3,001–6,000",CleanEmployeeData[[#This Row],[MonthlyIncome]]&lt;=10000,"6,001–10,000",TRUE,"10,001+")</f>
        <v>6,001–10,000</v>
      </c>
      <c r="AR1326" t="str" cm="1">
        <f t="array" ref="AR1326">_xlfn.IFS(CleanEmployeeData[[#This Row],[DistanceFromHome]]&lt;=5,"0–5 miles",CleanEmployeeData[[#This Row],[DistanceFromHome]]&lt;=10,"6–10 miles",CleanEmployeeData[[#This Row],[DistanceFromHome]]&lt;=15,"11–15 miles",TRUE,"16+ miles")</f>
        <v>16+ miles</v>
      </c>
      <c r="AS1326" t="str" cm="1">
        <f t="array" ref="AS1326">_xlfn.IFS(CleanEmployeeData[[#This Row],[YearsAtCompany]]&lt;=1,"0–1 years",CleanEmployeeData[[#This Row],[YearsAtCompany]]&lt;=5,"2–5 years",CleanEmployeeData[[#This Row],[YearsAtCompany]]&lt;=10,"6–10 years",TRUE,"11+ years")</f>
        <v>6–10 years</v>
      </c>
    </row>
    <row r="1327" spans="1:4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cm="1">
        <f t="array" ref="AJ1327">_xlfn.SWITCH(CleanEmployeeData[[#This Row],[Education]],1,"Below College",2,"College",3,"Bachelor",4,"Master",5,"Doctor","Unknown")</f>
        <v>Bachelor</v>
      </c>
      <c r="AK1327" t="str" cm="1">
        <f t="array" ref="AK1327">_xlfn.SWITCH(CleanEmployeeData[[#This Row],[EnvironmentSatisfaction]],1,"Low",2,"Medium",3,"High",4,"Very High","Unknown")</f>
        <v>Very High</v>
      </c>
      <c r="AL1327" t="str" cm="1">
        <f t="array" ref="AL1327">_xlfn.SWITCH(CleanEmployeeData[[#This Row],[JobInvolvement]],1,"Low",2,"Medium",3,"High",4,"Very High","Unknown")</f>
        <v>High</v>
      </c>
      <c r="AM1327" t="str" cm="1">
        <f t="array" ref="AM1327">_xlfn.SWITCH(CleanEmployeeData[[#This Row],[JobSatisfaction]],1,"Low",2,"Medium",3,"High",4,"Very High","Unknown")</f>
        <v>High</v>
      </c>
      <c r="AN1327" t="str" cm="1">
        <f t="array" ref="AN1327">_xlfn.SWITCH(CleanEmployeeData[[#This Row],[PerformanceRating]],1,"Low",2,"Good",3,"Excellent",4,"Outstanding","Unknown")</f>
        <v>Excellent</v>
      </c>
      <c r="AO1327" t="str" cm="1">
        <f t="array" ref="AO1327">_xlfn.SWITCH(CleanEmployeeData[[#This Row],[WorkLifeBalance]],1,"Bad",2,"Good",3,"Better",4,"Best","Unknown")</f>
        <v>Better</v>
      </c>
      <c r="AP1327">
        <f>IF(CleanEmployeeData[[#This Row],[Attrition]]="Yes",1,IF(CleanEmployeeData[[#This Row],[Attrition]]="No",0,""))</f>
        <v>0</v>
      </c>
      <c r="AQ1327" t="str" cm="1">
        <f t="array" ref="AQ1327">_xlfn.IFS(CleanEmployeeData[[#This Row],[MonthlyIncome]]&lt;=3000,"0–3,000",CleanEmployeeData[[#This Row],[MonthlyIncome]]&lt;=6000,"3,001–6,000",CleanEmployeeData[[#This Row],[MonthlyIncome]]&lt;=10000,"6,001–10,000",TRUE,"10,001+")</f>
        <v>3,001–6,000</v>
      </c>
      <c r="AR1327" t="str" cm="1">
        <f t="array" ref="AR1327">_xlfn.IFS(CleanEmployeeData[[#This Row],[DistanceFromHome]]&lt;=5,"0–5 miles",CleanEmployeeData[[#This Row],[DistanceFromHome]]&lt;=10,"6–10 miles",CleanEmployeeData[[#This Row],[DistanceFromHome]]&lt;=15,"11–15 miles",TRUE,"16+ miles")</f>
        <v>6–10 miles</v>
      </c>
      <c r="AS1327" t="str" cm="1">
        <f t="array" ref="AS1327">_xlfn.IFS(CleanEmployeeData[[#This Row],[YearsAtCompany]]&lt;=1,"0–1 years",CleanEmployeeData[[#This Row],[YearsAtCompany]]&lt;=5,"2–5 years",CleanEmployeeData[[#This Row],[YearsAtCompany]]&lt;=10,"6–10 years",TRUE,"11+ years")</f>
        <v>0–1 years</v>
      </c>
    </row>
    <row r="1328" spans="1:4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cm="1">
        <f t="array" ref="AJ1328">_xlfn.SWITCH(CleanEmployeeData[[#This Row],[Education]],1,"Below College",2,"College",3,"Bachelor",4,"Master",5,"Doctor","Unknown")</f>
        <v>Master</v>
      </c>
      <c r="AK1328" t="str" cm="1">
        <f t="array" ref="AK1328">_xlfn.SWITCH(CleanEmployeeData[[#This Row],[EnvironmentSatisfaction]],1,"Low",2,"Medium",3,"High",4,"Very High","Unknown")</f>
        <v>High</v>
      </c>
      <c r="AL1328" t="str" cm="1">
        <f t="array" ref="AL1328">_xlfn.SWITCH(CleanEmployeeData[[#This Row],[JobInvolvement]],1,"Low",2,"Medium",3,"High",4,"Very High","Unknown")</f>
        <v>Medium</v>
      </c>
      <c r="AM1328" t="str" cm="1">
        <f t="array" ref="AM1328">_xlfn.SWITCH(CleanEmployeeData[[#This Row],[JobSatisfaction]],1,"Low",2,"Medium",3,"High",4,"Very High","Unknown")</f>
        <v>Medium</v>
      </c>
      <c r="AN1328" t="str" cm="1">
        <f t="array" ref="AN1328">_xlfn.SWITCH(CleanEmployeeData[[#This Row],[PerformanceRating]],1,"Low",2,"Good",3,"Excellent",4,"Outstanding","Unknown")</f>
        <v>Excellent</v>
      </c>
      <c r="AO1328" t="str" cm="1">
        <f t="array" ref="AO1328">_xlfn.SWITCH(CleanEmployeeData[[#This Row],[WorkLifeBalance]],1,"Bad",2,"Good",3,"Better",4,"Best","Unknown")</f>
        <v>Good</v>
      </c>
      <c r="AP1328">
        <f>IF(CleanEmployeeData[[#This Row],[Attrition]]="Yes",1,IF(CleanEmployeeData[[#This Row],[Attrition]]="No",0,""))</f>
        <v>1</v>
      </c>
      <c r="AQ1328" t="str" cm="1">
        <f t="array" ref="AQ1328">_xlfn.IFS(CleanEmployeeData[[#This Row],[MonthlyIncome]]&lt;=3000,"0–3,000",CleanEmployeeData[[#This Row],[MonthlyIncome]]&lt;=6000,"3,001–6,000",CleanEmployeeData[[#This Row],[MonthlyIncome]]&lt;=10000,"6,001–10,000",TRUE,"10,001+")</f>
        <v>6,001–10,000</v>
      </c>
      <c r="AR1328" t="str" cm="1">
        <f t="array" ref="AR1328">_xlfn.IFS(CleanEmployeeData[[#This Row],[DistanceFromHome]]&lt;=5,"0–5 miles",CleanEmployeeData[[#This Row],[DistanceFromHome]]&lt;=10,"6–10 miles",CleanEmployeeData[[#This Row],[DistanceFromHome]]&lt;=15,"11–15 miles",TRUE,"16+ miles")</f>
        <v>0–5 miles</v>
      </c>
      <c r="AS1328" t="str" cm="1">
        <f t="array" ref="AS1328">_xlfn.IFS(CleanEmployeeData[[#This Row],[YearsAtCompany]]&lt;=1,"0–1 years",CleanEmployeeData[[#This Row],[YearsAtCompany]]&lt;=5,"2–5 years",CleanEmployeeData[[#This Row],[YearsAtCompany]]&lt;=10,"6–10 years",TRUE,"11+ years")</f>
        <v>2–5 years</v>
      </c>
    </row>
    <row r="1329" spans="1:4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cm="1">
        <f t="array" ref="AJ1329">_xlfn.SWITCH(CleanEmployeeData[[#This Row],[Education]],1,"Below College",2,"College",3,"Bachelor",4,"Master",5,"Doctor","Unknown")</f>
        <v>Bachelor</v>
      </c>
      <c r="AK1329" t="str" cm="1">
        <f t="array" ref="AK1329">_xlfn.SWITCH(CleanEmployeeData[[#This Row],[EnvironmentSatisfaction]],1,"Low",2,"Medium",3,"High",4,"Very High","Unknown")</f>
        <v>Low</v>
      </c>
      <c r="AL1329" t="str" cm="1">
        <f t="array" ref="AL1329">_xlfn.SWITCH(CleanEmployeeData[[#This Row],[JobInvolvement]],1,"Low",2,"Medium",3,"High",4,"Very High","Unknown")</f>
        <v>Very High</v>
      </c>
      <c r="AM1329" t="str" cm="1">
        <f t="array" ref="AM1329">_xlfn.SWITCH(CleanEmployeeData[[#This Row],[JobSatisfaction]],1,"Low",2,"Medium",3,"High",4,"Very High","Unknown")</f>
        <v>Low</v>
      </c>
      <c r="AN1329" t="str" cm="1">
        <f t="array" ref="AN1329">_xlfn.SWITCH(CleanEmployeeData[[#This Row],[PerformanceRating]],1,"Low",2,"Good",3,"Excellent",4,"Outstanding","Unknown")</f>
        <v>Excellent</v>
      </c>
      <c r="AO1329" t="str" cm="1">
        <f t="array" ref="AO1329">_xlfn.SWITCH(CleanEmployeeData[[#This Row],[WorkLifeBalance]],1,"Bad",2,"Good",3,"Better",4,"Best","Unknown")</f>
        <v>Better</v>
      </c>
      <c r="AP1329">
        <f>IF(CleanEmployeeData[[#This Row],[Attrition]]="Yes",1,IF(CleanEmployeeData[[#This Row],[Attrition]]="No",0,""))</f>
        <v>0</v>
      </c>
      <c r="AQ1329" t="str" cm="1">
        <f t="array" ref="AQ1329">_xlfn.IFS(CleanEmployeeData[[#This Row],[MonthlyIncome]]&lt;=3000,"0–3,000",CleanEmployeeData[[#This Row],[MonthlyIncome]]&lt;=6000,"3,001–6,000",CleanEmployeeData[[#This Row],[MonthlyIncome]]&lt;=10000,"6,001–10,000",TRUE,"10,001+")</f>
        <v>10,001+</v>
      </c>
      <c r="AR1329" t="str" cm="1">
        <f t="array" ref="AR1329">_xlfn.IFS(CleanEmployeeData[[#This Row],[DistanceFromHome]]&lt;=5,"0–5 miles",CleanEmployeeData[[#This Row],[DistanceFromHome]]&lt;=10,"6–10 miles",CleanEmployeeData[[#This Row],[DistanceFromHome]]&lt;=15,"11–15 miles",TRUE,"16+ miles")</f>
        <v>0–5 miles</v>
      </c>
      <c r="AS1329" t="str" cm="1">
        <f t="array" ref="AS1329">_xlfn.IFS(CleanEmployeeData[[#This Row],[YearsAtCompany]]&lt;=1,"0–1 years",CleanEmployeeData[[#This Row],[YearsAtCompany]]&lt;=5,"2–5 years",CleanEmployeeData[[#This Row],[YearsAtCompany]]&lt;=10,"6–10 years",TRUE,"11+ years")</f>
        <v>11+ years</v>
      </c>
    </row>
    <row r="1330" spans="1:4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cm="1">
        <f t="array" ref="AJ1330">_xlfn.SWITCH(CleanEmployeeData[[#This Row],[Education]],1,"Below College",2,"College",3,"Bachelor",4,"Master",5,"Doctor","Unknown")</f>
        <v>Below College</v>
      </c>
      <c r="AK1330" t="str" cm="1">
        <f t="array" ref="AK1330">_xlfn.SWITCH(CleanEmployeeData[[#This Row],[EnvironmentSatisfaction]],1,"Low",2,"Medium",3,"High",4,"Very High","Unknown")</f>
        <v>Medium</v>
      </c>
      <c r="AL1330" t="str" cm="1">
        <f t="array" ref="AL1330">_xlfn.SWITCH(CleanEmployeeData[[#This Row],[JobInvolvement]],1,"Low",2,"Medium",3,"High",4,"Very High","Unknown")</f>
        <v>Medium</v>
      </c>
      <c r="AM1330" t="str" cm="1">
        <f t="array" ref="AM1330">_xlfn.SWITCH(CleanEmployeeData[[#This Row],[JobSatisfaction]],1,"Low",2,"Medium",3,"High",4,"Very High","Unknown")</f>
        <v>High</v>
      </c>
      <c r="AN1330" t="str" cm="1">
        <f t="array" ref="AN1330">_xlfn.SWITCH(CleanEmployeeData[[#This Row],[PerformanceRating]],1,"Low",2,"Good",3,"Excellent",4,"Outstanding","Unknown")</f>
        <v>Outstanding</v>
      </c>
      <c r="AO1330" t="str" cm="1">
        <f t="array" ref="AO1330">_xlfn.SWITCH(CleanEmployeeData[[#This Row],[WorkLifeBalance]],1,"Bad",2,"Good",3,"Better",4,"Best","Unknown")</f>
        <v>Better</v>
      </c>
      <c r="AP1330">
        <f>IF(CleanEmployeeData[[#This Row],[Attrition]]="Yes",1,IF(CleanEmployeeData[[#This Row],[Attrition]]="No",0,""))</f>
        <v>0</v>
      </c>
      <c r="AQ1330" t="str" cm="1">
        <f t="array" ref="AQ1330">_xlfn.IFS(CleanEmployeeData[[#This Row],[MonthlyIncome]]&lt;=3000,"0–3,000",CleanEmployeeData[[#This Row],[MonthlyIncome]]&lt;=6000,"3,001–6,000",CleanEmployeeData[[#This Row],[MonthlyIncome]]&lt;=10000,"6,001–10,000",TRUE,"10,001+")</f>
        <v>3,001–6,000</v>
      </c>
      <c r="AR1330" t="str" cm="1">
        <f t="array" ref="AR1330">_xlfn.IFS(CleanEmployeeData[[#This Row],[DistanceFromHome]]&lt;=5,"0–5 miles",CleanEmployeeData[[#This Row],[DistanceFromHome]]&lt;=10,"6–10 miles",CleanEmployeeData[[#This Row],[DistanceFromHome]]&lt;=15,"11–15 miles",TRUE,"16+ miles")</f>
        <v>16+ miles</v>
      </c>
      <c r="AS1330" t="str" cm="1">
        <f t="array" ref="AS1330">_xlfn.IFS(CleanEmployeeData[[#This Row],[YearsAtCompany]]&lt;=1,"0–1 years",CleanEmployeeData[[#This Row],[YearsAtCompany]]&lt;=5,"2–5 years",CleanEmployeeData[[#This Row],[YearsAtCompany]]&lt;=10,"6–10 years",TRUE,"11+ years")</f>
        <v>6–10 years</v>
      </c>
    </row>
    <row r="1331" spans="1:4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cm="1">
        <f t="array" ref="AJ1331">_xlfn.SWITCH(CleanEmployeeData[[#This Row],[Education]],1,"Below College",2,"College",3,"Bachelor",4,"Master",5,"Doctor","Unknown")</f>
        <v>Below College</v>
      </c>
      <c r="AK1331" t="str" cm="1">
        <f t="array" ref="AK1331">_xlfn.SWITCH(CleanEmployeeData[[#This Row],[EnvironmentSatisfaction]],1,"Low",2,"Medium",3,"High",4,"Very High","Unknown")</f>
        <v>Very High</v>
      </c>
      <c r="AL1331" t="str" cm="1">
        <f t="array" ref="AL1331">_xlfn.SWITCH(CleanEmployeeData[[#This Row],[JobInvolvement]],1,"Low",2,"Medium",3,"High",4,"Very High","Unknown")</f>
        <v>Medium</v>
      </c>
      <c r="AM1331" t="str" cm="1">
        <f t="array" ref="AM1331">_xlfn.SWITCH(CleanEmployeeData[[#This Row],[JobSatisfaction]],1,"Low",2,"Medium",3,"High",4,"Very High","Unknown")</f>
        <v>Medium</v>
      </c>
      <c r="AN1331" t="str" cm="1">
        <f t="array" ref="AN1331">_xlfn.SWITCH(CleanEmployeeData[[#This Row],[PerformanceRating]],1,"Low",2,"Good",3,"Excellent",4,"Outstanding","Unknown")</f>
        <v>Excellent</v>
      </c>
      <c r="AO1331" t="str" cm="1">
        <f t="array" ref="AO1331">_xlfn.SWITCH(CleanEmployeeData[[#This Row],[WorkLifeBalance]],1,"Bad",2,"Good",3,"Better",4,"Best","Unknown")</f>
        <v>Better</v>
      </c>
      <c r="AP1331">
        <f>IF(CleanEmployeeData[[#This Row],[Attrition]]="Yes",1,IF(CleanEmployeeData[[#This Row],[Attrition]]="No",0,""))</f>
        <v>0</v>
      </c>
      <c r="AQ1331" t="str" cm="1">
        <f t="array" ref="AQ1331">_xlfn.IFS(CleanEmployeeData[[#This Row],[MonthlyIncome]]&lt;=3000,"0–3,000",CleanEmployeeData[[#This Row],[MonthlyIncome]]&lt;=6000,"3,001–6,000",CleanEmployeeData[[#This Row],[MonthlyIncome]]&lt;=10000,"6,001–10,000",TRUE,"10,001+")</f>
        <v>0–3,000</v>
      </c>
      <c r="AR1331" t="str" cm="1">
        <f t="array" ref="AR1331">_xlfn.IFS(CleanEmployeeData[[#This Row],[DistanceFromHome]]&lt;=5,"0–5 miles",CleanEmployeeData[[#This Row],[DistanceFromHome]]&lt;=10,"6–10 miles",CleanEmployeeData[[#This Row],[DistanceFromHome]]&lt;=15,"11–15 miles",TRUE,"16+ miles")</f>
        <v>6–10 miles</v>
      </c>
      <c r="AS1331" t="str" cm="1">
        <f t="array" ref="AS1331">_xlfn.IFS(CleanEmployeeData[[#This Row],[YearsAtCompany]]&lt;=1,"0–1 years",CleanEmployeeData[[#This Row],[YearsAtCompany]]&lt;=5,"2–5 years",CleanEmployeeData[[#This Row],[YearsAtCompany]]&lt;=10,"6–10 years",TRUE,"11+ years")</f>
        <v>0–1 years</v>
      </c>
    </row>
    <row r="1332" spans="1:4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cm="1">
        <f t="array" ref="AJ1332">_xlfn.SWITCH(CleanEmployeeData[[#This Row],[Education]],1,"Below College",2,"College",3,"Bachelor",4,"Master",5,"Doctor","Unknown")</f>
        <v>Bachelor</v>
      </c>
      <c r="AK1332" t="str" cm="1">
        <f t="array" ref="AK1332">_xlfn.SWITCH(CleanEmployeeData[[#This Row],[EnvironmentSatisfaction]],1,"Low",2,"Medium",3,"High",4,"Very High","Unknown")</f>
        <v>Low</v>
      </c>
      <c r="AL1332" t="str" cm="1">
        <f t="array" ref="AL1332">_xlfn.SWITCH(CleanEmployeeData[[#This Row],[JobInvolvement]],1,"Low",2,"Medium",3,"High",4,"Very High","Unknown")</f>
        <v>Medium</v>
      </c>
      <c r="AM1332" t="str" cm="1">
        <f t="array" ref="AM1332">_xlfn.SWITCH(CleanEmployeeData[[#This Row],[JobSatisfaction]],1,"Low",2,"Medium",3,"High",4,"Very High","Unknown")</f>
        <v>High</v>
      </c>
      <c r="AN1332" t="str" cm="1">
        <f t="array" ref="AN1332">_xlfn.SWITCH(CleanEmployeeData[[#This Row],[PerformanceRating]],1,"Low",2,"Good",3,"Excellent",4,"Outstanding","Unknown")</f>
        <v>Excellent</v>
      </c>
      <c r="AO1332" t="str" cm="1">
        <f t="array" ref="AO1332">_xlfn.SWITCH(CleanEmployeeData[[#This Row],[WorkLifeBalance]],1,"Bad",2,"Good",3,"Better",4,"Best","Unknown")</f>
        <v>Better</v>
      </c>
      <c r="AP1332">
        <f>IF(CleanEmployeeData[[#This Row],[Attrition]]="Yes",1,IF(CleanEmployeeData[[#This Row],[Attrition]]="No",0,""))</f>
        <v>0</v>
      </c>
      <c r="AQ1332" t="str" cm="1">
        <f t="array" ref="AQ1332">_xlfn.IFS(CleanEmployeeData[[#This Row],[MonthlyIncome]]&lt;=3000,"0–3,000",CleanEmployeeData[[#This Row],[MonthlyIncome]]&lt;=6000,"3,001–6,000",CleanEmployeeData[[#This Row],[MonthlyIncome]]&lt;=10000,"6,001–10,000",TRUE,"10,001+")</f>
        <v>10,001+</v>
      </c>
      <c r="AR1332" t="str" cm="1">
        <f t="array" ref="AR1332">_xlfn.IFS(CleanEmployeeData[[#This Row],[DistanceFromHome]]&lt;=5,"0–5 miles",CleanEmployeeData[[#This Row],[DistanceFromHome]]&lt;=10,"6–10 miles",CleanEmployeeData[[#This Row],[DistanceFromHome]]&lt;=15,"11–15 miles",TRUE,"16+ miles")</f>
        <v>6–10 miles</v>
      </c>
      <c r="AS1332" t="str" cm="1">
        <f t="array" ref="AS1332">_xlfn.IFS(CleanEmployeeData[[#This Row],[YearsAtCompany]]&lt;=1,"0–1 years",CleanEmployeeData[[#This Row],[YearsAtCompany]]&lt;=5,"2–5 years",CleanEmployeeData[[#This Row],[YearsAtCompany]]&lt;=10,"6–10 years",TRUE,"11+ years")</f>
        <v>11+ years</v>
      </c>
    </row>
    <row r="1333" spans="1:4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cm="1">
        <f t="array" ref="AJ1333">_xlfn.SWITCH(CleanEmployeeData[[#This Row],[Education]],1,"Below College",2,"College",3,"Bachelor",4,"Master",5,"Doctor","Unknown")</f>
        <v>Bachelor</v>
      </c>
      <c r="AK1333" t="str" cm="1">
        <f t="array" ref="AK1333">_xlfn.SWITCH(CleanEmployeeData[[#This Row],[EnvironmentSatisfaction]],1,"Low",2,"Medium",3,"High",4,"Very High","Unknown")</f>
        <v>Very High</v>
      </c>
      <c r="AL1333" t="str" cm="1">
        <f t="array" ref="AL1333">_xlfn.SWITCH(CleanEmployeeData[[#This Row],[JobInvolvement]],1,"Low",2,"Medium",3,"High",4,"Very High","Unknown")</f>
        <v>Medium</v>
      </c>
      <c r="AM1333" t="str" cm="1">
        <f t="array" ref="AM1333">_xlfn.SWITCH(CleanEmployeeData[[#This Row],[JobSatisfaction]],1,"Low",2,"Medium",3,"High",4,"Very High","Unknown")</f>
        <v>Medium</v>
      </c>
      <c r="AN1333" t="str" cm="1">
        <f t="array" ref="AN1333">_xlfn.SWITCH(CleanEmployeeData[[#This Row],[PerformanceRating]],1,"Low",2,"Good",3,"Excellent",4,"Outstanding","Unknown")</f>
        <v>Excellent</v>
      </c>
      <c r="AO1333" t="str" cm="1">
        <f t="array" ref="AO1333">_xlfn.SWITCH(CleanEmployeeData[[#This Row],[WorkLifeBalance]],1,"Bad",2,"Good",3,"Better",4,"Best","Unknown")</f>
        <v>Better</v>
      </c>
      <c r="AP1333">
        <f>IF(CleanEmployeeData[[#This Row],[Attrition]]="Yes",1,IF(CleanEmployeeData[[#This Row],[Attrition]]="No",0,""))</f>
        <v>0</v>
      </c>
      <c r="AQ1333" t="str" cm="1">
        <f t="array" ref="AQ1333">_xlfn.IFS(CleanEmployeeData[[#This Row],[MonthlyIncome]]&lt;=3000,"0–3,000",CleanEmployeeData[[#This Row],[MonthlyIncome]]&lt;=6000,"3,001–6,000",CleanEmployeeData[[#This Row],[MonthlyIncome]]&lt;=10000,"6,001–10,000",TRUE,"10,001+")</f>
        <v>10,001+</v>
      </c>
      <c r="AR1333" t="str" cm="1">
        <f t="array" ref="AR1333">_xlfn.IFS(CleanEmployeeData[[#This Row],[DistanceFromHome]]&lt;=5,"0–5 miles",CleanEmployeeData[[#This Row],[DistanceFromHome]]&lt;=10,"6–10 miles",CleanEmployeeData[[#This Row],[DistanceFromHome]]&lt;=15,"11–15 miles",TRUE,"16+ miles")</f>
        <v>6–10 miles</v>
      </c>
      <c r="AS1333" t="str" cm="1">
        <f t="array" ref="AS1333">_xlfn.IFS(CleanEmployeeData[[#This Row],[YearsAtCompany]]&lt;=1,"0–1 years",CleanEmployeeData[[#This Row],[YearsAtCompany]]&lt;=5,"2–5 years",CleanEmployeeData[[#This Row],[YearsAtCompany]]&lt;=10,"6–10 years",TRUE,"11+ years")</f>
        <v>11+ years</v>
      </c>
    </row>
    <row r="1334" spans="1:4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cm="1">
        <f t="array" ref="AJ1334">_xlfn.SWITCH(CleanEmployeeData[[#This Row],[Education]],1,"Below College",2,"College",3,"Bachelor",4,"Master",5,"Doctor","Unknown")</f>
        <v>College</v>
      </c>
      <c r="AK1334" t="str" cm="1">
        <f t="array" ref="AK1334">_xlfn.SWITCH(CleanEmployeeData[[#This Row],[EnvironmentSatisfaction]],1,"Low",2,"Medium",3,"High",4,"Very High","Unknown")</f>
        <v>Very High</v>
      </c>
      <c r="AL1334" t="str" cm="1">
        <f t="array" ref="AL1334">_xlfn.SWITCH(CleanEmployeeData[[#This Row],[JobInvolvement]],1,"Low",2,"Medium",3,"High",4,"Very High","Unknown")</f>
        <v>Medium</v>
      </c>
      <c r="AM1334" t="str" cm="1">
        <f t="array" ref="AM1334">_xlfn.SWITCH(CleanEmployeeData[[#This Row],[JobSatisfaction]],1,"Low",2,"Medium",3,"High",4,"Very High","Unknown")</f>
        <v>Very High</v>
      </c>
      <c r="AN1334" t="str" cm="1">
        <f t="array" ref="AN1334">_xlfn.SWITCH(CleanEmployeeData[[#This Row],[PerformanceRating]],1,"Low",2,"Good",3,"Excellent",4,"Outstanding","Unknown")</f>
        <v>Outstanding</v>
      </c>
      <c r="AO1334" t="str" cm="1">
        <f t="array" ref="AO1334">_xlfn.SWITCH(CleanEmployeeData[[#This Row],[WorkLifeBalance]],1,"Bad",2,"Good",3,"Better",4,"Best","Unknown")</f>
        <v>Good</v>
      </c>
      <c r="AP1334">
        <f>IF(CleanEmployeeData[[#This Row],[Attrition]]="Yes",1,IF(CleanEmployeeData[[#This Row],[Attrition]]="No",0,""))</f>
        <v>1</v>
      </c>
      <c r="AQ1334" t="str" cm="1">
        <f t="array" ref="AQ1334">_xlfn.IFS(CleanEmployeeData[[#This Row],[MonthlyIncome]]&lt;=3000,"0–3,000",CleanEmployeeData[[#This Row],[MonthlyIncome]]&lt;=6000,"3,001–6,000",CleanEmployeeData[[#This Row],[MonthlyIncome]]&lt;=10000,"6,001–10,000",TRUE,"10,001+")</f>
        <v>0–3,000</v>
      </c>
      <c r="AR1334" t="str" cm="1">
        <f t="array" ref="AR1334">_xlfn.IFS(CleanEmployeeData[[#This Row],[DistanceFromHome]]&lt;=5,"0–5 miles",CleanEmployeeData[[#This Row],[DistanceFromHome]]&lt;=10,"6–10 miles",CleanEmployeeData[[#This Row],[DistanceFromHome]]&lt;=15,"11–15 miles",TRUE,"16+ miles")</f>
        <v>16+ miles</v>
      </c>
      <c r="AS1334" t="str" cm="1">
        <f t="array" ref="AS1334">_xlfn.IFS(CleanEmployeeData[[#This Row],[YearsAtCompany]]&lt;=1,"0–1 years",CleanEmployeeData[[#This Row],[YearsAtCompany]]&lt;=5,"2–5 years",CleanEmployeeData[[#This Row],[YearsAtCompany]]&lt;=10,"6–10 years",TRUE,"11+ years")</f>
        <v>0–1 years</v>
      </c>
    </row>
    <row r="1335" spans="1:4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cm="1">
        <f t="array" ref="AJ1335">_xlfn.SWITCH(CleanEmployeeData[[#This Row],[Education]],1,"Below College",2,"College",3,"Bachelor",4,"Master",5,"Doctor","Unknown")</f>
        <v>Bachelor</v>
      </c>
      <c r="AK1335" t="str" cm="1">
        <f t="array" ref="AK1335">_xlfn.SWITCH(CleanEmployeeData[[#This Row],[EnvironmentSatisfaction]],1,"Low",2,"Medium",3,"High",4,"Very High","Unknown")</f>
        <v>High</v>
      </c>
      <c r="AL1335" t="str" cm="1">
        <f t="array" ref="AL1335">_xlfn.SWITCH(CleanEmployeeData[[#This Row],[JobInvolvement]],1,"Low",2,"Medium",3,"High",4,"Very High","Unknown")</f>
        <v>High</v>
      </c>
      <c r="AM1335" t="str" cm="1">
        <f t="array" ref="AM1335">_xlfn.SWITCH(CleanEmployeeData[[#This Row],[JobSatisfaction]],1,"Low",2,"Medium",3,"High",4,"Very High","Unknown")</f>
        <v>Medium</v>
      </c>
      <c r="AN1335" t="str" cm="1">
        <f t="array" ref="AN1335">_xlfn.SWITCH(CleanEmployeeData[[#This Row],[PerformanceRating]],1,"Low",2,"Good",3,"Excellent",4,"Outstanding","Unknown")</f>
        <v>Outstanding</v>
      </c>
      <c r="AO1335" t="str" cm="1">
        <f t="array" ref="AO1335">_xlfn.SWITCH(CleanEmployeeData[[#This Row],[WorkLifeBalance]],1,"Bad",2,"Good",3,"Better",4,"Best","Unknown")</f>
        <v>Better</v>
      </c>
      <c r="AP1335">
        <f>IF(CleanEmployeeData[[#This Row],[Attrition]]="Yes",1,IF(CleanEmployeeData[[#This Row],[Attrition]]="No",0,""))</f>
        <v>1</v>
      </c>
      <c r="AQ1335" t="str" cm="1">
        <f t="array" ref="AQ1335">_xlfn.IFS(CleanEmployeeData[[#This Row],[MonthlyIncome]]&lt;=3000,"0–3,000",CleanEmployeeData[[#This Row],[MonthlyIncome]]&lt;=6000,"3,001–6,000",CleanEmployeeData[[#This Row],[MonthlyIncome]]&lt;=10000,"6,001–10,000",TRUE,"10,001+")</f>
        <v>6,001–10,000</v>
      </c>
      <c r="AR1335" t="str" cm="1">
        <f t="array" ref="AR1335">_xlfn.IFS(CleanEmployeeData[[#This Row],[DistanceFromHome]]&lt;=5,"0–5 miles",CleanEmployeeData[[#This Row],[DistanceFromHome]]&lt;=10,"6–10 miles",CleanEmployeeData[[#This Row],[DistanceFromHome]]&lt;=15,"11–15 miles",TRUE,"16+ miles")</f>
        <v>6–10 miles</v>
      </c>
      <c r="AS1335" t="str" cm="1">
        <f t="array" ref="AS1335">_xlfn.IFS(CleanEmployeeData[[#This Row],[YearsAtCompany]]&lt;=1,"0–1 years",CleanEmployeeData[[#This Row],[YearsAtCompany]]&lt;=5,"2–5 years",CleanEmployeeData[[#This Row],[YearsAtCompany]]&lt;=10,"6–10 years",TRUE,"11+ years")</f>
        <v>6–10 years</v>
      </c>
    </row>
    <row r="1336" spans="1:4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cm="1">
        <f t="array" ref="AJ1336">_xlfn.SWITCH(CleanEmployeeData[[#This Row],[Education]],1,"Below College",2,"College",3,"Bachelor",4,"Master",5,"Doctor","Unknown")</f>
        <v>Bachelor</v>
      </c>
      <c r="AK1336" t="str" cm="1">
        <f t="array" ref="AK1336">_xlfn.SWITCH(CleanEmployeeData[[#This Row],[EnvironmentSatisfaction]],1,"Low",2,"Medium",3,"High",4,"Very High","Unknown")</f>
        <v>Very High</v>
      </c>
      <c r="AL1336" t="str" cm="1">
        <f t="array" ref="AL1336">_xlfn.SWITCH(CleanEmployeeData[[#This Row],[JobInvolvement]],1,"Low",2,"Medium",3,"High",4,"Very High","Unknown")</f>
        <v>Medium</v>
      </c>
      <c r="AM1336" t="str" cm="1">
        <f t="array" ref="AM1336">_xlfn.SWITCH(CleanEmployeeData[[#This Row],[JobSatisfaction]],1,"Low",2,"Medium",3,"High",4,"Very High","Unknown")</f>
        <v>Low</v>
      </c>
      <c r="AN1336" t="str" cm="1">
        <f t="array" ref="AN1336">_xlfn.SWITCH(CleanEmployeeData[[#This Row],[PerformanceRating]],1,"Low",2,"Good",3,"Excellent",4,"Outstanding","Unknown")</f>
        <v>Excellent</v>
      </c>
      <c r="AO1336" t="str" cm="1">
        <f t="array" ref="AO1336">_xlfn.SWITCH(CleanEmployeeData[[#This Row],[WorkLifeBalance]],1,"Bad",2,"Good",3,"Better",4,"Best","Unknown")</f>
        <v>Good</v>
      </c>
      <c r="AP1336">
        <f>IF(CleanEmployeeData[[#This Row],[Attrition]]="Yes",1,IF(CleanEmployeeData[[#This Row],[Attrition]]="No",0,""))</f>
        <v>0</v>
      </c>
      <c r="AQ1336" t="str" cm="1">
        <f t="array" ref="AQ1336">_xlfn.IFS(CleanEmployeeData[[#This Row],[MonthlyIncome]]&lt;=3000,"0–3,000",CleanEmployeeData[[#This Row],[MonthlyIncome]]&lt;=6000,"3,001–6,000",CleanEmployeeData[[#This Row],[MonthlyIncome]]&lt;=10000,"6,001–10,000",TRUE,"10,001+")</f>
        <v>3,001–6,000</v>
      </c>
      <c r="AR1336" t="str" cm="1">
        <f t="array" ref="AR1336">_xlfn.IFS(CleanEmployeeData[[#This Row],[DistanceFromHome]]&lt;=5,"0–5 miles",CleanEmployeeData[[#This Row],[DistanceFromHome]]&lt;=10,"6–10 miles",CleanEmployeeData[[#This Row],[DistanceFromHome]]&lt;=15,"11–15 miles",TRUE,"16+ miles")</f>
        <v>11–15 miles</v>
      </c>
      <c r="AS1336" t="str" cm="1">
        <f t="array" ref="AS1336">_xlfn.IFS(CleanEmployeeData[[#This Row],[YearsAtCompany]]&lt;=1,"0–1 years",CleanEmployeeData[[#This Row],[YearsAtCompany]]&lt;=5,"2–5 years",CleanEmployeeData[[#This Row],[YearsAtCompany]]&lt;=10,"6–10 years",TRUE,"11+ years")</f>
        <v>6–10 years</v>
      </c>
    </row>
    <row r="1337" spans="1:4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cm="1">
        <f t="array" ref="AJ1337">_xlfn.SWITCH(CleanEmployeeData[[#This Row],[Education]],1,"Below College",2,"College",3,"Bachelor",4,"Master",5,"Doctor","Unknown")</f>
        <v>Master</v>
      </c>
      <c r="AK1337" t="str" cm="1">
        <f t="array" ref="AK1337">_xlfn.SWITCH(CleanEmployeeData[[#This Row],[EnvironmentSatisfaction]],1,"Low",2,"Medium",3,"High",4,"Very High","Unknown")</f>
        <v>Very High</v>
      </c>
      <c r="AL1337" t="str" cm="1">
        <f t="array" ref="AL1337">_xlfn.SWITCH(CleanEmployeeData[[#This Row],[JobInvolvement]],1,"Low",2,"Medium",3,"High",4,"Very High","Unknown")</f>
        <v>High</v>
      </c>
      <c r="AM1337" t="str" cm="1">
        <f t="array" ref="AM1337">_xlfn.SWITCH(CleanEmployeeData[[#This Row],[JobSatisfaction]],1,"Low",2,"Medium",3,"High",4,"Very High","Unknown")</f>
        <v>Very High</v>
      </c>
      <c r="AN1337" t="str" cm="1">
        <f t="array" ref="AN1337">_xlfn.SWITCH(CleanEmployeeData[[#This Row],[PerformanceRating]],1,"Low",2,"Good",3,"Excellent",4,"Outstanding","Unknown")</f>
        <v>Excellent</v>
      </c>
      <c r="AO1337" t="str" cm="1">
        <f t="array" ref="AO1337">_xlfn.SWITCH(CleanEmployeeData[[#This Row],[WorkLifeBalance]],1,"Bad",2,"Good",3,"Better",4,"Best","Unknown")</f>
        <v>Better</v>
      </c>
      <c r="AP1337">
        <f>IF(CleanEmployeeData[[#This Row],[Attrition]]="Yes",1,IF(CleanEmployeeData[[#This Row],[Attrition]]="No",0,""))</f>
        <v>0</v>
      </c>
      <c r="AQ1337" t="str" cm="1">
        <f t="array" ref="AQ1337">_xlfn.IFS(CleanEmployeeData[[#This Row],[MonthlyIncome]]&lt;=3000,"0–3,000",CleanEmployeeData[[#This Row],[MonthlyIncome]]&lt;=6000,"3,001–6,000",CleanEmployeeData[[#This Row],[MonthlyIncome]]&lt;=10000,"6,001–10,000",TRUE,"10,001+")</f>
        <v>3,001–6,000</v>
      </c>
      <c r="AR1337" t="str" cm="1">
        <f t="array" ref="AR1337">_xlfn.IFS(CleanEmployeeData[[#This Row],[DistanceFromHome]]&lt;=5,"0–5 miles",CleanEmployeeData[[#This Row],[DistanceFromHome]]&lt;=10,"6–10 miles",CleanEmployeeData[[#This Row],[DistanceFromHome]]&lt;=15,"11–15 miles",TRUE,"16+ miles")</f>
        <v>16+ miles</v>
      </c>
      <c r="AS1337" t="str" cm="1">
        <f t="array" ref="AS1337">_xlfn.IFS(CleanEmployeeData[[#This Row],[YearsAtCompany]]&lt;=1,"0–1 years",CleanEmployeeData[[#This Row],[YearsAtCompany]]&lt;=5,"2–5 years",CleanEmployeeData[[#This Row],[YearsAtCompany]]&lt;=10,"6–10 years",TRUE,"11+ years")</f>
        <v>2–5 years</v>
      </c>
    </row>
    <row r="1338" spans="1:4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cm="1">
        <f t="array" ref="AJ1338">_xlfn.SWITCH(CleanEmployeeData[[#This Row],[Education]],1,"Below College",2,"College",3,"Bachelor",4,"Master",5,"Doctor","Unknown")</f>
        <v>Master</v>
      </c>
      <c r="AK1338" t="str" cm="1">
        <f t="array" ref="AK1338">_xlfn.SWITCH(CleanEmployeeData[[#This Row],[EnvironmentSatisfaction]],1,"Low",2,"Medium",3,"High",4,"Very High","Unknown")</f>
        <v>Medium</v>
      </c>
      <c r="AL1338" t="str" cm="1">
        <f t="array" ref="AL1338">_xlfn.SWITCH(CleanEmployeeData[[#This Row],[JobInvolvement]],1,"Low",2,"Medium",3,"High",4,"Very High","Unknown")</f>
        <v>Medium</v>
      </c>
      <c r="AM1338" t="str" cm="1">
        <f t="array" ref="AM1338">_xlfn.SWITCH(CleanEmployeeData[[#This Row],[JobSatisfaction]],1,"Low",2,"Medium",3,"High",4,"Very High","Unknown")</f>
        <v>Very High</v>
      </c>
      <c r="AN1338" t="str" cm="1">
        <f t="array" ref="AN1338">_xlfn.SWITCH(CleanEmployeeData[[#This Row],[PerformanceRating]],1,"Low",2,"Good",3,"Excellent",4,"Outstanding","Unknown")</f>
        <v>Outstanding</v>
      </c>
      <c r="AO1338" t="str" cm="1">
        <f t="array" ref="AO1338">_xlfn.SWITCH(CleanEmployeeData[[#This Row],[WorkLifeBalance]],1,"Bad",2,"Good",3,"Better",4,"Best","Unknown")</f>
        <v>Best</v>
      </c>
      <c r="AP1338">
        <f>IF(CleanEmployeeData[[#This Row],[Attrition]]="Yes",1,IF(CleanEmployeeData[[#This Row],[Attrition]]="No",0,""))</f>
        <v>0</v>
      </c>
      <c r="AQ1338" t="str" cm="1">
        <f t="array" ref="AQ1338">_xlfn.IFS(CleanEmployeeData[[#This Row],[MonthlyIncome]]&lt;=3000,"0–3,000",CleanEmployeeData[[#This Row],[MonthlyIncome]]&lt;=6000,"3,001–6,000",CleanEmployeeData[[#This Row],[MonthlyIncome]]&lt;=10000,"6,001–10,000",TRUE,"10,001+")</f>
        <v>0–3,000</v>
      </c>
      <c r="AR1338" t="str" cm="1">
        <f t="array" ref="AR1338">_xlfn.IFS(CleanEmployeeData[[#This Row],[DistanceFromHome]]&lt;=5,"0–5 miles",CleanEmployeeData[[#This Row],[DistanceFromHome]]&lt;=10,"6–10 miles",CleanEmployeeData[[#This Row],[DistanceFromHome]]&lt;=15,"11–15 miles",TRUE,"16+ miles")</f>
        <v>0–5 miles</v>
      </c>
      <c r="AS1338" t="str" cm="1">
        <f t="array" ref="AS1338">_xlfn.IFS(CleanEmployeeData[[#This Row],[YearsAtCompany]]&lt;=1,"0–1 years",CleanEmployeeData[[#This Row],[YearsAtCompany]]&lt;=5,"2–5 years",CleanEmployeeData[[#This Row],[YearsAtCompany]]&lt;=10,"6–10 years",TRUE,"11+ years")</f>
        <v>2–5 years</v>
      </c>
    </row>
    <row r="1339" spans="1:4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cm="1">
        <f t="array" ref="AJ1339">_xlfn.SWITCH(CleanEmployeeData[[#This Row],[Education]],1,"Below College",2,"College",3,"Bachelor",4,"Master",5,"Doctor","Unknown")</f>
        <v>Bachelor</v>
      </c>
      <c r="AK1339" t="str" cm="1">
        <f t="array" ref="AK1339">_xlfn.SWITCH(CleanEmployeeData[[#This Row],[EnvironmentSatisfaction]],1,"Low",2,"Medium",3,"High",4,"Very High","Unknown")</f>
        <v>Medium</v>
      </c>
      <c r="AL1339" t="str" cm="1">
        <f t="array" ref="AL1339">_xlfn.SWITCH(CleanEmployeeData[[#This Row],[JobInvolvement]],1,"Low",2,"Medium",3,"High",4,"Very High","Unknown")</f>
        <v>High</v>
      </c>
      <c r="AM1339" t="str" cm="1">
        <f t="array" ref="AM1339">_xlfn.SWITCH(CleanEmployeeData[[#This Row],[JobSatisfaction]],1,"Low",2,"Medium",3,"High",4,"Very High","Unknown")</f>
        <v>Medium</v>
      </c>
      <c r="AN1339" t="str" cm="1">
        <f t="array" ref="AN1339">_xlfn.SWITCH(CleanEmployeeData[[#This Row],[PerformanceRating]],1,"Low",2,"Good",3,"Excellent",4,"Outstanding","Unknown")</f>
        <v>Excellent</v>
      </c>
      <c r="AO1339" t="str" cm="1">
        <f t="array" ref="AO1339">_xlfn.SWITCH(CleanEmployeeData[[#This Row],[WorkLifeBalance]],1,"Bad",2,"Good",3,"Better",4,"Best","Unknown")</f>
        <v>Better</v>
      </c>
      <c r="AP1339">
        <f>IF(CleanEmployeeData[[#This Row],[Attrition]]="Yes",1,IF(CleanEmployeeData[[#This Row],[Attrition]]="No",0,""))</f>
        <v>0</v>
      </c>
      <c r="AQ1339" t="str" cm="1">
        <f t="array" ref="AQ1339">_xlfn.IFS(CleanEmployeeData[[#This Row],[MonthlyIncome]]&lt;=3000,"0–3,000",CleanEmployeeData[[#This Row],[MonthlyIncome]]&lt;=6000,"3,001–6,000",CleanEmployeeData[[#This Row],[MonthlyIncome]]&lt;=10000,"6,001–10,000",TRUE,"10,001+")</f>
        <v>0–3,000</v>
      </c>
      <c r="AR1339" t="str" cm="1">
        <f t="array" ref="AR1339">_xlfn.IFS(CleanEmployeeData[[#This Row],[DistanceFromHome]]&lt;=5,"0–5 miles",CleanEmployeeData[[#This Row],[DistanceFromHome]]&lt;=10,"6–10 miles",CleanEmployeeData[[#This Row],[DistanceFromHome]]&lt;=15,"11–15 miles",TRUE,"16+ miles")</f>
        <v>0–5 miles</v>
      </c>
      <c r="AS1339" t="str" cm="1">
        <f t="array" ref="AS1339">_xlfn.IFS(CleanEmployeeData[[#This Row],[YearsAtCompany]]&lt;=1,"0–1 years",CleanEmployeeData[[#This Row],[YearsAtCompany]]&lt;=5,"2–5 years",CleanEmployeeData[[#This Row],[YearsAtCompany]]&lt;=10,"6–10 years",TRUE,"11+ years")</f>
        <v>0–1 years</v>
      </c>
    </row>
    <row r="1340" spans="1:4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cm="1">
        <f t="array" ref="AJ1340">_xlfn.SWITCH(CleanEmployeeData[[#This Row],[Education]],1,"Below College",2,"College",3,"Bachelor",4,"Master",5,"Doctor","Unknown")</f>
        <v>Bachelor</v>
      </c>
      <c r="AK1340" t="str" cm="1">
        <f t="array" ref="AK1340">_xlfn.SWITCH(CleanEmployeeData[[#This Row],[EnvironmentSatisfaction]],1,"Low",2,"Medium",3,"High",4,"Very High","Unknown")</f>
        <v>Medium</v>
      </c>
      <c r="AL1340" t="str" cm="1">
        <f t="array" ref="AL1340">_xlfn.SWITCH(CleanEmployeeData[[#This Row],[JobInvolvement]],1,"Low",2,"Medium",3,"High",4,"Very High","Unknown")</f>
        <v>High</v>
      </c>
      <c r="AM1340" t="str" cm="1">
        <f t="array" ref="AM1340">_xlfn.SWITCH(CleanEmployeeData[[#This Row],[JobSatisfaction]],1,"Low",2,"Medium",3,"High",4,"Very High","Unknown")</f>
        <v>Very High</v>
      </c>
      <c r="AN1340" t="str" cm="1">
        <f t="array" ref="AN1340">_xlfn.SWITCH(CleanEmployeeData[[#This Row],[PerformanceRating]],1,"Low",2,"Good",3,"Excellent",4,"Outstanding","Unknown")</f>
        <v>Excellent</v>
      </c>
      <c r="AO1340" t="str" cm="1">
        <f t="array" ref="AO1340">_xlfn.SWITCH(CleanEmployeeData[[#This Row],[WorkLifeBalance]],1,"Bad",2,"Good",3,"Better",4,"Best","Unknown")</f>
        <v>Good</v>
      </c>
      <c r="AP1340">
        <f>IF(CleanEmployeeData[[#This Row],[Attrition]]="Yes",1,IF(CleanEmployeeData[[#This Row],[Attrition]]="No",0,""))</f>
        <v>1</v>
      </c>
      <c r="AQ1340" t="str" cm="1">
        <f t="array" ref="AQ1340">_xlfn.IFS(CleanEmployeeData[[#This Row],[MonthlyIncome]]&lt;=3000,"0–3,000",CleanEmployeeData[[#This Row],[MonthlyIncome]]&lt;=6000,"3,001–6,000",CleanEmployeeData[[#This Row],[MonthlyIncome]]&lt;=10000,"6,001–10,000",TRUE,"10,001+")</f>
        <v>0–3,000</v>
      </c>
      <c r="AR1340" t="str" cm="1">
        <f t="array" ref="AR1340">_xlfn.IFS(CleanEmployeeData[[#This Row],[DistanceFromHome]]&lt;=5,"0–5 miles",CleanEmployeeData[[#This Row],[DistanceFromHome]]&lt;=10,"6–10 miles",CleanEmployeeData[[#This Row],[DistanceFromHome]]&lt;=15,"11–15 miles",TRUE,"16+ miles")</f>
        <v>6–10 miles</v>
      </c>
      <c r="AS1340" t="str" cm="1">
        <f t="array" ref="AS1340">_xlfn.IFS(CleanEmployeeData[[#This Row],[YearsAtCompany]]&lt;=1,"0–1 years",CleanEmployeeData[[#This Row],[YearsAtCompany]]&lt;=5,"2–5 years",CleanEmployeeData[[#This Row],[YearsAtCompany]]&lt;=10,"6–10 years",TRUE,"11+ years")</f>
        <v>0–1 years</v>
      </c>
    </row>
    <row r="1341" spans="1:4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cm="1">
        <f t="array" ref="AJ1341">_xlfn.SWITCH(CleanEmployeeData[[#This Row],[Education]],1,"Below College",2,"College",3,"Bachelor",4,"Master",5,"Doctor","Unknown")</f>
        <v>Below College</v>
      </c>
      <c r="AK1341" t="str" cm="1">
        <f t="array" ref="AK1341">_xlfn.SWITCH(CleanEmployeeData[[#This Row],[EnvironmentSatisfaction]],1,"Low",2,"Medium",3,"High",4,"Very High","Unknown")</f>
        <v>Very High</v>
      </c>
      <c r="AL1341" t="str" cm="1">
        <f t="array" ref="AL1341">_xlfn.SWITCH(CleanEmployeeData[[#This Row],[JobInvolvement]],1,"Low",2,"Medium",3,"High",4,"Very High","Unknown")</f>
        <v>High</v>
      </c>
      <c r="AM1341" t="str" cm="1">
        <f t="array" ref="AM1341">_xlfn.SWITCH(CleanEmployeeData[[#This Row],[JobSatisfaction]],1,"Low",2,"Medium",3,"High",4,"Very High","Unknown")</f>
        <v>Medium</v>
      </c>
      <c r="AN1341" t="str" cm="1">
        <f t="array" ref="AN1341">_xlfn.SWITCH(CleanEmployeeData[[#This Row],[PerformanceRating]],1,"Low",2,"Good",3,"Excellent",4,"Outstanding","Unknown")</f>
        <v>Outstanding</v>
      </c>
      <c r="AO1341" t="str" cm="1">
        <f t="array" ref="AO1341">_xlfn.SWITCH(CleanEmployeeData[[#This Row],[WorkLifeBalance]],1,"Bad",2,"Good",3,"Better",4,"Best","Unknown")</f>
        <v>Better</v>
      </c>
      <c r="AP1341">
        <f>IF(CleanEmployeeData[[#This Row],[Attrition]]="Yes",1,IF(CleanEmployeeData[[#This Row],[Attrition]]="No",0,""))</f>
        <v>1</v>
      </c>
      <c r="AQ1341" t="str" cm="1">
        <f t="array" ref="AQ1341">_xlfn.IFS(CleanEmployeeData[[#This Row],[MonthlyIncome]]&lt;=3000,"0–3,000",CleanEmployeeData[[#This Row],[MonthlyIncome]]&lt;=6000,"3,001–6,000",CleanEmployeeData[[#This Row],[MonthlyIncome]]&lt;=10000,"6,001–10,000",TRUE,"10,001+")</f>
        <v>0–3,000</v>
      </c>
      <c r="AR1341" t="str" cm="1">
        <f t="array" ref="AR1341">_xlfn.IFS(CleanEmployeeData[[#This Row],[DistanceFromHome]]&lt;=5,"0–5 miles",CleanEmployeeData[[#This Row],[DistanceFromHome]]&lt;=10,"6–10 miles",CleanEmployeeData[[#This Row],[DistanceFromHome]]&lt;=15,"11–15 miles",TRUE,"16+ miles")</f>
        <v>6–10 miles</v>
      </c>
      <c r="AS1341" t="str" cm="1">
        <f t="array" ref="AS1341">_xlfn.IFS(CleanEmployeeData[[#This Row],[YearsAtCompany]]&lt;=1,"0–1 years",CleanEmployeeData[[#This Row],[YearsAtCompany]]&lt;=5,"2–5 years",CleanEmployeeData[[#This Row],[YearsAtCompany]]&lt;=10,"6–10 years",TRUE,"11+ years")</f>
        <v>0–1 years</v>
      </c>
    </row>
    <row r="1342" spans="1:4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cm="1">
        <f t="array" ref="AJ1342">_xlfn.SWITCH(CleanEmployeeData[[#This Row],[Education]],1,"Below College",2,"College",3,"Bachelor",4,"Master",5,"Doctor","Unknown")</f>
        <v>Master</v>
      </c>
      <c r="AK1342" t="str" cm="1">
        <f t="array" ref="AK1342">_xlfn.SWITCH(CleanEmployeeData[[#This Row],[EnvironmentSatisfaction]],1,"Low",2,"Medium",3,"High",4,"Very High","Unknown")</f>
        <v>Medium</v>
      </c>
      <c r="AL1342" t="str" cm="1">
        <f t="array" ref="AL1342">_xlfn.SWITCH(CleanEmployeeData[[#This Row],[JobInvolvement]],1,"Low",2,"Medium",3,"High",4,"Very High","Unknown")</f>
        <v>Medium</v>
      </c>
      <c r="AM1342" t="str" cm="1">
        <f t="array" ref="AM1342">_xlfn.SWITCH(CleanEmployeeData[[#This Row],[JobSatisfaction]],1,"Low",2,"Medium",3,"High",4,"Very High","Unknown")</f>
        <v>High</v>
      </c>
      <c r="AN1342" t="str" cm="1">
        <f t="array" ref="AN1342">_xlfn.SWITCH(CleanEmployeeData[[#This Row],[PerformanceRating]],1,"Low",2,"Good",3,"Excellent",4,"Outstanding","Unknown")</f>
        <v>Excellent</v>
      </c>
      <c r="AO1342" t="str" cm="1">
        <f t="array" ref="AO1342">_xlfn.SWITCH(CleanEmployeeData[[#This Row],[WorkLifeBalance]],1,"Bad",2,"Good",3,"Better",4,"Best","Unknown")</f>
        <v>Better</v>
      </c>
      <c r="AP1342">
        <f>IF(CleanEmployeeData[[#This Row],[Attrition]]="Yes",1,IF(CleanEmployeeData[[#This Row],[Attrition]]="No",0,""))</f>
        <v>0</v>
      </c>
      <c r="AQ1342" t="str" cm="1">
        <f t="array" ref="AQ1342">_xlfn.IFS(CleanEmployeeData[[#This Row],[MonthlyIncome]]&lt;=3000,"0–3,000",CleanEmployeeData[[#This Row],[MonthlyIncome]]&lt;=6000,"3,001–6,000",CleanEmployeeData[[#This Row],[MonthlyIncome]]&lt;=10000,"6,001–10,000",TRUE,"10,001+")</f>
        <v>3,001–6,000</v>
      </c>
      <c r="AR1342" t="str" cm="1">
        <f t="array" ref="AR1342">_xlfn.IFS(CleanEmployeeData[[#This Row],[DistanceFromHome]]&lt;=5,"0–5 miles",CleanEmployeeData[[#This Row],[DistanceFromHome]]&lt;=10,"6–10 miles",CleanEmployeeData[[#This Row],[DistanceFromHome]]&lt;=15,"11–15 miles",TRUE,"16+ miles")</f>
        <v>6–10 miles</v>
      </c>
      <c r="AS1342" t="str" cm="1">
        <f t="array" ref="AS1342">_xlfn.IFS(CleanEmployeeData[[#This Row],[YearsAtCompany]]&lt;=1,"0–1 years",CleanEmployeeData[[#This Row],[YearsAtCompany]]&lt;=5,"2–5 years",CleanEmployeeData[[#This Row],[YearsAtCompany]]&lt;=10,"6–10 years",TRUE,"11+ years")</f>
        <v>6–10 years</v>
      </c>
    </row>
    <row r="1343" spans="1:4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cm="1">
        <f t="array" ref="AJ1343">_xlfn.SWITCH(CleanEmployeeData[[#This Row],[Education]],1,"Below College",2,"College",3,"Bachelor",4,"Master",5,"Doctor","Unknown")</f>
        <v>Bachelor</v>
      </c>
      <c r="AK1343" t="str" cm="1">
        <f t="array" ref="AK1343">_xlfn.SWITCH(CleanEmployeeData[[#This Row],[EnvironmentSatisfaction]],1,"Low",2,"Medium",3,"High",4,"Very High","Unknown")</f>
        <v>Medium</v>
      </c>
      <c r="AL1343" t="str" cm="1">
        <f t="array" ref="AL1343">_xlfn.SWITCH(CleanEmployeeData[[#This Row],[JobInvolvement]],1,"Low",2,"Medium",3,"High",4,"Very High","Unknown")</f>
        <v>High</v>
      </c>
      <c r="AM1343" t="str" cm="1">
        <f t="array" ref="AM1343">_xlfn.SWITCH(CleanEmployeeData[[#This Row],[JobSatisfaction]],1,"Low",2,"Medium",3,"High",4,"Very High","Unknown")</f>
        <v>High</v>
      </c>
      <c r="AN1343" t="str" cm="1">
        <f t="array" ref="AN1343">_xlfn.SWITCH(CleanEmployeeData[[#This Row],[PerformanceRating]],1,"Low",2,"Good",3,"Excellent",4,"Outstanding","Unknown")</f>
        <v>Excellent</v>
      </c>
      <c r="AO1343" t="str" cm="1">
        <f t="array" ref="AO1343">_xlfn.SWITCH(CleanEmployeeData[[#This Row],[WorkLifeBalance]],1,"Bad",2,"Good",3,"Better",4,"Best","Unknown")</f>
        <v>Better</v>
      </c>
      <c r="AP1343">
        <f>IF(CleanEmployeeData[[#This Row],[Attrition]]="Yes",1,IF(CleanEmployeeData[[#This Row],[Attrition]]="No",0,""))</f>
        <v>0</v>
      </c>
      <c r="AQ1343" t="str" cm="1">
        <f t="array" ref="AQ1343">_xlfn.IFS(CleanEmployeeData[[#This Row],[MonthlyIncome]]&lt;=3000,"0–3,000",CleanEmployeeData[[#This Row],[MonthlyIncome]]&lt;=6000,"3,001–6,000",CleanEmployeeData[[#This Row],[MonthlyIncome]]&lt;=10000,"6,001–10,000",TRUE,"10,001+")</f>
        <v>3,001–6,000</v>
      </c>
      <c r="AR1343" t="str" cm="1">
        <f t="array" ref="AR1343">_xlfn.IFS(CleanEmployeeData[[#This Row],[DistanceFromHome]]&lt;=5,"0–5 miles",CleanEmployeeData[[#This Row],[DistanceFromHome]]&lt;=10,"6–10 miles",CleanEmployeeData[[#This Row],[DistanceFromHome]]&lt;=15,"11–15 miles",TRUE,"16+ miles")</f>
        <v>16+ miles</v>
      </c>
      <c r="AS1343" t="str" cm="1">
        <f t="array" ref="AS1343">_xlfn.IFS(CleanEmployeeData[[#This Row],[YearsAtCompany]]&lt;=1,"0–1 years",CleanEmployeeData[[#This Row],[YearsAtCompany]]&lt;=5,"2–5 years",CleanEmployeeData[[#This Row],[YearsAtCompany]]&lt;=10,"6–10 years",TRUE,"11+ years")</f>
        <v>6–10 years</v>
      </c>
    </row>
    <row r="1344" spans="1:4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cm="1">
        <f t="array" ref="AJ1344">_xlfn.SWITCH(CleanEmployeeData[[#This Row],[Education]],1,"Below College",2,"College",3,"Bachelor",4,"Master",5,"Doctor","Unknown")</f>
        <v>Bachelor</v>
      </c>
      <c r="AK1344" t="str" cm="1">
        <f t="array" ref="AK1344">_xlfn.SWITCH(CleanEmployeeData[[#This Row],[EnvironmentSatisfaction]],1,"Low",2,"Medium",3,"High",4,"Very High","Unknown")</f>
        <v>High</v>
      </c>
      <c r="AL1344" t="str" cm="1">
        <f t="array" ref="AL1344">_xlfn.SWITCH(CleanEmployeeData[[#This Row],[JobInvolvement]],1,"Low",2,"Medium",3,"High",4,"Very High","Unknown")</f>
        <v>High</v>
      </c>
      <c r="AM1344" t="str" cm="1">
        <f t="array" ref="AM1344">_xlfn.SWITCH(CleanEmployeeData[[#This Row],[JobSatisfaction]],1,"Low",2,"Medium",3,"High",4,"Very High","Unknown")</f>
        <v>Very High</v>
      </c>
      <c r="AN1344" t="str" cm="1">
        <f t="array" ref="AN1344">_xlfn.SWITCH(CleanEmployeeData[[#This Row],[PerformanceRating]],1,"Low",2,"Good",3,"Excellent",4,"Outstanding","Unknown")</f>
        <v>Excellent</v>
      </c>
      <c r="AO1344" t="str" cm="1">
        <f t="array" ref="AO1344">_xlfn.SWITCH(CleanEmployeeData[[#This Row],[WorkLifeBalance]],1,"Bad",2,"Good",3,"Better",4,"Best","Unknown")</f>
        <v>Better</v>
      </c>
      <c r="AP1344">
        <f>IF(CleanEmployeeData[[#This Row],[Attrition]]="Yes",1,IF(CleanEmployeeData[[#This Row],[Attrition]]="No",0,""))</f>
        <v>0</v>
      </c>
      <c r="AQ1344" t="str" cm="1">
        <f t="array" ref="AQ1344">_xlfn.IFS(CleanEmployeeData[[#This Row],[MonthlyIncome]]&lt;=3000,"0–3,000",CleanEmployeeData[[#This Row],[MonthlyIncome]]&lt;=6000,"3,001–6,000",CleanEmployeeData[[#This Row],[MonthlyIncome]]&lt;=10000,"6,001–10,000",TRUE,"10,001+")</f>
        <v>6,001–10,000</v>
      </c>
      <c r="AR1344" t="str" cm="1">
        <f t="array" ref="AR1344">_xlfn.IFS(CleanEmployeeData[[#This Row],[DistanceFromHome]]&lt;=5,"0–5 miles",CleanEmployeeData[[#This Row],[DistanceFromHome]]&lt;=10,"6–10 miles",CleanEmployeeData[[#This Row],[DistanceFromHome]]&lt;=15,"11–15 miles",TRUE,"16+ miles")</f>
        <v>0–5 miles</v>
      </c>
      <c r="AS1344" t="str" cm="1">
        <f t="array" ref="AS1344">_xlfn.IFS(CleanEmployeeData[[#This Row],[YearsAtCompany]]&lt;=1,"0–1 years",CleanEmployeeData[[#This Row],[YearsAtCompany]]&lt;=5,"2–5 years",CleanEmployeeData[[#This Row],[YearsAtCompany]]&lt;=10,"6–10 years",TRUE,"11+ years")</f>
        <v>2–5 years</v>
      </c>
    </row>
    <row r="1345" spans="1:4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cm="1">
        <f t="array" ref="AJ1345">_xlfn.SWITCH(CleanEmployeeData[[#This Row],[Education]],1,"Below College",2,"College",3,"Bachelor",4,"Master",5,"Doctor","Unknown")</f>
        <v>Bachelor</v>
      </c>
      <c r="AK1345" t="str" cm="1">
        <f t="array" ref="AK1345">_xlfn.SWITCH(CleanEmployeeData[[#This Row],[EnvironmentSatisfaction]],1,"Low",2,"Medium",3,"High",4,"Very High","Unknown")</f>
        <v>Very High</v>
      </c>
      <c r="AL1345" t="str" cm="1">
        <f t="array" ref="AL1345">_xlfn.SWITCH(CleanEmployeeData[[#This Row],[JobInvolvement]],1,"Low",2,"Medium",3,"High",4,"Very High","Unknown")</f>
        <v>High</v>
      </c>
      <c r="AM1345" t="str" cm="1">
        <f t="array" ref="AM1345">_xlfn.SWITCH(CleanEmployeeData[[#This Row],[JobSatisfaction]],1,"Low",2,"Medium",3,"High",4,"Very High","Unknown")</f>
        <v>Low</v>
      </c>
      <c r="AN1345" t="str" cm="1">
        <f t="array" ref="AN1345">_xlfn.SWITCH(CleanEmployeeData[[#This Row],[PerformanceRating]],1,"Low",2,"Good",3,"Excellent",4,"Outstanding","Unknown")</f>
        <v>Excellent</v>
      </c>
      <c r="AO1345" t="str" cm="1">
        <f t="array" ref="AO1345">_xlfn.SWITCH(CleanEmployeeData[[#This Row],[WorkLifeBalance]],1,"Bad",2,"Good",3,"Better",4,"Best","Unknown")</f>
        <v>Better</v>
      </c>
      <c r="AP1345">
        <f>IF(CleanEmployeeData[[#This Row],[Attrition]]="Yes",1,IF(CleanEmployeeData[[#This Row],[Attrition]]="No",0,""))</f>
        <v>0</v>
      </c>
      <c r="AQ1345" t="str" cm="1">
        <f t="array" ref="AQ1345">_xlfn.IFS(CleanEmployeeData[[#This Row],[MonthlyIncome]]&lt;=3000,"0–3,000",CleanEmployeeData[[#This Row],[MonthlyIncome]]&lt;=6000,"3,001–6,000",CleanEmployeeData[[#This Row],[MonthlyIncome]]&lt;=10000,"6,001–10,000",TRUE,"10,001+")</f>
        <v>0–3,000</v>
      </c>
      <c r="AR1345" t="str" cm="1">
        <f t="array" ref="AR1345">_xlfn.IFS(CleanEmployeeData[[#This Row],[DistanceFromHome]]&lt;=5,"0–5 miles",CleanEmployeeData[[#This Row],[DistanceFromHome]]&lt;=10,"6–10 miles",CleanEmployeeData[[#This Row],[DistanceFromHome]]&lt;=15,"11–15 miles",TRUE,"16+ miles")</f>
        <v>6–10 miles</v>
      </c>
      <c r="AS1345" t="str" cm="1">
        <f t="array" ref="AS1345">_xlfn.IFS(CleanEmployeeData[[#This Row],[YearsAtCompany]]&lt;=1,"0–1 years",CleanEmployeeData[[#This Row],[YearsAtCompany]]&lt;=5,"2–5 years",CleanEmployeeData[[#This Row],[YearsAtCompany]]&lt;=10,"6–10 years",TRUE,"11+ years")</f>
        <v>2–5 years</v>
      </c>
    </row>
    <row r="1346" spans="1:4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cm="1">
        <f t="array" ref="AJ1346">_xlfn.SWITCH(CleanEmployeeData[[#This Row],[Education]],1,"Below College",2,"College",3,"Bachelor",4,"Master",5,"Doctor","Unknown")</f>
        <v>Master</v>
      </c>
      <c r="AK1346" t="str" cm="1">
        <f t="array" ref="AK1346">_xlfn.SWITCH(CleanEmployeeData[[#This Row],[EnvironmentSatisfaction]],1,"Low",2,"Medium",3,"High",4,"Very High","Unknown")</f>
        <v>Very High</v>
      </c>
      <c r="AL1346" t="str" cm="1">
        <f t="array" ref="AL1346">_xlfn.SWITCH(CleanEmployeeData[[#This Row],[JobInvolvement]],1,"Low",2,"Medium",3,"High",4,"Very High","Unknown")</f>
        <v>High</v>
      </c>
      <c r="AM1346" t="str" cm="1">
        <f t="array" ref="AM1346">_xlfn.SWITCH(CleanEmployeeData[[#This Row],[JobSatisfaction]],1,"Low",2,"Medium",3,"High",4,"Very High","Unknown")</f>
        <v>Low</v>
      </c>
      <c r="AN1346" t="str" cm="1">
        <f t="array" ref="AN1346">_xlfn.SWITCH(CleanEmployeeData[[#This Row],[PerformanceRating]],1,"Low",2,"Good",3,"Excellent",4,"Outstanding","Unknown")</f>
        <v>Outstanding</v>
      </c>
      <c r="AO1346" t="str" cm="1">
        <f t="array" ref="AO1346">_xlfn.SWITCH(CleanEmployeeData[[#This Row],[WorkLifeBalance]],1,"Bad",2,"Good",3,"Better",4,"Best","Unknown")</f>
        <v>Better</v>
      </c>
      <c r="AP1346">
        <f>IF(CleanEmployeeData[[#This Row],[Attrition]]="Yes",1,IF(CleanEmployeeData[[#This Row],[Attrition]]="No",0,""))</f>
        <v>0</v>
      </c>
      <c r="AQ1346" t="str" cm="1">
        <f t="array" ref="AQ1346">_xlfn.IFS(CleanEmployeeData[[#This Row],[MonthlyIncome]]&lt;=3000,"0–3,000",CleanEmployeeData[[#This Row],[MonthlyIncome]]&lt;=6000,"3,001–6,000",CleanEmployeeData[[#This Row],[MonthlyIncome]]&lt;=10000,"6,001–10,000",TRUE,"10,001+")</f>
        <v>3,001–6,000</v>
      </c>
      <c r="AR1346" t="str" cm="1">
        <f t="array" ref="AR1346">_xlfn.IFS(CleanEmployeeData[[#This Row],[DistanceFromHome]]&lt;=5,"0–5 miles",CleanEmployeeData[[#This Row],[DistanceFromHome]]&lt;=10,"6–10 miles",CleanEmployeeData[[#This Row],[DistanceFromHome]]&lt;=15,"11–15 miles",TRUE,"16+ miles")</f>
        <v>6–10 miles</v>
      </c>
      <c r="AS1346" t="str" cm="1">
        <f t="array" ref="AS1346">_xlfn.IFS(CleanEmployeeData[[#This Row],[YearsAtCompany]]&lt;=1,"0–1 years",CleanEmployeeData[[#This Row],[YearsAtCompany]]&lt;=5,"2–5 years",CleanEmployeeData[[#This Row],[YearsAtCompany]]&lt;=10,"6–10 years",TRUE,"11+ years")</f>
        <v>2–5 years</v>
      </c>
    </row>
    <row r="1347" spans="1:4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cm="1">
        <f t="array" ref="AJ1347">_xlfn.SWITCH(CleanEmployeeData[[#This Row],[Education]],1,"Below College",2,"College",3,"Bachelor",4,"Master",5,"Doctor","Unknown")</f>
        <v>College</v>
      </c>
      <c r="AK1347" t="str" cm="1">
        <f t="array" ref="AK1347">_xlfn.SWITCH(CleanEmployeeData[[#This Row],[EnvironmentSatisfaction]],1,"Low",2,"Medium",3,"High",4,"Very High","Unknown")</f>
        <v>Very High</v>
      </c>
      <c r="AL1347" t="str" cm="1">
        <f t="array" ref="AL1347">_xlfn.SWITCH(CleanEmployeeData[[#This Row],[JobInvolvement]],1,"Low",2,"Medium",3,"High",4,"Very High","Unknown")</f>
        <v>Medium</v>
      </c>
      <c r="AM1347" t="str" cm="1">
        <f t="array" ref="AM1347">_xlfn.SWITCH(CleanEmployeeData[[#This Row],[JobSatisfaction]],1,"Low",2,"Medium",3,"High",4,"Very High","Unknown")</f>
        <v>Medium</v>
      </c>
      <c r="AN1347" t="str" cm="1">
        <f t="array" ref="AN1347">_xlfn.SWITCH(CleanEmployeeData[[#This Row],[PerformanceRating]],1,"Low",2,"Good",3,"Excellent",4,"Outstanding","Unknown")</f>
        <v>Excellent</v>
      </c>
      <c r="AO1347" t="str" cm="1">
        <f t="array" ref="AO1347">_xlfn.SWITCH(CleanEmployeeData[[#This Row],[WorkLifeBalance]],1,"Bad",2,"Good",3,"Better",4,"Best","Unknown")</f>
        <v>Better</v>
      </c>
      <c r="AP1347">
        <f>IF(CleanEmployeeData[[#This Row],[Attrition]]="Yes",1,IF(CleanEmployeeData[[#This Row],[Attrition]]="No",0,""))</f>
        <v>0</v>
      </c>
      <c r="AQ1347" t="str" cm="1">
        <f t="array" ref="AQ1347">_xlfn.IFS(CleanEmployeeData[[#This Row],[MonthlyIncome]]&lt;=3000,"0–3,000",CleanEmployeeData[[#This Row],[MonthlyIncome]]&lt;=6000,"3,001–6,000",CleanEmployeeData[[#This Row],[MonthlyIncome]]&lt;=10000,"6,001–10,000",TRUE,"10,001+")</f>
        <v>3,001–6,000</v>
      </c>
      <c r="AR1347" t="str" cm="1">
        <f t="array" ref="AR1347">_xlfn.IFS(CleanEmployeeData[[#This Row],[DistanceFromHome]]&lt;=5,"0–5 miles",CleanEmployeeData[[#This Row],[DistanceFromHome]]&lt;=10,"6–10 miles",CleanEmployeeData[[#This Row],[DistanceFromHome]]&lt;=15,"11–15 miles",TRUE,"16+ miles")</f>
        <v>16+ miles</v>
      </c>
      <c r="AS1347" t="str" cm="1">
        <f t="array" ref="AS1347">_xlfn.IFS(CleanEmployeeData[[#This Row],[YearsAtCompany]]&lt;=1,"0–1 years",CleanEmployeeData[[#This Row],[YearsAtCompany]]&lt;=5,"2–5 years",CleanEmployeeData[[#This Row],[YearsAtCompany]]&lt;=10,"6–10 years",TRUE,"11+ years")</f>
        <v>2–5 years</v>
      </c>
    </row>
    <row r="1348" spans="1:4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cm="1">
        <f t="array" ref="AJ1348">_xlfn.SWITCH(CleanEmployeeData[[#This Row],[Education]],1,"Below College",2,"College",3,"Bachelor",4,"Master",5,"Doctor","Unknown")</f>
        <v>College</v>
      </c>
      <c r="AK1348" t="str" cm="1">
        <f t="array" ref="AK1348">_xlfn.SWITCH(CleanEmployeeData[[#This Row],[EnvironmentSatisfaction]],1,"Low",2,"Medium",3,"High",4,"Very High","Unknown")</f>
        <v>Medium</v>
      </c>
      <c r="AL1348" t="str" cm="1">
        <f t="array" ref="AL1348">_xlfn.SWITCH(CleanEmployeeData[[#This Row],[JobInvolvement]],1,"Low",2,"Medium",3,"High",4,"Very High","Unknown")</f>
        <v>Medium</v>
      </c>
      <c r="AM1348" t="str" cm="1">
        <f t="array" ref="AM1348">_xlfn.SWITCH(CleanEmployeeData[[#This Row],[JobSatisfaction]],1,"Low",2,"Medium",3,"High",4,"Very High","Unknown")</f>
        <v>Very High</v>
      </c>
      <c r="AN1348" t="str" cm="1">
        <f t="array" ref="AN1348">_xlfn.SWITCH(CleanEmployeeData[[#This Row],[PerformanceRating]],1,"Low",2,"Good",3,"Excellent",4,"Outstanding","Unknown")</f>
        <v>Excellent</v>
      </c>
      <c r="AO1348" t="str" cm="1">
        <f t="array" ref="AO1348">_xlfn.SWITCH(CleanEmployeeData[[#This Row],[WorkLifeBalance]],1,"Bad",2,"Good",3,"Better",4,"Best","Unknown")</f>
        <v>Good</v>
      </c>
      <c r="AP1348">
        <f>IF(CleanEmployeeData[[#This Row],[Attrition]]="Yes",1,IF(CleanEmployeeData[[#This Row],[Attrition]]="No",0,""))</f>
        <v>0</v>
      </c>
      <c r="AQ1348" t="str" cm="1">
        <f t="array" ref="AQ1348">_xlfn.IFS(CleanEmployeeData[[#This Row],[MonthlyIncome]]&lt;=3000,"0–3,000",CleanEmployeeData[[#This Row],[MonthlyIncome]]&lt;=6000,"3,001–6,000",CleanEmployeeData[[#This Row],[MonthlyIncome]]&lt;=10000,"6,001–10,000",TRUE,"10,001+")</f>
        <v>3,001–6,000</v>
      </c>
      <c r="AR1348" t="str" cm="1">
        <f t="array" ref="AR1348">_xlfn.IFS(CleanEmployeeData[[#This Row],[DistanceFromHome]]&lt;=5,"0–5 miles",CleanEmployeeData[[#This Row],[DistanceFromHome]]&lt;=10,"6–10 miles",CleanEmployeeData[[#This Row],[DistanceFromHome]]&lt;=15,"11–15 miles",TRUE,"16+ miles")</f>
        <v>16+ miles</v>
      </c>
      <c r="AS1348" t="str" cm="1">
        <f t="array" ref="AS1348">_xlfn.IFS(CleanEmployeeData[[#This Row],[YearsAtCompany]]&lt;=1,"0–1 years",CleanEmployeeData[[#This Row],[YearsAtCompany]]&lt;=5,"2–5 years",CleanEmployeeData[[#This Row],[YearsAtCompany]]&lt;=10,"6–10 years",TRUE,"11+ years")</f>
        <v>6–10 years</v>
      </c>
    </row>
    <row r="1349" spans="1:4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cm="1">
        <f t="array" ref="AJ1349">_xlfn.SWITCH(CleanEmployeeData[[#This Row],[Education]],1,"Below College",2,"College",3,"Bachelor",4,"Master",5,"Doctor","Unknown")</f>
        <v>Below College</v>
      </c>
      <c r="AK1349" t="str" cm="1">
        <f t="array" ref="AK1349">_xlfn.SWITCH(CleanEmployeeData[[#This Row],[EnvironmentSatisfaction]],1,"Low",2,"Medium",3,"High",4,"Very High","Unknown")</f>
        <v>Medium</v>
      </c>
      <c r="AL1349" t="str" cm="1">
        <f t="array" ref="AL1349">_xlfn.SWITCH(CleanEmployeeData[[#This Row],[JobInvolvement]],1,"Low",2,"Medium",3,"High",4,"Very High","Unknown")</f>
        <v>Medium</v>
      </c>
      <c r="AM1349" t="str" cm="1">
        <f t="array" ref="AM1349">_xlfn.SWITCH(CleanEmployeeData[[#This Row],[JobSatisfaction]],1,"Low",2,"Medium",3,"High",4,"Very High","Unknown")</f>
        <v>Very High</v>
      </c>
      <c r="AN1349" t="str" cm="1">
        <f t="array" ref="AN1349">_xlfn.SWITCH(CleanEmployeeData[[#This Row],[PerformanceRating]],1,"Low",2,"Good",3,"Excellent",4,"Outstanding","Unknown")</f>
        <v>Outstanding</v>
      </c>
      <c r="AO1349" t="str" cm="1">
        <f t="array" ref="AO1349">_xlfn.SWITCH(CleanEmployeeData[[#This Row],[WorkLifeBalance]],1,"Bad",2,"Good",3,"Better",4,"Best","Unknown")</f>
        <v>Good</v>
      </c>
      <c r="AP1349">
        <f>IF(CleanEmployeeData[[#This Row],[Attrition]]="Yes",1,IF(CleanEmployeeData[[#This Row],[Attrition]]="No",0,""))</f>
        <v>0</v>
      </c>
      <c r="AQ1349" t="str" cm="1">
        <f t="array" ref="AQ1349">_xlfn.IFS(CleanEmployeeData[[#This Row],[MonthlyIncome]]&lt;=3000,"0–3,000",CleanEmployeeData[[#This Row],[MonthlyIncome]]&lt;=6000,"3,001–6,000",CleanEmployeeData[[#This Row],[MonthlyIncome]]&lt;=10000,"6,001–10,000",TRUE,"10,001+")</f>
        <v>3,001–6,000</v>
      </c>
      <c r="AR1349" t="str" cm="1">
        <f t="array" ref="AR1349">_xlfn.IFS(CleanEmployeeData[[#This Row],[DistanceFromHome]]&lt;=5,"0–5 miles",CleanEmployeeData[[#This Row],[DistanceFromHome]]&lt;=10,"6–10 miles",CleanEmployeeData[[#This Row],[DistanceFromHome]]&lt;=15,"11–15 miles",TRUE,"16+ miles")</f>
        <v>0–5 miles</v>
      </c>
      <c r="AS1349" t="str" cm="1">
        <f t="array" ref="AS1349">_xlfn.IFS(CleanEmployeeData[[#This Row],[YearsAtCompany]]&lt;=1,"0–1 years",CleanEmployeeData[[#This Row],[YearsAtCompany]]&lt;=5,"2–5 years",CleanEmployeeData[[#This Row],[YearsAtCompany]]&lt;=10,"6–10 years",TRUE,"11+ years")</f>
        <v>6–10 years</v>
      </c>
    </row>
    <row r="1350" spans="1:4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cm="1">
        <f t="array" ref="AJ1350">_xlfn.SWITCH(CleanEmployeeData[[#This Row],[Education]],1,"Below College",2,"College",3,"Bachelor",4,"Master",5,"Doctor","Unknown")</f>
        <v>Master</v>
      </c>
      <c r="AK1350" t="str" cm="1">
        <f t="array" ref="AK1350">_xlfn.SWITCH(CleanEmployeeData[[#This Row],[EnvironmentSatisfaction]],1,"Low",2,"Medium",3,"High",4,"Very High","Unknown")</f>
        <v>Low</v>
      </c>
      <c r="AL1350" t="str" cm="1">
        <f t="array" ref="AL1350">_xlfn.SWITCH(CleanEmployeeData[[#This Row],[JobInvolvement]],1,"Low",2,"Medium",3,"High",4,"Very High","Unknown")</f>
        <v>High</v>
      </c>
      <c r="AM1350" t="str" cm="1">
        <f t="array" ref="AM1350">_xlfn.SWITCH(CleanEmployeeData[[#This Row],[JobSatisfaction]],1,"Low",2,"Medium",3,"High",4,"Very High","Unknown")</f>
        <v>Low</v>
      </c>
      <c r="AN1350" t="str" cm="1">
        <f t="array" ref="AN1350">_xlfn.SWITCH(CleanEmployeeData[[#This Row],[PerformanceRating]],1,"Low",2,"Good",3,"Excellent",4,"Outstanding","Unknown")</f>
        <v>Excellent</v>
      </c>
      <c r="AO1350" t="str" cm="1">
        <f t="array" ref="AO1350">_xlfn.SWITCH(CleanEmployeeData[[#This Row],[WorkLifeBalance]],1,"Bad",2,"Good",3,"Better",4,"Best","Unknown")</f>
        <v>Better</v>
      </c>
      <c r="AP1350">
        <f>IF(CleanEmployeeData[[#This Row],[Attrition]]="Yes",1,IF(CleanEmployeeData[[#This Row],[Attrition]]="No",0,""))</f>
        <v>0</v>
      </c>
      <c r="AQ1350" t="str" cm="1">
        <f t="array" ref="AQ1350">_xlfn.IFS(CleanEmployeeData[[#This Row],[MonthlyIncome]]&lt;=3000,"0–3,000",CleanEmployeeData[[#This Row],[MonthlyIncome]]&lt;=6000,"3,001–6,000",CleanEmployeeData[[#This Row],[MonthlyIncome]]&lt;=10000,"6,001–10,000",TRUE,"10,001+")</f>
        <v>10,001+</v>
      </c>
      <c r="AR1350" t="str" cm="1">
        <f t="array" ref="AR1350">_xlfn.IFS(CleanEmployeeData[[#This Row],[DistanceFromHome]]&lt;=5,"0–5 miles",CleanEmployeeData[[#This Row],[DistanceFromHome]]&lt;=10,"6–10 miles",CleanEmployeeData[[#This Row],[DistanceFromHome]]&lt;=15,"11–15 miles",TRUE,"16+ miles")</f>
        <v>0–5 miles</v>
      </c>
      <c r="AS1350" t="str" cm="1">
        <f t="array" ref="AS1350">_xlfn.IFS(CleanEmployeeData[[#This Row],[YearsAtCompany]]&lt;=1,"0–1 years",CleanEmployeeData[[#This Row],[YearsAtCompany]]&lt;=5,"2–5 years",CleanEmployeeData[[#This Row],[YearsAtCompany]]&lt;=10,"6–10 years",TRUE,"11+ years")</f>
        <v>11+ years</v>
      </c>
    </row>
    <row r="1351" spans="1:4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cm="1">
        <f t="array" ref="AJ1351">_xlfn.SWITCH(CleanEmployeeData[[#This Row],[Education]],1,"Below College",2,"College",3,"Bachelor",4,"Master",5,"Doctor","Unknown")</f>
        <v>College</v>
      </c>
      <c r="AK1351" t="str" cm="1">
        <f t="array" ref="AK1351">_xlfn.SWITCH(CleanEmployeeData[[#This Row],[EnvironmentSatisfaction]],1,"Low",2,"Medium",3,"High",4,"Very High","Unknown")</f>
        <v>Medium</v>
      </c>
      <c r="AL1351" t="str" cm="1">
        <f t="array" ref="AL1351">_xlfn.SWITCH(CleanEmployeeData[[#This Row],[JobInvolvement]],1,"Low",2,"Medium",3,"High",4,"Very High","Unknown")</f>
        <v>Medium</v>
      </c>
      <c r="AM1351" t="str" cm="1">
        <f t="array" ref="AM1351">_xlfn.SWITCH(CleanEmployeeData[[#This Row],[JobSatisfaction]],1,"Low",2,"Medium",3,"High",4,"Very High","Unknown")</f>
        <v>High</v>
      </c>
      <c r="AN1351" t="str" cm="1">
        <f t="array" ref="AN1351">_xlfn.SWITCH(CleanEmployeeData[[#This Row],[PerformanceRating]],1,"Low",2,"Good",3,"Excellent",4,"Outstanding","Unknown")</f>
        <v>Excellent</v>
      </c>
      <c r="AO1351" t="str" cm="1">
        <f t="array" ref="AO1351">_xlfn.SWITCH(CleanEmployeeData[[#This Row],[WorkLifeBalance]],1,"Bad",2,"Good",3,"Better",4,"Best","Unknown")</f>
        <v>Good</v>
      </c>
      <c r="AP1351">
        <f>IF(CleanEmployeeData[[#This Row],[Attrition]]="Yes",1,IF(CleanEmployeeData[[#This Row],[Attrition]]="No",0,""))</f>
        <v>0</v>
      </c>
      <c r="AQ1351" t="str" cm="1">
        <f t="array" ref="AQ1351">_xlfn.IFS(CleanEmployeeData[[#This Row],[MonthlyIncome]]&lt;=3000,"0–3,000",CleanEmployeeData[[#This Row],[MonthlyIncome]]&lt;=6000,"3,001–6,000",CleanEmployeeData[[#This Row],[MonthlyIncome]]&lt;=10000,"6,001–10,000",TRUE,"10,001+")</f>
        <v>0–3,000</v>
      </c>
      <c r="AR1351" t="str" cm="1">
        <f t="array" ref="AR1351">_xlfn.IFS(CleanEmployeeData[[#This Row],[DistanceFromHome]]&lt;=5,"0–5 miles",CleanEmployeeData[[#This Row],[DistanceFromHome]]&lt;=10,"6–10 miles",CleanEmployeeData[[#This Row],[DistanceFromHome]]&lt;=15,"11–15 miles",TRUE,"16+ miles")</f>
        <v>0–5 miles</v>
      </c>
      <c r="AS1351" t="str" cm="1">
        <f t="array" ref="AS1351">_xlfn.IFS(CleanEmployeeData[[#This Row],[YearsAtCompany]]&lt;=1,"0–1 years",CleanEmployeeData[[#This Row],[YearsAtCompany]]&lt;=5,"2–5 years",CleanEmployeeData[[#This Row],[YearsAtCompany]]&lt;=10,"6–10 years",TRUE,"11+ years")</f>
        <v>0–1 years</v>
      </c>
    </row>
    <row r="1352" spans="1:4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cm="1">
        <f t="array" ref="AJ1352">_xlfn.SWITCH(CleanEmployeeData[[#This Row],[Education]],1,"Below College",2,"College",3,"Bachelor",4,"Master",5,"Doctor","Unknown")</f>
        <v>College</v>
      </c>
      <c r="AK1352" t="str" cm="1">
        <f t="array" ref="AK1352">_xlfn.SWITCH(CleanEmployeeData[[#This Row],[EnvironmentSatisfaction]],1,"Low",2,"Medium",3,"High",4,"Very High","Unknown")</f>
        <v>Low</v>
      </c>
      <c r="AL1352" t="str" cm="1">
        <f t="array" ref="AL1352">_xlfn.SWITCH(CleanEmployeeData[[#This Row],[JobInvolvement]],1,"Low",2,"Medium",3,"High",4,"Very High","Unknown")</f>
        <v>Very High</v>
      </c>
      <c r="AM1352" t="str" cm="1">
        <f t="array" ref="AM1352">_xlfn.SWITCH(CleanEmployeeData[[#This Row],[JobSatisfaction]],1,"Low",2,"Medium",3,"High",4,"Very High","Unknown")</f>
        <v>High</v>
      </c>
      <c r="AN1352" t="str" cm="1">
        <f t="array" ref="AN1352">_xlfn.SWITCH(CleanEmployeeData[[#This Row],[PerformanceRating]],1,"Low",2,"Good",3,"Excellent",4,"Outstanding","Unknown")</f>
        <v>Excellent</v>
      </c>
      <c r="AO1352" t="str" cm="1">
        <f t="array" ref="AO1352">_xlfn.SWITCH(CleanEmployeeData[[#This Row],[WorkLifeBalance]],1,"Bad",2,"Good",3,"Better",4,"Best","Unknown")</f>
        <v>Good</v>
      </c>
      <c r="AP1352">
        <f>IF(CleanEmployeeData[[#This Row],[Attrition]]="Yes",1,IF(CleanEmployeeData[[#This Row],[Attrition]]="No",0,""))</f>
        <v>0</v>
      </c>
      <c r="AQ1352" t="str" cm="1">
        <f t="array" ref="AQ1352">_xlfn.IFS(CleanEmployeeData[[#This Row],[MonthlyIncome]]&lt;=3000,"0–3,000",CleanEmployeeData[[#This Row],[MonthlyIncome]]&lt;=6000,"3,001–6,000",CleanEmployeeData[[#This Row],[MonthlyIncome]]&lt;=10000,"6,001–10,000",TRUE,"10,001+")</f>
        <v>6,001–10,000</v>
      </c>
      <c r="AR1352" t="str" cm="1">
        <f t="array" ref="AR1352">_xlfn.IFS(CleanEmployeeData[[#This Row],[DistanceFromHome]]&lt;=5,"0–5 miles",CleanEmployeeData[[#This Row],[DistanceFromHome]]&lt;=10,"6–10 miles",CleanEmployeeData[[#This Row],[DistanceFromHome]]&lt;=15,"11–15 miles",TRUE,"16+ miles")</f>
        <v>0–5 miles</v>
      </c>
      <c r="AS1352" t="str" cm="1">
        <f t="array" ref="AS1352">_xlfn.IFS(CleanEmployeeData[[#This Row],[YearsAtCompany]]&lt;=1,"0–1 years",CleanEmployeeData[[#This Row],[YearsAtCompany]]&lt;=5,"2–5 years",CleanEmployeeData[[#This Row],[YearsAtCompany]]&lt;=10,"6–10 years",TRUE,"11+ years")</f>
        <v>6–10 years</v>
      </c>
    </row>
    <row r="1353" spans="1:4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cm="1">
        <f t="array" ref="AJ1353">_xlfn.SWITCH(CleanEmployeeData[[#This Row],[Education]],1,"Below College",2,"College",3,"Bachelor",4,"Master",5,"Doctor","Unknown")</f>
        <v>Bachelor</v>
      </c>
      <c r="AK1353" t="str" cm="1">
        <f t="array" ref="AK1353">_xlfn.SWITCH(CleanEmployeeData[[#This Row],[EnvironmentSatisfaction]],1,"Low",2,"Medium",3,"High",4,"Very High","Unknown")</f>
        <v>Very High</v>
      </c>
      <c r="AL1353" t="str" cm="1">
        <f t="array" ref="AL1353">_xlfn.SWITCH(CleanEmployeeData[[#This Row],[JobInvolvement]],1,"Low",2,"Medium",3,"High",4,"Very High","Unknown")</f>
        <v>High</v>
      </c>
      <c r="AM1353" t="str" cm="1">
        <f t="array" ref="AM1353">_xlfn.SWITCH(CleanEmployeeData[[#This Row],[JobSatisfaction]],1,"Low",2,"Medium",3,"High",4,"Very High","Unknown")</f>
        <v>Very High</v>
      </c>
      <c r="AN1353" t="str" cm="1">
        <f t="array" ref="AN1353">_xlfn.SWITCH(CleanEmployeeData[[#This Row],[PerformanceRating]],1,"Low",2,"Good",3,"Excellent",4,"Outstanding","Unknown")</f>
        <v>Excellent</v>
      </c>
      <c r="AO1353" t="str" cm="1">
        <f t="array" ref="AO1353">_xlfn.SWITCH(CleanEmployeeData[[#This Row],[WorkLifeBalance]],1,"Bad",2,"Good",3,"Better",4,"Best","Unknown")</f>
        <v>Better</v>
      </c>
      <c r="AP1353">
        <f>IF(CleanEmployeeData[[#This Row],[Attrition]]="Yes",1,IF(CleanEmployeeData[[#This Row],[Attrition]]="No",0,""))</f>
        <v>0</v>
      </c>
      <c r="AQ1353" t="str" cm="1">
        <f t="array" ref="AQ1353">_xlfn.IFS(CleanEmployeeData[[#This Row],[MonthlyIncome]]&lt;=3000,"0–3,000",CleanEmployeeData[[#This Row],[MonthlyIncome]]&lt;=6000,"3,001–6,000",CleanEmployeeData[[#This Row],[MonthlyIncome]]&lt;=10000,"6,001–10,000",TRUE,"10,001+")</f>
        <v>10,001+</v>
      </c>
      <c r="AR1353" t="str" cm="1">
        <f t="array" ref="AR1353">_xlfn.IFS(CleanEmployeeData[[#This Row],[DistanceFromHome]]&lt;=5,"0–5 miles",CleanEmployeeData[[#This Row],[DistanceFromHome]]&lt;=10,"6–10 miles",CleanEmployeeData[[#This Row],[DistanceFromHome]]&lt;=15,"11–15 miles",TRUE,"16+ miles")</f>
        <v>16+ miles</v>
      </c>
      <c r="AS1353" t="str" cm="1">
        <f t="array" ref="AS1353">_xlfn.IFS(CleanEmployeeData[[#This Row],[YearsAtCompany]]&lt;=1,"0–1 years",CleanEmployeeData[[#This Row],[YearsAtCompany]]&lt;=5,"2–5 years",CleanEmployeeData[[#This Row],[YearsAtCompany]]&lt;=10,"6–10 years",TRUE,"11+ years")</f>
        <v>11+ years</v>
      </c>
    </row>
    <row r="1354" spans="1:4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cm="1">
        <f t="array" ref="AJ1354">_xlfn.SWITCH(CleanEmployeeData[[#This Row],[Education]],1,"Below College",2,"College",3,"Bachelor",4,"Master",5,"Doctor","Unknown")</f>
        <v>Master</v>
      </c>
      <c r="AK1354" t="str" cm="1">
        <f t="array" ref="AK1354">_xlfn.SWITCH(CleanEmployeeData[[#This Row],[EnvironmentSatisfaction]],1,"Low",2,"Medium",3,"High",4,"Very High","Unknown")</f>
        <v>Medium</v>
      </c>
      <c r="AL1354" t="str" cm="1">
        <f t="array" ref="AL1354">_xlfn.SWITCH(CleanEmployeeData[[#This Row],[JobInvolvement]],1,"Low",2,"Medium",3,"High",4,"Very High","Unknown")</f>
        <v>Very High</v>
      </c>
      <c r="AM1354" t="str" cm="1">
        <f t="array" ref="AM1354">_xlfn.SWITCH(CleanEmployeeData[[#This Row],[JobSatisfaction]],1,"Low",2,"Medium",3,"High",4,"Very High","Unknown")</f>
        <v>Low</v>
      </c>
      <c r="AN1354" t="str" cm="1">
        <f t="array" ref="AN1354">_xlfn.SWITCH(CleanEmployeeData[[#This Row],[PerformanceRating]],1,"Low",2,"Good",3,"Excellent",4,"Outstanding","Unknown")</f>
        <v>Excellent</v>
      </c>
      <c r="AO1354" t="str" cm="1">
        <f t="array" ref="AO1354">_xlfn.SWITCH(CleanEmployeeData[[#This Row],[WorkLifeBalance]],1,"Bad",2,"Good",3,"Better",4,"Best","Unknown")</f>
        <v>Better</v>
      </c>
      <c r="AP1354">
        <f>IF(CleanEmployeeData[[#This Row],[Attrition]]="Yes",1,IF(CleanEmployeeData[[#This Row],[Attrition]]="No",0,""))</f>
        <v>0</v>
      </c>
      <c r="AQ1354" t="str" cm="1">
        <f t="array" ref="AQ1354">_xlfn.IFS(CleanEmployeeData[[#This Row],[MonthlyIncome]]&lt;=3000,"0–3,000",CleanEmployeeData[[#This Row],[MonthlyIncome]]&lt;=6000,"3,001–6,000",CleanEmployeeData[[#This Row],[MonthlyIncome]]&lt;=10000,"6,001–10,000",TRUE,"10,001+")</f>
        <v>3,001–6,000</v>
      </c>
      <c r="AR1354" t="str" cm="1">
        <f t="array" ref="AR1354">_xlfn.IFS(CleanEmployeeData[[#This Row],[DistanceFromHome]]&lt;=5,"0–5 miles",CleanEmployeeData[[#This Row],[DistanceFromHome]]&lt;=10,"6–10 miles",CleanEmployeeData[[#This Row],[DistanceFromHome]]&lt;=15,"11–15 miles",TRUE,"16+ miles")</f>
        <v>0–5 miles</v>
      </c>
      <c r="AS1354" t="str" cm="1">
        <f t="array" ref="AS1354">_xlfn.IFS(CleanEmployeeData[[#This Row],[YearsAtCompany]]&lt;=1,"0–1 years",CleanEmployeeData[[#This Row],[YearsAtCompany]]&lt;=5,"2–5 years",CleanEmployeeData[[#This Row],[YearsAtCompany]]&lt;=10,"6–10 years",TRUE,"11+ years")</f>
        <v>2–5 years</v>
      </c>
    </row>
    <row r="1355" spans="1:4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cm="1">
        <f t="array" ref="AJ1355">_xlfn.SWITCH(CleanEmployeeData[[#This Row],[Education]],1,"Below College",2,"College",3,"Bachelor",4,"Master",5,"Doctor","Unknown")</f>
        <v>Master</v>
      </c>
      <c r="AK1355" t="str" cm="1">
        <f t="array" ref="AK1355">_xlfn.SWITCH(CleanEmployeeData[[#This Row],[EnvironmentSatisfaction]],1,"Low",2,"Medium",3,"High",4,"Very High","Unknown")</f>
        <v>Very High</v>
      </c>
      <c r="AL1355" t="str" cm="1">
        <f t="array" ref="AL1355">_xlfn.SWITCH(CleanEmployeeData[[#This Row],[JobInvolvement]],1,"Low",2,"Medium",3,"High",4,"Very High","Unknown")</f>
        <v>Low</v>
      </c>
      <c r="AM1355" t="str" cm="1">
        <f t="array" ref="AM1355">_xlfn.SWITCH(CleanEmployeeData[[#This Row],[JobSatisfaction]],1,"Low",2,"Medium",3,"High",4,"Very High","Unknown")</f>
        <v>Low</v>
      </c>
      <c r="AN1355" t="str" cm="1">
        <f t="array" ref="AN1355">_xlfn.SWITCH(CleanEmployeeData[[#This Row],[PerformanceRating]],1,"Low",2,"Good",3,"Excellent",4,"Outstanding","Unknown")</f>
        <v>Outstanding</v>
      </c>
      <c r="AO1355" t="str" cm="1">
        <f t="array" ref="AO1355">_xlfn.SWITCH(CleanEmployeeData[[#This Row],[WorkLifeBalance]],1,"Bad",2,"Good",3,"Better",4,"Best","Unknown")</f>
        <v>Better</v>
      </c>
      <c r="AP1355">
        <f>IF(CleanEmployeeData[[#This Row],[Attrition]]="Yes",1,IF(CleanEmployeeData[[#This Row],[Attrition]]="No",0,""))</f>
        <v>1</v>
      </c>
      <c r="AQ1355" t="str" cm="1">
        <f t="array" ref="AQ1355">_xlfn.IFS(CleanEmployeeData[[#This Row],[MonthlyIncome]]&lt;=3000,"0–3,000",CleanEmployeeData[[#This Row],[MonthlyIncome]]&lt;=6000,"3,001–6,000",CleanEmployeeData[[#This Row],[MonthlyIncome]]&lt;=10000,"6,001–10,000",TRUE,"10,001+")</f>
        <v>0–3,000</v>
      </c>
      <c r="AR1355" t="str" cm="1">
        <f t="array" ref="AR1355">_xlfn.IFS(CleanEmployeeData[[#This Row],[DistanceFromHome]]&lt;=5,"0–5 miles",CleanEmployeeData[[#This Row],[DistanceFromHome]]&lt;=10,"6–10 miles",CleanEmployeeData[[#This Row],[DistanceFromHome]]&lt;=15,"11–15 miles",TRUE,"16+ miles")</f>
        <v>16+ miles</v>
      </c>
      <c r="AS1355" t="str" cm="1">
        <f t="array" ref="AS1355">_xlfn.IFS(CleanEmployeeData[[#This Row],[YearsAtCompany]]&lt;=1,"0–1 years",CleanEmployeeData[[#This Row],[YearsAtCompany]]&lt;=5,"2–5 years",CleanEmployeeData[[#This Row],[YearsAtCompany]]&lt;=10,"6–10 years",TRUE,"11+ years")</f>
        <v>2–5 years</v>
      </c>
    </row>
    <row r="1356" spans="1:4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cm="1">
        <f t="array" ref="AJ1356">_xlfn.SWITCH(CleanEmployeeData[[#This Row],[Education]],1,"Below College",2,"College",3,"Bachelor",4,"Master",5,"Doctor","Unknown")</f>
        <v>College</v>
      </c>
      <c r="AK1356" t="str" cm="1">
        <f t="array" ref="AK1356">_xlfn.SWITCH(CleanEmployeeData[[#This Row],[EnvironmentSatisfaction]],1,"Low",2,"Medium",3,"High",4,"Very High","Unknown")</f>
        <v>Low</v>
      </c>
      <c r="AL1356" t="str" cm="1">
        <f t="array" ref="AL1356">_xlfn.SWITCH(CleanEmployeeData[[#This Row],[JobInvolvement]],1,"Low",2,"Medium",3,"High",4,"Very High","Unknown")</f>
        <v>High</v>
      </c>
      <c r="AM1356" t="str" cm="1">
        <f t="array" ref="AM1356">_xlfn.SWITCH(CleanEmployeeData[[#This Row],[JobSatisfaction]],1,"Low",2,"Medium",3,"High",4,"Very High","Unknown")</f>
        <v>Very High</v>
      </c>
      <c r="AN1356" t="str" cm="1">
        <f t="array" ref="AN1356">_xlfn.SWITCH(CleanEmployeeData[[#This Row],[PerformanceRating]],1,"Low",2,"Good",3,"Excellent",4,"Outstanding","Unknown")</f>
        <v>Excellent</v>
      </c>
      <c r="AO1356" t="str" cm="1">
        <f t="array" ref="AO1356">_xlfn.SWITCH(CleanEmployeeData[[#This Row],[WorkLifeBalance]],1,"Bad",2,"Good",3,"Better",4,"Best","Unknown")</f>
        <v>Better</v>
      </c>
      <c r="AP1356">
        <f>IF(CleanEmployeeData[[#This Row],[Attrition]]="Yes",1,IF(CleanEmployeeData[[#This Row],[Attrition]]="No",0,""))</f>
        <v>1</v>
      </c>
      <c r="AQ1356" t="str" cm="1">
        <f t="array" ref="AQ1356">_xlfn.IFS(CleanEmployeeData[[#This Row],[MonthlyIncome]]&lt;=3000,"0–3,000",CleanEmployeeData[[#This Row],[MonthlyIncome]]&lt;=6000,"3,001–6,000",CleanEmployeeData[[#This Row],[MonthlyIncome]]&lt;=10000,"6,001–10,000",TRUE,"10,001+")</f>
        <v>0–3,000</v>
      </c>
      <c r="AR1356" t="str" cm="1">
        <f t="array" ref="AR1356">_xlfn.IFS(CleanEmployeeData[[#This Row],[DistanceFromHome]]&lt;=5,"0–5 miles",CleanEmployeeData[[#This Row],[DistanceFromHome]]&lt;=10,"6–10 miles",CleanEmployeeData[[#This Row],[DistanceFromHome]]&lt;=15,"11–15 miles",TRUE,"16+ miles")</f>
        <v>16+ miles</v>
      </c>
      <c r="AS1356" t="str" cm="1">
        <f t="array" ref="AS1356">_xlfn.IFS(CleanEmployeeData[[#This Row],[YearsAtCompany]]&lt;=1,"0–1 years",CleanEmployeeData[[#This Row],[YearsAtCompany]]&lt;=5,"2–5 years",CleanEmployeeData[[#This Row],[YearsAtCompany]]&lt;=10,"6–10 years",TRUE,"11+ years")</f>
        <v>2–5 years</v>
      </c>
    </row>
    <row r="1357" spans="1:4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cm="1">
        <f t="array" ref="AJ1357">_xlfn.SWITCH(CleanEmployeeData[[#This Row],[Education]],1,"Below College",2,"College",3,"Bachelor",4,"Master",5,"Doctor","Unknown")</f>
        <v>College</v>
      </c>
      <c r="AK1357" t="str" cm="1">
        <f t="array" ref="AK1357">_xlfn.SWITCH(CleanEmployeeData[[#This Row],[EnvironmentSatisfaction]],1,"Low",2,"Medium",3,"High",4,"Very High","Unknown")</f>
        <v>High</v>
      </c>
      <c r="AL1357" t="str" cm="1">
        <f t="array" ref="AL1357">_xlfn.SWITCH(CleanEmployeeData[[#This Row],[JobInvolvement]],1,"Low",2,"Medium",3,"High",4,"Very High","Unknown")</f>
        <v>Medium</v>
      </c>
      <c r="AM1357" t="str" cm="1">
        <f t="array" ref="AM1357">_xlfn.SWITCH(CleanEmployeeData[[#This Row],[JobSatisfaction]],1,"Low",2,"Medium",3,"High",4,"Very High","Unknown")</f>
        <v>Medium</v>
      </c>
      <c r="AN1357" t="str" cm="1">
        <f t="array" ref="AN1357">_xlfn.SWITCH(CleanEmployeeData[[#This Row],[PerformanceRating]],1,"Low",2,"Good",3,"Excellent",4,"Outstanding","Unknown")</f>
        <v>Excellent</v>
      </c>
      <c r="AO1357" t="str" cm="1">
        <f t="array" ref="AO1357">_xlfn.SWITCH(CleanEmployeeData[[#This Row],[WorkLifeBalance]],1,"Bad",2,"Good",3,"Better",4,"Best","Unknown")</f>
        <v>Bad</v>
      </c>
      <c r="AP1357">
        <f>IF(CleanEmployeeData[[#This Row],[Attrition]]="Yes",1,IF(CleanEmployeeData[[#This Row],[Attrition]]="No",0,""))</f>
        <v>0</v>
      </c>
      <c r="AQ1357" t="str" cm="1">
        <f t="array" ref="AQ1357">_xlfn.IFS(CleanEmployeeData[[#This Row],[MonthlyIncome]]&lt;=3000,"0–3,000",CleanEmployeeData[[#This Row],[MonthlyIncome]]&lt;=6000,"3,001–6,000",CleanEmployeeData[[#This Row],[MonthlyIncome]]&lt;=10000,"6,001–10,000",TRUE,"10,001+")</f>
        <v>3,001–6,000</v>
      </c>
      <c r="AR1357" t="str" cm="1">
        <f t="array" ref="AR1357">_xlfn.IFS(CleanEmployeeData[[#This Row],[DistanceFromHome]]&lt;=5,"0–5 miles",CleanEmployeeData[[#This Row],[DistanceFromHome]]&lt;=10,"6–10 miles",CleanEmployeeData[[#This Row],[DistanceFromHome]]&lt;=15,"11–15 miles",TRUE,"16+ miles")</f>
        <v>16+ miles</v>
      </c>
      <c r="AS1357" t="str" cm="1">
        <f t="array" ref="AS1357">_xlfn.IFS(CleanEmployeeData[[#This Row],[YearsAtCompany]]&lt;=1,"0–1 years",CleanEmployeeData[[#This Row],[YearsAtCompany]]&lt;=5,"2–5 years",CleanEmployeeData[[#This Row],[YearsAtCompany]]&lt;=10,"6–10 years",TRUE,"11+ years")</f>
        <v>2–5 years</v>
      </c>
    </row>
    <row r="1358" spans="1:4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cm="1">
        <f t="array" ref="AJ1358">_xlfn.SWITCH(CleanEmployeeData[[#This Row],[Education]],1,"Below College",2,"College",3,"Bachelor",4,"Master",5,"Doctor","Unknown")</f>
        <v>Bachelor</v>
      </c>
      <c r="AK1358" t="str" cm="1">
        <f t="array" ref="AK1358">_xlfn.SWITCH(CleanEmployeeData[[#This Row],[EnvironmentSatisfaction]],1,"Low",2,"Medium",3,"High",4,"Very High","Unknown")</f>
        <v>High</v>
      </c>
      <c r="AL1358" t="str" cm="1">
        <f t="array" ref="AL1358">_xlfn.SWITCH(CleanEmployeeData[[#This Row],[JobInvolvement]],1,"Low",2,"Medium",3,"High",4,"Very High","Unknown")</f>
        <v>High</v>
      </c>
      <c r="AM1358" t="str" cm="1">
        <f t="array" ref="AM1358">_xlfn.SWITCH(CleanEmployeeData[[#This Row],[JobSatisfaction]],1,"Low",2,"Medium",3,"High",4,"Very High","Unknown")</f>
        <v>Medium</v>
      </c>
      <c r="AN1358" t="str" cm="1">
        <f t="array" ref="AN1358">_xlfn.SWITCH(CleanEmployeeData[[#This Row],[PerformanceRating]],1,"Low",2,"Good",3,"Excellent",4,"Outstanding","Unknown")</f>
        <v>Outstanding</v>
      </c>
      <c r="AO1358" t="str" cm="1">
        <f t="array" ref="AO1358">_xlfn.SWITCH(CleanEmployeeData[[#This Row],[WorkLifeBalance]],1,"Bad",2,"Good",3,"Better",4,"Best","Unknown")</f>
        <v>Better</v>
      </c>
      <c r="AP1358">
        <f>IF(CleanEmployeeData[[#This Row],[Attrition]]="Yes",1,IF(CleanEmployeeData[[#This Row],[Attrition]]="No",0,""))</f>
        <v>0</v>
      </c>
      <c r="AQ1358" t="str" cm="1">
        <f t="array" ref="AQ1358">_xlfn.IFS(CleanEmployeeData[[#This Row],[MonthlyIncome]]&lt;=3000,"0–3,000",CleanEmployeeData[[#This Row],[MonthlyIncome]]&lt;=6000,"3,001–6,000",CleanEmployeeData[[#This Row],[MonthlyIncome]]&lt;=10000,"6,001–10,000",TRUE,"10,001+")</f>
        <v>3,001–6,000</v>
      </c>
      <c r="AR1358" t="str" cm="1">
        <f t="array" ref="AR1358">_xlfn.IFS(CleanEmployeeData[[#This Row],[DistanceFromHome]]&lt;=5,"0–5 miles",CleanEmployeeData[[#This Row],[DistanceFromHome]]&lt;=10,"6–10 miles",CleanEmployeeData[[#This Row],[DistanceFromHome]]&lt;=15,"11–15 miles",TRUE,"16+ miles")</f>
        <v>6–10 miles</v>
      </c>
      <c r="AS1358" t="str" cm="1">
        <f t="array" ref="AS1358">_xlfn.IFS(CleanEmployeeData[[#This Row],[YearsAtCompany]]&lt;=1,"0–1 years",CleanEmployeeData[[#This Row],[YearsAtCompany]]&lt;=5,"2–5 years",CleanEmployeeData[[#This Row],[YearsAtCompany]]&lt;=10,"6–10 years",TRUE,"11+ years")</f>
        <v>2–5 years</v>
      </c>
    </row>
    <row r="1359" spans="1:4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cm="1">
        <f t="array" ref="AJ1359">_xlfn.SWITCH(CleanEmployeeData[[#This Row],[Education]],1,"Below College",2,"College",3,"Bachelor",4,"Master",5,"Doctor","Unknown")</f>
        <v>Bachelor</v>
      </c>
      <c r="AK1359" t="str" cm="1">
        <f t="array" ref="AK1359">_xlfn.SWITCH(CleanEmployeeData[[#This Row],[EnvironmentSatisfaction]],1,"Low",2,"Medium",3,"High",4,"Very High","Unknown")</f>
        <v>High</v>
      </c>
      <c r="AL1359" t="str" cm="1">
        <f t="array" ref="AL1359">_xlfn.SWITCH(CleanEmployeeData[[#This Row],[JobInvolvement]],1,"Low",2,"Medium",3,"High",4,"Very High","Unknown")</f>
        <v>High</v>
      </c>
      <c r="AM1359" t="str" cm="1">
        <f t="array" ref="AM1359">_xlfn.SWITCH(CleanEmployeeData[[#This Row],[JobSatisfaction]],1,"Low",2,"Medium",3,"High",4,"Very High","Unknown")</f>
        <v>Low</v>
      </c>
      <c r="AN1359" t="str" cm="1">
        <f t="array" ref="AN1359">_xlfn.SWITCH(CleanEmployeeData[[#This Row],[PerformanceRating]],1,"Low",2,"Good",3,"Excellent",4,"Outstanding","Unknown")</f>
        <v>Excellent</v>
      </c>
      <c r="AO1359" t="str" cm="1">
        <f t="array" ref="AO1359">_xlfn.SWITCH(CleanEmployeeData[[#This Row],[WorkLifeBalance]],1,"Bad",2,"Good",3,"Better",4,"Best","Unknown")</f>
        <v>Best</v>
      </c>
      <c r="AP1359">
        <f>IF(CleanEmployeeData[[#This Row],[Attrition]]="Yes",1,IF(CleanEmployeeData[[#This Row],[Attrition]]="No",0,""))</f>
        <v>0</v>
      </c>
      <c r="AQ1359" t="str" cm="1">
        <f t="array" ref="AQ1359">_xlfn.IFS(CleanEmployeeData[[#This Row],[MonthlyIncome]]&lt;=3000,"0–3,000",CleanEmployeeData[[#This Row],[MonthlyIncome]]&lt;=6000,"3,001–6,000",CleanEmployeeData[[#This Row],[MonthlyIncome]]&lt;=10000,"6,001–10,000",TRUE,"10,001+")</f>
        <v>10,001+</v>
      </c>
      <c r="AR1359" t="str" cm="1">
        <f t="array" ref="AR1359">_xlfn.IFS(CleanEmployeeData[[#This Row],[DistanceFromHome]]&lt;=5,"0–5 miles",CleanEmployeeData[[#This Row],[DistanceFromHome]]&lt;=10,"6–10 miles",CleanEmployeeData[[#This Row],[DistanceFromHome]]&lt;=15,"11–15 miles",TRUE,"16+ miles")</f>
        <v>6–10 miles</v>
      </c>
      <c r="AS1359" t="str" cm="1">
        <f t="array" ref="AS1359">_xlfn.IFS(CleanEmployeeData[[#This Row],[YearsAtCompany]]&lt;=1,"0–1 years",CleanEmployeeData[[#This Row],[YearsAtCompany]]&lt;=5,"2–5 years",CleanEmployeeData[[#This Row],[YearsAtCompany]]&lt;=10,"6–10 years",TRUE,"11+ years")</f>
        <v>11+ years</v>
      </c>
    </row>
    <row r="1360" spans="1:4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cm="1">
        <f t="array" ref="AJ1360">_xlfn.SWITCH(CleanEmployeeData[[#This Row],[Education]],1,"Below College",2,"College",3,"Bachelor",4,"Master",5,"Doctor","Unknown")</f>
        <v>College</v>
      </c>
      <c r="AK1360" t="str" cm="1">
        <f t="array" ref="AK1360">_xlfn.SWITCH(CleanEmployeeData[[#This Row],[EnvironmentSatisfaction]],1,"Low",2,"Medium",3,"High",4,"Very High","Unknown")</f>
        <v>High</v>
      </c>
      <c r="AL1360" t="str" cm="1">
        <f t="array" ref="AL1360">_xlfn.SWITCH(CleanEmployeeData[[#This Row],[JobInvolvement]],1,"Low",2,"Medium",3,"High",4,"Very High","Unknown")</f>
        <v>High</v>
      </c>
      <c r="AM1360" t="str" cm="1">
        <f t="array" ref="AM1360">_xlfn.SWITCH(CleanEmployeeData[[#This Row],[JobSatisfaction]],1,"Low",2,"Medium",3,"High",4,"Very High","Unknown")</f>
        <v>Very High</v>
      </c>
      <c r="AN1360" t="str" cm="1">
        <f t="array" ref="AN1360">_xlfn.SWITCH(CleanEmployeeData[[#This Row],[PerformanceRating]],1,"Low",2,"Good",3,"Excellent",4,"Outstanding","Unknown")</f>
        <v>Excellent</v>
      </c>
      <c r="AO1360" t="str" cm="1">
        <f t="array" ref="AO1360">_xlfn.SWITCH(CleanEmployeeData[[#This Row],[WorkLifeBalance]],1,"Bad",2,"Good",3,"Better",4,"Best","Unknown")</f>
        <v>Better</v>
      </c>
      <c r="AP1360">
        <f>IF(CleanEmployeeData[[#This Row],[Attrition]]="Yes",1,IF(CleanEmployeeData[[#This Row],[Attrition]]="No",0,""))</f>
        <v>0</v>
      </c>
      <c r="AQ1360" t="str" cm="1">
        <f t="array" ref="AQ1360">_xlfn.IFS(CleanEmployeeData[[#This Row],[MonthlyIncome]]&lt;=3000,"0–3,000",CleanEmployeeData[[#This Row],[MonthlyIncome]]&lt;=6000,"3,001–6,000",CleanEmployeeData[[#This Row],[MonthlyIncome]]&lt;=10000,"6,001–10,000",TRUE,"10,001+")</f>
        <v>6,001–10,000</v>
      </c>
      <c r="AR1360" t="str" cm="1">
        <f t="array" ref="AR1360">_xlfn.IFS(CleanEmployeeData[[#This Row],[DistanceFromHome]]&lt;=5,"0–5 miles",CleanEmployeeData[[#This Row],[DistanceFromHome]]&lt;=10,"6–10 miles",CleanEmployeeData[[#This Row],[DistanceFromHome]]&lt;=15,"11–15 miles",TRUE,"16+ miles")</f>
        <v>6–10 miles</v>
      </c>
      <c r="AS1360" t="str" cm="1">
        <f t="array" ref="AS1360">_xlfn.IFS(CleanEmployeeData[[#This Row],[YearsAtCompany]]&lt;=1,"0–1 years",CleanEmployeeData[[#This Row],[YearsAtCompany]]&lt;=5,"2–5 years",CleanEmployeeData[[#This Row],[YearsAtCompany]]&lt;=10,"6–10 years",TRUE,"11+ years")</f>
        <v>2–5 years</v>
      </c>
    </row>
    <row r="1361" spans="1:4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cm="1">
        <f t="array" ref="AJ1361">_xlfn.SWITCH(CleanEmployeeData[[#This Row],[Education]],1,"Below College",2,"College",3,"Bachelor",4,"Master",5,"Doctor","Unknown")</f>
        <v>Below College</v>
      </c>
      <c r="AK1361" t="str" cm="1">
        <f t="array" ref="AK1361">_xlfn.SWITCH(CleanEmployeeData[[#This Row],[EnvironmentSatisfaction]],1,"Low",2,"Medium",3,"High",4,"Very High","Unknown")</f>
        <v>Very High</v>
      </c>
      <c r="AL1361" t="str" cm="1">
        <f t="array" ref="AL1361">_xlfn.SWITCH(CleanEmployeeData[[#This Row],[JobInvolvement]],1,"Low",2,"Medium",3,"High",4,"Very High","Unknown")</f>
        <v>Medium</v>
      </c>
      <c r="AM1361" t="str" cm="1">
        <f t="array" ref="AM1361">_xlfn.SWITCH(CleanEmployeeData[[#This Row],[JobSatisfaction]],1,"Low",2,"Medium",3,"High",4,"Very High","Unknown")</f>
        <v>Very High</v>
      </c>
      <c r="AN1361" t="str" cm="1">
        <f t="array" ref="AN1361">_xlfn.SWITCH(CleanEmployeeData[[#This Row],[PerformanceRating]],1,"Low",2,"Good",3,"Excellent",4,"Outstanding","Unknown")</f>
        <v>Excellent</v>
      </c>
      <c r="AO1361" t="str" cm="1">
        <f t="array" ref="AO1361">_xlfn.SWITCH(CleanEmployeeData[[#This Row],[WorkLifeBalance]],1,"Bad",2,"Good",3,"Better",4,"Best","Unknown")</f>
        <v>Good</v>
      </c>
      <c r="AP1361">
        <f>IF(CleanEmployeeData[[#This Row],[Attrition]]="Yes",1,IF(CleanEmployeeData[[#This Row],[Attrition]]="No",0,""))</f>
        <v>0</v>
      </c>
      <c r="AQ1361" t="str" cm="1">
        <f t="array" ref="AQ1361">_xlfn.IFS(CleanEmployeeData[[#This Row],[MonthlyIncome]]&lt;=3000,"0–3,000",CleanEmployeeData[[#This Row],[MonthlyIncome]]&lt;=6000,"3,001–6,000",CleanEmployeeData[[#This Row],[MonthlyIncome]]&lt;=10000,"6,001–10,000",TRUE,"10,001+")</f>
        <v>6,001–10,000</v>
      </c>
      <c r="AR1361" t="str" cm="1">
        <f t="array" ref="AR1361">_xlfn.IFS(CleanEmployeeData[[#This Row],[DistanceFromHome]]&lt;=5,"0–5 miles",CleanEmployeeData[[#This Row],[DistanceFromHome]]&lt;=10,"6–10 miles",CleanEmployeeData[[#This Row],[DistanceFromHome]]&lt;=15,"11–15 miles",TRUE,"16+ miles")</f>
        <v>0–5 miles</v>
      </c>
      <c r="AS1361" t="str" cm="1">
        <f t="array" ref="AS1361">_xlfn.IFS(CleanEmployeeData[[#This Row],[YearsAtCompany]]&lt;=1,"0–1 years",CleanEmployeeData[[#This Row],[YearsAtCompany]]&lt;=5,"2–5 years",CleanEmployeeData[[#This Row],[YearsAtCompany]]&lt;=10,"6–10 years",TRUE,"11+ years")</f>
        <v>2–5 years</v>
      </c>
    </row>
    <row r="1362" spans="1:4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cm="1">
        <f t="array" ref="AJ1362">_xlfn.SWITCH(CleanEmployeeData[[#This Row],[Education]],1,"Below College",2,"College",3,"Bachelor",4,"Master",5,"Doctor","Unknown")</f>
        <v>Bachelor</v>
      </c>
      <c r="AK1362" t="str" cm="1">
        <f t="array" ref="AK1362">_xlfn.SWITCH(CleanEmployeeData[[#This Row],[EnvironmentSatisfaction]],1,"Low",2,"Medium",3,"High",4,"Very High","Unknown")</f>
        <v>Low</v>
      </c>
      <c r="AL1362" t="str" cm="1">
        <f t="array" ref="AL1362">_xlfn.SWITCH(CleanEmployeeData[[#This Row],[JobInvolvement]],1,"Low",2,"Medium",3,"High",4,"Very High","Unknown")</f>
        <v>Very High</v>
      </c>
      <c r="AM1362" t="str" cm="1">
        <f t="array" ref="AM1362">_xlfn.SWITCH(CleanEmployeeData[[#This Row],[JobSatisfaction]],1,"Low",2,"Medium",3,"High",4,"Very High","Unknown")</f>
        <v>High</v>
      </c>
      <c r="AN1362" t="str" cm="1">
        <f t="array" ref="AN1362">_xlfn.SWITCH(CleanEmployeeData[[#This Row],[PerformanceRating]],1,"Low",2,"Good",3,"Excellent",4,"Outstanding","Unknown")</f>
        <v>Excellent</v>
      </c>
      <c r="AO1362" t="str" cm="1">
        <f t="array" ref="AO1362">_xlfn.SWITCH(CleanEmployeeData[[#This Row],[WorkLifeBalance]],1,"Bad",2,"Good",3,"Better",4,"Best","Unknown")</f>
        <v>Good</v>
      </c>
      <c r="AP1362">
        <f>IF(CleanEmployeeData[[#This Row],[Attrition]]="Yes",1,IF(CleanEmployeeData[[#This Row],[Attrition]]="No",0,""))</f>
        <v>0</v>
      </c>
      <c r="AQ1362" t="str" cm="1">
        <f t="array" ref="AQ1362">_xlfn.IFS(CleanEmployeeData[[#This Row],[MonthlyIncome]]&lt;=3000,"0–3,000",CleanEmployeeData[[#This Row],[MonthlyIncome]]&lt;=6000,"3,001–6,000",CleanEmployeeData[[#This Row],[MonthlyIncome]]&lt;=10000,"6,001–10,000",TRUE,"10,001+")</f>
        <v>3,001–6,000</v>
      </c>
      <c r="AR1362" t="str" cm="1">
        <f t="array" ref="AR1362">_xlfn.IFS(CleanEmployeeData[[#This Row],[DistanceFromHome]]&lt;=5,"0–5 miles",CleanEmployeeData[[#This Row],[DistanceFromHome]]&lt;=10,"6–10 miles",CleanEmployeeData[[#This Row],[DistanceFromHome]]&lt;=15,"11–15 miles",TRUE,"16+ miles")</f>
        <v>0–5 miles</v>
      </c>
      <c r="AS1362" t="str" cm="1">
        <f t="array" ref="AS1362">_xlfn.IFS(CleanEmployeeData[[#This Row],[YearsAtCompany]]&lt;=1,"0–1 years",CleanEmployeeData[[#This Row],[YearsAtCompany]]&lt;=5,"2–5 years",CleanEmployeeData[[#This Row],[YearsAtCompany]]&lt;=10,"6–10 years",TRUE,"11+ years")</f>
        <v>2–5 years</v>
      </c>
    </row>
    <row r="1363" spans="1:4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cm="1">
        <f t="array" ref="AJ1363">_xlfn.SWITCH(CleanEmployeeData[[#This Row],[Education]],1,"Below College",2,"College",3,"Bachelor",4,"Master",5,"Doctor","Unknown")</f>
        <v>Bachelor</v>
      </c>
      <c r="AK1363" t="str" cm="1">
        <f t="array" ref="AK1363">_xlfn.SWITCH(CleanEmployeeData[[#This Row],[EnvironmentSatisfaction]],1,"Low",2,"Medium",3,"High",4,"Very High","Unknown")</f>
        <v>High</v>
      </c>
      <c r="AL1363" t="str" cm="1">
        <f t="array" ref="AL1363">_xlfn.SWITCH(CleanEmployeeData[[#This Row],[JobInvolvement]],1,"Low",2,"Medium",3,"High",4,"Very High","Unknown")</f>
        <v>Very High</v>
      </c>
      <c r="AM1363" t="str" cm="1">
        <f t="array" ref="AM1363">_xlfn.SWITCH(CleanEmployeeData[[#This Row],[JobSatisfaction]],1,"Low",2,"Medium",3,"High",4,"Very High","Unknown")</f>
        <v>Very High</v>
      </c>
      <c r="AN1363" t="str" cm="1">
        <f t="array" ref="AN1363">_xlfn.SWITCH(CleanEmployeeData[[#This Row],[PerformanceRating]],1,"Low",2,"Good",3,"Excellent",4,"Outstanding","Unknown")</f>
        <v>Excellent</v>
      </c>
      <c r="AO1363" t="str" cm="1">
        <f t="array" ref="AO1363">_xlfn.SWITCH(CleanEmployeeData[[#This Row],[WorkLifeBalance]],1,"Bad",2,"Good",3,"Better",4,"Best","Unknown")</f>
        <v>Better</v>
      </c>
      <c r="AP1363">
        <f>IF(CleanEmployeeData[[#This Row],[Attrition]]="Yes",1,IF(CleanEmployeeData[[#This Row],[Attrition]]="No",0,""))</f>
        <v>0</v>
      </c>
      <c r="AQ1363" t="str" cm="1">
        <f t="array" ref="AQ1363">_xlfn.IFS(CleanEmployeeData[[#This Row],[MonthlyIncome]]&lt;=3000,"0–3,000",CleanEmployeeData[[#This Row],[MonthlyIncome]]&lt;=6000,"3,001–6,000",CleanEmployeeData[[#This Row],[MonthlyIncome]]&lt;=10000,"6,001–10,000",TRUE,"10,001+")</f>
        <v>0–3,000</v>
      </c>
      <c r="AR1363" t="str" cm="1">
        <f t="array" ref="AR1363">_xlfn.IFS(CleanEmployeeData[[#This Row],[DistanceFromHome]]&lt;=5,"0–5 miles",CleanEmployeeData[[#This Row],[DistanceFromHome]]&lt;=10,"6–10 miles",CleanEmployeeData[[#This Row],[DistanceFromHome]]&lt;=15,"11–15 miles",TRUE,"16+ miles")</f>
        <v>6–10 miles</v>
      </c>
      <c r="AS1363" t="str" cm="1">
        <f t="array" ref="AS1363">_xlfn.IFS(CleanEmployeeData[[#This Row],[YearsAtCompany]]&lt;=1,"0–1 years",CleanEmployeeData[[#This Row],[YearsAtCompany]]&lt;=5,"2–5 years",CleanEmployeeData[[#This Row],[YearsAtCompany]]&lt;=10,"6–10 years",TRUE,"11+ years")</f>
        <v>6–10 years</v>
      </c>
    </row>
    <row r="1364" spans="1:4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cm="1">
        <f t="array" ref="AJ1364">_xlfn.SWITCH(CleanEmployeeData[[#This Row],[Education]],1,"Below College",2,"College",3,"Bachelor",4,"Master",5,"Doctor","Unknown")</f>
        <v>Master</v>
      </c>
      <c r="AK1364" t="str" cm="1">
        <f t="array" ref="AK1364">_xlfn.SWITCH(CleanEmployeeData[[#This Row],[EnvironmentSatisfaction]],1,"Low",2,"Medium",3,"High",4,"Very High","Unknown")</f>
        <v>Medium</v>
      </c>
      <c r="AL1364" t="str" cm="1">
        <f t="array" ref="AL1364">_xlfn.SWITCH(CleanEmployeeData[[#This Row],[JobInvolvement]],1,"Low",2,"Medium",3,"High",4,"Very High","Unknown")</f>
        <v>High</v>
      </c>
      <c r="AM1364" t="str" cm="1">
        <f t="array" ref="AM1364">_xlfn.SWITCH(CleanEmployeeData[[#This Row],[JobSatisfaction]],1,"Low",2,"Medium",3,"High",4,"Very High","Unknown")</f>
        <v>High</v>
      </c>
      <c r="AN1364" t="str" cm="1">
        <f t="array" ref="AN1364">_xlfn.SWITCH(CleanEmployeeData[[#This Row],[PerformanceRating]],1,"Low",2,"Good",3,"Excellent",4,"Outstanding","Unknown")</f>
        <v>Excellent</v>
      </c>
      <c r="AO1364" t="str" cm="1">
        <f t="array" ref="AO1364">_xlfn.SWITCH(CleanEmployeeData[[#This Row],[WorkLifeBalance]],1,"Bad",2,"Good",3,"Better",4,"Best","Unknown")</f>
        <v>Better</v>
      </c>
      <c r="AP1364">
        <f>IF(CleanEmployeeData[[#This Row],[Attrition]]="Yes",1,IF(CleanEmployeeData[[#This Row],[Attrition]]="No",0,""))</f>
        <v>0</v>
      </c>
      <c r="AQ1364" t="str" cm="1">
        <f t="array" ref="AQ1364">_xlfn.IFS(CleanEmployeeData[[#This Row],[MonthlyIncome]]&lt;=3000,"0–3,000",CleanEmployeeData[[#This Row],[MonthlyIncome]]&lt;=6000,"3,001–6,000",CleanEmployeeData[[#This Row],[MonthlyIncome]]&lt;=10000,"6,001–10,000",TRUE,"10,001+")</f>
        <v>3,001–6,000</v>
      </c>
      <c r="AR1364" t="str" cm="1">
        <f t="array" ref="AR1364">_xlfn.IFS(CleanEmployeeData[[#This Row],[DistanceFromHome]]&lt;=5,"0–5 miles",CleanEmployeeData[[#This Row],[DistanceFromHome]]&lt;=10,"6–10 miles",CleanEmployeeData[[#This Row],[DistanceFromHome]]&lt;=15,"11–15 miles",TRUE,"16+ miles")</f>
        <v>0–5 miles</v>
      </c>
      <c r="AS1364" t="str" cm="1">
        <f t="array" ref="AS1364">_xlfn.IFS(CleanEmployeeData[[#This Row],[YearsAtCompany]]&lt;=1,"0–1 years",CleanEmployeeData[[#This Row],[YearsAtCompany]]&lt;=5,"2–5 years",CleanEmployeeData[[#This Row],[YearsAtCompany]]&lt;=10,"6–10 years",TRUE,"11+ years")</f>
        <v>2–5 years</v>
      </c>
    </row>
    <row r="1365" spans="1:4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cm="1">
        <f t="array" ref="AJ1365">_xlfn.SWITCH(CleanEmployeeData[[#This Row],[Education]],1,"Below College",2,"College",3,"Bachelor",4,"Master",5,"Doctor","Unknown")</f>
        <v>Master</v>
      </c>
      <c r="AK1365" t="str" cm="1">
        <f t="array" ref="AK1365">_xlfn.SWITCH(CleanEmployeeData[[#This Row],[EnvironmentSatisfaction]],1,"Low",2,"Medium",3,"High",4,"Very High","Unknown")</f>
        <v>Medium</v>
      </c>
      <c r="AL1365" t="str" cm="1">
        <f t="array" ref="AL1365">_xlfn.SWITCH(CleanEmployeeData[[#This Row],[JobInvolvement]],1,"Low",2,"Medium",3,"High",4,"Very High","Unknown")</f>
        <v>High</v>
      </c>
      <c r="AM1365" t="str" cm="1">
        <f t="array" ref="AM1365">_xlfn.SWITCH(CleanEmployeeData[[#This Row],[JobSatisfaction]],1,"Low",2,"Medium",3,"High",4,"Very High","Unknown")</f>
        <v>High</v>
      </c>
      <c r="AN1365" t="str" cm="1">
        <f t="array" ref="AN1365">_xlfn.SWITCH(CleanEmployeeData[[#This Row],[PerformanceRating]],1,"Low",2,"Good",3,"Excellent",4,"Outstanding","Unknown")</f>
        <v>Excellent</v>
      </c>
      <c r="AO1365" t="str" cm="1">
        <f t="array" ref="AO1365">_xlfn.SWITCH(CleanEmployeeData[[#This Row],[WorkLifeBalance]],1,"Bad",2,"Good",3,"Better",4,"Best","Unknown")</f>
        <v>Good</v>
      </c>
      <c r="AP1365">
        <f>IF(CleanEmployeeData[[#This Row],[Attrition]]="Yes",1,IF(CleanEmployeeData[[#This Row],[Attrition]]="No",0,""))</f>
        <v>0</v>
      </c>
      <c r="AQ1365" t="str" cm="1">
        <f t="array" ref="AQ1365">_xlfn.IFS(CleanEmployeeData[[#This Row],[MonthlyIncome]]&lt;=3000,"0–3,000",CleanEmployeeData[[#This Row],[MonthlyIncome]]&lt;=6000,"3,001–6,000",CleanEmployeeData[[#This Row],[MonthlyIncome]]&lt;=10000,"6,001–10,000",TRUE,"10,001+")</f>
        <v>3,001–6,000</v>
      </c>
      <c r="AR1365" t="str" cm="1">
        <f t="array" ref="AR1365">_xlfn.IFS(CleanEmployeeData[[#This Row],[DistanceFromHome]]&lt;=5,"0–5 miles",CleanEmployeeData[[#This Row],[DistanceFromHome]]&lt;=10,"6–10 miles",CleanEmployeeData[[#This Row],[DistanceFromHome]]&lt;=15,"11–15 miles",TRUE,"16+ miles")</f>
        <v>6–10 miles</v>
      </c>
      <c r="AS1365" t="str" cm="1">
        <f t="array" ref="AS1365">_xlfn.IFS(CleanEmployeeData[[#This Row],[YearsAtCompany]]&lt;=1,"0–1 years",CleanEmployeeData[[#This Row],[YearsAtCompany]]&lt;=5,"2–5 years",CleanEmployeeData[[#This Row],[YearsAtCompany]]&lt;=10,"6–10 years",TRUE,"11+ years")</f>
        <v>6–10 years</v>
      </c>
    </row>
    <row r="1366" spans="1:4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cm="1">
        <f t="array" ref="AJ1366">_xlfn.SWITCH(CleanEmployeeData[[#This Row],[Education]],1,"Below College",2,"College",3,"Bachelor",4,"Master",5,"Doctor","Unknown")</f>
        <v>College</v>
      </c>
      <c r="AK1366" t="str" cm="1">
        <f t="array" ref="AK1366">_xlfn.SWITCH(CleanEmployeeData[[#This Row],[EnvironmentSatisfaction]],1,"Low",2,"Medium",3,"High",4,"Very High","Unknown")</f>
        <v>High</v>
      </c>
      <c r="AL1366" t="str" cm="1">
        <f t="array" ref="AL1366">_xlfn.SWITCH(CleanEmployeeData[[#This Row],[JobInvolvement]],1,"Low",2,"Medium",3,"High",4,"Very High","Unknown")</f>
        <v>Medium</v>
      </c>
      <c r="AM1366" t="str" cm="1">
        <f t="array" ref="AM1366">_xlfn.SWITCH(CleanEmployeeData[[#This Row],[JobSatisfaction]],1,"Low",2,"Medium",3,"High",4,"Very High","Unknown")</f>
        <v>Very High</v>
      </c>
      <c r="AN1366" t="str" cm="1">
        <f t="array" ref="AN1366">_xlfn.SWITCH(CleanEmployeeData[[#This Row],[PerformanceRating]],1,"Low",2,"Good",3,"Excellent",4,"Outstanding","Unknown")</f>
        <v>Excellent</v>
      </c>
      <c r="AO1366" t="str" cm="1">
        <f t="array" ref="AO1366">_xlfn.SWITCH(CleanEmployeeData[[#This Row],[WorkLifeBalance]],1,"Bad",2,"Good",3,"Better",4,"Best","Unknown")</f>
        <v>Better</v>
      </c>
      <c r="AP1366">
        <f>IF(CleanEmployeeData[[#This Row],[Attrition]]="Yes",1,IF(CleanEmployeeData[[#This Row],[Attrition]]="No",0,""))</f>
        <v>0</v>
      </c>
      <c r="AQ1366" t="str" cm="1">
        <f t="array" ref="AQ1366">_xlfn.IFS(CleanEmployeeData[[#This Row],[MonthlyIncome]]&lt;=3000,"0–3,000",CleanEmployeeData[[#This Row],[MonthlyIncome]]&lt;=6000,"3,001–6,000",CleanEmployeeData[[#This Row],[MonthlyIncome]]&lt;=10000,"6,001–10,000",TRUE,"10,001+")</f>
        <v>6,001–10,000</v>
      </c>
      <c r="AR1366" t="str" cm="1">
        <f t="array" ref="AR1366">_xlfn.IFS(CleanEmployeeData[[#This Row],[DistanceFromHome]]&lt;=5,"0–5 miles",CleanEmployeeData[[#This Row],[DistanceFromHome]]&lt;=10,"6–10 miles",CleanEmployeeData[[#This Row],[DistanceFromHome]]&lt;=15,"11–15 miles",TRUE,"16+ miles")</f>
        <v>0–5 miles</v>
      </c>
      <c r="AS1366" t="str" cm="1">
        <f t="array" ref="AS1366">_xlfn.IFS(CleanEmployeeData[[#This Row],[YearsAtCompany]]&lt;=1,"0–1 years",CleanEmployeeData[[#This Row],[YearsAtCompany]]&lt;=5,"2–5 years",CleanEmployeeData[[#This Row],[YearsAtCompany]]&lt;=10,"6–10 years",TRUE,"11+ years")</f>
        <v>6–10 years</v>
      </c>
    </row>
    <row r="1367" spans="1:4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cm="1">
        <f t="array" ref="AJ1367">_xlfn.SWITCH(CleanEmployeeData[[#This Row],[Education]],1,"Below College",2,"College",3,"Bachelor",4,"Master",5,"Doctor","Unknown")</f>
        <v>Bachelor</v>
      </c>
      <c r="AK1367" t="str" cm="1">
        <f t="array" ref="AK1367">_xlfn.SWITCH(CleanEmployeeData[[#This Row],[EnvironmentSatisfaction]],1,"Low",2,"Medium",3,"High",4,"Very High","Unknown")</f>
        <v>High</v>
      </c>
      <c r="AL1367" t="str" cm="1">
        <f t="array" ref="AL1367">_xlfn.SWITCH(CleanEmployeeData[[#This Row],[JobInvolvement]],1,"Low",2,"Medium",3,"High",4,"Very High","Unknown")</f>
        <v>Very High</v>
      </c>
      <c r="AM1367" t="str" cm="1">
        <f t="array" ref="AM1367">_xlfn.SWITCH(CleanEmployeeData[[#This Row],[JobSatisfaction]],1,"Low",2,"Medium",3,"High",4,"Very High","Unknown")</f>
        <v>Low</v>
      </c>
      <c r="AN1367" t="str" cm="1">
        <f t="array" ref="AN1367">_xlfn.SWITCH(CleanEmployeeData[[#This Row],[PerformanceRating]],1,"Low",2,"Good",3,"Excellent",4,"Outstanding","Unknown")</f>
        <v>Excellent</v>
      </c>
      <c r="AO1367" t="str" cm="1">
        <f t="array" ref="AO1367">_xlfn.SWITCH(CleanEmployeeData[[#This Row],[WorkLifeBalance]],1,"Bad",2,"Good",3,"Better",4,"Best","Unknown")</f>
        <v>Better</v>
      </c>
      <c r="AP1367">
        <f>IF(CleanEmployeeData[[#This Row],[Attrition]]="Yes",1,IF(CleanEmployeeData[[#This Row],[Attrition]]="No",0,""))</f>
        <v>1</v>
      </c>
      <c r="AQ1367" t="str" cm="1">
        <f t="array" ref="AQ1367">_xlfn.IFS(CleanEmployeeData[[#This Row],[MonthlyIncome]]&lt;=3000,"0–3,000",CleanEmployeeData[[#This Row],[MonthlyIncome]]&lt;=6000,"3,001–6,000",CleanEmployeeData[[#This Row],[MonthlyIncome]]&lt;=10000,"6,001–10,000",TRUE,"10,001+")</f>
        <v>0–3,000</v>
      </c>
      <c r="AR1367" t="str" cm="1">
        <f t="array" ref="AR1367">_xlfn.IFS(CleanEmployeeData[[#This Row],[DistanceFromHome]]&lt;=5,"0–5 miles",CleanEmployeeData[[#This Row],[DistanceFromHome]]&lt;=10,"6–10 miles",CleanEmployeeData[[#This Row],[DistanceFromHome]]&lt;=15,"11–15 miles",TRUE,"16+ miles")</f>
        <v>16+ miles</v>
      </c>
      <c r="AS1367" t="str" cm="1">
        <f t="array" ref="AS1367">_xlfn.IFS(CleanEmployeeData[[#This Row],[YearsAtCompany]]&lt;=1,"0–1 years",CleanEmployeeData[[#This Row],[YearsAtCompany]]&lt;=5,"2–5 years",CleanEmployeeData[[#This Row],[YearsAtCompany]]&lt;=10,"6–10 years",TRUE,"11+ years")</f>
        <v>0–1 years</v>
      </c>
    </row>
    <row r="1368" spans="1:4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cm="1">
        <f t="array" ref="AJ1368">_xlfn.SWITCH(CleanEmployeeData[[#This Row],[Education]],1,"Below College",2,"College",3,"Bachelor",4,"Master",5,"Doctor","Unknown")</f>
        <v>Master</v>
      </c>
      <c r="AK1368" t="str" cm="1">
        <f t="array" ref="AK1368">_xlfn.SWITCH(CleanEmployeeData[[#This Row],[EnvironmentSatisfaction]],1,"Low",2,"Medium",3,"High",4,"Very High","Unknown")</f>
        <v>Low</v>
      </c>
      <c r="AL1368" t="str" cm="1">
        <f t="array" ref="AL1368">_xlfn.SWITCH(CleanEmployeeData[[#This Row],[JobInvolvement]],1,"Low",2,"Medium",3,"High",4,"Very High","Unknown")</f>
        <v>Low</v>
      </c>
      <c r="AM1368" t="str" cm="1">
        <f t="array" ref="AM1368">_xlfn.SWITCH(CleanEmployeeData[[#This Row],[JobSatisfaction]],1,"Low",2,"Medium",3,"High",4,"Very High","Unknown")</f>
        <v>High</v>
      </c>
      <c r="AN1368" t="str" cm="1">
        <f t="array" ref="AN1368">_xlfn.SWITCH(CleanEmployeeData[[#This Row],[PerformanceRating]],1,"Low",2,"Good",3,"Excellent",4,"Outstanding","Unknown")</f>
        <v>Excellent</v>
      </c>
      <c r="AO1368" t="str" cm="1">
        <f t="array" ref="AO1368">_xlfn.SWITCH(CleanEmployeeData[[#This Row],[WorkLifeBalance]],1,"Bad",2,"Good",3,"Better",4,"Best","Unknown")</f>
        <v>Better</v>
      </c>
      <c r="AP1368">
        <f>IF(CleanEmployeeData[[#This Row],[Attrition]]="Yes",1,IF(CleanEmployeeData[[#This Row],[Attrition]]="No",0,""))</f>
        <v>0</v>
      </c>
      <c r="AQ1368" t="str" cm="1">
        <f t="array" ref="AQ1368">_xlfn.IFS(CleanEmployeeData[[#This Row],[MonthlyIncome]]&lt;=3000,"0–3,000",CleanEmployeeData[[#This Row],[MonthlyIncome]]&lt;=6000,"3,001–6,000",CleanEmployeeData[[#This Row],[MonthlyIncome]]&lt;=10000,"6,001–10,000",TRUE,"10,001+")</f>
        <v>3,001–6,000</v>
      </c>
      <c r="AR1368" t="str" cm="1">
        <f t="array" ref="AR1368">_xlfn.IFS(CleanEmployeeData[[#This Row],[DistanceFromHome]]&lt;=5,"0–5 miles",CleanEmployeeData[[#This Row],[DistanceFromHome]]&lt;=10,"6–10 miles",CleanEmployeeData[[#This Row],[DistanceFromHome]]&lt;=15,"11–15 miles",TRUE,"16+ miles")</f>
        <v>16+ miles</v>
      </c>
      <c r="AS1368" t="str" cm="1">
        <f t="array" ref="AS1368">_xlfn.IFS(CleanEmployeeData[[#This Row],[YearsAtCompany]]&lt;=1,"0–1 years",CleanEmployeeData[[#This Row],[YearsAtCompany]]&lt;=5,"2–5 years",CleanEmployeeData[[#This Row],[YearsAtCompany]]&lt;=10,"6–10 years",TRUE,"11+ years")</f>
        <v>2–5 years</v>
      </c>
    </row>
    <row r="1369" spans="1:4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cm="1">
        <f t="array" ref="AJ1369">_xlfn.SWITCH(CleanEmployeeData[[#This Row],[Education]],1,"Below College",2,"College",3,"Bachelor",4,"Master",5,"Doctor","Unknown")</f>
        <v>Master</v>
      </c>
      <c r="AK1369" t="str" cm="1">
        <f t="array" ref="AK1369">_xlfn.SWITCH(CleanEmployeeData[[#This Row],[EnvironmentSatisfaction]],1,"Low",2,"Medium",3,"High",4,"Very High","Unknown")</f>
        <v>Medium</v>
      </c>
      <c r="AL1369" t="str" cm="1">
        <f t="array" ref="AL1369">_xlfn.SWITCH(CleanEmployeeData[[#This Row],[JobInvolvement]],1,"Low",2,"Medium",3,"High",4,"Very High","Unknown")</f>
        <v>High</v>
      </c>
      <c r="AM1369" t="str" cm="1">
        <f t="array" ref="AM1369">_xlfn.SWITCH(CleanEmployeeData[[#This Row],[JobSatisfaction]],1,"Low",2,"Medium",3,"High",4,"Very High","Unknown")</f>
        <v>Medium</v>
      </c>
      <c r="AN1369" t="str" cm="1">
        <f t="array" ref="AN1369">_xlfn.SWITCH(CleanEmployeeData[[#This Row],[PerformanceRating]],1,"Low",2,"Good",3,"Excellent",4,"Outstanding","Unknown")</f>
        <v>Excellent</v>
      </c>
      <c r="AO1369" t="str" cm="1">
        <f t="array" ref="AO1369">_xlfn.SWITCH(CleanEmployeeData[[#This Row],[WorkLifeBalance]],1,"Bad",2,"Good",3,"Better",4,"Best","Unknown")</f>
        <v>Good</v>
      </c>
      <c r="AP1369">
        <f>IF(CleanEmployeeData[[#This Row],[Attrition]]="Yes",1,IF(CleanEmployeeData[[#This Row],[Attrition]]="No",0,""))</f>
        <v>0</v>
      </c>
      <c r="AQ1369" t="str" cm="1">
        <f t="array" ref="AQ1369">_xlfn.IFS(CleanEmployeeData[[#This Row],[MonthlyIncome]]&lt;=3000,"0–3,000",CleanEmployeeData[[#This Row],[MonthlyIncome]]&lt;=6000,"3,001–6,000",CleanEmployeeData[[#This Row],[MonthlyIncome]]&lt;=10000,"6,001–10,000",TRUE,"10,001+")</f>
        <v>0–3,000</v>
      </c>
      <c r="AR1369" t="str" cm="1">
        <f t="array" ref="AR1369">_xlfn.IFS(CleanEmployeeData[[#This Row],[DistanceFromHome]]&lt;=5,"0–5 miles",CleanEmployeeData[[#This Row],[DistanceFromHome]]&lt;=10,"6–10 miles",CleanEmployeeData[[#This Row],[DistanceFromHome]]&lt;=15,"11–15 miles",TRUE,"16+ miles")</f>
        <v>0–5 miles</v>
      </c>
      <c r="AS1369" t="str" cm="1">
        <f t="array" ref="AS1369">_xlfn.IFS(CleanEmployeeData[[#This Row],[YearsAtCompany]]&lt;=1,"0–1 years",CleanEmployeeData[[#This Row],[YearsAtCompany]]&lt;=5,"2–5 years",CleanEmployeeData[[#This Row],[YearsAtCompany]]&lt;=10,"6–10 years",TRUE,"11+ years")</f>
        <v>2–5 years</v>
      </c>
    </row>
    <row r="1370" spans="1:4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cm="1">
        <f t="array" ref="AJ1370">_xlfn.SWITCH(CleanEmployeeData[[#This Row],[Education]],1,"Below College",2,"College",3,"Bachelor",4,"Master",5,"Doctor","Unknown")</f>
        <v>Master</v>
      </c>
      <c r="AK1370" t="str" cm="1">
        <f t="array" ref="AK1370">_xlfn.SWITCH(CleanEmployeeData[[#This Row],[EnvironmentSatisfaction]],1,"Low",2,"Medium",3,"High",4,"Very High","Unknown")</f>
        <v>High</v>
      </c>
      <c r="AL1370" t="str" cm="1">
        <f t="array" ref="AL1370">_xlfn.SWITCH(CleanEmployeeData[[#This Row],[JobInvolvement]],1,"Low",2,"Medium",3,"High",4,"Very High","Unknown")</f>
        <v>Medium</v>
      </c>
      <c r="AM1370" t="str" cm="1">
        <f t="array" ref="AM1370">_xlfn.SWITCH(CleanEmployeeData[[#This Row],[JobSatisfaction]],1,"Low",2,"Medium",3,"High",4,"Very High","Unknown")</f>
        <v>Very High</v>
      </c>
      <c r="AN1370" t="str" cm="1">
        <f t="array" ref="AN1370">_xlfn.SWITCH(CleanEmployeeData[[#This Row],[PerformanceRating]],1,"Low",2,"Good",3,"Excellent",4,"Outstanding","Unknown")</f>
        <v>Excellent</v>
      </c>
      <c r="AO1370" t="str" cm="1">
        <f t="array" ref="AO1370">_xlfn.SWITCH(CleanEmployeeData[[#This Row],[WorkLifeBalance]],1,"Bad",2,"Good",3,"Better",4,"Best","Unknown")</f>
        <v>Better</v>
      </c>
      <c r="AP1370">
        <f>IF(CleanEmployeeData[[#This Row],[Attrition]]="Yes",1,IF(CleanEmployeeData[[#This Row],[Attrition]]="No",0,""))</f>
        <v>0</v>
      </c>
      <c r="AQ1370" t="str" cm="1">
        <f t="array" ref="AQ1370">_xlfn.IFS(CleanEmployeeData[[#This Row],[MonthlyIncome]]&lt;=3000,"0–3,000",CleanEmployeeData[[#This Row],[MonthlyIncome]]&lt;=6000,"3,001–6,000",CleanEmployeeData[[#This Row],[MonthlyIncome]]&lt;=10000,"6,001–10,000",TRUE,"10,001+")</f>
        <v>3,001–6,000</v>
      </c>
      <c r="AR1370" t="str" cm="1">
        <f t="array" ref="AR1370">_xlfn.IFS(CleanEmployeeData[[#This Row],[DistanceFromHome]]&lt;=5,"0–5 miles",CleanEmployeeData[[#This Row],[DistanceFromHome]]&lt;=10,"6–10 miles",CleanEmployeeData[[#This Row],[DistanceFromHome]]&lt;=15,"11–15 miles",TRUE,"16+ miles")</f>
        <v>16+ miles</v>
      </c>
      <c r="AS1370" t="str" cm="1">
        <f t="array" ref="AS1370">_xlfn.IFS(CleanEmployeeData[[#This Row],[YearsAtCompany]]&lt;=1,"0–1 years",CleanEmployeeData[[#This Row],[YearsAtCompany]]&lt;=5,"2–5 years",CleanEmployeeData[[#This Row],[YearsAtCompany]]&lt;=10,"6–10 years",TRUE,"11+ years")</f>
        <v>11+ years</v>
      </c>
    </row>
    <row r="1371" spans="1:4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cm="1">
        <f t="array" ref="AJ1371">_xlfn.SWITCH(CleanEmployeeData[[#This Row],[Education]],1,"Below College",2,"College",3,"Bachelor",4,"Master",5,"Doctor","Unknown")</f>
        <v>College</v>
      </c>
      <c r="AK1371" t="str" cm="1">
        <f t="array" ref="AK1371">_xlfn.SWITCH(CleanEmployeeData[[#This Row],[EnvironmentSatisfaction]],1,"Low",2,"Medium",3,"High",4,"Very High","Unknown")</f>
        <v>Very High</v>
      </c>
      <c r="AL1371" t="str" cm="1">
        <f t="array" ref="AL1371">_xlfn.SWITCH(CleanEmployeeData[[#This Row],[JobInvolvement]],1,"Low",2,"Medium",3,"High",4,"Very High","Unknown")</f>
        <v>High</v>
      </c>
      <c r="AM1371" t="str" cm="1">
        <f t="array" ref="AM1371">_xlfn.SWITCH(CleanEmployeeData[[#This Row],[JobSatisfaction]],1,"Low",2,"Medium",3,"High",4,"Very High","Unknown")</f>
        <v>High</v>
      </c>
      <c r="AN1371" t="str" cm="1">
        <f t="array" ref="AN1371">_xlfn.SWITCH(CleanEmployeeData[[#This Row],[PerformanceRating]],1,"Low",2,"Good",3,"Excellent",4,"Outstanding","Unknown")</f>
        <v>Excellent</v>
      </c>
      <c r="AO1371" t="str" cm="1">
        <f t="array" ref="AO1371">_xlfn.SWITCH(CleanEmployeeData[[#This Row],[WorkLifeBalance]],1,"Bad",2,"Good",3,"Better",4,"Best","Unknown")</f>
        <v>Better</v>
      </c>
      <c r="AP1371">
        <f>IF(CleanEmployeeData[[#This Row],[Attrition]]="Yes",1,IF(CleanEmployeeData[[#This Row],[Attrition]]="No",0,""))</f>
        <v>1</v>
      </c>
      <c r="AQ1371" t="str" cm="1">
        <f t="array" ref="AQ1371">_xlfn.IFS(CleanEmployeeData[[#This Row],[MonthlyIncome]]&lt;=3000,"0–3,000",CleanEmployeeData[[#This Row],[MonthlyIncome]]&lt;=6000,"3,001–6,000",CleanEmployeeData[[#This Row],[MonthlyIncome]]&lt;=10000,"6,001–10,000",TRUE,"10,001+")</f>
        <v>6,001–10,000</v>
      </c>
      <c r="AR1371" t="str" cm="1">
        <f t="array" ref="AR1371">_xlfn.IFS(CleanEmployeeData[[#This Row],[DistanceFromHome]]&lt;=5,"0–5 miles",CleanEmployeeData[[#This Row],[DistanceFromHome]]&lt;=10,"6–10 miles",CleanEmployeeData[[#This Row],[DistanceFromHome]]&lt;=15,"11–15 miles",TRUE,"16+ miles")</f>
        <v>11–15 miles</v>
      </c>
      <c r="AS1371" t="str" cm="1">
        <f t="array" ref="AS1371">_xlfn.IFS(CleanEmployeeData[[#This Row],[YearsAtCompany]]&lt;=1,"0–1 years",CleanEmployeeData[[#This Row],[YearsAtCompany]]&lt;=5,"2–5 years",CleanEmployeeData[[#This Row],[YearsAtCompany]]&lt;=10,"6–10 years",TRUE,"11+ years")</f>
        <v>2–5 years</v>
      </c>
    </row>
    <row r="1372" spans="1:4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cm="1">
        <f t="array" ref="AJ1372">_xlfn.SWITCH(CleanEmployeeData[[#This Row],[Education]],1,"Below College",2,"College",3,"Bachelor",4,"Master",5,"Doctor","Unknown")</f>
        <v>Master</v>
      </c>
      <c r="AK1372" t="str" cm="1">
        <f t="array" ref="AK1372">_xlfn.SWITCH(CleanEmployeeData[[#This Row],[EnvironmentSatisfaction]],1,"Low",2,"Medium",3,"High",4,"Very High","Unknown")</f>
        <v>High</v>
      </c>
      <c r="AL1372" t="str" cm="1">
        <f t="array" ref="AL1372">_xlfn.SWITCH(CleanEmployeeData[[#This Row],[JobInvolvement]],1,"Low",2,"Medium",3,"High",4,"Very High","Unknown")</f>
        <v>High</v>
      </c>
      <c r="AM1372" t="str" cm="1">
        <f t="array" ref="AM1372">_xlfn.SWITCH(CleanEmployeeData[[#This Row],[JobSatisfaction]],1,"Low",2,"Medium",3,"High",4,"Very High","Unknown")</f>
        <v>Medium</v>
      </c>
      <c r="AN1372" t="str" cm="1">
        <f t="array" ref="AN1372">_xlfn.SWITCH(CleanEmployeeData[[#This Row],[PerformanceRating]],1,"Low",2,"Good",3,"Excellent",4,"Outstanding","Unknown")</f>
        <v>Excellent</v>
      </c>
      <c r="AO1372" t="str" cm="1">
        <f t="array" ref="AO1372">_xlfn.SWITCH(CleanEmployeeData[[#This Row],[WorkLifeBalance]],1,"Bad",2,"Good",3,"Better",4,"Best","Unknown")</f>
        <v>Best</v>
      </c>
      <c r="AP1372">
        <f>IF(CleanEmployeeData[[#This Row],[Attrition]]="Yes",1,IF(CleanEmployeeData[[#This Row],[Attrition]]="No",0,""))</f>
        <v>0</v>
      </c>
      <c r="AQ1372" t="str" cm="1">
        <f t="array" ref="AQ1372">_xlfn.IFS(CleanEmployeeData[[#This Row],[MonthlyIncome]]&lt;=3000,"0–3,000",CleanEmployeeData[[#This Row],[MonthlyIncome]]&lt;=6000,"3,001–6,000",CleanEmployeeData[[#This Row],[MonthlyIncome]]&lt;=10000,"6,001–10,000",TRUE,"10,001+")</f>
        <v>3,001–6,000</v>
      </c>
      <c r="AR1372" t="str" cm="1">
        <f t="array" ref="AR1372">_xlfn.IFS(CleanEmployeeData[[#This Row],[DistanceFromHome]]&lt;=5,"0–5 miles",CleanEmployeeData[[#This Row],[DistanceFromHome]]&lt;=10,"6–10 miles",CleanEmployeeData[[#This Row],[DistanceFromHome]]&lt;=15,"11–15 miles",TRUE,"16+ miles")</f>
        <v>11–15 miles</v>
      </c>
      <c r="AS1372" t="str" cm="1">
        <f t="array" ref="AS1372">_xlfn.IFS(CleanEmployeeData[[#This Row],[YearsAtCompany]]&lt;=1,"0–1 years",CleanEmployeeData[[#This Row],[YearsAtCompany]]&lt;=5,"2–5 years",CleanEmployeeData[[#This Row],[YearsAtCompany]]&lt;=10,"6–10 years",TRUE,"11+ years")</f>
        <v>6–10 years</v>
      </c>
    </row>
    <row r="1373" spans="1:4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cm="1">
        <f t="array" ref="AJ1373">_xlfn.SWITCH(CleanEmployeeData[[#This Row],[Education]],1,"Below College",2,"College",3,"Bachelor",4,"Master",5,"Doctor","Unknown")</f>
        <v>Doctor</v>
      </c>
      <c r="AK1373" t="str" cm="1">
        <f t="array" ref="AK1373">_xlfn.SWITCH(CleanEmployeeData[[#This Row],[EnvironmentSatisfaction]],1,"Low",2,"Medium",3,"High",4,"Very High","Unknown")</f>
        <v>Very High</v>
      </c>
      <c r="AL1373" t="str" cm="1">
        <f t="array" ref="AL1373">_xlfn.SWITCH(CleanEmployeeData[[#This Row],[JobInvolvement]],1,"Low",2,"Medium",3,"High",4,"Very High","Unknown")</f>
        <v>Medium</v>
      </c>
      <c r="AM1373" t="str" cm="1">
        <f t="array" ref="AM1373">_xlfn.SWITCH(CleanEmployeeData[[#This Row],[JobSatisfaction]],1,"Low",2,"Medium",3,"High",4,"Very High","Unknown")</f>
        <v>Low</v>
      </c>
      <c r="AN1373" t="str" cm="1">
        <f t="array" ref="AN1373">_xlfn.SWITCH(CleanEmployeeData[[#This Row],[PerformanceRating]],1,"Low",2,"Good",3,"Excellent",4,"Outstanding","Unknown")</f>
        <v>Excellent</v>
      </c>
      <c r="AO1373" t="str" cm="1">
        <f t="array" ref="AO1373">_xlfn.SWITCH(CleanEmployeeData[[#This Row],[WorkLifeBalance]],1,"Bad",2,"Good",3,"Better",4,"Best","Unknown")</f>
        <v>Better</v>
      </c>
      <c r="AP1373">
        <f>IF(CleanEmployeeData[[#This Row],[Attrition]]="Yes",1,IF(CleanEmployeeData[[#This Row],[Attrition]]="No",0,""))</f>
        <v>0</v>
      </c>
      <c r="AQ1373" t="str" cm="1">
        <f t="array" ref="AQ1373">_xlfn.IFS(CleanEmployeeData[[#This Row],[MonthlyIncome]]&lt;=3000,"0–3,000",CleanEmployeeData[[#This Row],[MonthlyIncome]]&lt;=6000,"3,001–6,000",CleanEmployeeData[[#This Row],[MonthlyIncome]]&lt;=10000,"6,001–10,000",TRUE,"10,001+")</f>
        <v>3,001–6,000</v>
      </c>
      <c r="AR1373" t="str" cm="1">
        <f t="array" ref="AR1373">_xlfn.IFS(CleanEmployeeData[[#This Row],[DistanceFromHome]]&lt;=5,"0–5 miles",CleanEmployeeData[[#This Row],[DistanceFromHome]]&lt;=10,"6–10 miles",CleanEmployeeData[[#This Row],[DistanceFromHome]]&lt;=15,"11–15 miles",TRUE,"16+ miles")</f>
        <v>11–15 miles</v>
      </c>
      <c r="AS1373" t="str" cm="1">
        <f t="array" ref="AS1373">_xlfn.IFS(CleanEmployeeData[[#This Row],[YearsAtCompany]]&lt;=1,"0–1 years",CleanEmployeeData[[#This Row],[YearsAtCompany]]&lt;=5,"2–5 years",CleanEmployeeData[[#This Row],[YearsAtCompany]]&lt;=10,"6–10 years",TRUE,"11+ years")</f>
        <v>0–1 years</v>
      </c>
    </row>
    <row r="1374" spans="1:4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cm="1">
        <f t="array" ref="AJ1374">_xlfn.SWITCH(CleanEmployeeData[[#This Row],[Education]],1,"Below College",2,"College",3,"Bachelor",4,"Master",5,"Doctor","Unknown")</f>
        <v>College</v>
      </c>
      <c r="AK1374" t="str" cm="1">
        <f t="array" ref="AK1374">_xlfn.SWITCH(CleanEmployeeData[[#This Row],[EnvironmentSatisfaction]],1,"Low",2,"Medium",3,"High",4,"Very High","Unknown")</f>
        <v>Low</v>
      </c>
      <c r="AL1374" t="str" cm="1">
        <f t="array" ref="AL1374">_xlfn.SWITCH(CleanEmployeeData[[#This Row],[JobInvolvement]],1,"Low",2,"Medium",3,"High",4,"Very High","Unknown")</f>
        <v>High</v>
      </c>
      <c r="AM1374" t="str" cm="1">
        <f t="array" ref="AM1374">_xlfn.SWITCH(CleanEmployeeData[[#This Row],[JobSatisfaction]],1,"Low",2,"Medium",3,"High",4,"Very High","Unknown")</f>
        <v>Low</v>
      </c>
      <c r="AN1374" t="str" cm="1">
        <f t="array" ref="AN1374">_xlfn.SWITCH(CleanEmployeeData[[#This Row],[PerformanceRating]],1,"Low",2,"Good",3,"Excellent",4,"Outstanding","Unknown")</f>
        <v>Outstanding</v>
      </c>
      <c r="AO1374" t="str" cm="1">
        <f t="array" ref="AO1374">_xlfn.SWITCH(CleanEmployeeData[[#This Row],[WorkLifeBalance]],1,"Bad",2,"Good",3,"Better",4,"Best","Unknown")</f>
        <v>Better</v>
      </c>
      <c r="AP1374">
        <f>IF(CleanEmployeeData[[#This Row],[Attrition]]="Yes",1,IF(CleanEmployeeData[[#This Row],[Attrition]]="No",0,""))</f>
        <v>0</v>
      </c>
      <c r="AQ1374" t="str" cm="1">
        <f t="array" ref="AQ1374">_xlfn.IFS(CleanEmployeeData[[#This Row],[MonthlyIncome]]&lt;=3000,"0–3,000",CleanEmployeeData[[#This Row],[MonthlyIncome]]&lt;=6000,"3,001–6,000",CleanEmployeeData[[#This Row],[MonthlyIncome]]&lt;=10000,"6,001–10,000",TRUE,"10,001+")</f>
        <v>3,001–6,000</v>
      </c>
      <c r="AR1374" t="str" cm="1">
        <f t="array" ref="AR1374">_xlfn.IFS(CleanEmployeeData[[#This Row],[DistanceFromHome]]&lt;=5,"0–5 miles",CleanEmployeeData[[#This Row],[DistanceFromHome]]&lt;=10,"6–10 miles",CleanEmployeeData[[#This Row],[DistanceFromHome]]&lt;=15,"11–15 miles",TRUE,"16+ miles")</f>
        <v>6–10 miles</v>
      </c>
      <c r="AS1374" t="str" cm="1">
        <f t="array" ref="AS1374">_xlfn.IFS(CleanEmployeeData[[#This Row],[YearsAtCompany]]&lt;=1,"0–1 years",CleanEmployeeData[[#This Row],[YearsAtCompany]]&lt;=5,"2–5 years",CleanEmployeeData[[#This Row],[YearsAtCompany]]&lt;=10,"6–10 years",TRUE,"11+ years")</f>
        <v>6–10 years</v>
      </c>
    </row>
    <row r="1375" spans="1:4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cm="1">
        <f t="array" ref="AJ1375">_xlfn.SWITCH(CleanEmployeeData[[#This Row],[Education]],1,"Below College",2,"College",3,"Bachelor",4,"Master",5,"Doctor","Unknown")</f>
        <v>Bachelor</v>
      </c>
      <c r="AK1375" t="str" cm="1">
        <f t="array" ref="AK1375">_xlfn.SWITCH(CleanEmployeeData[[#This Row],[EnvironmentSatisfaction]],1,"Low",2,"Medium",3,"High",4,"Very High","Unknown")</f>
        <v>Very High</v>
      </c>
      <c r="AL1375" t="str" cm="1">
        <f t="array" ref="AL1375">_xlfn.SWITCH(CleanEmployeeData[[#This Row],[JobInvolvement]],1,"Low",2,"Medium",3,"High",4,"Very High","Unknown")</f>
        <v>Medium</v>
      </c>
      <c r="AM1375" t="str" cm="1">
        <f t="array" ref="AM1375">_xlfn.SWITCH(CleanEmployeeData[[#This Row],[JobSatisfaction]],1,"Low",2,"Medium",3,"High",4,"Very High","Unknown")</f>
        <v>Medium</v>
      </c>
      <c r="AN1375" t="str" cm="1">
        <f t="array" ref="AN1375">_xlfn.SWITCH(CleanEmployeeData[[#This Row],[PerformanceRating]],1,"Low",2,"Good",3,"Excellent",4,"Outstanding","Unknown")</f>
        <v>Excellent</v>
      </c>
      <c r="AO1375" t="str" cm="1">
        <f t="array" ref="AO1375">_xlfn.SWITCH(CleanEmployeeData[[#This Row],[WorkLifeBalance]],1,"Bad",2,"Good",3,"Better",4,"Best","Unknown")</f>
        <v>Better</v>
      </c>
      <c r="AP1375">
        <f>IF(CleanEmployeeData[[#This Row],[Attrition]]="Yes",1,IF(CleanEmployeeData[[#This Row],[Attrition]]="No",0,""))</f>
        <v>0</v>
      </c>
      <c r="AQ1375" t="str" cm="1">
        <f t="array" ref="AQ1375">_xlfn.IFS(CleanEmployeeData[[#This Row],[MonthlyIncome]]&lt;=3000,"0–3,000",CleanEmployeeData[[#This Row],[MonthlyIncome]]&lt;=6000,"3,001–6,000",CleanEmployeeData[[#This Row],[MonthlyIncome]]&lt;=10000,"6,001–10,000",TRUE,"10,001+")</f>
        <v>0–3,000</v>
      </c>
      <c r="AR1375" t="str" cm="1">
        <f t="array" ref="AR1375">_xlfn.IFS(CleanEmployeeData[[#This Row],[DistanceFromHome]]&lt;=5,"0–5 miles",CleanEmployeeData[[#This Row],[DistanceFromHome]]&lt;=10,"6–10 miles",CleanEmployeeData[[#This Row],[DistanceFromHome]]&lt;=15,"11–15 miles",TRUE,"16+ miles")</f>
        <v>6–10 miles</v>
      </c>
      <c r="AS1375" t="str" cm="1">
        <f t="array" ref="AS1375">_xlfn.IFS(CleanEmployeeData[[#This Row],[YearsAtCompany]]&lt;=1,"0–1 years",CleanEmployeeData[[#This Row],[YearsAtCompany]]&lt;=5,"2–5 years",CleanEmployeeData[[#This Row],[YearsAtCompany]]&lt;=10,"6–10 years",TRUE,"11+ years")</f>
        <v>11+ years</v>
      </c>
    </row>
    <row r="1376" spans="1:4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cm="1">
        <f t="array" ref="AJ1376">_xlfn.SWITCH(CleanEmployeeData[[#This Row],[Education]],1,"Below College",2,"College",3,"Bachelor",4,"Master",5,"Doctor","Unknown")</f>
        <v>Bachelor</v>
      </c>
      <c r="AK1376" t="str" cm="1">
        <f t="array" ref="AK1376">_xlfn.SWITCH(CleanEmployeeData[[#This Row],[EnvironmentSatisfaction]],1,"Low",2,"Medium",3,"High",4,"Very High","Unknown")</f>
        <v>Very High</v>
      </c>
      <c r="AL1376" t="str" cm="1">
        <f t="array" ref="AL1376">_xlfn.SWITCH(CleanEmployeeData[[#This Row],[JobInvolvement]],1,"Low",2,"Medium",3,"High",4,"Very High","Unknown")</f>
        <v>High</v>
      </c>
      <c r="AM1376" t="str" cm="1">
        <f t="array" ref="AM1376">_xlfn.SWITCH(CleanEmployeeData[[#This Row],[JobSatisfaction]],1,"Low",2,"Medium",3,"High",4,"Very High","Unknown")</f>
        <v>Very High</v>
      </c>
      <c r="AN1376" t="str" cm="1">
        <f t="array" ref="AN1376">_xlfn.SWITCH(CleanEmployeeData[[#This Row],[PerformanceRating]],1,"Low",2,"Good",3,"Excellent",4,"Outstanding","Unknown")</f>
        <v>Excellent</v>
      </c>
      <c r="AO1376" t="str" cm="1">
        <f t="array" ref="AO1376">_xlfn.SWITCH(CleanEmployeeData[[#This Row],[WorkLifeBalance]],1,"Bad",2,"Good",3,"Better",4,"Best","Unknown")</f>
        <v>Good</v>
      </c>
      <c r="AP1376">
        <f>IF(CleanEmployeeData[[#This Row],[Attrition]]="Yes",1,IF(CleanEmployeeData[[#This Row],[Attrition]]="No",0,""))</f>
        <v>0</v>
      </c>
      <c r="AQ1376" t="str" cm="1">
        <f t="array" ref="AQ1376">_xlfn.IFS(CleanEmployeeData[[#This Row],[MonthlyIncome]]&lt;=3000,"0–3,000",CleanEmployeeData[[#This Row],[MonthlyIncome]]&lt;=6000,"3,001–6,000",CleanEmployeeData[[#This Row],[MonthlyIncome]]&lt;=10000,"6,001–10,000",TRUE,"10,001+")</f>
        <v>10,001+</v>
      </c>
      <c r="AR1376" t="str" cm="1">
        <f t="array" ref="AR1376">_xlfn.IFS(CleanEmployeeData[[#This Row],[DistanceFromHome]]&lt;=5,"0–5 miles",CleanEmployeeData[[#This Row],[DistanceFromHome]]&lt;=10,"6–10 miles",CleanEmployeeData[[#This Row],[DistanceFromHome]]&lt;=15,"11–15 miles",TRUE,"16+ miles")</f>
        <v>16+ miles</v>
      </c>
      <c r="AS1376" t="str" cm="1">
        <f t="array" ref="AS1376">_xlfn.IFS(CleanEmployeeData[[#This Row],[YearsAtCompany]]&lt;=1,"0–1 years",CleanEmployeeData[[#This Row],[YearsAtCompany]]&lt;=5,"2–5 years",CleanEmployeeData[[#This Row],[YearsAtCompany]]&lt;=10,"6–10 years",TRUE,"11+ years")</f>
        <v>0–1 years</v>
      </c>
    </row>
    <row r="1377" spans="1:4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cm="1">
        <f t="array" ref="AJ1377">_xlfn.SWITCH(CleanEmployeeData[[#This Row],[Education]],1,"Below College",2,"College",3,"Bachelor",4,"Master",5,"Doctor","Unknown")</f>
        <v>College</v>
      </c>
      <c r="AK1377" t="str" cm="1">
        <f t="array" ref="AK1377">_xlfn.SWITCH(CleanEmployeeData[[#This Row],[EnvironmentSatisfaction]],1,"Low",2,"Medium",3,"High",4,"Very High","Unknown")</f>
        <v>Low</v>
      </c>
      <c r="AL1377" t="str" cm="1">
        <f t="array" ref="AL1377">_xlfn.SWITCH(CleanEmployeeData[[#This Row],[JobInvolvement]],1,"Low",2,"Medium",3,"High",4,"Very High","Unknown")</f>
        <v>Very High</v>
      </c>
      <c r="AM1377" t="str" cm="1">
        <f t="array" ref="AM1377">_xlfn.SWITCH(CleanEmployeeData[[#This Row],[JobSatisfaction]],1,"Low",2,"Medium",3,"High",4,"Very High","Unknown")</f>
        <v>High</v>
      </c>
      <c r="AN1377" t="str" cm="1">
        <f t="array" ref="AN1377">_xlfn.SWITCH(CleanEmployeeData[[#This Row],[PerformanceRating]],1,"Low",2,"Good",3,"Excellent",4,"Outstanding","Unknown")</f>
        <v>Excellent</v>
      </c>
      <c r="AO1377" t="str" cm="1">
        <f t="array" ref="AO1377">_xlfn.SWITCH(CleanEmployeeData[[#This Row],[WorkLifeBalance]],1,"Bad",2,"Good",3,"Better",4,"Best","Unknown")</f>
        <v>Better</v>
      </c>
      <c r="AP1377">
        <f>IF(CleanEmployeeData[[#This Row],[Attrition]]="Yes",1,IF(CleanEmployeeData[[#This Row],[Attrition]]="No",0,""))</f>
        <v>1</v>
      </c>
      <c r="AQ1377" t="str" cm="1">
        <f t="array" ref="AQ1377">_xlfn.IFS(CleanEmployeeData[[#This Row],[MonthlyIncome]]&lt;=3000,"0–3,000",CleanEmployeeData[[#This Row],[MonthlyIncome]]&lt;=6000,"3,001–6,000",CleanEmployeeData[[#This Row],[MonthlyIncome]]&lt;=10000,"6,001–10,000",TRUE,"10,001+")</f>
        <v>0–3,000</v>
      </c>
      <c r="AR1377" t="str" cm="1">
        <f t="array" ref="AR1377">_xlfn.IFS(CleanEmployeeData[[#This Row],[DistanceFromHome]]&lt;=5,"0–5 miles",CleanEmployeeData[[#This Row],[DistanceFromHome]]&lt;=10,"6–10 miles",CleanEmployeeData[[#This Row],[DistanceFromHome]]&lt;=15,"11–15 miles",TRUE,"16+ miles")</f>
        <v>0–5 miles</v>
      </c>
      <c r="AS1377" t="str" cm="1">
        <f t="array" ref="AS1377">_xlfn.IFS(CleanEmployeeData[[#This Row],[YearsAtCompany]]&lt;=1,"0–1 years",CleanEmployeeData[[#This Row],[YearsAtCompany]]&lt;=5,"2–5 years",CleanEmployeeData[[#This Row],[YearsAtCompany]]&lt;=10,"6–10 years",TRUE,"11+ years")</f>
        <v>2–5 years</v>
      </c>
    </row>
    <row r="1378" spans="1:4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cm="1">
        <f t="array" ref="AJ1378">_xlfn.SWITCH(CleanEmployeeData[[#This Row],[Education]],1,"Below College",2,"College",3,"Bachelor",4,"Master",5,"Doctor","Unknown")</f>
        <v>College</v>
      </c>
      <c r="AK1378" t="str" cm="1">
        <f t="array" ref="AK1378">_xlfn.SWITCH(CleanEmployeeData[[#This Row],[EnvironmentSatisfaction]],1,"Low",2,"Medium",3,"High",4,"Very High","Unknown")</f>
        <v>Medium</v>
      </c>
      <c r="AL1378" t="str" cm="1">
        <f t="array" ref="AL1378">_xlfn.SWITCH(CleanEmployeeData[[#This Row],[JobInvolvement]],1,"Low",2,"Medium",3,"High",4,"Very High","Unknown")</f>
        <v>High</v>
      </c>
      <c r="AM1378" t="str" cm="1">
        <f t="array" ref="AM1378">_xlfn.SWITCH(CleanEmployeeData[[#This Row],[JobSatisfaction]],1,"Low",2,"Medium",3,"High",4,"Very High","Unknown")</f>
        <v>Very High</v>
      </c>
      <c r="AN1378" t="str" cm="1">
        <f t="array" ref="AN1378">_xlfn.SWITCH(CleanEmployeeData[[#This Row],[PerformanceRating]],1,"Low",2,"Good",3,"Excellent",4,"Outstanding","Unknown")</f>
        <v>Excellent</v>
      </c>
      <c r="AO1378" t="str" cm="1">
        <f t="array" ref="AO1378">_xlfn.SWITCH(CleanEmployeeData[[#This Row],[WorkLifeBalance]],1,"Bad",2,"Good",3,"Better",4,"Best","Unknown")</f>
        <v>Best</v>
      </c>
      <c r="AP1378">
        <f>IF(CleanEmployeeData[[#This Row],[Attrition]]="Yes",1,IF(CleanEmployeeData[[#This Row],[Attrition]]="No",0,""))</f>
        <v>0</v>
      </c>
      <c r="AQ1378" t="str" cm="1">
        <f t="array" ref="AQ1378">_xlfn.IFS(CleanEmployeeData[[#This Row],[MonthlyIncome]]&lt;=3000,"0–3,000",CleanEmployeeData[[#This Row],[MonthlyIncome]]&lt;=6000,"3,001–6,000",CleanEmployeeData[[#This Row],[MonthlyIncome]]&lt;=10000,"6,001–10,000",TRUE,"10,001+")</f>
        <v>3,001–6,000</v>
      </c>
      <c r="AR1378" t="str" cm="1">
        <f t="array" ref="AR1378">_xlfn.IFS(CleanEmployeeData[[#This Row],[DistanceFromHome]]&lt;=5,"0–5 miles",CleanEmployeeData[[#This Row],[DistanceFromHome]]&lt;=10,"6–10 miles",CleanEmployeeData[[#This Row],[DistanceFromHome]]&lt;=15,"11–15 miles",TRUE,"16+ miles")</f>
        <v>6–10 miles</v>
      </c>
      <c r="AS1378" t="str" cm="1">
        <f t="array" ref="AS1378">_xlfn.IFS(CleanEmployeeData[[#This Row],[YearsAtCompany]]&lt;=1,"0–1 years",CleanEmployeeData[[#This Row],[YearsAtCompany]]&lt;=5,"2–5 years",CleanEmployeeData[[#This Row],[YearsAtCompany]]&lt;=10,"6–10 years",TRUE,"11+ years")</f>
        <v>2–5 years</v>
      </c>
    </row>
    <row r="1379" spans="1:4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cm="1">
        <f t="array" ref="AJ1379">_xlfn.SWITCH(CleanEmployeeData[[#This Row],[Education]],1,"Below College",2,"College",3,"Bachelor",4,"Master",5,"Doctor","Unknown")</f>
        <v>Below College</v>
      </c>
      <c r="AK1379" t="str" cm="1">
        <f t="array" ref="AK1379">_xlfn.SWITCH(CleanEmployeeData[[#This Row],[EnvironmentSatisfaction]],1,"Low",2,"Medium",3,"High",4,"Very High","Unknown")</f>
        <v>Medium</v>
      </c>
      <c r="AL1379" t="str" cm="1">
        <f t="array" ref="AL1379">_xlfn.SWITCH(CleanEmployeeData[[#This Row],[JobInvolvement]],1,"Low",2,"Medium",3,"High",4,"Very High","Unknown")</f>
        <v>High</v>
      </c>
      <c r="AM1379" t="str" cm="1">
        <f t="array" ref="AM1379">_xlfn.SWITCH(CleanEmployeeData[[#This Row],[JobSatisfaction]],1,"Low",2,"Medium",3,"High",4,"Very High","Unknown")</f>
        <v>Very High</v>
      </c>
      <c r="AN1379" t="str" cm="1">
        <f t="array" ref="AN1379">_xlfn.SWITCH(CleanEmployeeData[[#This Row],[PerformanceRating]],1,"Low",2,"Good",3,"Excellent",4,"Outstanding","Unknown")</f>
        <v>Excellent</v>
      </c>
      <c r="AO1379" t="str" cm="1">
        <f t="array" ref="AO1379">_xlfn.SWITCH(CleanEmployeeData[[#This Row],[WorkLifeBalance]],1,"Bad",2,"Good",3,"Better",4,"Best","Unknown")</f>
        <v>Better</v>
      </c>
      <c r="AP1379">
        <f>IF(CleanEmployeeData[[#This Row],[Attrition]]="Yes",1,IF(CleanEmployeeData[[#This Row],[Attrition]]="No",0,""))</f>
        <v>0</v>
      </c>
      <c r="AQ1379" t="str" cm="1">
        <f t="array" ref="AQ1379">_xlfn.IFS(CleanEmployeeData[[#This Row],[MonthlyIncome]]&lt;=3000,"0–3,000",CleanEmployeeData[[#This Row],[MonthlyIncome]]&lt;=6000,"3,001–6,000",CleanEmployeeData[[#This Row],[MonthlyIncome]]&lt;=10000,"6,001–10,000",TRUE,"10,001+")</f>
        <v>10,001+</v>
      </c>
      <c r="AR1379" t="str" cm="1">
        <f t="array" ref="AR1379">_xlfn.IFS(CleanEmployeeData[[#This Row],[DistanceFromHome]]&lt;=5,"0–5 miles",CleanEmployeeData[[#This Row],[DistanceFromHome]]&lt;=10,"6–10 miles",CleanEmployeeData[[#This Row],[DistanceFromHome]]&lt;=15,"11–15 miles",TRUE,"16+ miles")</f>
        <v>0–5 miles</v>
      </c>
      <c r="AS1379" t="str" cm="1">
        <f t="array" ref="AS1379">_xlfn.IFS(CleanEmployeeData[[#This Row],[YearsAtCompany]]&lt;=1,"0–1 years",CleanEmployeeData[[#This Row],[YearsAtCompany]]&lt;=5,"2–5 years",CleanEmployeeData[[#This Row],[YearsAtCompany]]&lt;=10,"6–10 years",TRUE,"11+ years")</f>
        <v>2–5 years</v>
      </c>
    </row>
    <row r="1380" spans="1:4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cm="1">
        <f t="array" ref="AJ1380">_xlfn.SWITCH(CleanEmployeeData[[#This Row],[Education]],1,"Below College",2,"College",3,"Bachelor",4,"Master",5,"Doctor","Unknown")</f>
        <v>Master</v>
      </c>
      <c r="AK1380" t="str" cm="1">
        <f t="array" ref="AK1380">_xlfn.SWITCH(CleanEmployeeData[[#This Row],[EnvironmentSatisfaction]],1,"Low",2,"Medium",3,"High",4,"Very High","Unknown")</f>
        <v>Medium</v>
      </c>
      <c r="AL1380" t="str" cm="1">
        <f t="array" ref="AL1380">_xlfn.SWITCH(CleanEmployeeData[[#This Row],[JobInvolvement]],1,"Low",2,"Medium",3,"High",4,"Very High","Unknown")</f>
        <v>High</v>
      </c>
      <c r="AM1380" t="str" cm="1">
        <f t="array" ref="AM1380">_xlfn.SWITCH(CleanEmployeeData[[#This Row],[JobSatisfaction]],1,"Low",2,"Medium",3,"High",4,"Very High","Unknown")</f>
        <v>Very High</v>
      </c>
      <c r="AN1380" t="str" cm="1">
        <f t="array" ref="AN1380">_xlfn.SWITCH(CleanEmployeeData[[#This Row],[PerformanceRating]],1,"Low",2,"Good",3,"Excellent",4,"Outstanding","Unknown")</f>
        <v>Excellent</v>
      </c>
      <c r="AO1380" t="str" cm="1">
        <f t="array" ref="AO1380">_xlfn.SWITCH(CleanEmployeeData[[#This Row],[WorkLifeBalance]],1,"Bad",2,"Good",3,"Better",4,"Best","Unknown")</f>
        <v>Better</v>
      </c>
      <c r="AP1380">
        <f>IF(CleanEmployeeData[[#This Row],[Attrition]]="Yes",1,IF(CleanEmployeeData[[#This Row],[Attrition]]="No",0,""))</f>
        <v>0</v>
      </c>
      <c r="AQ1380" t="str" cm="1">
        <f t="array" ref="AQ1380">_xlfn.IFS(CleanEmployeeData[[#This Row],[MonthlyIncome]]&lt;=3000,"0–3,000",CleanEmployeeData[[#This Row],[MonthlyIncome]]&lt;=6000,"3,001–6,000",CleanEmployeeData[[#This Row],[MonthlyIncome]]&lt;=10000,"6,001–10,000",TRUE,"10,001+")</f>
        <v>3,001–6,000</v>
      </c>
      <c r="AR1380" t="str" cm="1">
        <f t="array" ref="AR1380">_xlfn.IFS(CleanEmployeeData[[#This Row],[DistanceFromHome]]&lt;=5,"0–5 miles",CleanEmployeeData[[#This Row],[DistanceFromHome]]&lt;=10,"6–10 miles",CleanEmployeeData[[#This Row],[DistanceFromHome]]&lt;=15,"11–15 miles",TRUE,"16+ miles")</f>
        <v>11–15 miles</v>
      </c>
      <c r="AS1380" t="str" cm="1">
        <f t="array" ref="AS1380">_xlfn.IFS(CleanEmployeeData[[#This Row],[YearsAtCompany]]&lt;=1,"0–1 years",CleanEmployeeData[[#This Row],[YearsAtCompany]]&lt;=5,"2–5 years",CleanEmployeeData[[#This Row],[YearsAtCompany]]&lt;=10,"6–10 years",TRUE,"11+ years")</f>
        <v>0–1 years</v>
      </c>
    </row>
    <row r="1381" spans="1:4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cm="1">
        <f t="array" ref="AJ1381">_xlfn.SWITCH(CleanEmployeeData[[#This Row],[Education]],1,"Below College",2,"College",3,"Bachelor",4,"Master",5,"Doctor","Unknown")</f>
        <v>Bachelor</v>
      </c>
      <c r="AK1381" t="str" cm="1">
        <f t="array" ref="AK1381">_xlfn.SWITCH(CleanEmployeeData[[#This Row],[EnvironmentSatisfaction]],1,"Low",2,"Medium",3,"High",4,"Very High","Unknown")</f>
        <v>Low</v>
      </c>
      <c r="AL1381" t="str" cm="1">
        <f t="array" ref="AL1381">_xlfn.SWITCH(CleanEmployeeData[[#This Row],[JobInvolvement]],1,"Low",2,"Medium",3,"High",4,"Very High","Unknown")</f>
        <v>Medium</v>
      </c>
      <c r="AM1381" t="str" cm="1">
        <f t="array" ref="AM1381">_xlfn.SWITCH(CleanEmployeeData[[#This Row],[JobSatisfaction]],1,"Low",2,"Medium",3,"High",4,"Very High","Unknown")</f>
        <v>Medium</v>
      </c>
      <c r="AN1381" t="str" cm="1">
        <f t="array" ref="AN1381">_xlfn.SWITCH(CleanEmployeeData[[#This Row],[PerformanceRating]],1,"Low",2,"Good",3,"Excellent",4,"Outstanding","Unknown")</f>
        <v>Excellent</v>
      </c>
      <c r="AO1381" t="str" cm="1">
        <f t="array" ref="AO1381">_xlfn.SWITCH(CleanEmployeeData[[#This Row],[WorkLifeBalance]],1,"Bad",2,"Good",3,"Better",4,"Best","Unknown")</f>
        <v>Better</v>
      </c>
      <c r="AP1381">
        <f>IF(CleanEmployeeData[[#This Row],[Attrition]]="Yes",1,IF(CleanEmployeeData[[#This Row],[Attrition]]="No",0,""))</f>
        <v>1</v>
      </c>
      <c r="AQ1381" t="str" cm="1">
        <f t="array" ref="AQ1381">_xlfn.IFS(CleanEmployeeData[[#This Row],[MonthlyIncome]]&lt;=3000,"0–3,000",CleanEmployeeData[[#This Row],[MonthlyIncome]]&lt;=6000,"3,001–6,000",CleanEmployeeData[[#This Row],[MonthlyIncome]]&lt;=10000,"6,001–10,000",TRUE,"10,001+")</f>
        <v>0–3,000</v>
      </c>
      <c r="AR1381" t="str" cm="1">
        <f t="array" ref="AR1381">_xlfn.IFS(CleanEmployeeData[[#This Row],[DistanceFromHome]]&lt;=5,"0–5 miles",CleanEmployeeData[[#This Row],[DistanceFromHome]]&lt;=10,"6–10 miles",CleanEmployeeData[[#This Row],[DistanceFromHome]]&lt;=15,"11–15 miles",TRUE,"16+ miles")</f>
        <v>16+ miles</v>
      </c>
      <c r="AS1381" t="str" cm="1">
        <f t="array" ref="AS1381">_xlfn.IFS(CleanEmployeeData[[#This Row],[YearsAtCompany]]&lt;=1,"0–1 years",CleanEmployeeData[[#This Row],[YearsAtCompany]]&lt;=5,"2–5 years",CleanEmployeeData[[#This Row],[YearsAtCompany]]&lt;=10,"6–10 years",TRUE,"11+ years")</f>
        <v>0–1 years</v>
      </c>
    </row>
    <row r="1382" spans="1:4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cm="1">
        <f t="array" ref="AJ1382">_xlfn.SWITCH(CleanEmployeeData[[#This Row],[Education]],1,"Below College",2,"College",3,"Bachelor",4,"Master",5,"Doctor","Unknown")</f>
        <v>Master</v>
      </c>
      <c r="AK1382" t="str" cm="1">
        <f t="array" ref="AK1382">_xlfn.SWITCH(CleanEmployeeData[[#This Row],[EnvironmentSatisfaction]],1,"Low",2,"Medium",3,"High",4,"Very High","Unknown")</f>
        <v>Medium</v>
      </c>
      <c r="AL1382" t="str" cm="1">
        <f t="array" ref="AL1382">_xlfn.SWITCH(CleanEmployeeData[[#This Row],[JobInvolvement]],1,"Low",2,"Medium",3,"High",4,"Very High","Unknown")</f>
        <v>High</v>
      </c>
      <c r="AM1382" t="str" cm="1">
        <f t="array" ref="AM1382">_xlfn.SWITCH(CleanEmployeeData[[#This Row],[JobSatisfaction]],1,"Low",2,"Medium",3,"High",4,"Very High","Unknown")</f>
        <v>Low</v>
      </c>
      <c r="AN1382" t="str" cm="1">
        <f t="array" ref="AN1382">_xlfn.SWITCH(CleanEmployeeData[[#This Row],[PerformanceRating]],1,"Low",2,"Good",3,"Excellent",4,"Outstanding","Unknown")</f>
        <v>Excellent</v>
      </c>
      <c r="AO1382" t="str" cm="1">
        <f t="array" ref="AO1382">_xlfn.SWITCH(CleanEmployeeData[[#This Row],[WorkLifeBalance]],1,"Bad",2,"Good",3,"Better",4,"Best","Unknown")</f>
        <v>Bad</v>
      </c>
      <c r="AP1382">
        <f>IF(CleanEmployeeData[[#This Row],[Attrition]]="Yes",1,IF(CleanEmployeeData[[#This Row],[Attrition]]="No",0,""))</f>
        <v>0</v>
      </c>
      <c r="AQ1382" t="str" cm="1">
        <f t="array" ref="AQ1382">_xlfn.IFS(CleanEmployeeData[[#This Row],[MonthlyIncome]]&lt;=3000,"0–3,000",CleanEmployeeData[[#This Row],[MonthlyIncome]]&lt;=6000,"3,001–6,000",CleanEmployeeData[[#This Row],[MonthlyIncome]]&lt;=10000,"6,001–10,000",TRUE,"10,001+")</f>
        <v>3,001–6,000</v>
      </c>
      <c r="AR1382" t="str" cm="1">
        <f t="array" ref="AR1382">_xlfn.IFS(CleanEmployeeData[[#This Row],[DistanceFromHome]]&lt;=5,"0–5 miles",CleanEmployeeData[[#This Row],[DistanceFromHome]]&lt;=10,"6–10 miles",CleanEmployeeData[[#This Row],[DistanceFromHome]]&lt;=15,"11–15 miles",TRUE,"16+ miles")</f>
        <v>16+ miles</v>
      </c>
      <c r="AS1382" t="str" cm="1">
        <f t="array" ref="AS1382">_xlfn.IFS(CleanEmployeeData[[#This Row],[YearsAtCompany]]&lt;=1,"0–1 years",CleanEmployeeData[[#This Row],[YearsAtCompany]]&lt;=5,"2–5 years",CleanEmployeeData[[#This Row],[YearsAtCompany]]&lt;=10,"6–10 years",TRUE,"11+ years")</f>
        <v>2–5 years</v>
      </c>
    </row>
    <row r="1383" spans="1:4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cm="1">
        <f t="array" ref="AJ1383">_xlfn.SWITCH(CleanEmployeeData[[#This Row],[Education]],1,"Below College",2,"College",3,"Bachelor",4,"Master",5,"Doctor","Unknown")</f>
        <v>Bachelor</v>
      </c>
      <c r="AK1383" t="str" cm="1">
        <f t="array" ref="AK1383">_xlfn.SWITCH(CleanEmployeeData[[#This Row],[EnvironmentSatisfaction]],1,"Low",2,"Medium",3,"High",4,"Very High","Unknown")</f>
        <v>High</v>
      </c>
      <c r="AL1383" t="str" cm="1">
        <f t="array" ref="AL1383">_xlfn.SWITCH(CleanEmployeeData[[#This Row],[JobInvolvement]],1,"Low",2,"Medium",3,"High",4,"Very High","Unknown")</f>
        <v>High</v>
      </c>
      <c r="AM1383" t="str" cm="1">
        <f t="array" ref="AM1383">_xlfn.SWITCH(CleanEmployeeData[[#This Row],[JobSatisfaction]],1,"Low",2,"Medium",3,"High",4,"Very High","Unknown")</f>
        <v>High</v>
      </c>
      <c r="AN1383" t="str" cm="1">
        <f t="array" ref="AN1383">_xlfn.SWITCH(CleanEmployeeData[[#This Row],[PerformanceRating]],1,"Low",2,"Good",3,"Excellent",4,"Outstanding","Unknown")</f>
        <v>Excellent</v>
      </c>
      <c r="AO1383" t="str" cm="1">
        <f t="array" ref="AO1383">_xlfn.SWITCH(CleanEmployeeData[[#This Row],[WorkLifeBalance]],1,"Bad",2,"Good",3,"Better",4,"Best","Unknown")</f>
        <v>Good</v>
      </c>
      <c r="AP1383">
        <f>IF(CleanEmployeeData[[#This Row],[Attrition]]="Yes",1,IF(CleanEmployeeData[[#This Row],[Attrition]]="No",0,""))</f>
        <v>0</v>
      </c>
      <c r="AQ1383" t="str" cm="1">
        <f t="array" ref="AQ1383">_xlfn.IFS(CleanEmployeeData[[#This Row],[MonthlyIncome]]&lt;=3000,"0–3,000",CleanEmployeeData[[#This Row],[MonthlyIncome]]&lt;=6000,"3,001–6,000",CleanEmployeeData[[#This Row],[MonthlyIncome]]&lt;=10000,"6,001–10,000",TRUE,"10,001+")</f>
        <v>0–3,000</v>
      </c>
      <c r="AR1383" t="str" cm="1">
        <f t="array" ref="AR1383">_xlfn.IFS(CleanEmployeeData[[#This Row],[DistanceFromHome]]&lt;=5,"0–5 miles",CleanEmployeeData[[#This Row],[DistanceFromHome]]&lt;=10,"6–10 miles",CleanEmployeeData[[#This Row],[DistanceFromHome]]&lt;=15,"11–15 miles",TRUE,"16+ miles")</f>
        <v>16+ miles</v>
      </c>
      <c r="AS1383" t="str" cm="1">
        <f t="array" ref="AS1383">_xlfn.IFS(CleanEmployeeData[[#This Row],[YearsAtCompany]]&lt;=1,"0–1 years",CleanEmployeeData[[#This Row],[YearsAtCompany]]&lt;=5,"2–5 years",CleanEmployeeData[[#This Row],[YearsAtCompany]]&lt;=10,"6–10 years",TRUE,"11+ years")</f>
        <v>2–5 years</v>
      </c>
    </row>
    <row r="1384" spans="1:4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cm="1">
        <f t="array" ref="AJ1384">_xlfn.SWITCH(CleanEmployeeData[[#This Row],[Education]],1,"Below College",2,"College",3,"Bachelor",4,"Master",5,"Doctor","Unknown")</f>
        <v>College</v>
      </c>
      <c r="AK1384" t="str" cm="1">
        <f t="array" ref="AK1384">_xlfn.SWITCH(CleanEmployeeData[[#This Row],[EnvironmentSatisfaction]],1,"Low",2,"Medium",3,"High",4,"Very High","Unknown")</f>
        <v>High</v>
      </c>
      <c r="AL1384" t="str" cm="1">
        <f t="array" ref="AL1384">_xlfn.SWITCH(CleanEmployeeData[[#This Row],[JobInvolvement]],1,"Low",2,"Medium",3,"High",4,"Very High","Unknown")</f>
        <v>High</v>
      </c>
      <c r="AM1384" t="str" cm="1">
        <f t="array" ref="AM1384">_xlfn.SWITCH(CleanEmployeeData[[#This Row],[JobSatisfaction]],1,"Low",2,"Medium",3,"High",4,"Very High","Unknown")</f>
        <v>Low</v>
      </c>
      <c r="AN1384" t="str" cm="1">
        <f t="array" ref="AN1384">_xlfn.SWITCH(CleanEmployeeData[[#This Row],[PerformanceRating]],1,"Low",2,"Good",3,"Excellent",4,"Outstanding","Unknown")</f>
        <v>Excellent</v>
      </c>
      <c r="AO1384" t="str" cm="1">
        <f t="array" ref="AO1384">_xlfn.SWITCH(CleanEmployeeData[[#This Row],[WorkLifeBalance]],1,"Bad",2,"Good",3,"Better",4,"Best","Unknown")</f>
        <v>Best</v>
      </c>
      <c r="AP1384">
        <f>IF(CleanEmployeeData[[#This Row],[Attrition]]="Yes",1,IF(CleanEmployeeData[[#This Row],[Attrition]]="No",0,""))</f>
        <v>0</v>
      </c>
      <c r="AQ1384" t="str" cm="1">
        <f t="array" ref="AQ1384">_xlfn.IFS(CleanEmployeeData[[#This Row],[MonthlyIncome]]&lt;=3000,"0–3,000",CleanEmployeeData[[#This Row],[MonthlyIncome]]&lt;=6000,"3,001–6,000",CleanEmployeeData[[#This Row],[MonthlyIncome]]&lt;=10000,"6,001–10,000",TRUE,"10,001+")</f>
        <v>3,001–6,000</v>
      </c>
      <c r="AR1384" t="str" cm="1">
        <f t="array" ref="AR1384">_xlfn.IFS(CleanEmployeeData[[#This Row],[DistanceFromHome]]&lt;=5,"0–5 miles",CleanEmployeeData[[#This Row],[DistanceFromHome]]&lt;=10,"6–10 miles",CleanEmployeeData[[#This Row],[DistanceFromHome]]&lt;=15,"11–15 miles",TRUE,"16+ miles")</f>
        <v>0–5 miles</v>
      </c>
      <c r="AS1384" t="str" cm="1">
        <f t="array" ref="AS1384">_xlfn.IFS(CleanEmployeeData[[#This Row],[YearsAtCompany]]&lt;=1,"0–1 years",CleanEmployeeData[[#This Row],[YearsAtCompany]]&lt;=5,"2–5 years",CleanEmployeeData[[#This Row],[YearsAtCompany]]&lt;=10,"6–10 years",TRUE,"11+ years")</f>
        <v>2–5 years</v>
      </c>
    </row>
    <row r="1385" spans="1:4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cm="1">
        <f t="array" ref="AJ1385">_xlfn.SWITCH(CleanEmployeeData[[#This Row],[Education]],1,"Below College",2,"College",3,"Bachelor",4,"Master",5,"Doctor","Unknown")</f>
        <v>Master</v>
      </c>
      <c r="AK1385" t="str" cm="1">
        <f t="array" ref="AK1385">_xlfn.SWITCH(CleanEmployeeData[[#This Row],[EnvironmentSatisfaction]],1,"Low",2,"Medium",3,"High",4,"Very High","Unknown")</f>
        <v>Low</v>
      </c>
      <c r="AL1385" t="str" cm="1">
        <f t="array" ref="AL1385">_xlfn.SWITCH(CleanEmployeeData[[#This Row],[JobInvolvement]],1,"Low",2,"Medium",3,"High",4,"Very High","Unknown")</f>
        <v>Very High</v>
      </c>
      <c r="AM1385" t="str" cm="1">
        <f t="array" ref="AM1385">_xlfn.SWITCH(CleanEmployeeData[[#This Row],[JobSatisfaction]],1,"Low",2,"Medium",3,"High",4,"Very High","Unknown")</f>
        <v>Medium</v>
      </c>
      <c r="AN1385" t="str" cm="1">
        <f t="array" ref="AN1385">_xlfn.SWITCH(CleanEmployeeData[[#This Row],[PerformanceRating]],1,"Low",2,"Good",3,"Excellent",4,"Outstanding","Unknown")</f>
        <v>Outstanding</v>
      </c>
      <c r="AO1385" t="str" cm="1">
        <f t="array" ref="AO1385">_xlfn.SWITCH(CleanEmployeeData[[#This Row],[WorkLifeBalance]],1,"Bad",2,"Good",3,"Better",4,"Best","Unknown")</f>
        <v>Better</v>
      </c>
      <c r="AP1385">
        <f>IF(CleanEmployeeData[[#This Row],[Attrition]]="Yes",1,IF(CleanEmployeeData[[#This Row],[Attrition]]="No",0,""))</f>
        <v>0</v>
      </c>
      <c r="AQ1385" t="str" cm="1">
        <f t="array" ref="AQ1385">_xlfn.IFS(CleanEmployeeData[[#This Row],[MonthlyIncome]]&lt;=3000,"0–3,000",CleanEmployeeData[[#This Row],[MonthlyIncome]]&lt;=6000,"3,001–6,000",CleanEmployeeData[[#This Row],[MonthlyIncome]]&lt;=10000,"6,001–10,000",TRUE,"10,001+")</f>
        <v>0–3,000</v>
      </c>
      <c r="AR1385" t="str" cm="1">
        <f t="array" ref="AR1385">_xlfn.IFS(CleanEmployeeData[[#This Row],[DistanceFromHome]]&lt;=5,"0–5 miles",CleanEmployeeData[[#This Row],[DistanceFromHome]]&lt;=10,"6–10 miles",CleanEmployeeData[[#This Row],[DistanceFromHome]]&lt;=15,"11–15 miles",TRUE,"16+ miles")</f>
        <v>6–10 miles</v>
      </c>
      <c r="AS1385" t="str" cm="1">
        <f t="array" ref="AS1385">_xlfn.IFS(CleanEmployeeData[[#This Row],[YearsAtCompany]]&lt;=1,"0–1 years",CleanEmployeeData[[#This Row],[YearsAtCompany]]&lt;=5,"2–5 years",CleanEmployeeData[[#This Row],[YearsAtCompany]]&lt;=10,"6–10 years",TRUE,"11+ years")</f>
        <v>2–5 years</v>
      </c>
    </row>
    <row r="1386" spans="1:4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cm="1">
        <f t="array" ref="AJ1386">_xlfn.SWITCH(CleanEmployeeData[[#This Row],[Education]],1,"Below College",2,"College",3,"Bachelor",4,"Master",5,"Doctor","Unknown")</f>
        <v>Bachelor</v>
      </c>
      <c r="AK1386" t="str" cm="1">
        <f t="array" ref="AK1386">_xlfn.SWITCH(CleanEmployeeData[[#This Row],[EnvironmentSatisfaction]],1,"Low",2,"Medium",3,"High",4,"Very High","Unknown")</f>
        <v>Low</v>
      </c>
      <c r="AL1386" t="str" cm="1">
        <f t="array" ref="AL1386">_xlfn.SWITCH(CleanEmployeeData[[#This Row],[JobInvolvement]],1,"Low",2,"Medium",3,"High",4,"Very High","Unknown")</f>
        <v>High</v>
      </c>
      <c r="AM1386" t="str" cm="1">
        <f t="array" ref="AM1386">_xlfn.SWITCH(CleanEmployeeData[[#This Row],[JobSatisfaction]],1,"Low",2,"Medium",3,"High",4,"Very High","Unknown")</f>
        <v>Very High</v>
      </c>
      <c r="AN1386" t="str" cm="1">
        <f t="array" ref="AN1386">_xlfn.SWITCH(CleanEmployeeData[[#This Row],[PerformanceRating]],1,"Low",2,"Good",3,"Excellent",4,"Outstanding","Unknown")</f>
        <v>Outstanding</v>
      </c>
      <c r="AO1386" t="str" cm="1">
        <f t="array" ref="AO1386">_xlfn.SWITCH(CleanEmployeeData[[#This Row],[WorkLifeBalance]],1,"Bad",2,"Good",3,"Better",4,"Best","Unknown")</f>
        <v>Good</v>
      </c>
      <c r="AP1386">
        <f>IF(CleanEmployeeData[[#This Row],[Attrition]]="Yes",1,IF(CleanEmployeeData[[#This Row],[Attrition]]="No",0,""))</f>
        <v>0</v>
      </c>
      <c r="AQ1386" t="str" cm="1">
        <f t="array" ref="AQ1386">_xlfn.IFS(CleanEmployeeData[[#This Row],[MonthlyIncome]]&lt;=3000,"0–3,000",CleanEmployeeData[[#This Row],[MonthlyIncome]]&lt;=6000,"3,001–6,000",CleanEmployeeData[[#This Row],[MonthlyIncome]]&lt;=10000,"6,001–10,000",TRUE,"10,001+")</f>
        <v>6,001–10,000</v>
      </c>
      <c r="AR1386" t="str" cm="1">
        <f t="array" ref="AR1386">_xlfn.IFS(CleanEmployeeData[[#This Row],[DistanceFromHome]]&lt;=5,"0–5 miles",CleanEmployeeData[[#This Row],[DistanceFromHome]]&lt;=10,"6–10 miles",CleanEmployeeData[[#This Row],[DistanceFromHome]]&lt;=15,"11–15 miles",TRUE,"16+ miles")</f>
        <v>0–5 miles</v>
      </c>
      <c r="AS1386" t="str" cm="1">
        <f t="array" ref="AS1386">_xlfn.IFS(CleanEmployeeData[[#This Row],[YearsAtCompany]]&lt;=1,"0–1 years",CleanEmployeeData[[#This Row],[YearsAtCompany]]&lt;=5,"2–5 years",CleanEmployeeData[[#This Row],[YearsAtCompany]]&lt;=10,"6–10 years",TRUE,"11+ years")</f>
        <v>11+ years</v>
      </c>
    </row>
    <row r="1387" spans="1:4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cm="1">
        <f t="array" ref="AJ1387">_xlfn.SWITCH(CleanEmployeeData[[#This Row],[Education]],1,"Below College",2,"College",3,"Bachelor",4,"Master",5,"Doctor","Unknown")</f>
        <v>Master</v>
      </c>
      <c r="AK1387" t="str" cm="1">
        <f t="array" ref="AK1387">_xlfn.SWITCH(CleanEmployeeData[[#This Row],[EnvironmentSatisfaction]],1,"Low",2,"Medium",3,"High",4,"Very High","Unknown")</f>
        <v>Very High</v>
      </c>
      <c r="AL1387" t="str" cm="1">
        <f t="array" ref="AL1387">_xlfn.SWITCH(CleanEmployeeData[[#This Row],[JobInvolvement]],1,"Low",2,"Medium",3,"High",4,"Very High","Unknown")</f>
        <v>High</v>
      </c>
      <c r="AM1387" t="str" cm="1">
        <f t="array" ref="AM1387">_xlfn.SWITCH(CleanEmployeeData[[#This Row],[JobSatisfaction]],1,"Low",2,"Medium",3,"High",4,"Very High","Unknown")</f>
        <v>High</v>
      </c>
      <c r="AN1387" t="str" cm="1">
        <f t="array" ref="AN1387">_xlfn.SWITCH(CleanEmployeeData[[#This Row],[PerformanceRating]],1,"Low",2,"Good",3,"Excellent",4,"Outstanding","Unknown")</f>
        <v>Excellent</v>
      </c>
      <c r="AO1387" t="str" cm="1">
        <f t="array" ref="AO1387">_xlfn.SWITCH(CleanEmployeeData[[#This Row],[WorkLifeBalance]],1,"Bad",2,"Good",3,"Better",4,"Best","Unknown")</f>
        <v>Good</v>
      </c>
      <c r="AP1387">
        <f>IF(CleanEmployeeData[[#This Row],[Attrition]]="Yes",1,IF(CleanEmployeeData[[#This Row],[Attrition]]="No",0,""))</f>
        <v>0</v>
      </c>
      <c r="AQ1387" t="str" cm="1">
        <f t="array" ref="AQ1387">_xlfn.IFS(CleanEmployeeData[[#This Row],[MonthlyIncome]]&lt;=3000,"0–3,000",CleanEmployeeData[[#This Row],[MonthlyIncome]]&lt;=6000,"3,001–6,000",CleanEmployeeData[[#This Row],[MonthlyIncome]]&lt;=10000,"6,001–10,000",TRUE,"10,001+")</f>
        <v>6,001–10,000</v>
      </c>
      <c r="AR1387" t="str" cm="1">
        <f t="array" ref="AR1387">_xlfn.IFS(CleanEmployeeData[[#This Row],[DistanceFromHome]]&lt;=5,"0–5 miles",CleanEmployeeData[[#This Row],[DistanceFromHome]]&lt;=10,"6–10 miles",CleanEmployeeData[[#This Row],[DistanceFromHome]]&lt;=15,"11–15 miles",TRUE,"16+ miles")</f>
        <v>11–15 miles</v>
      </c>
      <c r="AS1387" t="str" cm="1">
        <f t="array" ref="AS1387">_xlfn.IFS(CleanEmployeeData[[#This Row],[YearsAtCompany]]&lt;=1,"0–1 years",CleanEmployeeData[[#This Row],[YearsAtCompany]]&lt;=5,"2–5 years",CleanEmployeeData[[#This Row],[YearsAtCompany]]&lt;=10,"6–10 years",TRUE,"11+ years")</f>
        <v>6–10 years</v>
      </c>
    </row>
    <row r="1388" spans="1:4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cm="1">
        <f t="array" ref="AJ1388">_xlfn.SWITCH(CleanEmployeeData[[#This Row],[Education]],1,"Below College",2,"College",3,"Bachelor",4,"Master",5,"Doctor","Unknown")</f>
        <v>Bachelor</v>
      </c>
      <c r="AK1388" t="str" cm="1">
        <f t="array" ref="AK1388">_xlfn.SWITCH(CleanEmployeeData[[#This Row],[EnvironmentSatisfaction]],1,"Low",2,"Medium",3,"High",4,"Very High","Unknown")</f>
        <v>High</v>
      </c>
      <c r="AL1388" t="str" cm="1">
        <f t="array" ref="AL1388">_xlfn.SWITCH(CleanEmployeeData[[#This Row],[JobInvolvement]],1,"Low",2,"Medium",3,"High",4,"Very High","Unknown")</f>
        <v>High</v>
      </c>
      <c r="AM1388" t="str" cm="1">
        <f t="array" ref="AM1388">_xlfn.SWITCH(CleanEmployeeData[[#This Row],[JobSatisfaction]],1,"Low",2,"Medium",3,"High",4,"Very High","Unknown")</f>
        <v>Low</v>
      </c>
      <c r="AN1388" t="str" cm="1">
        <f t="array" ref="AN1388">_xlfn.SWITCH(CleanEmployeeData[[#This Row],[PerformanceRating]],1,"Low",2,"Good",3,"Excellent",4,"Outstanding","Unknown")</f>
        <v>Excellent</v>
      </c>
      <c r="AO1388" t="str" cm="1">
        <f t="array" ref="AO1388">_xlfn.SWITCH(CleanEmployeeData[[#This Row],[WorkLifeBalance]],1,"Bad",2,"Good",3,"Better",4,"Best","Unknown")</f>
        <v>Good</v>
      </c>
      <c r="AP1388">
        <f>IF(CleanEmployeeData[[#This Row],[Attrition]]="Yes",1,IF(CleanEmployeeData[[#This Row],[Attrition]]="No",0,""))</f>
        <v>0</v>
      </c>
      <c r="AQ1388" t="str" cm="1">
        <f t="array" ref="AQ1388">_xlfn.IFS(CleanEmployeeData[[#This Row],[MonthlyIncome]]&lt;=3000,"0–3,000",CleanEmployeeData[[#This Row],[MonthlyIncome]]&lt;=6000,"3,001–6,000",CleanEmployeeData[[#This Row],[MonthlyIncome]]&lt;=10000,"6,001–10,000",TRUE,"10,001+")</f>
        <v>0–3,000</v>
      </c>
      <c r="AR1388" t="str" cm="1">
        <f t="array" ref="AR1388">_xlfn.IFS(CleanEmployeeData[[#This Row],[DistanceFromHome]]&lt;=5,"0–5 miles",CleanEmployeeData[[#This Row],[DistanceFromHome]]&lt;=10,"6–10 miles",CleanEmployeeData[[#This Row],[DistanceFromHome]]&lt;=15,"11–15 miles",TRUE,"16+ miles")</f>
        <v>0–5 miles</v>
      </c>
      <c r="AS1388" t="str" cm="1">
        <f t="array" ref="AS1388">_xlfn.IFS(CleanEmployeeData[[#This Row],[YearsAtCompany]]&lt;=1,"0–1 years",CleanEmployeeData[[#This Row],[YearsAtCompany]]&lt;=5,"2–5 years",CleanEmployeeData[[#This Row],[YearsAtCompany]]&lt;=10,"6–10 years",TRUE,"11+ years")</f>
        <v>6–10 years</v>
      </c>
    </row>
    <row r="1389" spans="1:4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cm="1">
        <f t="array" ref="AJ1389">_xlfn.SWITCH(CleanEmployeeData[[#This Row],[Education]],1,"Below College",2,"College",3,"Bachelor",4,"Master",5,"Doctor","Unknown")</f>
        <v>Bachelor</v>
      </c>
      <c r="AK1389" t="str" cm="1">
        <f t="array" ref="AK1389">_xlfn.SWITCH(CleanEmployeeData[[#This Row],[EnvironmentSatisfaction]],1,"Low",2,"Medium",3,"High",4,"Very High","Unknown")</f>
        <v>Low</v>
      </c>
      <c r="AL1389" t="str" cm="1">
        <f t="array" ref="AL1389">_xlfn.SWITCH(CleanEmployeeData[[#This Row],[JobInvolvement]],1,"Low",2,"Medium",3,"High",4,"Very High","Unknown")</f>
        <v>High</v>
      </c>
      <c r="AM1389" t="str" cm="1">
        <f t="array" ref="AM1389">_xlfn.SWITCH(CleanEmployeeData[[#This Row],[JobSatisfaction]],1,"Low",2,"Medium",3,"High",4,"Very High","Unknown")</f>
        <v>Low</v>
      </c>
      <c r="AN1389" t="str" cm="1">
        <f t="array" ref="AN1389">_xlfn.SWITCH(CleanEmployeeData[[#This Row],[PerformanceRating]],1,"Low",2,"Good",3,"Excellent",4,"Outstanding","Unknown")</f>
        <v>Excellent</v>
      </c>
      <c r="AO1389" t="str" cm="1">
        <f t="array" ref="AO1389">_xlfn.SWITCH(CleanEmployeeData[[#This Row],[WorkLifeBalance]],1,"Bad",2,"Good",3,"Better",4,"Best","Unknown")</f>
        <v>Good</v>
      </c>
      <c r="AP1389">
        <f>IF(CleanEmployeeData[[#This Row],[Attrition]]="Yes",1,IF(CleanEmployeeData[[#This Row],[Attrition]]="No",0,""))</f>
        <v>0</v>
      </c>
      <c r="AQ1389" t="str" cm="1">
        <f t="array" ref="AQ1389">_xlfn.IFS(CleanEmployeeData[[#This Row],[MonthlyIncome]]&lt;=3000,"0–3,000",CleanEmployeeData[[#This Row],[MonthlyIncome]]&lt;=6000,"3,001–6,000",CleanEmployeeData[[#This Row],[MonthlyIncome]]&lt;=10000,"6,001–10,000",TRUE,"10,001+")</f>
        <v>3,001–6,000</v>
      </c>
      <c r="AR1389" t="str" cm="1">
        <f t="array" ref="AR1389">_xlfn.IFS(CleanEmployeeData[[#This Row],[DistanceFromHome]]&lt;=5,"0–5 miles",CleanEmployeeData[[#This Row],[DistanceFromHome]]&lt;=10,"6–10 miles",CleanEmployeeData[[#This Row],[DistanceFromHome]]&lt;=15,"11–15 miles",TRUE,"16+ miles")</f>
        <v>0–5 miles</v>
      </c>
      <c r="AS1389" t="str" cm="1">
        <f t="array" ref="AS1389">_xlfn.IFS(CleanEmployeeData[[#This Row],[YearsAtCompany]]&lt;=1,"0–1 years",CleanEmployeeData[[#This Row],[YearsAtCompany]]&lt;=5,"2–5 years",CleanEmployeeData[[#This Row],[YearsAtCompany]]&lt;=10,"6–10 years",TRUE,"11+ years")</f>
        <v>2–5 years</v>
      </c>
    </row>
    <row r="1390" spans="1:4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cm="1">
        <f t="array" ref="AJ1390">_xlfn.SWITCH(CleanEmployeeData[[#This Row],[Education]],1,"Below College",2,"College",3,"Bachelor",4,"Master",5,"Doctor","Unknown")</f>
        <v>Master</v>
      </c>
      <c r="AK1390" t="str" cm="1">
        <f t="array" ref="AK1390">_xlfn.SWITCH(CleanEmployeeData[[#This Row],[EnvironmentSatisfaction]],1,"Low",2,"Medium",3,"High",4,"Very High","Unknown")</f>
        <v>High</v>
      </c>
      <c r="AL1390" t="str" cm="1">
        <f t="array" ref="AL1390">_xlfn.SWITCH(CleanEmployeeData[[#This Row],[JobInvolvement]],1,"Low",2,"Medium",3,"High",4,"Very High","Unknown")</f>
        <v>High</v>
      </c>
      <c r="AM1390" t="str" cm="1">
        <f t="array" ref="AM1390">_xlfn.SWITCH(CleanEmployeeData[[#This Row],[JobSatisfaction]],1,"Low",2,"Medium",3,"High",4,"Very High","Unknown")</f>
        <v>Very High</v>
      </c>
      <c r="AN1390" t="str" cm="1">
        <f t="array" ref="AN1390">_xlfn.SWITCH(CleanEmployeeData[[#This Row],[PerformanceRating]],1,"Low",2,"Good",3,"Excellent",4,"Outstanding","Unknown")</f>
        <v>Excellent</v>
      </c>
      <c r="AO1390" t="str" cm="1">
        <f t="array" ref="AO1390">_xlfn.SWITCH(CleanEmployeeData[[#This Row],[WorkLifeBalance]],1,"Bad",2,"Good",3,"Better",4,"Best","Unknown")</f>
        <v>Better</v>
      </c>
      <c r="AP1390">
        <f>IF(CleanEmployeeData[[#This Row],[Attrition]]="Yes",1,IF(CleanEmployeeData[[#This Row],[Attrition]]="No",0,""))</f>
        <v>0</v>
      </c>
      <c r="AQ1390" t="str" cm="1">
        <f t="array" ref="AQ1390">_xlfn.IFS(CleanEmployeeData[[#This Row],[MonthlyIncome]]&lt;=3000,"0–3,000",CleanEmployeeData[[#This Row],[MonthlyIncome]]&lt;=6000,"3,001–6,000",CleanEmployeeData[[#This Row],[MonthlyIncome]]&lt;=10000,"6,001–10,000",TRUE,"10,001+")</f>
        <v>6,001–10,000</v>
      </c>
      <c r="AR1390" t="str" cm="1">
        <f t="array" ref="AR1390">_xlfn.IFS(CleanEmployeeData[[#This Row],[DistanceFromHome]]&lt;=5,"0–5 miles",CleanEmployeeData[[#This Row],[DistanceFromHome]]&lt;=10,"6–10 miles",CleanEmployeeData[[#This Row],[DistanceFromHome]]&lt;=15,"11–15 miles",TRUE,"16+ miles")</f>
        <v>11–15 miles</v>
      </c>
      <c r="AS1390" t="str" cm="1">
        <f t="array" ref="AS1390">_xlfn.IFS(CleanEmployeeData[[#This Row],[YearsAtCompany]]&lt;=1,"0–1 years",CleanEmployeeData[[#This Row],[YearsAtCompany]]&lt;=5,"2–5 years",CleanEmployeeData[[#This Row],[YearsAtCompany]]&lt;=10,"6–10 years",TRUE,"11+ years")</f>
        <v>2–5 years</v>
      </c>
    </row>
    <row r="1391" spans="1:4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cm="1">
        <f t="array" ref="AJ1391">_xlfn.SWITCH(CleanEmployeeData[[#This Row],[Education]],1,"Below College",2,"College",3,"Bachelor",4,"Master",5,"Doctor","Unknown")</f>
        <v>Bachelor</v>
      </c>
      <c r="AK1391" t="str" cm="1">
        <f t="array" ref="AK1391">_xlfn.SWITCH(CleanEmployeeData[[#This Row],[EnvironmentSatisfaction]],1,"Low",2,"Medium",3,"High",4,"Very High","Unknown")</f>
        <v>Very High</v>
      </c>
      <c r="AL1391" t="str" cm="1">
        <f t="array" ref="AL1391">_xlfn.SWITCH(CleanEmployeeData[[#This Row],[JobInvolvement]],1,"Low",2,"Medium",3,"High",4,"Very High","Unknown")</f>
        <v>Low</v>
      </c>
      <c r="AM1391" t="str" cm="1">
        <f t="array" ref="AM1391">_xlfn.SWITCH(CleanEmployeeData[[#This Row],[JobSatisfaction]],1,"Low",2,"Medium",3,"High",4,"Very High","Unknown")</f>
        <v>Low</v>
      </c>
      <c r="AN1391" t="str" cm="1">
        <f t="array" ref="AN1391">_xlfn.SWITCH(CleanEmployeeData[[#This Row],[PerformanceRating]],1,"Low",2,"Good",3,"Excellent",4,"Outstanding","Unknown")</f>
        <v>Outstanding</v>
      </c>
      <c r="AO1391" t="str" cm="1">
        <f t="array" ref="AO1391">_xlfn.SWITCH(CleanEmployeeData[[#This Row],[WorkLifeBalance]],1,"Bad",2,"Good",3,"Better",4,"Best","Unknown")</f>
        <v>Better</v>
      </c>
      <c r="AP1391">
        <f>IF(CleanEmployeeData[[#This Row],[Attrition]]="Yes",1,IF(CleanEmployeeData[[#This Row],[Attrition]]="No",0,""))</f>
        <v>0</v>
      </c>
      <c r="AQ1391" t="str" cm="1">
        <f t="array" ref="AQ1391">_xlfn.IFS(CleanEmployeeData[[#This Row],[MonthlyIncome]]&lt;=3000,"0–3,000",CleanEmployeeData[[#This Row],[MonthlyIncome]]&lt;=6000,"3,001–6,000",CleanEmployeeData[[#This Row],[MonthlyIncome]]&lt;=10000,"6,001–10,000",TRUE,"10,001+")</f>
        <v>3,001–6,000</v>
      </c>
      <c r="AR1391" t="str" cm="1">
        <f t="array" ref="AR1391">_xlfn.IFS(CleanEmployeeData[[#This Row],[DistanceFromHome]]&lt;=5,"0–5 miles",CleanEmployeeData[[#This Row],[DistanceFromHome]]&lt;=10,"6–10 miles",CleanEmployeeData[[#This Row],[DistanceFromHome]]&lt;=15,"11–15 miles",TRUE,"16+ miles")</f>
        <v>0–5 miles</v>
      </c>
      <c r="AS1391" t="str" cm="1">
        <f t="array" ref="AS1391">_xlfn.IFS(CleanEmployeeData[[#This Row],[YearsAtCompany]]&lt;=1,"0–1 years",CleanEmployeeData[[#This Row],[YearsAtCompany]]&lt;=5,"2–5 years",CleanEmployeeData[[#This Row],[YearsAtCompany]]&lt;=10,"6–10 years",TRUE,"11+ years")</f>
        <v>6–10 years</v>
      </c>
    </row>
    <row r="1392" spans="1:4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cm="1">
        <f t="array" ref="AJ1392">_xlfn.SWITCH(CleanEmployeeData[[#This Row],[Education]],1,"Below College",2,"College",3,"Bachelor",4,"Master",5,"Doctor","Unknown")</f>
        <v>Bachelor</v>
      </c>
      <c r="AK1392" t="str" cm="1">
        <f t="array" ref="AK1392">_xlfn.SWITCH(CleanEmployeeData[[#This Row],[EnvironmentSatisfaction]],1,"Low",2,"Medium",3,"High",4,"Very High","Unknown")</f>
        <v>High</v>
      </c>
      <c r="AL1392" t="str" cm="1">
        <f t="array" ref="AL1392">_xlfn.SWITCH(CleanEmployeeData[[#This Row],[JobInvolvement]],1,"Low",2,"Medium",3,"High",4,"Very High","Unknown")</f>
        <v>Medium</v>
      </c>
      <c r="AM1392" t="str" cm="1">
        <f t="array" ref="AM1392">_xlfn.SWITCH(CleanEmployeeData[[#This Row],[JobSatisfaction]],1,"Low",2,"Medium",3,"High",4,"Very High","Unknown")</f>
        <v>Very High</v>
      </c>
      <c r="AN1392" t="str" cm="1">
        <f t="array" ref="AN1392">_xlfn.SWITCH(CleanEmployeeData[[#This Row],[PerformanceRating]],1,"Low",2,"Good",3,"Excellent",4,"Outstanding","Unknown")</f>
        <v>Excellent</v>
      </c>
      <c r="AO1392" t="str" cm="1">
        <f t="array" ref="AO1392">_xlfn.SWITCH(CleanEmployeeData[[#This Row],[WorkLifeBalance]],1,"Bad",2,"Good",3,"Better",4,"Best","Unknown")</f>
        <v>Good</v>
      </c>
      <c r="AP1392">
        <f>IF(CleanEmployeeData[[#This Row],[Attrition]]="Yes",1,IF(CleanEmployeeData[[#This Row],[Attrition]]="No",0,""))</f>
        <v>1</v>
      </c>
      <c r="AQ1392" t="str" cm="1">
        <f t="array" ref="AQ1392">_xlfn.IFS(CleanEmployeeData[[#This Row],[MonthlyIncome]]&lt;=3000,"0–3,000",CleanEmployeeData[[#This Row],[MonthlyIncome]]&lt;=6000,"3,001–6,000",CleanEmployeeData[[#This Row],[MonthlyIncome]]&lt;=10000,"6,001–10,000",TRUE,"10,001+")</f>
        <v>0–3,000</v>
      </c>
      <c r="AR1392" t="str" cm="1">
        <f t="array" ref="AR1392">_xlfn.IFS(CleanEmployeeData[[#This Row],[DistanceFromHome]]&lt;=5,"0–5 miles",CleanEmployeeData[[#This Row],[DistanceFromHome]]&lt;=10,"6–10 miles",CleanEmployeeData[[#This Row],[DistanceFromHome]]&lt;=15,"11–15 miles",TRUE,"16+ miles")</f>
        <v>16+ miles</v>
      </c>
      <c r="AS1392" t="str" cm="1">
        <f t="array" ref="AS1392">_xlfn.IFS(CleanEmployeeData[[#This Row],[YearsAtCompany]]&lt;=1,"0–1 years",CleanEmployeeData[[#This Row],[YearsAtCompany]]&lt;=5,"2–5 years",CleanEmployeeData[[#This Row],[YearsAtCompany]]&lt;=10,"6–10 years",TRUE,"11+ years")</f>
        <v>2–5 years</v>
      </c>
    </row>
    <row r="1393" spans="1:4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cm="1">
        <f t="array" ref="AJ1393">_xlfn.SWITCH(CleanEmployeeData[[#This Row],[Education]],1,"Below College",2,"College",3,"Bachelor",4,"Master",5,"Doctor","Unknown")</f>
        <v>Bachelor</v>
      </c>
      <c r="AK1393" t="str" cm="1">
        <f t="array" ref="AK1393">_xlfn.SWITCH(CleanEmployeeData[[#This Row],[EnvironmentSatisfaction]],1,"Low",2,"Medium",3,"High",4,"Very High","Unknown")</f>
        <v>Low</v>
      </c>
      <c r="AL1393" t="str" cm="1">
        <f t="array" ref="AL1393">_xlfn.SWITCH(CleanEmployeeData[[#This Row],[JobInvolvement]],1,"Low",2,"Medium",3,"High",4,"Very High","Unknown")</f>
        <v>Medium</v>
      </c>
      <c r="AM1393" t="str" cm="1">
        <f t="array" ref="AM1393">_xlfn.SWITCH(CleanEmployeeData[[#This Row],[JobSatisfaction]],1,"Low",2,"Medium",3,"High",4,"Very High","Unknown")</f>
        <v>Low</v>
      </c>
      <c r="AN1393" t="str" cm="1">
        <f t="array" ref="AN1393">_xlfn.SWITCH(CleanEmployeeData[[#This Row],[PerformanceRating]],1,"Low",2,"Good",3,"Excellent",4,"Outstanding","Unknown")</f>
        <v>Excellent</v>
      </c>
      <c r="AO1393" t="str" cm="1">
        <f t="array" ref="AO1393">_xlfn.SWITCH(CleanEmployeeData[[#This Row],[WorkLifeBalance]],1,"Bad",2,"Good",3,"Better",4,"Best","Unknown")</f>
        <v>Good</v>
      </c>
      <c r="AP1393">
        <f>IF(CleanEmployeeData[[#This Row],[Attrition]]="Yes",1,IF(CleanEmployeeData[[#This Row],[Attrition]]="No",0,""))</f>
        <v>0</v>
      </c>
      <c r="AQ1393" t="str" cm="1">
        <f t="array" ref="AQ1393">_xlfn.IFS(CleanEmployeeData[[#This Row],[MonthlyIncome]]&lt;=3000,"0–3,000",CleanEmployeeData[[#This Row],[MonthlyIncome]]&lt;=6000,"3,001–6,000",CleanEmployeeData[[#This Row],[MonthlyIncome]]&lt;=10000,"6,001–10,000",TRUE,"10,001+")</f>
        <v>0–3,000</v>
      </c>
      <c r="AR1393" t="str" cm="1">
        <f t="array" ref="AR1393">_xlfn.IFS(CleanEmployeeData[[#This Row],[DistanceFromHome]]&lt;=5,"0–5 miles",CleanEmployeeData[[#This Row],[DistanceFromHome]]&lt;=10,"6–10 miles",CleanEmployeeData[[#This Row],[DistanceFromHome]]&lt;=15,"11–15 miles",TRUE,"16+ miles")</f>
        <v>0–5 miles</v>
      </c>
      <c r="AS1393" t="str" cm="1">
        <f t="array" ref="AS1393">_xlfn.IFS(CleanEmployeeData[[#This Row],[YearsAtCompany]]&lt;=1,"0–1 years",CleanEmployeeData[[#This Row],[YearsAtCompany]]&lt;=5,"2–5 years",CleanEmployeeData[[#This Row],[YearsAtCompany]]&lt;=10,"6–10 years",TRUE,"11+ years")</f>
        <v>0–1 years</v>
      </c>
    </row>
    <row r="1394" spans="1:4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cm="1">
        <f t="array" ref="AJ1394">_xlfn.SWITCH(CleanEmployeeData[[#This Row],[Education]],1,"Below College",2,"College",3,"Bachelor",4,"Master",5,"Doctor","Unknown")</f>
        <v>Master</v>
      </c>
      <c r="AK1394" t="str" cm="1">
        <f t="array" ref="AK1394">_xlfn.SWITCH(CleanEmployeeData[[#This Row],[EnvironmentSatisfaction]],1,"Low",2,"Medium",3,"High",4,"Very High","Unknown")</f>
        <v>High</v>
      </c>
      <c r="AL1394" t="str" cm="1">
        <f t="array" ref="AL1394">_xlfn.SWITCH(CleanEmployeeData[[#This Row],[JobInvolvement]],1,"Low",2,"Medium",3,"High",4,"Very High","Unknown")</f>
        <v>High</v>
      </c>
      <c r="AM1394" t="str" cm="1">
        <f t="array" ref="AM1394">_xlfn.SWITCH(CleanEmployeeData[[#This Row],[JobSatisfaction]],1,"Low",2,"Medium",3,"High",4,"Very High","Unknown")</f>
        <v>Very High</v>
      </c>
      <c r="AN1394" t="str" cm="1">
        <f t="array" ref="AN1394">_xlfn.SWITCH(CleanEmployeeData[[#This Row],[PerformanceRating]],1,"Low",2,"Good",3,"Excellent",4,"Outstanding","Unknown")</f>
        <v>Excellent</v>
      </c>
      <c r="AO1394" t="str" cm="1">
        <f t="array" ref="AO1394">_xlfn.SWITCH(CleanEmployeeData[[#This Row],[WorkLifeBalance]],1,"Bad",2,"Good",3,"Better",4,"Best","Unknown")</f>
        <v>Better</v>
      </c>
      <c r="AP1394">
        <f>IF(CleanEmployeeData[[#This Row],[Attrition]]="Yes",1,IF(CleanEmployeeData[[#This Row],[Attrition]]="No",0,""))</f>
        <v>0</v>
      </c>
      <c r="AQ1394" t="str" cm="1">
        <f t="array" ref="AQ1394">_xlfn.IFS(CleanEmployeeData[[#This Row],[MonthlyIncome]]&lt;=3000,"0–3,000",CleanEmployeeData[[#This Row],[MonthlyIncome]]&lt;=6000,"3,001–6,000",CleanEmployeeData[[#This Row],[MonthlyIncome]]&lt;=10000,"6,001–10,000",TRUE,"10,001+")</f>
        <v>3,001–6,000</v>
      </c>
      <c r="AR1394" t="str" cm="1">
        <f t="array" ref="AR1394">_xlfn.IFS(CleanEmployeeData[[#This Row],[DistanceFromHome]]&lt;=5,"0–5 miles",CleanEmployeeData[[#This Row],[DistanceFromHome]]&lt;=10,"6–10 miles",CleanEmployeeData[[#This Row],[DistanceFromHome]]&lt;=15,"11–15 miles",TRUE,"16+ miles")</f>
        <v>6–10 miles</v>
      </c>
      <c r="AS1394" t="str" cm="1">
        <f t="array" ref="AS1394">_xlfn.IFS(CleanEmployeeData[[#This Row],[YearsAtCompany]]&lt;=1,"0–1 years",CleanEmployeeData[[#This Row],[YearsAtCompany]]&lt;=5,"2–5 years",CleanEmployeeData[[#This Row],[YearsAtCompany]]&lt;=10,"6–10 years",TRUE,"11+ years")</f>
        <v>6–10 years</v>
      </c>
    </row>
    <row r="1395" spans="1:4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cm="1">
        <f t="array" ref="AJ1395">_xlfn.SWITCH(CleanEmployeeData[[#This Row],[Education]],1,"Below College",2,"College",3,"Bachelor",4,"Master",5,"Doctor","Unknown")</f>
        <v>Bachelor</v>
      </c>
      <c r="AK1395" t="str" cm="1">
        <f t="array" ref="AK1395">_xlfn.SWITCH(CleanEmployeeData[[#This Row],[EnvironmentSatisfaction]],1,"Low",2,"Medium",3,"High",4,"Very High","Unknown")</f>
        <v>Very High</v>
      </c>
      <c r="AL1395" t="str" cm="1">
        <f t="array" ref="AL1395">_xlfn.SWITCH(CleanEmployeeData[[#This Row],[JobInvolvement]],1,"Low",2,"Medium",3,"High",4,"Very High","Unknown")</f>
        <v>High</v>
      </c>
      <c r="AM1395" t="str" cm="1">
        <f t="array" ref="AM1395">_xlfn.SWITCH(CleanEmployeeData[[#This Row],[JobSatisfaction]],1,"Low",2,"Medium",3,"High",4,"Very High","Unknown")</f>
        <v>Very High</v>
      </c>
      <c r="AN1395" t="str" cm="1">
        <f t="array" ref="AN1395">_xlfn.SWITCH(CleanEmployeeData[[#This Row],[PerformanceRating]],1,"Low",2,"Good",3,"Excellent",4,"Outstanding","Unknown")</f>
        <v>Excellent</v>
      </c>
      <c r="AO1395" t="str" cm="1">
        <f t="array" ref="AO1395">_xlfn.SWITCH(CleanEmployeeData[[#This Row],[WorkLifeBalance]],1,"Bad",2,"Good",3,"Better",4,"Best","Unknown")</f>
        <v>Better</v>
      </c>
      <c r="AP1395">
        <f>IF(CleanEmployeeData[[#This Row],[Attrition]]="Yes",1,IF(CleanEmployeeData[[#This Row],[Attrition]]="No",0,""))</f>
        <v>0</v>
      </c>
      <c r="AQ1395" t="str" cm="1">
        <f t="array" ref="AQ1395">_xlfn.IFS(CleanEmployeeData[[#This Row],[MonthlyIncome]]&lt;=3000,"0–3,000",CleanEmployeeData[[#This Row],[MonthlyIncome]]&lt;=6000,"3,001–6,000",CleanEmployeeData[[#This Row],[MonthlyIncome]]&lt;=10000,"6,001–10,000",TRUE,"10,001+")</f>
        <v>3,001–6,000</v>
      </c>
      <c r="AR1395" t="str" cm="1">
        <f t="array" ref="AR1395">_xlfn.IFS(CleanEmployeeData[[#This Row],[DistanceFromHome]]&lt;=5,"0–5 miles",CleanEmployeeData[[#This Row],[DistanceFromHome]]&lt;=10,"6–10 miles",CleanEmployeeData[[#This Row],[DistanceFromHome]]&lt;=15,"11–15 miles",TRUE,"16+ miles")</f>
        <v>6–10 miles</v>
      </c>
      <c r="AS1395" t="str" cm="1">
        <f t="array" ref="AS1395">_xlfn.IFS(CleanEmployeeData[[#This Row],[YearsAtCompany]]&lt;=1,"0–1 years",CleanEmployeeData[[#This Row],[YearsAtCompany]]&lt;=5,"2–5 years",CleanEmployeeData[[#This Row],[YearsAtCompany]]&lt;=10,"6–10 years",TRUE,"11+ years")</f>
        <v>6–10 years</v>
      </c>
    </row>
    <row r="1396" spans="1:4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cm="1">
        <f t="array" ref="AJ1396">_xlfn.SWITCH(CleanEmployeeData[[#This Row],[Education]],1,"Below College",2,"College",3,"Bachelor",4,"Master",5,"Doctor","Unknown")</f>
        <v>Master</v>
      </c>
      <c r="AK1396" t="str" cm="1">
        <f t="array" ref="AK1396">_xlfn.SWITCH(CleanEmployeeData[[#This Row],[EnvironmentSatisfaction]],1,"Low",2,"Medium",3,"High",4,"Very High","Unknown")</f>
        <v>Very High</v>
      </c>
      <c r="AL1396" t="str" cm="1">
        <f t="array" ref="AL1396">_xlfn.SWITCH(CleanEmployeeData[[#This Row],[JobInvolvement]],1,"Low",2,"Medium",3,"High",4,"Very High","Unknown")</f>
        <v>Medium</v>
      </c>
      <c r="AM1396" t="str" cm="1">
        <f t="array" ref="AM1396">_xlfn.SWITCH(CleanEmployeeData[[#This Row],[JobSatisfaction]],1,"Low",2,"Medium",3,"High",4,"Very High","Unknown")</f>
        <v>Very High</v>
      </c>
      <c r="AN1396" t="str" cm="1">
        <f t="array" ref="AN1396">_xlfn.SWITCH(CleanEmployeeData[[#This Row],[PerformanceRating]],1,"Low",2,"Good",3,"Excellent",4,"Outstanding","Unknown")</f>
        <v>Outstanding</v>
      </c>
      <c r="AO1396" t="str" cm="1">
        <f t="array" ref="AO1396">_xlfn.SWITCH(CleanEmployeeData[[#This Row],[WorkLifeBalance]],1,"Bad",2,"Good",3,"Better",4,"Best","Unknown")</f>
        <v>Better</v>
      </c>
      <c r="AP1396">
        <f>IF(CleanEmployeeData[[#This Row],[Attrition]]="Yes",1,IF(CleanEmployeeData[[#This Row],[Attrition]]="No",0,""))</f>
        <v>0</v>
      </c>
      <c r="AQ1396" t="str" cm="1">
        <f t="array" ref="AQ1396">_xlfn.IFS(CleanEmployeeData[[#This Row],[MonthlyIncome]]&lt;=3000,"0–3,000",CleanEmployeeData[[#This Row],[MonthlyIncome]]&lt;=6000,"3,001–6,000",CleanEmployeeData[[#This Row],[MonthlyIncome]]&lt;=10000,"6,001–10,000",TRUE,"10,001+")</f>
        <v>6,001–10,000</v>
      </c>
      <c r="AR1396" t="str" cm="1">
        <f t="array" ref="AR1396">_xlfn.IFS(CleanEmployeeData[[#This Row],[DistanceFromHome]]&lt;=5,"0–5 miles",CleanEmployeeData[[#This Row],[DistanceFromHome]]&lt;=10,"6–10 miles",CleanEmployeeData[[#This Row],[DistanceFromHome]]&lt;=15,"11–15 miles",TRUE,"16+ miles")</f>
        <v>0–5 miles</v>
      </c>
      <c r="AS1396" t="str" cm="1">
        <f t="array" ref="AS1396">_xlfn.IFS(CleanEmployeeData[[#This Row],[YearsAtCompany]]&lt;=1,"0–1 years",CleanEmployeeData[[#This Row],[YearsAtCompany]]&lt;=5,"2–5 years",CleanEmployeeData[[#This Row],[YearsAtCompany]]&lt;=10,"6–10 years",TRUE,"11+ years")</f>
        <v>0–1 years</v>
      </c>
    </row>
    <row r="1397" spans="1:4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cm="1">
        <f t="array" ref="AJ1397">_xlfn.SWITCH(CleanEmployeeData[[#This Row],[Education]],1,"Below College",2,"College",3,"Bachelor",4,"Master",5,"Doctor","Unknown")</f>
        <v>Master</v>
      </c>
      <c r="AK1397" t="str" cm="1">
        <f t="array" ref="AK1397">_xlfn.SWITCH(CleanEmployeeData[[#This Row],[EnvironmentSatisfaction]],1,"Low",2,"Medium",3,"High",4,"Very High","Unknown")</f>
        <v>Low</v>
      </c>
      <c r="AL1397" t="str" cm="1">
        <f t="array" ref="AL1397">_xlfn.SWITCH(CleanEmployeeData[[#This Row],[JobInvolvement]],1,"Low",2,"Medium",3,"High",4,"Very High","Unknown")</f>
        <v>High</v>
      </c>
      <c r="AM1397" t="str" cm="1">
        <f t="array" ref="AM1397">_xlfn.SWITCH(CleanEmployeeData[[#This Row],[JobSatisfaction]],1,"Low",2,"Medium",3,"High",4,"Very High","Unknown")</f>
        <v>Very High</v>
      </c>
      <c r="AN1397" t="str" cm="1">
        <f t="array" ref="AN1397">_xlfn.SWITCH(CleanEmployeeData[[#This Row],[PerformanceRating]],1,"Low",2,"Good",3,"Excellent",4,"Outstanding","Unknown")</f>
        <v>Excellent</v>
      </c>
      <c r="AO1397" t="str" cm="1">
        <f t="array" ref="AO1397">_xlfn.SWITCH(CleanEmployeeData[[#This Row],[WorkLifeBalance]],1,"Bad",2,"Good",3,"Better",4,"Best","Unknown")</f>
        <v>Better</v>
      </c>
      <c r="AP1397">
        <f>IF(CleanEmployeeData[[#This Row],[Attrition]]="Yes",1,IF(CleanEmployeeData[[#This Row],[Attrition]]="No",0,""))</f>
        <v>1</v>
      </c>
      <c r="AQ1397" t="str" cm="1">
        <f t="array" ref="AQ1397">_xlfn.IFS(CleanEmployeeData[[#This Row],[MonthlyIncome]]&lt;=3000,"0–3,000",CleanEmployeeData[[#This Row],[MonthlyIncome]]&lt;=6000,"3,001–6,000",CleanEmployeeData[[#This Row],[MonthlyIncome]]&lt;=10000,"6,001–10,000",TRUE,"10,001+")</f>
        <v>3,001–6,000</v>
      </c>
      <c r="AR1397" t="str" cm="1">
        <f t="array" ref="AR1397">_xlfn.IFS(CleanEmployeeData[[#This Row],[DistanceFromHome]]&lt;=5,"0–5 miles",CleanEmployeeData[[#This Row],[DistanceFromHome]]&lt;=10,"6–10 miles",CleanEmployeeData[[#This Row],[DistanceFromHome]]&lt;=15,"11–15 miles",TRUE,"16+ miles")</f>
        <v>16+ miles</v>
      </c>
      <c r="AS1397" t="str" cm="1">
        <f t="array" ref="AS1397">_xlfn.IFS(CleanEmployeeData[[#This Row],[YearsAtCompany]]&lt;=1,"0–1 years",CleanEmployeeData[[#This Row],[YearsAtCompany]]&lt;=5,"2–5 years",CleanEmployeeData[[#This Row],[YearsAtCompany]]&lt;=10,"6–10 years",TRUE,"11+ years")</f>
        <v>6–10 years</v>
      </c>
    </row>
    <row r="1398" spans="1:4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cm="1">
        <f t="array" ref="AJ1398">_xlfn.SWITCH(CleanEmployeeData[[#This Row],[Education]],1,"Below College",2,"College",3,"Bachelor",4,"Master",5,"Doctor","Unknown")</f>
        <v>Master</v>
      </c>
      <c r="AK1398" t="str" cm="1">
        <f t="array" ref="AK1398">_xlfn.SWITCH(CleanEmployeeData[[#This Row],[EnvironmentSatisfaction]],1,"Low",2,"Medium",3,"High",4,"Very High","Unknown")</f>
        <v>Low</v>
      </c>
      <c r="AL1398" t="str" cm="1">
        <f t="array" ref="AL1398">_xlfn.SWITCH(CleanEmployeeData[[#This Row],[JobInvolvement]],1,"Low",2,"Medium",3,"High",4,"Very High","Unknown")</f>
        <v>High</v>
      </c>
      <c r="AM1398" t="str" cm="1">
        <f t="array" ref="AM1398">_xlfn.SWITCH(CleanEmployeeData[[#This Row],[JobSatisfaction]],1,"Low",2,"Medium",3,"High",4,"Very High","Unknown")</f>
        <v>Low</v>
      </c>
      <c r="AN1398" t="str" cm="1">
        <f t="array" ref="AN1398">_xlfn.SWITCH(CleanEmployeeData[[#This Row],[PerformanceRating]],1,"Low",2,"Good",3,"Excellent",4,"Outstanding","Unknown")</f>
        <v>Excellent</v>
      </c>
      <c r="AO1398" t="str" cm="1">
        <f t="array" ref="AO1398">_xlfn.SWITCH(CleanEmployeeData[[#This Row],[WorkLifeBalance]],1,"Bad",2,"Good",3,"Better",4,"Best","Unknown")</f>
        <v>Good</v>
      </c>
      <c r="AP1398">
        <f>IF(CleanEmployeeData[[#This Row],[Attrition]]="Yes",1,IF(CleanEmployeeData[[#This Row],[Attrition]]="No",0,""))</f>
        <v>1</v>
      </c>
      <c r="AQ1398" t="str" cm="1">
        <f t="array" ref="AQ1398">_xlfn.IFS(CleanEmployeeData[[#This Row],[MonthlyIncome]]&lt;=3000,"0–3,000",CleanEmployeeData[[#This Row],[MonthlyIncome]]&lt;=6000,"3,001–6,000",CleanEmployeeData[[#This Row],[MonthlyIncome]]&lt;=10000,"6,001–10,000",TRUE,"10,001+")</f>
        <v>10,001+</v>
      </c>
      <c r="AR1398" t="str" cm="1">
        <f t="array" ref="AR1398">_xlfn.IFS(CleanEmployeeData[[#This Row],[DistanceFromHome]]&lt;=5,"0–5 miles",CleanEmployeeData[[#This Row],[DistanceFromHome]]&lt;=10,"6–10 miles",CleanEmployeeData[[#This Row],[DistanceFromHome]]&lt;=15,"11–15 miles",TRUE,"16+ miles")</f>
        <v>16+ miles</v>
      </c>
      <c r="AS1398" t="str" cm="1">
        <f t="array" ref="AS1398">_xlfn.IFS(CleanEmployeeData[[#This Row],[YearsAtCompany]]&lt;=1,"0–1 years",CleanEmployeeData[[#This Row],[YearsAtCompany]]&lt;=5,"2–5 years",CleanEmployeeData[[#This Row],[YearsAtCompany]]&lt;=10,"6–10 years",TRUE,"11+ years")</f>
        <v>2–5 years</v>
      </c>
    </row>
    <row r="1399" spans="1:4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cm="1">
        <f t="array" ref="AJ1399">_xlfn.SWITCH(CleanEmployeeData[[#This Row],[Education]],1,"Below College",2,"College",3,"Bachelor",4,"Master",5,"Doctor","Unknown")</f>
        <v>College</v>
      </c>
      <c r="AK1399" t="str" cm="1">
        <f t="array" ref="AK1399">_xlfn.SWITCH(CleanEmployeeData[[#This Row],[EnvironmentSatisfaction]],1,"Low",2,"Medium",3,"High",4,"Very High","Unknown")</f>
        <v>Low</v>
      </c>
      <c r="AL1399" t="str" cm="1">
        <f t="array" ref="AL1399">_xlfn.SWITCH(CleanEmployeeData[[#This Row],[JobInvolvement]],1,"Low",2,"Medium",3,"High",4,"Very High","Unknown")</f>
        <v>High</v>
      </c>
      <c r="AM1399" t="str" cm="1">
        <f t="array" ref="AM1399">_xlfn.SWITCH(CleanEmployeeData[[#This Row],[JobSatisfaction]],1,"Low",2,"Medium",3,"High",4,"Very High","Unknown")</f>
        <v>High</v>
      </c>
      <c r="AN1399" t="str" cm="1">
        <f t="array" ref="AN1399">_xlfn.SWITCH(CleanEmployeeData[[#This Row],[PerformanceRating]],1,"Low",2,"Good",3,"Excellent",4,"Outstanding","Unknown")</f>
        <v>Excellent</v>
      </c>
      <c r="AO1399" t="str" cm="1">
        <f t="array" ref="AO1399">_xlfn.SWITCH(CleanEmployeeData[[#This Row],[WorkLifeBalance]],1,"Bad",2,"Good",3,"Better",4,"Best","Unknown")</f>
        <v>Good</v>
      </c>
      <c r="AP1399">
        <f>IF(CleanEmployeeData[[#This Row],[Attrition]]="Yes",1,IF(CleanEmployeeData[[#This Row],[Attrition]]="No",0,""))</f>
        <v>0</v>
      </c>
      <c r="AQ1399" t="str" cm="1">
        <f t="array" ref="AQ1399">_xlfn.IFS(CleanEmployeeData[[#This Row],[MonthlyIncome]]&lt;=3000,"0–3,000",CleanEmployeeData[[#This Row],[MonthlyIncome]]&lt;=6000,"3,001–6,000",CleanEmployeeData[[#This Row],[MonthlyIncome]]&lt;=10000,"6,001–10,000",TRUE,"10,001+")</f>
        <v>0–3,000</v>
      </c>
      <c r="AR1399" t="str" cm="1">
        <f t="array" ref="AR1399">_xlfn.IFS(CleanEmployeeData[[#This Row],[DistanceFromHome]]&lt;=5,"0–5 miles",CleanEmployeeData[[#This Row],[DistanceFromHome]]&lt;=10,"6–10 miles",CleanEmployeeData[[#This Row],[DistanceFromHome]]&lt;=15,"11–15 miles",TRUE,"16+ miles")</f>
        <v>6–10 miles</v>
      </c>
      <c r="AS1399" t="str" cm="1">
        <f t="array" ref="AS1399">_xlfn.IFS(CleanEmployeeData[[#This Row],[YearsAtCompany]]&lt;=1,"0–1 years",CleanEmployeeData[[#This Row],[YearsAtCompany]]&lt;=5,"2–5 years",CleanEmployeeData[[#This Row],[YearsAtCompany]]&lt;=10,"6–10 years",TRUE,"11+ years")</f>
        <v>2–5 years</v>
      </c>
    </row>
    <row r="1400" spans="1:4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cm="1">
        <f t="array" ref="AJ1400">_xlfn.SWITCH(CleanEmployeeData[[#This Row],[Education]],1,"Below College",2,"College",3,"Bachelor",4,"Master",5,"Doctor","Unknown")</f>
        <v>College</v>
      </c>
      <c r="AK1400" t="str" cm="1">
        <f t="array" ref="AK1400">_xlfn.SWITCH(CleanEmployeeData[[#This Row],[EnvironmentSatisfaction]],1,"Low",2,"Medium",3,"High",4,"Very High","Unknown")</f>
        <v>Very High</v>
      </c>
      <c r="AL1400" t="str" cm="1">
        <f t="array" ref="AL1400">_xlfn.SWITCH(CleanEmployeeData[[#This Row],[JobInvolvement]],1,"Low",2,"Medium",3,"High",4,"Very High","Unknown")</f>
        <v>High</v>
      </c>
      <c r="AM1400" t="str" cm="1">
        <f t="array" ref="AM1400">_xlfn.SWITCH(CleanEmployeeData[[#This Row],[JobSatisfaction]],1,"Low",2,"Medium",3,"High",4,"Very High","Unknown")</f>
        <v>High</v>
      </c>
      <c r="AN1400" t="str" cm="1">
        <f t="array" ref="AN1400">_xlfn.SWITCH(CleanEmployeeData[[#This Row],[PerformanceRating]],1,"Low",2,"Good",3,"Excellent",4,"Outstanding","Unknown")</f>
        <v>Outstanding</v>
      </c>
      <c r="AO1400" t="str" cm="1">
        <f t="array" ref="AO1400">_xlfn.SWITCH(CleanEmployeeData[[#This Row],[WorkLifeBalance]],1,"Bad",2,"Good",3,"Better",4,"Best","Unknown")</f>
        <v>Better</v>
      </c>
      <c r="AP1400">
        <f>IF(CleanEmployeeData[[#This Row],[Attrition]]="Yes",1,IF(CleanEmployeeData[[#This Row],[Attrition]]="No",0,""))</f>
        <v>0</v>
      </c>
      <c r="AQ1400" t="str" cm="1">
        <f t="array" ref="AQ1400">_xlfn.IFS(CleanEmployeeData[[#This Row],[MonthlyIncome]]&lt;=3000,"0–3,000",CleanEmployeeData[[#This Row],[MonthlyIncome]]&lt;=6000,"3,001–6,000",CleanEmployeeData[[#This Row],[MonthlyIncome]]&lt;=10000,"6,001–10,000",TRUE,"10,001+")</f>
        <v>3,001–6,000</v>
      </c>
      <c r="AR1400" t="str" cm="1">
        <f t="array" ref="AR1400">_xlfn.IFS(CleanEmployeeData[[#This Row],[DistanceFromHome]]&lt;=5,"0–5 miles",CleanEmployeeData[[#This Row],[DistanceFromHome]]&lt;=10,"6–10 miles",CleanEmployeeData[[#This Row],[DistanceFromHome]]&lt;=15,"11–15 miles",TRUE,"16+ miles")</f>
        <v>6–10 miles</v>
      </c>
      <c r="AS1400" t="str" cm="1">
        <f t="array" ref="AS1400">_xlfn.IFS(CleanEmployeeData[[#This Row],[YearsAtCompany]]&lt;=1,"0–1 years",CleanEmployeeData[[#This Row],[YearsAtCompany]]&lt;=5,"2–5 years",CleanEmployeeData[[#This Row],[YearsAtCompany]]&lt;=10,"6–10 years",TRUE,"11+ years")</f>
        <v>6–10 years</v>
      </c>
    </row>
    <row r="1401" spans="1:4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cm="1">
        <f t="array" ref="AJ1401">_xlfn.SWITCH(CleanEmployeeData[[#This Row],[Education]],1,"Below College",2,"College",3,"Bachelor",4,"Master",5,"Doctor","Unknown")</f>
        <v>Bachelor</v>
      </c>
      <c r="AK1401" t="str" cm="1">
        <f t="array" ref="AK1401">_xlfn.SWITCH(CleanEmployeeData[[#This Row],[EnvironmentSatisfaction]],1,"Low",2,"Medium",3,"High",4,"Very High","Unknown")</f>
        <v>Low</v>
      </c>
      <c r="AL1401" t="str" cm="1">
        <f t="array" ref="AL1401">_xlfn.SWITCH(CleanEmployeeData[[#This Row],[JobInvolvement]],1,"Low",2,"Medium",3,"High",4,"Very High","Unknown")</f>
        <v>High</v>
      </c>
      <c r="AM1401" t="str" cm="1">
        <f t="array" ref="AM1401">_xlfn.SWITCH(CleanEmployeeData[[#This Row],[JobSatisfaction]],1,"Low",2,"Medium",3,"High",4,"Very High","Unknown")</f>
        <v>High</v>
      </c>
      <c r="AN1401" t="str" cm="1">
        <f t="array" ref="AN1401">_xlfn.SWITCH(CleanEmployeeData[[#This Row],[PerformanceRating]],1,"Low",2,"Good",3,"Excellent",4,"Outstanding","Unknown")</f>
        <v>Excellent</v>
      </c>
      <c r="AO1401" t="str" cm="1">
        <f t="array" ref="AO1401">_xlfn.SWITCH(CleanEmployeeData[[#This Row],[WorkLifeBalance]],1,"Bad",2,"Good",3,"Better",4,"Best","Unknown")</f>
        <v>Better</v>
      </c>
      <c r="AP1401">
        <f>IF(CleanEmployeeData[[#This Row],[Attrition]]="Yes",1,IF(CleanEmployeeData[[#This Row],[Attrition]]="No",0,""))</f>
        <v>0</v>
      </c>
      <c r="AQ1401" t="str" cm="1">
        <f t="array" ref="AQ1401">_xlfn.IFS(CleanEmployeeData[[#This Row],[MonthlyIncome]]&lt;=3000,"0–3,000",CleanEmployeeData[[#This Row],[MonthlyIncome]]&lt;=6000,"3,001–6,000",CleanEmployeeData[[#This Row],[MonthlyIncome]]&lt;=10000,"6,001–10,000",TRUE,"10,001+")</f>
        <v>6,001–10,000</v>
      </c>
      <c r="AR1401" t="str" cm="1">
        <f t="array" ref="AR1401">_xlfn.IFS(CleanEmployeeData[[#This Row],[DistanceFromHome]]&lt;=5,"0–5 miles",CleanEmployeeData[[#This Row],[DistanceFromHome]]&lt;=10,"6–10 miles",CleanEmployeeData[[#This Row],[DistanceFromHome]]&lt;=15,"11–15 miles",TRUE,"16+ miles")</f>
        <v>11–15 miles</v>
      </c>
      <c r="AS1401" t="str" cm="1">
        <f t="array" ref="AS1401">_xlfn.IFS(CleanEmployeeData[[#This Row],[YearsAtCompany]]&lt;=1,"0–1 years",CleanEmployeeData[[#This Row],[YearsAtCompany]]&lt;=5,"2–5 years",CleanEmployeeData[[#This Row],[YearsAtCompany]]&lt;=10,"6–10 years",TRUE,"11+ years")</f>
        <v>6–10 years</v>
      </c>
    </row>
    <row r="1402" spans="1:4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cm="1">
        <f t="array" ref="AJ1402">_xlfn.SWITCH(CleanEmployeeData[[#This Row],[Education]],1,"Below College",2,"College",3,"Bachelor",4,"Master",5,"Doctor","Unknown")</f>
        <v>Master</v>
      </c>
      <c r="AK1402" t="str" cm="1">
        <f t="array" ref="AK1402">_xlfn.SWITCH(CleanEmployeeData[[#This Row],[EnvironmentSatisfaction]],1,"Low",2,"Medium",3,"High",4,"Very High","Unknown")</f>
        <v>Very High</v>
      </c>
      <c r="AL1402" t="str" cm="1">
        <f t="array" ref="AL1402">_xlfn.SWITCH(CleanEmployeeData[[#This Row],[JobInvolvement]],1,"Low",2,"Medium",3,"High",4,"Very High","Unknown")</f>
        <v>High</v>
      </c>
      <c r="AM1402" t="str" cm="1">
        <f t="array" ref="AM1402">_xlfn.SWITCH(CleanEmployeeData[[#This Row],[JobSatisfaction]],1,"Low",2,"Medium",3,"High",4,"Very High","Unknown")</f>
        <v>Medium</v>
      </c>
      <c r="AN1402" t="str" cm="1">
        <f t="array" ref="AN1402">_xlfn.SWITCH(CleanEmployeeData[[#This Row],[PerformanceRating]],1,"Low",2,"Good",3,"Excellent",4,"Outstanding","Unknown")</f>
        <v>Excellent</v>
      </c>
      <c r="AO1402" t="str" cm="1">
        <f t="array" ref="AO1402">_xlfn.SWITCH(CleanEmployeeData[[#This Row],[WorkLifeBalance]],1,"Bad",2,"Good",3,"Better",4,"Best","Unknown")</f>
        <v>Better</v>
      </c>
      <c r="AP1402">
        <f>IF(CleanEmployeeData[[#This Row],[Attrition]]="Yes",1,IF(CleanEmployeeData[[#This Row],[Attrition]]="No",0,""))</f>
        <v>0</v>
      </c>
      <c r="AQ1402" t="str" cm="1">
        <f t="array" ref="AQ1402">_xlfn.IFS(CleanEmployeeData[[#This Row],[MonthlyIncome]]&lt;=3000,"0–3,000",CleanEmployeeData[[#This Row],[MonthlyIncome]]&lt;=6000,"3,001–6,000",CleanEmployeeData[[#This Row],[MonthlyIncome]]&lt;=10000,"6,001–10,000",TRUE,"10,001+")</f>
        <v>0–3,000</v>
      </c>
      <c r="AR1402" t="str" cm="1">
        <f t="array" ref="AR1402">_xlfn.IFS(CleanEmployeeData[[#This Row],[DistanceFromHome]]&lt;=5,"0–5 miles",CleanEmployeeData[[#This Row],[DistanceFromHome]]&lt;=10,"6–10 miles",CleanEmployeeData[[#This Row],[DistanceFromHome]]&lt;=15,"11–15 miles",TRUE,"16+ miles")</f>
        <v>0–5 miles</v>
      </c>
      <c r="AS1402" t="str" cm="1">
        <f t="array" ref="AS1402">_xlfn.IFS(CleanEmployeeData[[#This Row],[YearsAtCompany]]&lt;=1,"0–1 years",CleanEmployeeData[[#This Row],[YearsAtCompany]]&lt;=5,"2–5 years",CleanEmployeeData[[#This Row],[YearsAtCompany]]&lt;=10,"6–10 years",TRUE,"11+ years")</f>
        <v>6–10 years</v>
      </c>
    </row>
    <row r="1403" spans="1:4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cm="1">
        <f t="array" ref="AJ1403">_xlfn.SWITCH(CleanEmployeeData[[#This Row],[Education]],1,"Below College",2,"College",3,"Bachelor",4,"Master",5,"Doctor","Unknown")</f>
        <v>Master</v>
      </c>
      <c r="AK1403" t="str" cm="1">
        <f t="array" ref="AK1403">_xlfn.SWITCH(CleanEmployeeData[[#This Row],[EnvironmentSatisfaction]],1,"Low",2,"Medium",3,"High",4,"Very High","Unknown")</f>
        <v>High</v>
      </c>
      <c r="AL1403" t="str" cm="1">
        <f t="array" ref="AL1403">_xlfn.SWITCH(CleanEmployeeData[[#This Row],[JobInvolvement]],1,"Low",2,"Medium",3,"High",4,"Very High","Unknown")</f>
        <v>Very High</v>
      </c>
      <c r="AM1403" t="str" cm="1">
        <f t="array" ref="AM1403">_xlfn.SWITCH(CleanEmployeeData[[#This Row],[JobSatisfaction]],1,"Low",2,"Medium",3,"High",4,"Very High","Unknown")</f>
        <v>Medium</v>
      </c>
      <c r="AN1403" t="str" cm="1">
        <f t="array" ref="AN1403">_xlfn.SWITCH(CleanEmployeeData[[#This Row],[PerformanceRating]],1,"Low",2,"Good",3,"Excellent",4,"Outstanding","Unknown")</f>
        <v>Excellent</v>
      </c>
      <c r="AO1403" t="str" cm="1">
        <f t="array" ref="AO1403">_xlfn.SWITCH(CleanEmployeeData[[#This Row],[WorkLifeBalance]],1,"Bad",2,"Good",3,"Better",4,"Best","Unknown")</f>
        <v>Better</v>
      </c>
      <c r="AP1403">
        <f>IF(CleanEmployeeData[[#This Row],[Attrition]]="Yes",1,IF(CleanEmployeeData[[#This Row],[Attrition]]="No",0,""))</f>
        <v>0</v>
      </c>
      <c r="AQ1403" t="str" cm="1">
        <f t="array" ref="AQ1403">_xlfn.IFS(CleanEmployeeData[[#This Row],[MonthlyIncome]]&lt;=3000,"0–3,000",CleanEmployeeData[[#This Row],[MonthlyIncome]]&lt;=6000,"3,001–6,000",CleanEmployeeData[[#This Row],[MonthlyIncome]]&lt;=10000,"6,001–10,000",TRUE,"10,001+")</f>
        <v>10,001+</v>
      </c>
      <c r="AR1403" t="str" cm="1">
        <f t="array" ref="AR1403">_xlfn.IFS(CleanEmployeeData[[#This Row],[DistanceFromHome]]&lt;=5,"0–5 miles",CleanEmployeeData[[#This Row],[DistanceFromHome]]&lt;=10,"6–10 miles",CleanEmployeeData[[#This Row],[DistanceFromHome]]&lt;=15,"11–15 miles",TRUE,"16+ miles")</f>
        <v>16+ miles</v>
      </c>
      <c r="AS1403" t="str" cm="1">
        <f t="array" ref="AS1403">_xlfn.IFS(CleanEmployeeData[[#This Row],[YearsAtCompany]]&lt;=1,"0–1 years",CleanEmployeeData[[#This Row],[YearsAtCompany]]&lt;=5,"2–5 years",CleanEmployeeData[[#This Row],[YearsAtCompany]]&lt;=10,"6–10 years",TRUE,"11+ years")</f>
        <v>6–10 years</v>
      </c>
    </row>
    <row r="1404" spans="1:4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cm="1">
        <f t="array" ref="AJ1404">_xlfn.SWITCH(CleanEmployeeData[[#This Row],[Education]],1,"Below College",2,"College",3,"Bachelor",4,"Master",5,"Doctor","Unknown")</f>
        <v>Below College</v>
      </c>
      <c r="AK1404" t="str" cm="1">
        <f t="array" ref="AK1404">_xlfn.SWITCH(CleanEmployeeData[[#This Row],[EnvironmentSatisfaction]],1,"Low",2,"Medium",3,"High",4,"Very High","Unknown")</f>
        <v>Very High</v>
      </c>
      <c r="AL1404" t="str" cm="1">
        <f t="array" ref="AL1404">_xlfn.SWITCH(CleanEmployeeData[[#This Row],[JobInvolvement]],1,"Low",2,"Medium",3,"High",4,"Very High","Unknown")</f>
        <v>Low</v>
      </c>
      <c r="AM1404" t="str" cm="1">
        <f t="array" ref="AM1404">_xlfn.SWITCH(CleanEmployeeData[[#This Row],[JobSatisfaction]],1,"Low",2,"Medium",3,"High",4,"Very High","Unknown")</f>
        <v>Very High</v>
      </c>
      <c r="AN1404" t="str" cm="1">
        <f t="array" ref="AN1404">_xlfn.SWITCH(CleanEmployeeData[[#This Row],[PerformanceRating]],1,"Low",2,"Good",3,"Excellent",4,"Outstanding","Unknown")</f>
        <v>Excellent</v>
      </c>
      <c r="AO1404" t="str" cm="1">
        <f t="array" ref="AO1404">_xlfn.SWITCH(CleanEmployeeData[[#This Row],[WorkLifeBalance]],1,"Bad",2,"Good",3,"Better",4,"Best","Unknown")</f>
        <v>Better</v>
      </c>
      <c r="AP1404">
        <f>IF(CleanEmployeeData[[#This Row],[Attrition]]="Yes",1,IF(CleanEmployeeData[[#This Row],[Attrition]]="No",0,""))</f>
        <v>0</v>
      </c>
      <c r="AQ1404" t="str" cm="1">
        <f t="array" ref="AQ1404">_xlfn.IFS(CleanEmployeeData[[#This Row],[MonthlyIncome]]&lt;=3000,"0–3,000",CleanEmployeeData[[#This Row],[MonthlyIncome]]&lt;=6000,"3,001–6,000",CleanEmployeeData[[#This Row],[MonthlyIncome]]&lt;=10000,"6,001–10,000",TRUE,"10,001+")</f>
        <v>0–3,000</v>
      </c>
      <c r="AR1404" t="str" cm="1">
        <f t="array" ref="AR1404">_xlfn.IFS(CleanEmployeeData[[#This Row],[DistanceFromHome]]&lt;=5,"0–5 miles",CleanEmployeeData[[#This Row],[DistanceFromHome]]&lt;=10,"6–10 miles",CleanEmployeeData[[#This Row],[DistanceFromHome]]&lt;=15,"11–15 miles",TRUE,"16+ miles")</f>
        <v>0–5 miles</v>
      </c>
      <c r="AS1404" t="str" cm="1">
        <f t="array" ref="AS1404">_xlfn.IFS(CleanEmployeeData[[#This Row],[YearsAtCompany]]&lt;=1,"0–1 years",CleanEmployeeData[[#This Row],[YearsAtCompany]]&lt;=5,"2–5 years",CleanEmployeeData[[#This Row],[YearsAtCompany]]&lt;=10,"6–10 years",TRUE,"11+ years")</f>
        <v>0–1 years</v>
      </c>
    </row>
    <row r="1405" spans="1:4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cm="1">
        <f t="array" ref="AJ1405">_xlfn.SWITCH(CleanEmployeeData[[#This Row],[Education]],1,"Below College",2,"College",3,"Bachelor",4,"Master",5,"Doctor","Unknown")</f>
        <v>Master</v>
      </c>
      <c r="AK1405" t="str" cm="1">
        <f t="array" ref="AK1405">_xlfn.SWITCH(CleanEmployeeData[[#This Row],[EnvironmentSatisfaction]],1,"Low",2,"Medium",3,"High",4,"Very High","Unknown")</f>
        <v>Medium</v>
      </c>
      <c r="AL1405" t="str" cm="1">
        <f t="array" ref="AL1405">_xlfn.SWITCH(CleanEmployeeData[[#This Row],[JobInvolvement]],1,"Low",2,"Medium",3,"High",4,"Very High","Unknown")</f>
        <v>High</v>
      </c>
      <c r="AM1405" t="str" cm="1">
        <f t="array" ref="AM1405">_xlfn.SWITCH(CleanEmployeeData[[#This Row],[JobSatisfaction]],1,"Low",2,"Medium",3,"High",4,"Very High","Unknown")</f>
        <v>Low</v>
      </c>
      <c r="AN1405" t="str" cm="1">
        <f t="array" ref="AN1405">_xlfn.SWITCH(CleanEmployeeData[[#This Row],[PerformanceRating]],1,"Low",2,"Good",3,"Excellent",4,"Outstanding","Unknown")</f>
        <v>Excellent</v>
      </c>
      <c r="AO1405" t="str" cm="1">
        <f t="array" ref="AO1405">_xlfn.SWITCH(CleanEmployeeData[[#This Row],[WorkLifeBalance]],1,"Bad",2,"Good",3,"Better",4,"Best","Unknown")</f>
        <v>Better</v>
      </c>
      <c r="AP1405">
        <f>IF(CleanEmployeeData[[#This Row],[Attrition]]="Yes",1,IF(CleanEmployeeData[[#This Row],[Attrition]]="No",0,""))</f>
        <v>0</v>
      </c>
      <c r="AQ1405" t="str" cm="1">
        <f t="array" ref="AQ1405">_xlfn.IFS(CleanEmployeeData[[#This Row],[MonthlyIncome]]&lt;=3000,"0–3,000",CleanEmployeeData[[#This Row],[MonthlyIncome]]&lt;=6000,"3,001–6,000",CleanEmployeeData[[#This Row],[MonthlyIncome]]&lt;=10000,"6,001–10,000",TRUE,"10,001+")</f>
        <v>10,001+</v>
      </c>
      <c r="AR1405" t="str" cm="1">
        <f t="array" ref="AR1405">_xlfn.IFS(CleanEmployeeData[[#This Row],[DistanceFromHome]]&lt;=5,"0–5 miles",CleanEmployeeData[[#This Row],[DistanceFromHome]]&lt;=10,"6–10 miles",CleanEmployeeData[[#This Row],[DistanceFromHome]]&lt;=15,"11–15 miles",TRUE,"16+ miles")</f>
        <v>11–15 miles</v>
      </c>
      <c r="AS1405" t="str" cm="1">
        <f t="array" ref="AS1405">_xlfn.IFS(CleanEmployeeData[[#This Row],[YearsAtCompany]]&lt;=1,"0–1 years",CleanEmployeeData[[#This Row],[YearsAtCompany]]&lt;=5,"2–5 years",CleanEmployeeData[[#This Row],[YearsAtCompany]]&lt;=10,"6–10 years",TRUE,"11+ years")</f>
        <v>11+ years</v>
      </c>
    </row>
    <row r="1406" spans="1:4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cm="1">
        <f t="array" ref="AJ1406">_xlfn.SWITCH(CleanEmployeeData[[#This Row],[Education]],1,"Below College",2,"College",3,"Bachelor",4,"Master",5,"Doctor","Unknown")</f>
        <v>College</v>
      </c>
      <c r="AK1406" t="str" cm="1">
        <f t="array" ref="AK1406">_xlfn.SWITCH(CleanEmployeeData[[#This Row],[EnvironmentSatisfaction]],1,"Low",2,"Medium",3,"High",4,"Very High","Unknown")</f>
        <v>Very High</v>
      </c>
      <c r="AL1406" t="str" cm="1">
        <f t="array" ref="AL1406">_xlfn.SWITCH(CleanEmployeeData[[#This Row],[JobInvolvement]],1,"Low",2,"Medium",3,"High",4,"Very High","Unknown")</f>
        <v>Medium</v>
      </c>
      <c r="AM1406" t="str" cm="1">
        <f t="array" ref="AM1406">_xlfn.SWITCH(CleanEmployeeData[[#This Row],[JobSatisfaction]],1,"Low",2,"Medium",3,"High",4,"Very High","Unknown")</f>
        <v>High</v>
      </c>
      <c r="AN1406" t="str" cm="1">
        <f t="array" ref="AN1406">_xlfn.SWITCH(CleanEmployeeData[[#This Row],[PerformanceRating]],1,"Low",2,"Good",3,"Excellent",4,"Outstanding","Unknown")</f>
        <v>Excellent</v>
      </c>
      <c r="AO1406" t="str" cm="1">
        <f t="array" ref="AO1406">_xlfn.SWITCH(CleanEmployeeData[[#This Row],[WorkLifeBalance]],1,"Bad",2,"Good",3,"Better",4,"Best","Unknown")</f>
        <v>Better</v>
      </c>
      <c r="AP1406">
        <f>IF(CleanEmployeeData[[#This Row],[Attrition]]="Yes",1,IF(CleanEmployeeData[[#This Row],[Attrition]]="No",0,""))</f>
        <v>0</v>
      </c>
      <c r="AQ1406" t="str" cm="1">
        <f t="array" ref="AQ1406">_xlfn.IFS(CleanEmployeeData[[#This Row],[MonthlyIncome]]&lt;=3000,"0–3,000",CleanEmployeeData[[#This Row],[MonthlyIncome]]&lt;=6000,"3,001–6,000",CleanEmployeeData[[#This Row],[MonthlyIncome]]&lt;=10000,"6,001–10,000",TRUE,"10,001+")</f>
        <v>3,001–6,000</v>
      </c>
      <c r="AR1406" t="str" cm="1">
        <f t="array" ref="AR1406">_xlfn.IFS(CleanEmployeeData[[#This Row],[DistanceFromHome]]&lt;=5,"0–5 miles",CleanEmployeeData[[#This Row],[DistanceFromHome]]&lt;=10,"6–10 miles",CleanEmployeeData[[#This Row],[DistanceFromHome]]&lt;=15,"11–15 miles",TRUE,"16+ miles")</f>
        <v>16+ miles</v>
      </c>
      <c r="AS1406" t="str" cm="1">
        <f t="array" ref="AS1406">_xlfn.IFS(CleanEmployeeData[[#This Row],[YearsAtCompany]]&lt;=1,"0–1 years",CleanEmployeeData[[#This Row],[YearsAtCompany]]&lt;=5,"2–5 years",CleanEmployeeData[[#This Row],[YearsAtCompany]]&lt;=10,"6–10 years",TRUE,"11+ years")</f>
        <v>11+ years</v>
      </c>
    </row>
    <row r="1407" spans="1:4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cm="1">
        <f t="array" ref="AJ1407">_xlfn.SWITCH(CleanEmployeeData[[#This Row],[Education]],1,"Below College",2,"College",3,"Bachelor",4,"Master",5,"Doctor","Unknown")</f>
        <v>Bachelor</v>
      </c>
      <c r="AK1407" t="str" cm="1">
        <f t="array" ref="AK1407">_xlfn.SWITCH(CleanEmployeeData[[#This Row],[EnvironmentSatisfaction]],1,"Low",2,"Medium",3,"High",4,"Very High","Unknown")</f>
        <v>High</v>
      </c>
      <c r="AL1407" t="str" cm="1">
        <f t="array" ref="AL1407">_xlfn.SWITCH(CleanEmployeeData[[#This Row],[JobInvolvement]],1,"Low",2,"Medium",3,"High",4,"Very High","Unknown")</f>
        <v>High</v>
      </c>
      <c r="AM1407" t="str" cm="1">
        <f t="array" ref="AM1407">_xlfn.SWITCH(CleanEmployeeData[[#This Row],[JobSatisfaction]],1,"Low",2,"Medium",3,"High",4,"Very High","Unknown")</f>
        <v>High</v>
      </c>
      <c r="AN1407" t="str" cm="1">
        <f t="array" ref="AN1407">_xlfn.SWITCH(CleanEmployeeData[[#This Row],[PerformanceRating]],1,"Low",2,"Good",3,"Excellent",4,"Outstanding","Unknown")</f>
        <v>Outstanding</v>
      </c>
      <c r="AO1407" t="str" cm="1">
        <f t="array" ref="AO1407">_xlfn.SWITCH(CleanEmployeeData[[#This Row],[WorkLifeBalance]],1,"Bad",2,"Good",3,"Better",4,"Best","Unknown")</f>
        <v>Best</v>
      </c>
      <c r="AP1407">
        <f>IF(CleanEmployeeData[[#This Row],[Attrition]]="Yes",1,IF(CleanEmployeeData[[#This Row],[Attrition]]="No",0,""))</f>
        <v>0</v>
      </c>
      <c r="AQ1407" t="str" cm="1">
        <f t="array" ref="AQ1407">_xlfn.IFS(CleanEmployeeData[[#This Row],[MonthlyIncome]]&lt;=3000,"0–3,000",CleanEmployeeData[[#This Row],[MonthlyIncome]]&lt;=6000,"3,001–6,000",CleanEmployeeData[[#This Row],[MonthlyIncome]]&lt;=10000,"6,001–10,000",TRUE,"10,001+")</f>
        <v>10,001+</v>
      </c>
      <c r="AR1407" t="str" cm="1">
        <f t="array" ref="AR1407">_xlfn.IFS(CleanEmployeeData[[#This Row],[DistanceFromHome]]&lt;=5,"0–5 miles",CleanEmployeeData[[#This Row],[DistanceFromHome]]&lt;=10,"6–10 miles",CleanEmployeeData[[#This Row],[DistanceFromHome]]&lt;=15,"11–15 miles",TRUE,"16+ miles")</f>
        <v>6–10 miles</v>
      </c>
      <c r="AS1407" t="str" cm="1">
        <f t="array" ref="AS1407">_xlfn.IFS(CleanEmployeeData[[#This Row],[YearsAtCompany]]&lt;=1,"0–1 years",CleanEmployeeData[[#This Row],[YearsAtCompany]]&lt;=5,"2–5 years",CleanEmployeeData[[#This Row],[YearsAtCompany]]&lt;=10,"6–10 years",TRUE,"11+ years")</f>
        <v>11+ years</v>
      </c>
    </row>
    <row r="1408" spans="1:4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cm="1">
        <f t="array" ref="AJ1408">_xlfn.SWITCH(CleanEmployeeData[[#This Row],[Education]],1,"Below College",2,"College",3,"Bachelor",4,"Master",5,"Doctor","Unknown")</f>
        <v>Bachelor</v>
      </c>
      <c r="AK1408" t="str" cm="1">
        <f t="array" ref="AK1408">_xlfn.SWITCH(CleanEmployeeData[[#This Row],[EnvironmentSatisfaction]],1,"Low",2,"Medium",3,"High",4,"Very High","Unknown")</f>
        <v>High</v>
      </c>
      <c r="AL1408" t="str" cm="1">
        <f t="array" ref="AL1408">_xlfn.SWITCH(CleanEmployeeData[[#This Row],[JobInvolvement]],1,"Low",2,"Medium",3,"High",4,"Very High","Unknown")</f>
        <v>High</v>
      </c>
      <c r="AM1408" t="str" cm="1">
        <f t="array" ref="AM1408">_xlfn.SWITCH(CleanEmployeeData[[#This Row],[JobSatisfaction]],1,"Low",2,"Medium",3,"High",4,"Very High","Unknown")</f>
        <v>Low</v>
      </c>
      <c r="AN1408" t="str" cm="1">
        <f t="array" ref="AN1408">_xlfn.SWITCH(CleanEmployeeData[[#This Row],[PerformanceRating]],1,"Low",2,"Good",3,"Excellent",4,"Outstanding","Unknown")</f>
        <v>Excellent</v>
      </c>
      <c r="AO1408" t="str" cm="1">
        <f t="array" ref="AO1408">_xlfn.SWITCH(CleanEmployeeData[[#This Row],[WorkLifeBalance]],1,"Bad",2,"Good",3,"Better",4,"Best","Unknown")</f>
        <v>Better</v>
      </c>
      <c r="AP1408">
        <f>IF(CleanEmployeeData[[#This Row],[Attrition]]="Yes",1,IF(CleanEmployeeData[[#This Row],[Attrition]]="No",0,""))</f>
        <v>0</v>
      </c>
      <c r="AQ1408" t="str" cm="1">
        <f t="array" ref="AQ1408">_xlfn.IFS(CleanEmployeeData[[#This Row],[MonthlyIncome]]&lt;=3000,"0–3,000",CleanEmployeeData[[#This Row],[MonthlyIncome]]&lt;=6000,"3,001–6,000",CleanEmployeeData[[#This Row],[MonthlyIncome]]&lt;=10000,"6,001–10,000",TRUE,"10,001+")</f>
        <v>3,001–6,000</v>
      </c>
      <c r="AR1408" t="str" cm="1">
        <f t="array" ref="AR1408">_xlfn.IFS(CleanEmployeeData[[#This Row],[DistanceFromHome]]&lt;=5,"0–5 miles",CleanEmployeeData[[#This Row],[DistanceFromHome]]&lt;=10,"6–10 miles",CleanEmployeeData[[#This Row],[DistanceFromHome]]&lt;=15,"11–15 miles",TRUE,"16+ miles")</f>
        <v>6–10 miles</v>
      </c>
      <c r="AS1408" t="str" cm="1">
        <f t="array" ref="AS1408">_xlfn.IFS(CleanEmployeeData[[#This Row],[YearsAtCompany]]&lt;=1,"0–1 years",CleanEmployeeData[[#This Row],[YearsAtCompany]]&lt;=5,"2–5 years",CleanEmployeeData[[#This Row],[YearsAtCompany]]&lt;=10,"6–10 years",TRUE,"11+ years")</f>
        <v>2–5 years</v>
      </c>
    </row>
    <row r="1409" spans="1:4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cm="1">
        <f t="array" ref="AJ1409">_xlfn.SWITCH(CleanEmployeeData[[#This Row],[Education]],1,"Below College",2,"College",3,"Bachelor",4,"Master",5,"Doctor","Unknown")</f>
        <v>College</v>
      </c>
      <c r="AK1409" t="str" cm="1">
        <f t="array" ref="AK1409">_xlfn.SWITCH(CleanEmployeeData[[#This Row],[EnvironmentSatisfaction]],1,"Low",2,"Medium",3,"High",4,"Very High","Unknown")</f>
        <v>Medium</v>
      </c>
      <c r="AL1409" t="str" cm="1">
        <f t="array" ref="AL1409">_xlfn.SWITCH(CleanEmployeeData[[#This Row],[JobInvolvement]],1,"Low",2,"Medium",3,"High",4,"Very High","Unknown")</f>
        <v>Medium</v>
      </c>
      <c r="AM1409" t="str" cm="1">
        <f t="array" ref="AM1409">_xlfn.SWITCH(CleanEmployeeData[[#This Row],[JobSatisfaction]],1,"Low",2,"Medium",3,"High",4,"Very High","Unknown")</f>
        <v>High</v>
      </c>
      <c r="AN1409" t="str" cm="1">
        <f t="array" ref="AN1409">_xlfn.SWITCH(CleanEmployeeData[[#This Row],[PerformanceRating]],1,"Low",2,"Good",3,"Excellent",4,"Outstanding","Unknown")</f>
        <v>Excellent</v>
      </c>
      <c r="AO1409" t="str" cm="1">
        <f t="array" ref="AO1409">_xlfn.SWITCH(CleanEmployeeData[[#This Row],[WorkLifeBalance]],1,"Bad",2,"Good",3,"Better",4,"Best","Unknown")</f>
        <v>Good</v>
      </c>
      <c r="AP1409">
        <f>IF(CleanEmployeeData[[#This Row],[Attrition]]="Yes",1,IF(CleanEmployeeData[[#This Row],[Attrition]]="No",0,""))</f>
        <v>0</v>
      </c>
      <c r="AQ1409" t="str" cm="1">
        <f t="array" ref="AQ1409">_xlfn.IFS(CleanEmployeeData[[#This Row],[MonthlyIncome]]&lt;=3000,"0–3,000",CleanEmployeeData[[#This Row],[MonthlyIncome]]&lt;=6000,"3,001–6,000",CleanEmployeeData[[#This Row],[MonthlyIncome]]&lt;=10000,"6,001–10,000",TRUE,"10,001+")</f>
        <v>3,001–6,000</v>
      </c>
      <c r="AR1409" t="str" cm="1">
        <f t="array" ref="AR1409">_xlfn.IFS(CleanEmployeeData[[#This Row],[DistanceFromHome]]&lt;=5,"0–5 miles",CleanEmployeeData[[#This Row],[DistanceFromHome]]&lt;=10,"6–10 miles",CleanEmployeeData[[#This Row],[DistanceFromHome]]&lt;=15,"11–15 miles",TRUE,"16+ miles")</f>
        <v>0–5 miles</v>
      </c>
      <c r="AS1409" t="str" cm="1">
        <f t="array" ref="AS1409">_xlfn.IFS(CleanEmployeeData[[#This Row],[YearsAtCompany]]&lt;=1,"0–1 years",CleanEmployeeData[[#This Row],[YearsAtCompany]]&lt;=5,"2–5 years",CleanEmployeeData[[#This Row],[YearsAtCompany]]&lt;=10,"6–10 years",TRUE,"11+ years")</f>
        <v>2–5 years</v>
      </c>
    </row>
    <row r="1410" spans="1:4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cm="1">
        <f t="array" ref="AJ1410">_xlfn.SWITCH(CleanEmployeeData[[#This Row],[Education]],1,"Below College",2,"College",3,"Bachelor",4,"Master",5,"Doctor","Unknown")</f>
        <v>College</v>
      </c>
      <c r="AK1410" t="str" cm="1">
        <f t="array" ref="AK1410">_xlfn.SWITCH(CleanEmployeeData[[#This Row],[EnvironmentSatisfaction]],1,"Low",2,"Medium",3,"High",4,"Very High","Unknown")</f>
        <v>Very High</v>
      </c>
      <c r="AL1410" t="str" cm="1">
        <f t="array" ref="AL1410">_xlfn.SWITCH(CleanEmployeeData[[#This Row],[JobInvolvement]],1,"Low",2,"Medium",3,"High",4,"Very High","Unknown")</f>
        <v>High</v>
      </c>
      <c r="AM1410" t="str" cm="1">
        <f t="array" ref="AM1410">_xlfn.SWITCH(CleanEmployeeData[[#This Row],[JobSatisfaction]],1,"Low",2,"Medium",3,"High",4,"Very High","Unknown")</f>
        <v>Very High</v>
      </c>
      <c r="AN1410" t="str" cm="1">
        <f t="array" ref="AN1410">_xlfn.SWITCH(CleanEmployeeData[[#This Row],[PerformanceRating]],1,"Low",2,"Good",3,"Excellent",4,"Outstanding","Unknown")</f>
        <v>Excellent</v>
      </c>
      <c r="AO1410" t="str" cm="1">
        <f t="array" ref="AO1410">_xlfn.SWITCH(CleanEmployeeData[[#This Row],[WorkLifeBalance]],1,"Bad",2,"Good",3,"Better",4,"Best","Unknown")</f>
        <v>Best</v>
      </c>
      <c r="AP1410">
        <f>IF(CleanEmployeeData[[#This Row],[Attrition]]="Yes",1,IF(CleanEmployeeData[[#This Row],[Attrition]]="No",0,""))</f>
        <v>0</v>
      </c>
      <c r="AQ1410" t="str" cm="1">
        <f t="array" ref="AQ1410">_xlfn.IFS(CleanEmployeeData[[#This Row],[MonthlyIncome]]&lt;=3000,"0–3,000",CleanEmployeeData[[#This Row],[MonthlyIncome]]&lt;=6000,"3,001–6,000",CleanEmployeeData[[#This Row],[MonthlyIncome]]&lt;=10000,"6,001–10,000",TRUE,"10,001+")</f>
        <v>0–3,000</v>
      </c>
      <c r="AR1410" t="str" cm="1">
        <f t="array" ref="AR1410">_xlfn.IFS(CleanEmployeeData[[#This Row],[DistanceFromHome]]&lt;=5,"0–5 miles",CleanEmployeeData[[#This Row],[DistanceFromHome]]&lt;=10,"6–10 miles",CleanEmployeeData[[#This Row],[DistanceFromHome]]&lt;=15,"11–15 miles",TRUE,"16+ miles")</f>
        <v>11–15 miles</v>
      </c>
      <c r="AS1410" t="str" cm="1">
        <f t="array" ref="AS1410">_xlfn.IFS(CleanEmployeeData[[#This Row],[YearsAtCompany]]&lt;=1,"0–1 years",CleanEmployeeData[[#This Row],[YearsAtCompany]]&lt;=5,"2–5 years",CleanEmployeeData[[#This Row],[YearsAtCompany]]&lt;=10,"6–10 years",TRUE,"11+ years")</f>
        <v>2–5 years</v>
      </c>
    </row>
    <row r="1411" spans="1:4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cm="1">
        <f t="array" ref="AJ1411">_xlfn.SWITCH(CleanEmployeeData[[#This Row],[Education]],1,"Below College",2,"College",3,"Bachelor",4,"Master",5,"Doctor","Unknown")</f>
        <v>Bachelor</v>
      </c>
      <c r="AK1411" t="str" cm="1">
        <f t="array" ref="AK1411">_xlfn.SWITCH(CleanEmployeeData[[#This Row],[EnvironmentSatisfaction]],1,"Low",2,"Medium",3,"High",4,"Very High","Unknown")</f>
        <v>Very High</v>
      </c>
      <c r="AL1411" t="str" cm="1">
        <f t="array" ref="AL1411">_xlfn.SWITCH(CleanEmployeeData[[#This Row],[JobInvolvement]],1,"Low",2,"Medium",3,"High",4,"Very High","Unknown")</f>
        <v>High</v>
      </c>
      <c r="AM1411" t="str" cm="1">
        <f t="array" ref="AM1411">_xlfn.SWITCH(CleanEmployeeData[[#This Row],[JobSatisfaction]],1,"Low",2,"Medium",3,"High",4,"Very High","Unknown")</f>
        <v>High</v>
      </c>
      <c r="AN1411" t="str" cm="1">
        <f t="array" ref="AN1411">_xlfn.SWITCH(CleanEmployeeData[[#This Row],[PerformanceRating]],1,"Low",2,"Good",3,"Excellent",4,"Outstanding","Unknown")</f>
        <v>Excellent</v>
      </c>
      <c r="AO1411" t="str" cm="1">
        <f t="array" ref="AO1411">_xlfn.SWITCH(CleanEmployeeData[[#This Row],[WorkLifeBalance]],1,"Bad",2,"Good",3,"Better",4,"Best","Unknown")</f>
        <v>Best</v>
      </c>
      <c r="AP1411">
        <f>IF(CleanEmployeeData[[#This Row],[Attrition]]="Yes",1,IF(CleanEmployeeData[[#This Row],[Attrition]]="No",0,""))</f>
        <v>0</v>
      </c>
      <c r="AQ1411" t="str" cm="1">
        <f t="array" ref="AQ1411">_xlfn.IFS(CleanEmployeeData[[#This Row],[MonthlyIncome]]&lt;=3000,"0–3,000",CleanEmployeeData[[#This Row],[MonthlyIncome]]&lt;=6000,"3,001–6,000",CleanEmployeeData[[#This Row],[MonthlyIncome]]&lt;=10000,"6,001–10,000",TRUE,"10,001+")</f>
        <v>6,001–10,000</v>
      </c>
      <c r="AR1411" t="str" cm="1">
        <f t="array" ref="AR1411">_xlfn.IFS(CleanEmployeeData[[#This Row],[DistanceFromHome]]&lt;=5,"0–5 miles",CleanEmployeeData[[#This Row],[DistanceFromHome]]&lt;=10,"6–10 miles",CleanEmployeeData[[#This Row],[DistanceFromHome]]&lt;=15,"11–15 miles",TRUE,"16+ miles")</f>
        <v>11–15 miles</v>
      </c>
      <c r="AS1411" t="str" cm="1">
        <f t="array" ref="AS1411">_xlfn.IFS(CleanEmployeeData[[#This Row],[YearsAtCompany]]&lt;=1,"0–1 years",CleanEmployeeData[[#This Row],[YearsAtCompany]]&lt;=5,"2–5 years",CleanEmployeeData[[#This Row],[YearsAtCompany]]&lt;=10,"6–10 years",TRUE,"11+ years")</f>
        <v>6–10 years</v>
      </c>
    </row>
    <row r="1412" spans="1:4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cm="1">
        <f t="array" ref="AJ1412">_xlfn.SWITCH(CleanEmployeeData[[#This Row],[Education]],1,"Below College",2,"College",3,"Bachelor",4,"Master",5,"Doctor","Unknown")</f>
        <v>College</v>
      </c>
      <c r="AK1412" t="str" cm="1">
        <f t="array" ref="AK1412">_xlfn.SWITCH(CleanEmployeeData[[#This Row],[EnvironmentSatisfaction]],1,"Low",2,"Medium",3,"High",4,"Very High","Unknown")</f>
        <v>Medium</v>
      </c>
      <c r="AL1412" t="str" cm="1">
        <f t="array" ref="AL1412">_xlfn.SWITCH(CleanEmployeeData[[#This Row],[JobInvolvement]],1,"Low",2,"Medium",3,"High",4,"Very High","Unknown")</f>
        <v>High</v>
      </c>
      <c r="AM1412" t="str" cm="1">
        <f t="array" ref="AM1412">_xlfn.SWITCH(CleanEmployeeData[[#This Row],[JobSatisfaction]],1,"Low",2,"Medium",3,"High",4,"Very High","Unknown")</f>
        <v>Medium</v>
      </c>
      <c r="AN1412" t="str" cm="1">
        <f t="array" ref="AN1412">_xlfn.SWITCH(CleanEmployeeData[[#This Row],[PerformanceRating]],1,"Low",2,"Good",3,"Excellent",4,"Outstanding","Unknown")</f>
        <v>Excellent</v>
      </c>
      <c r="AO1412" t="str" cm="1">
        <f t="array" ref="AO1412">_xlfn.SWITCH(CleanEmployeeData[[#This Row],[WorkLifeBalance]],1,"Bad",2,"Good",3,"Better",4,"Best","Unknown")</f>
        <v>Better</v>
      </c>
      <c r="AP1412">
        <f>IF(CleanEmployeeData[[#This Row],[Attrition]]="Yes",1,IF(CleanEmployeeData[[#This Row],[Attrition]]="No",0,""))</f>
        <v>0</v>
      </c>
      <c r="AQ1412" t="str" cm="1">
        <f t="array" ref="AQ1412">_xlfn.IFS(CleanEmployeeData[[#This Row],[MonthlyIncome]]&lt;=3000,"0–3,000",CleanEmployeeData[[#This Row],[MonthlyIncome]]&lt;=6000,"3,001–6,000",CleanEmployeeData[[#This Row],[MonthlyIncome]]&lt;=10000,"6,001–10,000",TRUE,"10,001+")</f>
        <v>3,001–6,000</v>
      </c>
      <c r="AR1412" t="str" cm="1">
        <f t="array" ref="AR1412">_xlfn.IFS(CleanEmployeeData[[#This Row],[DistanceFromHome]]&lt;=5,"0–5 miles",CleanEmployeeData[[#This Row],[DistanceFromHome]]&lt;=10,"6–10 miles",CleanEmployeeData[[#This Row],[DistanceFromHome]]&lt;=15,"11–15 miles",TRUE,"16+ miles")</f>
        <v>0–5 miles</v>
      </c>
      <c r="AS1412" t="str" cm="1">
        <f t="array" ref="AS1412">_xlfn.IFS(CleanEmployeeData[[#This Row],[YearsAtCompany]]&lt;=1,"0–1 years",CleanEmployeeData[[#This Row],[YearsAtCompany]]&lt;=5,"2–5 years",CleanEmployeeData[[#This Row],[YearsAtCompany]]&lt;=10,"6–10 years",TRUE,"11+ years")</f>
        <v>11+ years</v>
      </c>
    </row>
    <row r="1413" spans="1:4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cm="1">
        <f t="array" ref="AJ1413">_xlfn.SWITCH(CleanEmployeeData[[#This Row],[Education]],1,"Below College",2,"College",3,"Bachelor",4,"Master",5,"Doctor","Unknown")</f>
        <v>Bachelor</v>
      </c>
      <c r="AK1413" t="str" cm="1">
        <f t="array" ref="AK1413">_xlfn.SWITCH(CleanEmployeeData[[#This Row],[EnvironmentSatisfaction]],1,"Low",2,"Medium",3,"High",4,"Very High","Unknown")</f>
        <v>High</v>
      </c>
      <c r="AL1413" t="str" cm="1">
        <f t="array" ref="AL1413">_xlfn.SWITCH(CleanEmployeeData[[#This Row],[JobInvolvement]],1,"Low",2,"Medium",3,"High",4,"Very High","Unknown")</f>
        <v>High</v>
      </c>
      <c r="AM1413" t="str" cm="1">
        <f t="array" ref="AM1413">_xlfn.SWITCH(CleanEmployeeData[[#This Row],[JobSatisfaction]],1,"Low",2,"Medium",3,"High",4,"Very High","Unknown")</f>
        <v>Medium</v>
      </c>
      <c r="AN1413" t="str" cm="1">
        <f t="array" ref="AN1413">_xlfn.SWITCH(CleanEmployeeData[[#This Row],[PerformanceRating]],1,"Low",2,"Good",3,"Excellent",4,"Outstanding","Unknown")</f>
        <v>Excellent</v>
      </c>
      <c r="AO1413" t="str" cm="1">
        <f t="array" ref="AO1413">_xlfn.SWITCH(CleanEmployeeData[[#This Row],[WorkLifeBalance]],1,"Bad",2,"Good",3,"Better",4,"Best","Unknown")</f>
        <v>Better</v>
      </c>
      <c r="AP1413">
        <f>IF(CleanEmployeeData[[#This Row],[Attrition]]="Yes",1,IF(CleanEmployeeData[[#This Row],[Attrition]]="No",0,""))</f>
        <v>0</v>
      </c>
      <c r="AQ1413" t="str" cm="1">
        <f t="array" ref="AQ1413">_xlfn.IFS(CleanEmployeeData[[#This Row],[MonthlyIncome]]&lt;=3000,"0–3,000",CleanEmployeeData[[#This Row],[MonthlyIncome]]&lt;=6000,"3,001–6,000",CleanEmployeeData[[#This Row],[MonthlyIncome]]&lt;=10000,"6,001–10,000",TRUE,"10,001+")</f>
        <v>0–3,000</v>
      </c>
      <c r="AR1413" t="str" cm="1">
        <f t="array" ref="AR1413">_xlfn.IFS(CleanEmployeeData[[#This Row],[DistanceFromHome]]&lt;=5,"0–5 miles",CleanEmployeeData[[#This Row],[DistanceFromHome]]&lt;=10,"6–10 miles",CleanEmployeeData[[#This Row],[DistanceFromHome]]&lt;=15,"11–15 miles",TRUE,"16+ miles")</f>
        <v>0–5 miles</v>
      </c>
      <c r="AS1413" t="str" cm="1">
        <f t="array" ref="AS1413">_xlfn.IFS(CleanEmployeeData[[#This Row],[YearsAtCompany]]&lt;=1,"0–1 years",CleanEmployeeData[[#This Row],[YearsAtCompany]]&lt;=5,"2–5 years",CleanEmployeeData[[#This Row],[YearsAtCompany]]&lt;=10,"6–10 years",TRUE,"11+ years")</f>
        <v>2–5 years</v>
      </c>
    </row>
    <row r="1414" spans="1:4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cm="1">
        <f t="array" ref="AJ1414">_xlfn.SWITCH(CleanEmployeeData[[#This Row],[Education]],1,"Below College",2,"College",3,"Bachelor",4,"Master",5,"Doctor","Unknown")</f>
        <v>College</v>
      </c>
      <c r="AK1414" t="str" cm="1">
        <f t="array" ref="AK1414">_xlfn.SWITCH(CleanEmployeeData[[#This Row],[EnvironmentSatisfaction]],1,"Low",2,"Medium",3,"High",4,"Very High","Unknown")</f>
        <v>Very High</v>
      </c>
      <c r="AL1414" t="str" cm="1">
        <f t="array" ref="AL1414">_xlfn.SWITCH(CleanEmployeeData[[#This Row],[JobInvolvement]],1,"Low",2,"Medium",3,"High",4,"Very High","Unknown")</f>
        <v>High</v>
      </c>
      <c r="AM1414" t="str" cm="1">
        <f t="array" ref="AM1414">_xlfn.SWITCH(CleanEmployeeData[[#This Row],[JobSatisfaction]],1,"Low",2,"Medium",3,"High",4,"Very High","Unknown")</f>
        <v>Medium</v>
      </c>
      <c r="AN1414" t="str" cm="1">
        <f t="array" ref="AN1414">_xlfn.SWITCH(CleanEmployeeData[[#This Row],[PerformanceRating]],1,"Low",2,"Good",3,"Excellent",4,"Outstanding","Unknown")</f>
        <v>Excellent</v>
      </c>
      <c r="AO1414" t="str" cm="1">
        <f t="array" ref="AO1414">_xlfn.SWITCH(CleanEmployeeData[[#This Row],[WorkLifeBalance]],1,"Bad",2,"Good",3,"Better",4,"Best","Unknown")</f>
        <v>Good</v>
      </c>
      <c r="AP1414">
        <f>IF(CleanEmployeeData[[#This Row],[Attrition]]="Yes",1,IF(CleanEmployeeData[[#This Row],[Attrition]]="No",0,""))</f>
        <v>0</v>
      </c>
      <c r="AQ1414" t="str" cm="1">
        <f t="array" ref="AQ1414">_xlfn.IFS(CleanEmployeeData[[#This Row],[MonthlyIncome]]&lt;=3000,"0–3,000",CleanEmployeeData[[#This Row],[MonthlyIncome]]&lt;=6000,"3,001–6,000",CleanEmployeeData[[#This Row],[MonthlyIncome]]&lt;=10000,"6,001–10,000",TRUE,"10,001+")</f>
        <v>3,001–6,000</v>
      </c>
      <c r="AR1414" t="str" cm="1">
        <f t="array" ref="AR1414">_xlfn.IFS(CleanEmployeeData[[#This Row],[DistanceFromHome]]&lt;=5,"0–5 miles",CleanEmployeeData[[#This Row],[DistanceFromHome]]&lt;=10,"6–10 miles",CleanEmployeeData[[#This Row],[DistanceFromHome]]&lt;=15,"11–15 miles",TRUE,"16+ miles")</f>
        <v>0–5 miles</v>
      </c>
      <c r="AS1414" t="str" cm="1">
        <f t="array" ref="AS1414">_xlfn.IFS(CleanEmployeeData[[#This Row],[YearsAtCompany]]&lt;=1,"0–1 years",CleanEmployeeData[[#This Row],[YearsAtCompany]]&lt;=5,"2–5 years",CleanEmployeeData[[#This Row],[YearsAtCompany]]&lt;=10,"6–10 years",TRUE,"11+ years")</f>
        <v>11+ years</v>
      </c>
    </row>
    <row r="1415" spans="1:4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cm="1">
        <f t="array" ref="AJ1415">_xlfn.SWITCH(CleanEmployeeData[[#This Row],[Education]],1,"Below College",2,"College",3,"Bachelor",4,"Master",5,"Doctor","Unknown")</f>
        <v>Below College</v>
      </c>
      <c r="AK1415" t="str" cm="1">
        <f t="array" ref="AK1415">_xlfn.SWITCH(CleanEmployeeData[[#This Row],[EnvironmentSatisfaction]],1,"Low",2,"Medium",3,"High",4,"Very High","Unknown")</f>
        <v>Very High</v>
      </c>
      <c r="AL1415" t="str" cm="1">
        <f t="array" ref="AL1415">_xlfn.SWITCH(CleanEmployeeData[[#This Row],[JobInvolvement]],1,"Low",2,"Medium",3,"High",4,"Very High","Unknown")</f>
        <v>High</v>
      </c>
      <c r="AM1415" t="str" cm="1">
        <f t="array" ref="AM1415">_xlfn.SWITCH(CleanEmployeeData[[#This Row],[JobSatisfaction]],1,"Low",2,"Medium",3,"High",4,"Very High","Unknown")</f>
        <v>High</v>
      </c>
      <c r="AN1415" t="str" cm="1">
        <f t="array" ref="AN1415">_xlfn.SWITCH(CleanEmployeeData[[#This Row],[PerformanceRating]],1,"Low",2,"Good",3,"Excellent",4,"Outstanding","Unknown")</f>
        <v>Excellent</v>
      </c>
      <c r="AO1415" t="str" cm="1">
        <f t="array" ref="AO1415">_xlfn.SWITCH(CleanEmployeeData[[#This Row],[WorkLifeBalance]],1,"Bad",2,"Good",3,"Better",4,"Best","Unknown")</f>
        <v>Good</v>
      </c>
      <c r="AP1415">
        <f>IF(CleanEmployeeData[[#This Row],[Attrition]]="Yes",1,IF(CleanEmployeeData[[#This Row],[Attrition]]="No",0,""))</f>
        <v>0</v>
      </c>
      <c r="AQ1415" t="str" cm="1">
        <f t="array" ref="AQ1415">_xlfn.IFS(CleanEmployeeData[[#This Row],[MonthlyIncome]]&lt;=3000,"0–3,000",CleanEmployeeData[[#This Row],[MonthlyIncome]]&lt;=6000,"3,001–6,000",CleanEmployeeData[[#This Row],[MonthlyIncome]]&lt;=10000,"6,001–10,000",TRUE,"10,001+")</f>
        <v>3,001–6,000</v>
      </c>
      <c r="AR1415" t="str" cm="1">
        <f t="array" ref="AR1415">_xlfn.IFS(CleanEmployeeData[[#This Row],[DistanceFromHome]]&lt;=5,"0–5 miles",CleanEmployeeData[[#This Row],[DistanceFromHome]]&lt;=10,"6–10 miles",CleanEmployeeData[[#This Row],[DistanceFromHome]]&lt;=15,"11–15 miles",TRUE,"16+ miles")</f>
        <v>0–5 miles</v>
      </c>
      <c r="AS1415" t="str" cm="1">
        <f t="array" ref="AS1415">_xlfn.IFS(CleanEmployeeData[[#This Row],[YearsAtCompany]]&lt;=1,"0–1 years",CleanEmployeeData[[#This Row],[YearsAtCompany]]&lt;=5,"2–5 years",CleanEmployeeData[[#This Row],[YearsAtCompany]]&lt;=10,"6–10 years",TRUE,"11+ years")</f>
        <v>2–5 years</v>
      </c>
    </row>
    <row r="1416" spans="1:4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cm="1">
        <f t="array" ref="AJ1416">_xlfn.SWITCH(CleanEmployeeData[[#This Row],[Education]],1,"Below College",2,"College",3,"Bachelor",4,"Master",5,"Doctor","Unknown")</f>
        <v>Bachelor</v>
      </c>
      <c r="AK1416" t="str" cm="1">
        <f t="array" ref="AK1416">_xlfn.SWITCH(CleanEmployeeData[[#This Row],[EnvironmentSatisfaction]],1,"Low",2,"Medium",3,"High",4,"Very High","Unknown")</f>
        <v>Low</v>
      </c>
      <c r="AL1416" t="str" cm="1">
        <f t="array" ref="AL1416">_xlfn.SWITCH(CleanEmployeeData[[#This Row],[JobInvolvement]],1,"Low",2,"Medium",3,"High",4,"Very High","Unknown")</f>
        <v>High</v>
      </c>
      <c r="AM1416" t="str" cm="1">
        <f t="array" ref="AM1416">_xlfn.SWITCH(CleanEmployeeData[[#This Row],[JobSatisfaction]],1,"Low",2,"Medium",3,"High",4,"Very High","Unknown")</f>
        <v>High</v>
      </c>
      <c r="AN1416" t="str" cm="1">
        <f t="array" ref="AN1416">_xlfn.SWITCH(CleanEmployeeData[[#This Row],[PerformanceRating]],1,"Low",2,"Good",3,"Excellent",4,"Outstanding","Unknown")</f>
        <v>Outstanding</v>
      </c>
      <c r="AO1416" t="str" cm="1">
        <f t="array" ref="AO1416">_xlfn.SWITCH(CleanEmployeeData[[#This Row],[WorkLifeBalance]],1,"Bad",2,"Good",3,"Better",4,"Best","Unknown")</f>
        <v>Better</v>
      </c>
      <c r="AP1416">
        <f>IF(CleanEmployeeData[[#This Row],[Attrition]]="Yes",1,IF(CleanEmployeeData[[#This Row],[Attrition]]="No",0,""))</f>
        <v>0</v>
      </c>
      <c r="AQ1416" t="str" cm="1">
        <f t="array" ref="AQ1416">_xlfn.IFS(CleanEmployeeData[[#This Row],[MonthlyIncome]]&lt;=3000,"0–3,000",CleanEmployeeData[[#This Row],[MonthlyIncome]]&lt;=6000,"3,001–6,000",CleanEmployeeData[[#This Row],[MonthlyIncome]]&lt;=10000,"6,001–10,000",TRUE,"10,001+")</f>
        <v>6,001–10,000</v>
      </c>
      <c r="AR1416" t="str" cm="1">
        <f t="array" ref="AR1416">_xlfn.IFS(CleanEmployeeData[[#This Row],[DistanceFromHome]]&lt;=5,"0–5 miles",CleanEmployeeData[[#This Row],[DistanceFromHome]]&lt;=10,"6–10 miles",CleanEmployeeData[[#This Row],[DistanceFromHome]]&lt;=15,"11–15 miles",TRUE,"16+ miles")</f>
        <v>16+ miles</v>
      </c>
      <c r="AS1416" t="str" cm="1">
        <f t="array" ref="AS1416">_xlfn.IFS(CleanEmployeeData[[#This Row],[YearsAtCompany]]&lt;=1,"0–1 years",CleanEmployeeData[[#This Row],[YearsAtCompany]]&lt;=5,"2–5 years",CleanEmployeeData[[#This Row],[YearsAtCompany]]&lt;=10,"6–10 years",TRUE,"11+ years")</f>
        <v>11+ years</v>
      </c>
    </row>
    <row r="1417" spans="1:4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cm="1">
        <f t="array" ref="AJ1417">_xlfn.SWITCH(CleanEmployeeData[[#This Row],[Education]],1,"Below College",2,"College",3,"Bachelor",4,"Master",5,"Doctor","Unknown")</f>
        <v>College</v>
      </c>
      <c r="AK1417" t="str" cm="1">
        <f t="array" ref="AK1417">_xlfn.SWITCH(CleanEmployeeData[[#This Row],[EnvironmentSatisfaction]],1,"Low",2,"Medium",3,"High",4,"Very High","Unknown")</f>
        <v>Medium</v>
      </c>
      <c r="AL1417" t="str" cm="1">
        <f t="array" ref="AL1417">_xlfn.SWITCH(CleanEmployeeData[[#This Row],[JobInvolvement]],1,"Low",2,"Medium",3,"High",4,"Very High","Unknown")</f>
        <v>Medium</v>
      </c>
      <c r="AM1417" t="str" cm="1">
        <f t="array" ref="AM1417">_xlfn.SWITCH(CleanEmployeeData[[#This Row],[JobSatisfaction]],1,"Low",2,"Medium",3,"High",4,"Very High","Unknown")</f>
        <v>High</v>
      </c>
      <c r="AN1417" t="str" cm="1">
        <f t="array" ref="AN1417">_xlfn.SWITCH(CleanEmployeeData[[#This Row],[PerformanceRating]],1,"Low",2,"Good",3,"Excellent",4,"Outstanding","Unknown")</f>
        <v>Excellent</v>
      </c>
      <c r="AO1417" t="str" cm="1">
        <f t="array" ref="AO1417">_xlfn.SWITCH(CleanEmployeeData[[#This Row],[WorkLifeBalance]],1,"Bad",2,"Good",3,"Better",4,"Best","Unknown")</f>
        <v>Good</v>
      </c>
      <c r="AP1417">
        <f>IF(CleanEmployeeData[[#This Row],[Attrition]]="Yes",1,IF(CleanEmployeeData[[#This Row],[Attrition]]="No",0,""))</f>
        <v>0</v>
      </c>
      <c r="AQ1417" t="str" cm="1">
        <f t="array" ref="AQ1417">_xlfn.IFS(CleanEmployeeData[[#This Row],[MonthlyIncome]]&lt;=3000,"0–3,000",CleanEmployeeData[[#This Row],[MonthlyIncome]]&lt;=6000,"3,001–6,000",CleanEmployeeData[[#This Row],[MonthlyIncome]]&lt;=10000,"6,001–10,000",TRUE,"10,001+")</f>
        <v>0–3,000</v>
      </c>
      <c r="AR1417" t="str" cm="1">
        <f t="array" ref="AR1417">_xlfn.IFS(CleanEmployeeData[[#This Row],[DistanceFromHome]]&lt;=5,"0–5 miles",CleanEmployeeData[[#This Row],[DistanceFromHome]]&lt;=10,"6–10 miles",CleanEmployeeData[[#This Row],[DistanceFromHome]]&lt;=15,"11–15 miles",TRUE,"16+ miles")</f>
        <v>0–5 miles</v>
      </c>
      <c r="AS1417" t="str" cm="1">
        <f t="array" ref="AS1417">_xlfn.IFS(CleanEmployeeData[[#This Row],[YearsAtCompany]]&lt;=1,"0–1 years",CleanEmployeeData[[#This Row],[YearsAtCompany]]&lt;=5,"2–5 years",CleanEmployeeData[[#This Row],[YearsAtCompany]]&lt;=10,"6–10 years",TRUE,"11+ years")</f>
        <v>0–1 years</v>
      </c>
    </row>
    <row r="1418" spans="1:4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cm="1">
        <f t="array" ref="AJ1418">_xlfn.SWITCH(CleanEmployeeData[[#This Row],[Education]],1,"Below College",2,"College",3,"Bachelor",4,"Master",5,"Doctor","Unknown")</f>
        <v>Master</v>
      </c>
      <c r="AK1418" t="str" cm="1">
        <f t="array" ref="AK1418">_xlfn.SWITCH(CleanEmployeeData[[#This Row],[EnvironmentSatisfaction]],1,"Low",2,"Medium",3,"High",4,"Very High","Unknown")</f>
        <v>Very High</v>
      </c>
      <c r="AL1418" t="str" cm="1">
        <f t="array" ref="AL1418">_xlfn.SWITCH(CleanEmployeeData[[#This Row],[JobInvolvement]],1,"Low",2,"Medium",3,"High",4,"Very High","Unknown")</f>
        <v>High</v>
      </c>
      <c r="AM1418" t="str" cm="1">
        <f t="array" ref="AM1418">_xlfn.SWITCH(CleanEmployeeData[[#This Row],[JobSatisfaction]],1,"Low",2,"Medium",3,"High",4,"Very High","Unknown")</f>
        <v>Medium</v>
      </c>
      <c r="AN1418" t="str" cm="1">
        <f t="array" ref="AN1418">_xlfn.SWITCH(CleanEmployeeData[[#This Row],[PerformanceRating]],1,"Low",2,"Good",3,"Excellent",4,"Outstanding","Unknown")</f>
        <v>Excellent</v>
      </c>
      <c r="AO1418" t="str" cm="1">
        <f t="array" ref="AO1418">_xlfn.SWITCH(CleanEmployeeData[[#This Row],[WorkLifeBalance]],1,"Bad",2,"Good",3,"Better",4,"Best","Unknown")</f>
        <v>Better</v>
      </c>
      <c r="AP1418">
        <f>IF(CleanEmployeeData[[#This Row],[Attrition]]="Yes",1,IF(CleanEmployeeData[[#This Row],[Attrition]]="No",0,""))</f>
        <v>0</v>
      </c>
      <c r="AQ1418" t="str" cm="1">
        <f t="array" ref="AQ1418">_xlfn.IFS(CleanEmployeeData[[#This Row],[MonthlyIncome]]&lt;=3000,"0–3,000",CleanEmployeeData[[#This Row],[MonthlyIncome]]&lt;=6000,"3,001–6,000",CleanEmployeeData[[#This Row],[MonthlyIncome]]&lt;=10000,"6,001–10,000",TRUE,"10,001+")</f>
        <v>3,001–6,000</v>
      </c>
      <c r="AR1418" t="str" cm="1">
        <f t="array" ref="AR1418">_xlfn.IFS(CleanEmployeeData[[#This Row],[DistanceFromHome]]&lt;=5,"0–5 miles",CleanEmployeeData[[#This Row],[DistanceFromHome]]&lt;=10,"6–10 miles",CleanEmployeeData[[#This Row],[DistanceFromHome]]&lt;=15,"11–15 miles",TRUE,"16+ miles")</f>
        <v>0–5 miles</v>
      </c>
      <c r="AS1418" t="str" cm="1">
        <f t="array" ref="AS1418">_xlfn.IFS(CleanEmployeeData[[#This Row],[YearsAtCompany]]&lt;=1,"0–1 years",CleanEmployeeData[[#This Row],[YearsAtCompany]]&lt;=5,"2–5 years",CleanEmployeeData[[#This Row],[YearsAtCompany]]&lt;=10,"6–10 years",TRUE,"11+ years")</f>
        <v>11+ years</v>
      </c>
    </row>
    <row r="1419" spans="1:4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cm="1">
        <f t="array" ref="AJ1419">_xlfn.SWITCH(CleanEmployeeData[[#This Row],[Education]],1,"Below College",2,"College",3,"Bachelor",4,"Master",5,"Doctor","Unknown")</f>
        <v>College</v>
      </c>
      <c r="AK1419" t="str" cm="1">
        <f t="array" ref="AK1419">_xlfn.SWITCH(CleanEmployeeData[[#This Row],[EnvironmentSatisfaction]],1,"Low",2,"Medium",3,"High",4,"Very High","Unknown")</f>
        <v>Low</v>
      </c>
      <c r="AL1419" t="str" cm="1">
        <f t="array" ref="AL1419">_xlfn.SWITCH(CleanEmployeeData[[#This Row],[JobInvolvement]],1,"Low",2,"Medium",3,"High",4,"Very High","Unknown")</f>
        <v>High</v>
      </c>
      <c r="AM1419" t="str" cm="1">
        <f t="array" ref="AM1419">_xlfn.SWITCH(CleanEmployeeData[[#This Row],[JobSatisfaction]],1,"Low",2,"Medium",3,"High",4,"Very High","Unknown")</f>
        <v>High</v>
      </c>
      <c r="AN1419" t="str" cm="1">
        <f t="array" ref="AN1419">_xlfn.SWITCH(CleanEmployeeData[[#This Row],[PerformanceRating]],1,"Low",2,"Good",3,"Excellent",4,"Outstanding","Unknown")</f>
        <v>Excellent</v>
      </c>
      <c r="AO1419" t="str" cm="1">
        <f t="array" ref="AO1419">_xlfn.SWITCH(CleanEmployeeData[[#This Row],[WorkLifeBalance]],1,"Bad",2,"Good",3,"Better",4,"Best","Unknown")</f>
        <v>Better</v>
      </c>
      <c r="AP1419">
        <f>IF(CleanEmployeeData[[#This Row],[Attrition]]="Yes",1,IF(CleanEmployeeData[[#This Row],[Attrition]]="No",0,""))</f>
        <v>0</v>
      </c>
      <c r="AQ1419" t="str" cm="1">
        <f t="array" ref="AQ1419">_xlfn.IFS(CleanEmployeeData[[#This Row],[MonthlyIncome]]&lt;=3000,"0–3,000",CleanEmployeeData[[#This Row],[MonthlyIncome]]&lt;=6000,"3,001–6,000",CleanEmployeeData[[#This Row],[MonthlyIncome]]&lt;=10000,"6,001–10,000",TRUE,"10,001+")</f>
        <v>3,001–6,000</v>
      </c>
      <c r="AR1419" t="str" cm="1">
        <f t="array" ref="AR1419">_xlfn.IFS(CleanEmployeeData[[#This Row],[DistanceFromHome]]&lt;=5,"0–5 miles",CleanEmployeeData[[#This Row],[DistanceFromHome]]&lt;=10,"6–10 miles",CleanEmployeeData[[#This Row],[DistanceFromHome]]&lt;=15,"11–15 miles",TRUE,"16+ miles")</f>
        <v>0–5 miles</v>
      </c>
      <c r="AS1419" t="str" cm="1">
        <f t="array" ref="AS1419">_xlfn.IFS(CleanEmployeeData[[#This Row],[YearsAtCompany]]&lt;=1,"0–1 years",CleanEmployeeData[[#This Row],[YearsAtCompany]]&lt;=5,"2–5 years",CleanEmployeeData[[#This Row],[YearsAtCompany]]&lt;=10,"6–10 years",TRUE,"11+ years")</f>
        <v>2–5 years</v>
      </c>
    </row>
    <row r="1420" spans="1:4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cm="1">
        <f t="array" ref="AJ1420">_xlfn.SWITCH(CleanEmployeeData[[#This Row],[Education]],1,"Below College",2,"College",3,"Bachelor",4,"Master",5,"Doctor","Unknown")</f>
        <v>Master</v>
      </c>
      <c r="AK1420" t="str" cm="1">
        <f t="array" ref="AK1420">_xlfn.SWITCH(CleanEmployeeData[[#This Row],[EnvironmentSatisfaction]],1,"Low",2,"Medium",3,"High",4,"Very High","Unknown")</f>
        <v>Low</v>
      </c>
      <c r="AL1420" t="str" cm="1">
        <f t="array" ref="AL1420">_xlfn.SWITCH(CleanEmployeeData[[#This Row],[JobInvolvement]],1,"Low",2,"Medium",3,"High",4,"Very High","Unknown")</f>
        <v>Medium</v>
      </c>
      <c r="AM1420" t="str" cm="1">
        <f t="array" ref="AM1420">_xlfn.SWITCH(CleanEmployeeData[[#This Row],[JobSatisfaction]],1,"Low",2,"Medium",3,"High",4,"Very High","Unknown")</f>
        <v>High</v>
      </c>
      <c r="AN1420" t="str" cm="1">
        <f t="array" ref="AN1420">_xlfn.SWITCH(CleanEmployeeData[[#This Row],[PerformanceRating]],1,"Low",2,"Good",3,"Excellent",4,"Outstanding","Unknown")</f>
        <v>Excellent</v>
      </c>
      <c r="AO1420" t="str" cm="1">
        <f t="array" ref="AO1420">_xlfn.SWITCH(CleanEmployeeData[[#This Row],[WorkLifeBalance]],1,"Bad",2,"Good",3,"Better",4,"Best","Unknown")</f>
        <v>Better</v>
      </c>
      <c r="AP1420">
        <f>IF(CleanEmployeeData[[#This Row],[Attrition]]="Yes",1,IF(CleanEmployeeData[[#This Row],[Attrition]]="No",0,""))</f>
        <v>0</v>
      </c>
      <c r="AQ1420" t="str" cm="1">
        <f t="array" ref="AQ1420">_xlfn.IFS(CleanEmployeeData[[#This Row],[MonthlyIncome]]&lt;=3000,"0–3,000",CleanEmployeeData[[#This Row],[MonthlyIncome]]&lt;=6000,"3,001–6,000",CleanEmployeeData[[#This Row],[MonthlyIncome]]&lt;=10000,"6,001–10,000",TRUE,"10,001+")</f>
        <v>3,001–6,000</v>
      </c>
      <c r="AR1420" t="str" cm="1">
        <f t="array" ref="AR1420">_xlfn.IFS(CleanEmployeeData[[#This Row],[DistanceFromHome]]&lt;=5,"0–5 miles",CleanEmployeeData[[#This Row],[DistanceFromHome]]&lt;=10,"6–10 miles",CleanEmployeeData[[#This Row],[DistanceFromHome]]&lt;=15,"11–15 miles",TRUE,"16+ miles")</f>
        <v>6–10 miles</v>
      </c>
      <c r="AS1420" t="str" cm="1">
        <f t="array" ref="AS1420">_xlfn.IFS(CleanEmployeeData[[#This Row],[YearsAtCompany]]&lt;=1,"0–1 years",CleanEmployeeData[[#This Row],[YearsAtCompany]]&lt;=5,"2–5 years",CleanEmployeeData[[#This Row],[YearsAtCompany]]&lt;=10,"6–10 years",TRUE,"11+ years")</f>
        <v>6–10 years</v>
      </c>
    </row>
    <row r="1421" spans="1:4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cm="1">
        <f t="array" ref="AJ1421">_xlfn.SWITCH(CleanEmployeeData[[#This Row],[Education]],1,"Below College",2,"College",3,"Bachelor",4,"Master",5,"Doctor","Unknown")</f>
        <v>Master</v>
      </c>
      <c r="AK1421" t="str" cm="1">
        <f t="array" ref="AK1421">_xlfn.SWITCH(CleanEmployeeData[[#This Row],[EnvironmentSatisfaction]],1,"Low",2,"Medium",3,"High",4,"Very High","Unknown")</f>
        <v>Very High</v>
      </c>
      <c r="AL1421" t="str" cm="1">
        <f t="array" ref="AL1421">_xlfn.SWITCH(CleanEmployeeData[[#This Row],[JobInvolvement]],1,"Low",2,"Medium",3,"High",4,"Very High","Unknown")</f>
        <v>High</v>
      </c>
      <c r="AM1421" t="str" cm="1">
        <f t="array" ref="AM1421">_xlfn.SWITCH(CleanEmployeeData[[#This Row],[JobSatisfaction]],1,"Low",2,"Medium",3,"High",4,"Very High","Unknown")</f>
        <v>Low</v>
      </c>
      <c r="AN1421" t="str" cm="1">
        <f t="array" ref="AN1421">_xlfn.SWITCH(CleanEmployeeData[[#This Row],[PerformanceRating]],1,"Low",2,"Good",3,"Excellent",4,"Outstanding","Unknown")</f>
        <v>Excellent</v>
      </c>
      <c r="AO1421" t="str" cm="1">
        <f t="array" ref="AO1421">_xlfn.SWITCH(CleanEmployeeData[[#This Row],[WorkLifeBalance]],1,"Bad",2,"Good",3,"Better",4,"Best","Unknown")</f>
        <v>Good</v>
      </c>
      <c r="AP1421">
        <f>IF(CleanEmployeeData[[#This Row],[Attrition]]="Yes",1,IF(CleanEmployeeData[[#This Row],[Attrition]]="No",0,""))</f>
        <v>0</v>
      </c>
      <c r="AQ1421" t="str" cm="1">
        <f t="array" ref="AQ1421">_xlfn.IFS(CleanEmployeeData[[#This Row],[MonthlyIncome]]&lt;=3000,"0–3,000",CleanEmployeeData[[#This Row],[MonthlyIncome]]&lt;=6000,"3,001–6,000",CleanEmployeeData[[#This Row],[MonthlyIncome]]&lt;=10000,"6,001–10,000",TRUE,"10,001+")</f>
        <v>3,001–6,000</v>
      </c>
      <c r="AR1421" t="str" cm="1">
        <f t="array" ref="AR1421">_xlfn.IFS(CleanEmployeeData[[#This Row],[DistanceFromHome]]&lt;=5,"0–5 miles",CleanEmployeeData[[#This Row],[DistanceFromHome]]&lt;=10,"6–10 miles",CleanEmployeeData[[#This Row],[DistanceFromHome]]&lt;=15,"11–15 miles",TRUE,"16+ miles")</f>
        <v>16+ miles</v>
      </c>
      <c r="AS1421" t="str" cm="1">
        <f t="array" ref="AS1421">_xlfn.IFS(CleanEmployeeData[[#This Row],[YearsAtCompany]]&lt;=1,"0–1 years",CleanEmployeeData[[#This Row],[YearsAtCompany]]&lt;=5,"2–5 years",CleanEmployeeData[[#This Row],[YearsAtCompany]]&lt;=10,"6–10 years",TRUE,"11+ years")</f>
        <v>2–5 years</v>
      </c>
    </row>
    <row r="1422" spans="1:4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cm="1">
        <f t="array" ref="AJ1422">_xlfn.SWITCH(CleanEmployeeData[[#This Row],[Education]],1,"Below College",2,"College",3,"Bachelor",4,"Master",5,"Doctor","Unknown")</f>
        <v>Bachelor</v>
      </c>
      <c r="AK1422" t="str" cm="1">
        <f t="array" ref="AK1422">_xlfn.SWITCH(CleanEmployeeData[[#This Row],[EnvironmentSatisfaction]],1,"Low",2,"Medium",3,"High",4,"Very High","Unknown")</f>
        <v>Very High</v>
      </c>
      <c r="AL1422" t="str" cm="1">
        <f t="array" ref="AL1422">_xlfn.SWITCH(CleanEmployeeData[[#This Row],[JobInvolvement]],1,"Low",2,"Medium",3,"High",4,"Very High","Unknown")</f>
        <v>High</v>
      </c>
      <c r="AM1422" t="str" cm="1">
        <f t="array" ref="AM1422">_xlfn.SWITCH(CleanEmployeeData[[#This Row],[JobSatisfaction]],1,"Low",2,"Medium",3,"High",4,"Very High","Unknown")</f>
        <v>Very High</v>
      </c>
      <c r="AN1422" t="str" cm="1">
        <f t="array" ref="AN1422">_xlfn.SWITCH(CleanEmployeeData[[#This Row],[PerformanceRating]],1,"Low",2,"Good",3,"Excellent",4,"Outstanding","Unknown")</f>
        <v>Outstanding</v>
      </c>
      <c r="AO1422" t="str" cm="1">
        <f t="array" ref="AO1422">_xlfn.SWITCH(CleanEmployeeData[[#This Row],[WorkLifeBalance]],1,"Bad",2,"Good",3,"Better",4,"Best","Unknown")</f>
        <v>Better</v>
      </c>
      <c r="AP1422">
        <f>IF(CleanEmployeeData[[#This Row],[Attrition]]="Yes",1,IF(CleanEmployeeData[[#This Row],[Attrition]]="No",0,""))</f>
        <v>0</v>
      </c>
      <c r="AQ1422" t="str" cm="1">
        <f t="array" ref="AQ1422">_xlfn.IFS(CleanEmployeeData[[#This Row],[MonthlyIncome]]&lt;=3000,"0–3,000",CleanEmployeeData[[#This Row],[MonthlyIncome]]&lt;=6000,"3,001–6,000",CleanEmployeeData[[#This Row],[MonthlyIncome]]&lt;=10000,"6,001–10,000",TRUE,"10,001+")</f>
        <v>0–3,000</v>
      </c>
      <c r="AR1422" t="str" cm="1">
        <f t="array" ref="AR1422">_xlfn.IFS(CleanEmployeeData[[#This Row],[DistanceFromHome]]&lt;=5,"0–5 miles",CleanEmployeeData[[#This Row],[DistanceFromHome]]&lt;=10,"6–10 miles",CleanEmployeeData[[#This Row],[DistanceFromHome]]&lt;=15,"11–15 miles",TRUE,"16+ miles")</f>
        <v>0–5 miles</v>
      </c>
      <c r="AS1422" t="str" cm="1">
        <f t="array" ref="AS1422">_xlfn.IFS(CleanEmployeeData[[#This Row],[YearsAtCompany]]&lt;=1,"0–1 years",CleanEmployeeData[[#This Row],[YearsAtCompany]]&lt;=5,"2–5 years",CleanEmployeeData[[#This Row],[YearsAtCompany]]&lt;=10,"6–10 years",TRUE,"11+ years")</f>
        <v>2–5 years</v>
      </c>
    </row>
    <row r="1423" spans="1:4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cm="1">
        <f t="array" ref="AJ1423">_xlfn.SWITCH(CleanEmployeeData[[#This Row],[Education]],1,"Below College",2,"College",3,"Bachelor",4,"Master",5,"Doctor","Unknown")</f>
        <v>Below College</v>
      </c>
      <c r="AK1423" t="str" cm="1">
        <f t="array" ref="AK1423">_xlfn.SWITCH(CleanEmployeeData[[#This Row],[EnvironmentSatisfaction]],1,"Low",2,"Medium",3,"High",4,"Very High","Unknown")</f>
        <v>High</v>
      </c>
      <c r="AL1423" t="str" cm="1">
        <f t="array" ref="AL1423">_xlfn.SWITCH(CleanEmployeeData[[#This Row],[JobInvolvement]],1,"Low",2,"Medium",3,"High",4,"Very High","Unknown")</f>
        <v>High</v>
      </c>
      <c r="AM1423" t="str" cm="1">
        <f t="array" ref="AM1423">_xlfn.SWITCH(CleanEmployeeData[[#This Row],[JobSatisfaction]],1,"Low",2,"Medium",3,"High",4,"Very High","Unknown")</f>
        <v>Medium</v>
      </c>
      <c r="AN1423" t="str" cm="1">
        <f t="array" ref="AN1423">_xlfn.SWITCH(CleanEmployeeData[[#This Row],[PerformanceRating]],1,"Low",2,"Good",3,"Excellent",4,"Outstanding","Unknown")</f>
        <v>Excellent</v>
      </c>
      <c r="AO1423" t="str" cm="1">
        <f t="array" ref="AO1423">_xlfn.SWITCH(CleanEmployeeData[[#This Row],[WorkLifeBalance]],1,"Bad",2,"Good",3,"Better",4,"Best","Unknown")</f>
        <v>Bad</v>
      </c>
      <c r="AP1423">
        <f>IF(CleanEmployeeData[[#This Row],[Attrition]]="Yes",1,IF(CleanEmployeeData[[#This Row],[Attrition]]="No",0,""))</f>
        <v>0</v>
      </c>
      <c r="AQ1423" t="str" cm="1">
        <f t="array" ref="AQ1423">_xlfn.IFS(CleanEmployeeData[[#This Row],[MonthlyIncome]]&lt;=3000,"0–3,000",CleanEmployeeData[[#This Row],[MonthlyIncome]]&lt;=6000,"3,001–6,000",CleanEmployeeData[[#This Row],[MonthlyIncome]]&lt;=10000,"6,001–10,000",TRUE,"10,001+")</f>
        <v>10,001+</v>
      </c>
      <c r="AR1423" t="str" cm="1">
        <f t="array" ref="AR1423">_xlfn.IFS(CleanEmployeeData[[#This Row],[DistanceFromHome]]&lt;=5,"0–5 miles",CleanEmployeeData[[#This Row],[DistanceFromHome]]&lt;=10,"6–10 miles",CleanEmployeeData[[#This Row],[DistanceFromHome]]&lt;=15,"11–15 miles",TRUE,"16+ miles")</f>
        <v>0–5 miles</v>
      </c>
      <c r="AS1423" t="str" cm="1">
        <f t="array" ref="AS1423">_xlfn.IFS(CleanEmployeeData[[#This Row],[YearsAtCompany]]&lt;=1,"0–1 years",CleanEmployeeData[[#This Row],[YearsAtCompany]]&lt;=5,"2–5 years",CleanEmployeeData[[#This Row],[YearsAtCompany]]&lt;=10,"6–10 years",TRUE,"11+ years")</f>
        <v>11+ years</v>
      </c>
    </row>
    <row r="1424" spans="1:4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cm="1">
        <f t="array" ref="AJ1424">_xlfn.SWITCH(CleanEmployeeData[[#This Row],[Education]],1,"Below College",2,"College",3,"Bachelor",4,"Master",5,"Doctor","Unknown")</f>
        <v>Master</v>
      </c>
      <c r="AK1424" t="str" cm="1">
        <f t="array" ref="AK1424">_xlfn.SWITCH(CleanEmployeeData[[#This Row],[EnvironmentSatisfaction]],1,"Low",2,"Medium",3,"High",4,"Very High","Unknown")</f>
        <v>Very High</v>
      </c>
      <c r="AL1424" t="str" cm="1">
        <f t="array" ref="AL1424">_xlfn.SWITCH(CleanEmployeeData[[#This Row],[JobInvolvement]],1,"Low",2,"Medium",3,"High",4,"Very High","Unknown")</f>
        <v>High</v>
      </c>
      <c r="AM1424" t="str" cm="1">
        <f t="array" ref="AM1424">_xlfn.SWITCH(CleanEmployeeData[[#This Row],[JobSatisfaction]],1,"Low",2,"Medium",3,"High",4,"Very High","Unknown")</f>
        <v>High</v>
      </c>
      <c r="AN1424" t="str" cm="1">
        <f t="array" ref="AN1424">_xlfn.SWITCH(CleanEmployeeData[[#This Row],[PerformanceRating]],1,"Low",2,"Good",3,"Excellent",4,"Outstanding","Unknown")</f>
        <v>Excellent</v>
      </c>
      <c r="AO1424" t="str" cm="1">
        <f t="array" ref="AO1424">_xlfn.SWITCH(CleanEmployeeData[[#This Row],[WorkLifeBalance]],1,"Bad",2,"Good",3,"Better",4,"Best","Unknown")</f>
        <v>Better</v>
      </c>
      <c r="AP1424">
        <f>IF(CleanEmployeeData[[#This Row],[Attrition]]="Yes",1,IF(CleanEmployeeData[[#This Row],[Attrition]]="No",0,""))</f>
        <v>0</v>
      </c>
      <c r="AQ1424" t="str" cm="1">
        <f t="array" ref="AQ1424">_xlfn.IFS(CleanEmployeeData[[#This Row],[MonthlyIncome]]&lt;=3000,"0–3,000",CleanEmployeeData[[#This Row],[MonthlyIncome]]&lt;=6000,"3,001–6,000",CleanEmployeeData[[#This Row],[MonthlyIncome]]&lt;=10000,"6,001–10,000",TRUE,"10,001+")</f>
        <v>0–3,000</v>
      </c>
      <c r="AR1424" t="str" cm="1">
        <f t="array" ref="AR1424">_xlfn.IFS(CleanEmployeeData[[#This Row],[DistanceFromHome]]&lt;=5,"0–5 miles",CleanEmployeeData[[#This Row],[DistanceFromHome]]&lt;=10,"6–10 miles",CleanEmployeeData[[#This Row],[DistanceFromHome]]&lt;=15,"11–15 miles",TRUE,"16+ miles")</f>
        <v>11–15 miles</v>
      </c>
      <c r="AS1424" t="str" cm="1">
        <f t="array" ref="AS1424">_xlfn.IFS(CleanEmployeeData[[#This Row],[YearsAtCompany]]&lt;=1,"0–1 years",CleanEmployeeData[[#This Row],[YearsAtCompany]]&lt;=5,"2–5 years",CleanEmployeeData[[#This Row],[YearsAtCompany]]&lt;=10,"6–10 years",TRUE,"11+ years")</f>
        <v>2–5 years</v>
      </c>
    </row>
    <row r="1425" spans="1:4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cm="1">
        <f t="array" ref="AJ1425">_xlfn.SWITCH(CleanEmployeeData[[#This Row],[Education]],1,"Below College",2,"College",3,"Bachelor",4,"Master",5,"Doctor","Unknown")</f>
        <v>College</v>
      </c>
      <c r="AK1425" t="str" cm="1">
        <f t="array" ref="AK1425">_xlfn.SWITCH(CleanEmployeeData[[#This Row],[EnvironmentSatisfaction]],1,"Low",2,"Medium",3,"High",4,"Very High","Unknown")</f>
        <v>Very High</v>
      </c>
      <c r="AL1425" t="str" cm="1">
        <f t="array" ref="AL1425">_xlfn.SWITCH(CleanEmployeeData[[#This Row],[JobInvolvement]],1,"Low",2,"Medium",3,"High",4,"Very High","Unknown")</f>
        <v>High</v>
      </c>
      <c r="AM1425" t="str" cm="1">
        <f t="array" ref="AM1425">_xlfn.SWITCH(CleanEmployeeData[[#This Row],[JobSatisfaction]],1,"Low",2,"Medium",3,"High",4,"Very High","Unknown")</f>
        <v>High</v>
      </c>
      <c r="AN1425" t="str" cm="1">
        <f t="array" ref="AN1425">_xlfn.SWITCH(CleanEmployeeData[[#This Row],[PerformanceRating]],1,"Low",2,"Good",3,"Excellent",4,"Outstanding","Unknown")</f>
        <v>Excellent</v>
      </c>
      <c r="AO1425" t="str" cm="1">
        <f t="array" ref="AO1425">_xlfn.SWITCH(CleanEmployeeData[[#This Row],[WorkLifeBalance]],1,"Bad",2,"Good",3,"Better",4,"Best","Unknown")</f>
        <v>Best</v>
      </c>
      <c r="AP1425">
        <f>IF(CleanEmployeeData[[#This Row],[Attrition]]="Yes",1,IF(CleanEmployeeData[[#This Row],[Attrition]]="No",0,""))</f>
        <v>0</v>
      </c>
      <c r="AQ1425" t="str" cm="1">
        <f t="array" ref="AQ1425">_xlfn.IFS(CleanEmployeeData[[#This Row],[MonthlyIncome]]&lt;=3000,"0–3,000",CleanEmployeeData[[#This Row],[MonthlyIncome]]&lt;=6000,"3,001–6,000",CleanEmployeeData[[#This Row],[MonthlyIncome]]&lt;=10000,"6,001–10,000",TRUE,"10,001+")</f>
        <v>3,001–6,000</v>
      </c>
      <c r="AR1425" t="str" cm="1">
        <f t="array" ref="AR1425">_xlfn.IFS(CleanEmployeeData[[#This Row],[DistanceFromHome]]&lt;=5,"0–5 miles",CleanEmployeeData[[#This Row],[DistanceFromHome]]&lt;=10,"6–10 miles",CleanEmployeeData[[#This Row],[DistanceFromHome]]&lt;=15,"11–15 miles",TRUE,"16+ miles")</f>
        <v>0–5 miles</v>
      </c>
      <c r="AS1425" t="str" cm="1">
        <f t="array" ref="AS1425">_xlfn.IFS(CleanEmployeeData[[#This Row],[YearsAtCompany]]&lt;=1,"0–1 years",CleanEmployeeData[[#This Row],[YearsAtCompany]]&lt;=5,"2–5 years",CleanEmployeeData[[#This Row],[YearsAtCompany]]&lt;=10,"6–10 years",TRUE,"11+ years")</f>
        <v>2–5 years</v>
      </c>
    </row>
    <row r="1426" spans="1:4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cm="1">
        <f t="array" ref="AJ1426">_xlfn.SWITCH(CleanEmployeeData[[#This Row],[Education]],1,"Below College",2,"College",3,"Bachelor",4,"Master",5,"Doctor","Unknown")</f>
        <v>Master</v>
      </c>
      <c r="AK1426" t="str" cm="1">
        <f t="array" ref="AK1426">_xlfn.SWITCH(CleanEmployeeData[[#This Row],[EnvironmentSatisfaction]],1,"Low",2,"Medium",3,"High",4,"Very High","Unknown")</f>
        <v>Medium</v>
      </c>
      <c r="AL1426" t="str" cm="1">
        <f t="array" ref="AL1426">_xlfn.SWITCH(CleanEmployeeData[[#This Row],[JobInvolvement]],1,"Low",2,"Medium",3,"High",4,"Very High","Unknown")</f>
        <v>High</v>
      </c>
      <c r="AM1426" t="str" cm="1">
        <f t="array" ref="AM1426">_xlfn.SWITCH(CleanEmployeeData[[#This Row],[JobSatisfaction]],1,"Low",2,"Medium",3,"High",4,"Very High","Unknown")</f>
        <v>High</v>
      </c>
      <c r="AN1426" t="str" cm="1">
        <f t="array" ref="AN1426">_xlfn.SWITCH(CleanEmployeeData[[#This Row],[PerformanceRating]],1,"Low",2,"Good",3,"Excellent",4,"Outstanding","Unknown")</f>
        <v>Excellent</v>
      </c>
      <c r="AO1426" t="str" cm="1">
        <f t="array" ref="AO1426">_xlfn.SWITCH(CleanEmployeeData[[#This Row],[WorkLifeBalance]],1,"Bad",2,"Good",3,"Better",4,"Best","Unknown")</f>
        <v>Better</v>
      </c>
      <c r="AP1426">
        <f>IF(CleanEmployeeData[[#This Row],[Attrition]]="Yes",1,IF(CleanEmployeeData[[#This Row],[Attrition]]="No",0,""))</f>
        <v>0</v>
      </c>
      <c r="AQ1426" t="str" cm="1">
        <f t="array" ref="AQ1426">_xlfn.IFS(CleanEmployeeData[[#This Row],[MonthlyIncome]]&lt;=3000,"0–3,000",CleanEmployeeData[[#This Row],[MonthlyIncome]]&lt;=6000,"3,001–6,000",CleanEmployeeData[[#This Row],[MonthlyIncome]]&lt;=10000,"6,001–10,000",TRUE,"10,001+")</f>
        <v>3,001–6,000</v>
      </c>
      <c r="AR1426" t="str" cm="1">
        <f t="array" ref="AR1426">_xlfn.IFS(CleanEmployeeData[[#This Row],[DistanceFromHome]]&lt;=5,"0–5 miles",CleanEmployeeData[[#This Row],[DistanceFromHome]]&lt;=10,"6–10 miles",CleanEmployeeData[[#This Row],[DistanceFromHome]]&lt;=15,"11–15 miles",TRUE,"16+ miles")</f>
        <v>6–10 miles</v>
      </c>
      <c r="AS1426" t="str" cm="1">
        <f t="array" ref="AS1426">_xlfn.IFS(CleanEmployeeData[[#This Row],[YearsAtCompany]]&lt;=1,"0–1 years",CleanEmployeeData[[#This Row],[YearsAtCompany]]&lt;=5,"2–5 years",CleanEmployeeData[[#This Row],[YearsAtCompany]]&lt;=10,"6–10 years",TRUE,"11+ years")</f>
        <v>6–10 years</v>
      </c>
    </row>
    <row r="1427" spans="1:4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cm="1">
        <f t="array" ref="AJ1427">_xlfn.SWITCH(CleanEmployeeData[[#This Row],[Education]],1,"Below College",2,"College",3,"Bachelor",4,"Master",5,"Doctor","Unknown")</f>
        <v>College</v>
      </c>
      <c r="AK1427" t="str" cm="1">
        <f t="array" ref="AK1427">_xlfn.SWITCH(CleanEmployeeData[[#This Row],[EnvironmentSatisfaction]],1,"Low",2,"Medium",3,"High",4,"Very High","Unknown")</f>
        <v>Medium</v>
      </c>
      <c r="AL1427" t="str" cm="1">
        <f t="array" ref="AL1427">_xlfn.SWITCH(CleanEmployeeData[[#This Row],[JobInvolvement]],1,"Low",2,"Medium",3,"High",4,"Very High","Unknown")</f>
        <v>High</v>
      </c>
      <c r="AM1427" t="str" cm="1">
        <f t="array" ref="AM1427">_xlfn.SWITCH(CleanEmployeeData[[#This Row],[JobSatisfaction]],1,"Low",2,"Medium",3,"High",4,"Very High","Unknown")</f>
        <v>Very High</v>
      </c>
      <c r="AN1427" t="str" cm="1">
        <f t="array" ref="AN1427">_xlfn.SWITCH(CleanEmployeeData[[#This Row],[PerformanceRating]],1,"Low",2,"Good",3,"Excellent",4,"Outstanding","Unknown")</f>
        <v>Excellent</v>
      </c>
      <c r="AO1427" t="str" cm="1">
        <f t="array" ref="AO1427">_xlfn.SWITCH(CleanEmployeeData[[#This Row],[WorkLifeBalance]],1,"Bad",2,"Good",3,"Better",4,"Best","Unknown")</f>
        <v>Better</v>
      </c>
      <c r="AP1427">
        <f>IF(CleanEmployeeData[[#This Row],[Attrition]]="Yes",1,IF(CleanEmployeeData[[#This Row],[Attrition]]="No",0,""))</f>
        <v>0</v>
      </c>
      <c r="AQ1427" t="str" cm="1">
        <f t="array" ref="AQ1427">_xlfn.IFS(CleanEmployeeData[[#This Row],[MonthlyIncome]]&lt;=3000,"0–3,000",CleanEmployeeData[[#This Row],[MonthlyIncome]]&lt;=6000,"3,001–6,000",CleanEmployeeData[[#This Row],[MonthlyIncome]]&lt;=10000,"6,001–10,000",TRUE,"10,001+")</f>
        <v>3,001–6,000</v>
      </c>
      <c r="AR1427" t="str" cm="1">
        <f t="array" ref="AR1427">_xlfn.IFS(CleanEmployeeData[[#This Row],[DistanceFromHome]]&lt;=5,"0–5 miles",CleanEmployeeData[[#This Row],[DistanceFromHome]]&lt;=10,"6–10 miles",CleanEmployeeData[[#This Row],[DistanceFromHome]]&lt;=15,"11–15 miles",TRUE,"16+ miles")</f>
        <v>11–15 miles</v>
      </c>
      <c r="AS1427" t="str" cm="1">
        <f t="array" ref="AS1427">_xlfn.IFS(CleanEmployeeData[[#This Row],[YearsAtCompany]]&lt;=1,"0–1 years",CleanEmployeeData[[#This Row],[YearsAtCompany]]&lt;=5,"2–5 years",CleanEmployeeData[[#This Row],[YearsAtCompany]]&lt;=10,"6–10 years",TRUE,"11+ years")</f>
        <v>6–10 years</v>
      </c>
    </row>
    <row r="1428" spans="1:4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cm="1">
        <f t="array" ref="AJ1428">_xlfn.SWITCH(CleanEmployeeData[[#This Row],[Education]],1,"Below College",2,"College",3,"Bachelor",4,"Master",5,"Doctor","Unknown")</f>
        <v>Master</v>
      </c>
      <c r="AK1428" t="str" cm="1">
        <f t="array" ref="AK1428">_xlfn.SWITCH(CleanEmployeeData[[#This Row],[EnvironmentSatisfaction]],1,"Low",2,"Medium",3,"High",4,"Very High","Unknown")</f>
        <v>High</v>
      </c>
      <c r="AL1428" t="str" cm="1">
        <f t="array" ref="AL1428">_xlfn.SWITCH(CleanEmployeeData[[#This Row],[JobInvolvement]],1,"Low",2,"Medium",3,"High",4,"Very High","Unknown")</f>
        <v>Medium</v>
      </c>
      <c r="AM1428" t="str" cm="1">
        <f t="array" ref="AM1428">_xlfn.SWITCH(CleanEmployeeData[[#This Row],[JobSatisfaction]],1,"Low",2,"Medium",3,"High",4,"Very High","Unknown")</f>
        <v>Medium</v>
      </c>
      <c r="AN1428" t="str" cm="1">
        <f t="array" ref="AN1428">_xlfn.SWITCH(CleanEmployeeData[[#This Row],[PerformanceRating]],1,"Low",2,"Good",3,"Excellent",4,"Outstanding","Unknown")</f>
        <v>Excellent</v>
      </c>
      <c r="AO1428" t="str" cm="1">
        <f t="array" ref="AO1428">_xlfn.SWITCH(CleanEmployeeData[[#This Row],[WorkLifeBalance]],1,"Bad",2,"Good",3,"Better",4,"Best","Unknown")</f>
        <v>Better</v>
      </c>
      <c r="AP1428">
        <f>IF(CleanEmployeeData[[#This Row],[Attrition]]="Yes",1,IF(CleanEmployeeData[[#This Row],[Attrition]]="No",0,""))</f>
        <v>0</v>
      </c>
      <c r="AQ1428" t="str" cm="1">
        <f t="array" ref="AQ1428">_xlfn.IFS(CleanEmployeeData[[#This Row],[MonthlyIncome]]&lt;=3000,"0–3,000",CleanEmployeeData[[#This Row],[MonthlyIncome]]&lt;=6000,"3,001–6,000",CleanEmployeeData[[#This Row],[MonthlyIncome]]&lt;=10000,"6,001–10,000",TRUE,"10,001+")</f>
        <v>0–3,000</v>
      </c>
      <c r="AR1428" t="str" cm="1">
        <f t="array" ref="AR1428">_xlfn.IFS(CleanEmployeeData[[#This Row],[DistanceFromHome]]&lt;=5,"0–5 miles",CleanEmployeeData[[#This Row],[DistanceFromHome]]&lt;=10,"6–10 miles",CleanEmployeeData[[#This Row],[DistanceFromHome]]&lt;=15,"11–15 miles",TRUE,"16+ miles")</f>
        <v>16+ miles</v>
      </c>
      <c r="AS1428" t="str" cm="1">
        <f t="array" ref="AS1428">_xlfn.IFS(CleanEmployeeData[[#This Row],[YearsAtCompany]]&lt;=1,"0–1 years",CleanEmployeeData[[#This Row],[YearsAtCompany]]&lt;=5,"2–5 years",CleanEmployeeData[[#This Row],[YearsAtCompany]]&lt;=10,"6–10 years",TRUE,"11+ years")</f>
        <v>6–10 years</v>
      </c>
    </row>
    <row r="1429" spans="1:4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cm="1">
        <f t="array" ref="AJ1429">_xlfn.SWITCH(CleanEmployeeData[[#This Row],[Education]],1,"Below College",2,"College",3,"Bachelor",4,"Master",5,"Doctor","Unknown")</f>
        <v>Master</v>
      </c>
      <c r="AK1429" t="str" cm="1">
        <f t="array" ref="AK1429">_xlfn.SWITCH(CleanEmployeeData[[#This Row],[EnvironmentSatisfaction]],1,"Low",2,"Medium",3,"High",4,"Very High","Unknown")</f>
        <v>Low</v>
      </c>
      <c r="AL1429" t="str" cm="1">
        <f t="array" ref="AL1429">_xlfn.SWITCH(CleanEmployeeData[[#This Row],[JobInvolvement]],1,"Low",2,"Medium",3,"High",4,"Very High","Unknown")</f>
        <v>High</v>
      </c>
      <c r="AM1429" t="str" cm="1">
        <f t="array" ref="AM1429">_xlfn.SWITCH(CleanEmployeeData[[#This Row],[JobSatisfaction]],1,"Low",2,"Medium",3,"High",4,"Very High","Unknown")</f>
        <v>Very High</v>
      </c>
      <c r="AN1429" t="str" cm="1">
        <f t="array" ref="AN1429">_xlfn.SWITCH(CleanEmployeeData[[#This Row],[PerformanceRating]],1,"Low",2,"Good",3,"Excellent",4,"Outstanding","Unknown")</f>
        <v>Excellent</v>
      </c>
      <c r="AO1429" t="str" cm="1">
        <f t="array" ref="AO1429">_xlfn.SWITCH(CleanEmployeeData[[#This Row],[WorkLifeBalance]],1,"Bad",2,"Good",3,"Better",4,"Best","Unknown")</f>
        <v>Good</v>
      </c>
      <c r="AP1429">
        <f>IF(CleanEmployeeData[[#This Row],[Attrition]]="Yes",1,IF(CleanEmployeeData[[#This Row],[Attrition]]="No",0,""))</f>
        <v>0</v>
      </c>
      <c r="AQ1429" t="str" cm="1">
        <f t="array" ref="AQ1429">_xlfn.IFS(CleanEmployeeData[[#This Row],[MonthlyIncome]]&lt;=3000,"0–3,000",CleanEmployeeData[[#This Row],[MonthlyIncome]]&lt;=6000,"3,001–6,000",CleanEmployeeData[[#This Row],[MonthlyIncome]]&lt;=10000,"6,001–10,000",TRUE,"10,001+")</f>
        <v>0–3,000</v>
      </c>
      <c r="AR1429" t="str" cm="1">
        <f t="array" ref="AR1429">_xlfn.IFS(CleanEmployeeData[[#This Row],[DistanceFromHome]]&lt;=5,"0–5 miles",CleanEmployeeData[[#This Row],[DistanceFromHome]]&lt;=10,"6–10 miles",CleanEmployeeData[[#This Row],[DistanceFromHome]]&lt;=15,"11–15 miles",TRUE,"16+ miles")</f>
        <v>0–5 miles</v>
      </c>
      <c r="AS1429" t="str" cm="1">
        <f t="array" ref="AS1429">_xlfn.IFS(CleanEmployeeData[[#This Row],[YearsAtCompany]]&lt;=1,"0–1 years",CleanEmployeeData[[#This Row],[YearsAtCompany]]&lt;=5,"2–5 years",CleanEmployeeData[[#This Row],[YearsAtCompany]]&lt;=10,"6–10 years",TRUE,"11+ years")</f>
        <v>0–1 years</v>
      </c>
    </row>
    <row r="1430" spans="1:4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cm="1">
        <f t="array" ref="AJ1430">_xlfn.SWITCH(CleanEmployeeData[[#This Row],[Education]],1,"Below College",2,"College",3,"Bachelor",4,"Master",5,"Doctor","Unknown")</f>
        <v>Master</v>
      </c>
      <c r="AK1430" t="str" cm="1">
        <f t="array" ref="AK1430">_xlfn.SWITCH(CleanEmployeeData[[#This Row],[EnvironmentSatisfaction]],1,"Low",2,"Medium",3,"High",4,"Very High","Unknown")</f>
        <v>Medium</v>
      </c>
      <c r="AL1430" t="str" cm="1">
        <f t="array" ref="AL1430">_xlfn.SWITCH(CleanEmployeeData[[#This Row],[JobInvolvement]],1,"Low",2,"Medium",3,"High",4,"Very High","Unknown")</f>
        <v>Medium</v>
      </c>
      <c r="AM1430" t="str" cm="1">
        <f t="array" ref="AM1430">_xlfn.SWITCH(CleanEmployeeData[[#This Row],[JobSatisfaction]],1,"Low",2,"Medium",3,"High",4,"Very High","Unknown")</f>
        <v>Medium</v>
      </c>
      <c r="AN1430" t="str" cm="1">
        <f t="array" ref="AN1430">_xlfn.SWITCH(CleanEmployeeData[[#This Row],[PerformanceRating]],1,"Low",2,"Good",3,"Excellent",4,"Outstanding","Unknown")</f>
        <v>Excellent</v>
      </c>
      <c r="AO1430" t="str" cm="1">
        <f t="array" ref="AO1430">_xlfn.SWITCH(CleanEmployeeData[[#This Row],[WorkLifeBalance]],1,"Bad",2,"Good",3,"Better",4,"Best","Unknown")</f>
        <v>Better</v>
      </c>
      <c r="AP1430">
        <f>IF(CleanEmployeeData[[#This Row],[Attrition]]="Yes",1,IF(CleanEmployeeData[[#This Row],[Attrition]]="No",0,""))</f>
        <v>0</v>
      </c>
      <c r="AQ1430" t="str" cm="1">
        <f t="array" ref="AQ1430">_xlfn.IFS(CleanEmployeeData[[#This Row],[MonthlyIncome]]&lt;=3000,"0–3,000",CleanEmployeeData[[#This Row],[MonthlyIncome]]&lt;=6000,"3,001–6,000",CleanEmployeeData[[#This Row],[MonthlyIncome]]&lt;=10000,"6,001–10,000",TRUE,"10,001+")</f>
        <v>0–3,000</v>
      </c>
      <c r="AR1430" t="str" cm="1">
        <f t="array" ref="AR1430">_xlfn.IFS(CleanEmployeeData[[#This Row],[DistanceFromHome]]&lt;=5,"0–5 miles",CleanEmployeeData[[#This Row],[DistanceFromHome]]&lt;=10,"6–10 miles",CleanEmployeeData[[#This Row],[DistanceFromHome]]&lt;=15,"11–15 miles",TRUE,"16+ miles")</f>
        <v>0–5 miles</v>
      </c>
      <c r="AS1430" t="str" cm="1">
        <f t="array" ref="AS1430">_xlfn.IFS(CleanEmployeeData[[#This Row],[YearsAtCompany]]&lt;=1,"0–1 years",CleanEmployeeData[[#This Row],[YearsAtCompany]]&lt;=5,"2–5 years",CleanEmployeeData[[#This Row],[YearsAtCompany]]&lt;=10,"6–10 years",TRUE,"11+ years")</f>
        <v>2–5 years</v>
      </c>
    </row>
    <row r="1431" spans="1:4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cm="1">
        <f t="array" ref="AJ1431">_xlfn.SWITCH(CleanEmployeeData[[#This Row],[Education]],1,"Below College",2,"College",3,"Bachelor",4,"Master",5,"Doctor","Unknown")</f>
        <v>Below College</v>
      </c>
      <c r="AK1431" t="str" cm="1">
        <f t="array" ref="AK1431">_xlfn.SWITCH(CleanEmployeeData[[#This Row],[EnvironmentSatisfaction]],1,"Low",2,"Medium",3,"High",4,"Very High","Unknown")</f>
        <v>Low</v>
      </c>
      <c r="AL1431" t="str" cm="1">
        <f t="array" ref="AL1431">_xlfn.SWITCH(CleanEmployeeData[[#This Row],[JobInvolvement]],1,"Low",2,"Medium",3,"High",4,"Very High","Unknown")</f>
        <v>High</v>
      </c>
      <c r="AM1431" t="str" cm="1">
        <f t="array" ref="AM1431">_xlfn.SWITCH(CleanEmployeeData[[#This Row],[JobSatisfaction]],1,"Low",2,"Medium",3,"High",4,"Very High","Unknown")</f>
        <v>Very High</v>
      </c>
      <c r="AN1431" t="str" cm="1">
        <f t="array" ref="AN1431">_xlfn.SWITCH(CleanEmployeeData[[#This Row],[PerformanceRating]],1,"Low",2,"Good",3,"Excellent",4,"Outstanding","Unknown")</f>
        <v>Excellent</v>
      </c>
      <c r="AO1431" t="str" cm="1">
        <f t="array" ref="AO1431">_xlfn.SWITCH(CleanEmployeeData[[#This Row],[WorkLifeBalance]],1,"Bad",2,"Good",3,"Better",4,"Best","Unknown")</f>
        <v>Better</v>
      </c>
      <c r="AP1431">
        <f>IF(CleanEmployeeData[[#This Row],[Attrition]]="Yes",1,IF(CleanEmployeeData[[#This Row],[Attrition]]="No",0,""))</f>
        <v>0</v>
      </c>
      <c r="AQ1431" t="str" cm="1">
        <f t="array" ref="AQ1431">_xlfn.IFS(CleanEmployeeData[[#This Row],[MonthlyIncome]]&lt;=3000,"0–3,000",CleanEmployeeData[[#This Row],[MonthlyIncome]]&lt;=6000,"3,001–6,000",CleanEmployeeData[[#This Row],[MonthlyIncome]]&lt;=10000,"6,001–10,000",TRUE,"10,001+")</f>
        <v>3,001–6,000</v>
      </c>
      <c r="AR1431" t="str" cm="1">
        <f t="array" ref="AR1431">_xlfn.IFS(CleanEmployeeData[[#This Row],[DistanceFromHome]]&lt;=5,"0–5 miles",CleanEmployeeData[[#This Row],[DistanceFromHome]]&lt;=10,"6–10 miles",CleanEmployeeData[[#This Row],[DistanceFromHome]]&lt;=15,"11–15 miles",TRUE,"16+ miles")</f>
        <v>16+ miles</v>
      </c>
      <c r="AS1431" t="str" cm="1">
        <f t="array" ref="AS1431">_xlfn.IFS(CleanEmployeeData[[#This Row],[YearsAtCompany]]&lt;=1,"0–1 years",CleanEmployeeData[[#This Row],[YearsAtCompany]]&lt;=5,"2–5 years",CleanEmployeeData[[#This Row],[YearsAtCompany]]&lt;=10,"6–10 years",TRUE,"11+ years")</f>
        <v>6–10 years</v>
      </c>
    </row>
    <row r="1432" spans="1:4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cm="1">
        <f t="array" ref="AJ1432">_xlfn.SWITCH(CleanEmployeeData[[#This Row],[Education]],1,"Below College",2,"College",3,"Bachelor",4,"Master",5,"Doctor","Unknown")</f>
        <v>Bachelor</v>
      </c>
      <c r="AK1432" t="str" cm="1">
        <f t="array" ref="AK1432">_xlfn.SWITCH(CleanEmployeeData[[#This Row],[EnvironmentSatisfaction]],1,"Low",2,"Medium",3,"High",4,"Very High","Unknown")</f>
        <v>Medium</v>
      </c>
      <c r="AL1432" t="str" cm="1">
        <f t="array" ref="AL1432">_xlfn.SWITCH(CleanEmployeeData[[#This Row],[JobInvolvement]],1,"Low",2,"Medium",3,"High",4,"Very High","Unknown")</f>
        <v>Low</v>
      </c>
      <c r="AM1432" t="str" cm="1">
        <f t="array" ref="AM1432">_xlfn.SWITCH(CleanEmployeeData[[#This Row],[JobSatisfaction]],1,"Low",2,"Medium",3,"High",4,"Very High","Unknown")</f>
        <v>High</v>
      </c>
      <c r="AN1432" t="str" cm="1">
        <f t="array" ref="AN1432">_xlfn.SWITCH(CleanEmployeeData[[#This Row],[PerformanceRating]],1,"Low",2,"Good",3,"Excellent",4,"Outstanding","Unknown")</f>
        <v>Excellent</v>
      </c>
      <c r="AO1432" t="str" cm="1">
        <f t="array" ref="AO1432">_xlfn.SWITCH(CleanEmployeeData[[#This Row],[WorkLifeBalance]],1,"Bad",2,"Good",3,"Better",4,"Best","Unknown")</f>
        <v>Better</v>
      </c>
      <c r="AP1432">
        <f>IF(CleanEmployeeData[[#This Row],[Attrition]]="Yes",1,IF(CleanEmployeeData[[#This Row],[Attrition]]="No",0,""))</f>
        <v>0</v>
      </c>
      <c r="AQ1432" t="str" cm="1">
        <f t="array" ref="AQ1432">_xlfn.IFS(CleanEmployeeData[[#This Row],[MonthlyIncome]]&lt;=3000,"0–3,000",CleanEmployeeData[[#This Row],[MonthlyIncome]]&lt;=6000,"3,001–6,000",CleanEmployeeData[[#This Row],[MonthlyIncome]]&lt;=10000,"6,001–10,000",TRUE,"10,001+")</f>
        <v>10,001+</v>
      </c>
      <c r="AR1432" t="str" cm="1">
        <f t="array" ref="AR1432">_xlfn.IFS(CleanEmployeeData[[#This Row],[DistanceFromHome]]&lt;=5,"0–5 miles",CleanEmployeeData[[#This Row],[DistanceFromHome]]&lt;=10,"6–10 miles",CleanEmployeeData[[#This Row],[DistanceFromHome]]&lt;=15,"11–15 miles",TRUE,"16+ miles")</f>
        <v>6–10 miles</v>
      </c>
      <c r="AS1432" t="str" cm="1">
        <f t="array" ref="AS1432">_xlfn.IFS(CleanEmployeeData[[#This Row],[YearsAtCompany]]&lt;=1,"0–1 years",CleanEmployeeData[[#This Row],[YearsAtCompany]]&lt;=5,"2–5 years",CleanEmployeeData[[#This Row],[YearsAtCompany]]&lt;=10,"6–10 years",TRUE,"11+ years")</f>
        <v>11+ years</v>
      </c>
    </row>
    <row r="1433" spans="1:4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cm="1">
        <f t="array" ref="AJ1433">_xlfn.SWITCH(CleanEmployeeData[[#This Row],[Education]],1,"Below College",2,"College",3,"Bachelor",4,"Master",5,"Doctor","Unknown")</f>
        <v>Master</v>
      </c>
      <c r="AK1433" t="str" cm="1">
        <f t="array" ref="AK1433">_xlfn.SWITCH(CleanEmployeeData[[#This Row],[EnvironmentSatisfaction]],1,"Low",2,"Medium",3,"High",4,"Very High","Unknown")</f>
        <v>High</v>
      </c>
      <c r="AL1433" t="str" cm="1">
        <f t="array" ref="AL1433">_xlfn.SWITCH(CleanEmployeeData[[#This Row],[JobInvolvement]],1,"Low",2,"Medium",3,"High",4,"Very High","Unknown")</f>
        <v>High</v>
      </c>
      <c r="AM1433" t="str" cm="1">
        <f t="array" ref="AM1433">_xlfn.SWITCH(CleanEmployeeData[[#This Row],[JobSatisfaction]],1,"Low",2,"Medium",3,"High",4,"Very High","Unknown")</f>
        <v>Very High</v>
      </c>
      <c r="AN1433" t="str" cm="1">
        <f t="array" ref="AN1433">_xlfn.SWITCH(CleanEmployeeData[[#This Row],[PerformanceRating]],1,"Low",2,"Good",3,"Excellent",4,"Outstanding","Unknown")</f>
        <v>Excellent</v>
      </c>
      <c r="AO1433" t="str" cm="1">
        <f t="array" ref="AO1433">_xlfn.SWITCH(CleanEmployeeData[[#This Row],[WorkLifeBalance]],1,"Bad",2,"Good",3,"Better",4,"Best","Unknown")</f>
        <v>Better</v>
      </c>
      <c r="AP1433">
        <f>IF(CleanEmployeeData[[#This Row],[Attrition]]="Yes",1,IF(CleanEmployeeData[[#This Row],[Attrition]]="No",0,""))</f>
        <v>0</v>
      </c>
      <c r="AQ1433" t="str" cm="1">
        <f t="array" ref="AQ1433">_xlfn.IFS(CleanEmployeeData[[#This Row],[MonthlyIncome]]&lt;=3000,"0–3,000",CleanEmployeeData[[#This Row],[MonthlyIncome]]&lt;=6000,"3,001–6,000",CleanEmployeeData[[#This Row],[MonthlyIncome]]&lt;=10000,"6,001–10,000",TRUE,"10,001+")</f>
        <v>10,001+</v>
      </c>
      <c r="AR1433" t="str" cm="1">
        <f t="array" ref="AR1433">_xlfn.IFS(CleanEmployeeData[[#This Row],[DistanceFromHome]]&lt;=5,"0–5 miles",CleanEmployeeData[[#This Row],[DistanceFromHome]]&lt;=10,"6–10 miles",CleanEmployeeData[[#This Row],[DistanceFromHome]]&lt;=15,"11–15 miles",TRUE,"16+ miles")</f>
        <v>0–5 miles</v>
      </c>
      <c r="AS1433" t="str" cm="1">
        <f t="array" ref="AS1433">_xlfn.IFS(CleanEmployeeData[[#This Row],[YearsAtCompany]]&lt;=1,"0–1 years",CleanEmployeeData[[#This Row],[YearsAtCompany]]&lt;=5,"2–5 years",CleanEmployeeData[[#This Row],[YearsAtCompany]]&lt;=10,"6–10 years",TRUE,"11+ years")</f>
        <v>11+ years</v>
      </c>
    </row>
    <row r="1434" spans="1:4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cm="1">
        <f t="array" ref="AJ1434">_xlfn.SWITCH(CleanEmployeeData[[#This Row],[Education]],1,"Below College",2,"College",3,"Bachelor",4,"Master",5,"Doctor","Unknown")</f>
        <v>Bachelor</v>
      </c>
      <c r="AK1434" t="str" cm="1">
        <f t="array" ref="AK1434">_xlfn.SWITCH(CleanEmployeeData[[#This Row],[EnvironmentSatisfaction]],1,"Low",2,"Medium",3,"High",4,"Very High","Unknown")</f>
        <v>High</v>
      </c>
      <c r="AL1434" t="str" cm="1">
        <f t="array" ref="AL1434">_xlfn.SWITCH(CleanEmployeeData[[#This Row],[JobInvolvement]],1,"Low",2,"Medium",3,"High",4,"Very High","Unknown")</f>
        <v>Very High</v>
      </c>
      <c r="AM1434" t="str" cm="1">
        <f t="array" ref="AM1434">_xlfn.SWITCH(CleanEmployeeData[[#This Row],[JobSatisfaction]],1,"Low",2,"Medium",3,"High",4,"Very High","Unknown")</f>
        <v>Very High</v>
      </c>
      <c r="AN1434" t="str" cm="1">
        <f t="array" ref="AN1434">_xlfn.SWITCH(CleanEmployeeData[[#This Row],[PerformanceRating]],1,"Low",2,"Good",3,"Excellent",4,"Outstanding","Unknown")</f>
        <v>Outstanding</v>
      </c>
      <c r="AO1434" t="str" cm="1">
        <f t="array" ref="AO1434">_xlfn.SWITCH(CleanEmployeeData[[#This Row],[WorkLifeBalance]],1,"Bad",2,"Good",3,"Better",4,"Best","Unknown")</f>
        <v>Better</v>
      </c>
      <c r="AP1434">
        <f>IF(CleanEmployeeData[[#This Row],[Attrition]]="Yes",1,IF(CleanEmployeeData[[#This Row],[Attrition]]="No",0,""))</f>
        <v>0</v>
      </c>
      <c r="AQ1434" t="str" cm="1">
        <f t="array" ref="AQ1434">_xlfn.IFS(CleanEmployeeData[[#This Row],[MonthlyIncome]]&lt;=3000,"0–3,000",CleanEmployeeData[[#This Row],[MonthlyIncome]]&lt;=6000,"3,001–6,000",CleanEmployeeData[[#This Row],[MonthlyIncome]]&lt;=10000,"6,001–10,000",TRUE,"10,001+")</f>
        <v>10,001+</v>
      </c>
      <c r="AR1434" t="str" cm="1">
        <f t="array" ref="AR1434">_xlfn.IFS(CleanEmployeeData[[#This Row],[DistanceFromHome]]&lt;=5,"0–5 miles",CleanEmployeeData[[#This Row],[DistanceFromHome]]&lt;=10,"6–10 miles",CleanEmployeeData[[#This Row],[DistanceFromHome]]&lt;=15,"11–15 miles",TRUE,"16+ miles")</f>
        <v>6–10 miles</v>
      </c>
      <c r="AS1434" t="str" cm="1">
        <f t="array" ref="AS1434">_xlfn.IFS(CleanEmployeeData[[#This Row],[YearsAtCompany]]&lt;=1,"0–1 years",CleanEmployeeData[[#This Row],[YearsAtCompany]]&lt;=5,"2–5 years",CleanEmployeeData[[#This Row],[YearsAtCompany]]&lt;=10,"6–10 years",TRUE,"11+ years")</f>
        <v>11+ years</v>
      </c>
    </row>
    <row r="1435" spans="1:4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cm="1">
        <f t="array" ref="AJ1435">_xlfn.SWITCH(CleanEmployeeData[[#This Row],[Education]],1,"Below College",2,"College",3,"Bachelor",4,"Master",5,"Doctor","Unknown")</f>
        <v>College</v>
      </c>
      <c r="AK1435" t="str" cm="1">
        <f t="array" ref="AK1435">_xlfn.SWITCH(CleanEmployeeData[[#This Row],[EnvironmentSatisfaction]],1,"Low",2,"Medium",3,"High",4,"Very High","Unknown")</f>
        <v>Low</v>
      </c>
      <c r="AL1435" t="str" cm="1">
        <f t="array" ref="AL1435">_xlfn.SWITCH(CleanEmployeeData[[#This Row],[JobInvolvement]],1,"Low",2,"Medium",3,"High",4,"Very High","Unknown")</f>
        <v>High</v>
      </c>
      <c r="AM1435" t="str" cm="1">
        <f t="array" ref="AM1435">_xlfn.SWITCH(CleanEmployeeData[[#This Row],[JobSatisfaction]],1,"Low",2,"Medium",3,"High",4,"Very High","Unknown")</f>
        <v>High</v>
      </c>
      <c r="AN1435" t="str" cm="1">
        <f t="array" ref="AN1435">_xlfn.SWITCH(CleanEmployeeData[[#This Row],[PerformanceRating]],1,"Low",2,"Good",3,"Excellent",4,"Outstanding","Unknown")</f>
        <v>Outstanding</v>
      </c>
      <c r="AO1435" t="str" cm="1">
        <f t="array" ref="AO1435">_xlfn.SWITCH(CleanEmployeeData[[#This Row],[WorkLifeBalance]],1,"Bad",2,"Good",3,"Better",4,"Best","Unknown")</f>
        <v>Good</v>
      </c>
      <c r="AP1435">
        <f>IF(CleanEmployeeData[[#This Row],[Attrition]]="Yes",1,IF(CleanEmployeeData[[#This Row],[Attrition]]="No",0,""))</f>
        <v>0</v>
      </c>
      <c r="AQ1435" t="str" cm="1">
        <f t="array" ref="AQ1435">_xlfn.IFS(CleanEmployeeData[[#This Row],[MonthlyIncome]]&lt;=3000,"0–3,000",CleanEmployeeData[[#This Row],[MonthlyIncome]]&lt;=6000,"3,001–6,000",CleanEmployeeData[[#This Row],[MonthlyIncome]]&lt;=10000,"6,001–10,000",TRUE,"10,001+")</f>
        <v>3,001–6,000</v>
      </c>
      <c r="AR1435" t="str" cm="1">
        <f t="array" ref="AR1435">_xlfn.IFS(CleanEmployeeData[[#This Row],[DistanceFromHome]]&lt;=5,"0–5 miles",CleanEmployeeData[[#This Row],[DistanceFromHome]]&lt;=10,"6–10 miles",CleanEmployeeData[[#This Row],[DistanceFromHome]]&lt;=15,"11–15 miles",TRUE,"16+ miles")</f>
        <v>6–10 miles</v>
      </c>
      <c r="AS1435" t="str" cm="1">
        <f t="array" ref="AS1435">_xlfn.IFS(CleanEmployeeData[[#This Row],[YearsAtCompany]]&lt;=1,"0–1 years",CleanEmployeeData[[#This Row],[YearsAtCompany]]&lt;=5,"2–5 years",CleanEmployeeData[[#This Row],[YearsAtCompany]]&lt;=10,"6–10 years",TRUE,"11+ years")</f>
        <v>2–5 years</v>
      </c>
    </row>
    <row r="1436" spans="1:4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cm="1">
        <f t="array" ref="AJ1436">_xlfn.SWITCH(CleanEmployeeData[[#This Row],[Education]],1,"Below College",2,"College",3,"Bachelor",4,"Master",5,"Doctor","Unknown")</f>
        <v>Master</v>
      </c>
      <c r="AK1436" t="str" cm="1">
        <f t="array" ref="AK1436">_xlfn.SWITCH(CleanEmployeeData[[#This Row],[EnvironmentSatisfaction]],1,"Low",2,"Medium",3,"High",4,"Very High","Unknown")</f>
        <v>Low</v>
      </c>
      <c r="AL1436" t="str" cm="1">
        <f t="array" ref="AL1436">_xlfn.SWITCH(CleanEmployeeData[[#This Row],[JobInvolvement]],1,"Low",2,"Medium",3,"High",4,"Very High","Unknown")</f>
        <v>High</v>
      </c>
      <c r="AM1436" t="str" cm="1">
        <f t="array" ref="AM1436">_xlfn.SWITCH(CleanEmployeeData[[#This Row],[JobSatisfaction]],1,"Low",2,"Medium",3,"High",4,"Very High","Unknown")</f>
        <v>Very High</v>
      </c>
      <c r="AN1436" t="str" cm="1">
        <f t="array" ref="AN1436">_xlfn.SWITCH(CleanEmployeeData[[#This Row],[PerformanceRating]],1,"Low",2,"Good",3,"Excellent",4,"Outstanding","Unknown")</f>
        <v>Excellent</v>
      </c>
      <c r="AO1436" t="str" cm="1">
        <f t="array" ref="AO1436">_xlfn.SWITCH(CleanEmployeeData[[#This Row],[WorkLifeBalance]],1,"Bad",2,"Good",3,"Better",4,"Best","Unknown")</f>
        <v>Good</v>
      </c>
      <c r="AP1436">
        <f>IF(CleanEmployeeData[[#This Row],[Attrition]]="Yes",1,IF(CleanEmployeeData[[#This Row],[Attrition]]="No",0,""))</f>
        <v>0</v>
      </c>
      <c r="AQ1436" t="str" cm="1">
        <f t="array" ref="AQ1436">_xlfn.IFS(CleanEmployeeData[[#This Row],[MonthlyIncome]]&lt;=3000,"0–3,000",CleanEmployeeData[[#This Row],[MonthlyIncome]]&lt;=6000,"3,001–6,000",CleanEmployeeData[[#This Row],[MonthlyIncome]]&lt;=10000,"6,001–10,000",TRUE,"10,001+")</f>
        <v>3,001–6,000</v>
      </c>
      <c r="AR1436" t="str" cm="1">
        <f t="array" ref="AR1436">_xlfn.IFS(CleanEmployeeData[[#This Row],[DistanceFromHome]]&lt;=5,"0–5 miles",CleanEmployeeData[[#This Row],[DistanceFromHome]]&lt;=10,"6–10 miles",CleanEmployeeData[[#This Row],[DistanceFromHome]]&lt;=15,"11–15 miles",TRUE,"16+ miles")</f>
        <v>16+ miles</v>
      </c>
      <c r="AS1436" t="str" cm="1">
        <f t="array" ref="AS1436">_xlfn.IFS(CleanEmployeeData[[#This Row],[YearsAtCompany]]&lt;=1,"0–1 years",CleanEmployeeData[[#This Row],[YearsAtCompany]]&lt;=5,"2–5 years",CleanEmployeeData[[#This Row],[YearsAtCompany]]&lt;=10,"6–10 years",TRUE,"11+ years")</f>
        <v>6–10 years</v>
      </c>
    </row>
    <row r="1437" spans="1:4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cm="1">
        <f t="array" ref="AJ1437">_xlfn.SWITCH(CleanEmployeeData[[#This Row],[Education]],1,"Below College",2,"College",3,"Bachelor",4,"Master",5,"Doctor","Unknown")</f>
        <v>Bachelor</v>
      </c>
      <c r="AK1437" t="str" cm="1">
        <f t="array" ref="AK1437">_xlfn.SWITCH(CleanEmployeeData[[#This Row],[EnvironmentSatisfaction]],1,"Low",2,"Medium",3,"High",4,"Very High","Unknown")</f>
        <v>Medium</v>
      </c>
      <c r="AL1437" t="str" cm="1">
        <f t="array" ref="AL1437">_xlfn.SWITCH(CleanEmployeeData[[#This Row],[JobInvolvement]],1,"Low",2,"Medium",3,"High",4,"Very High","Unknown")</f>
        <v>High</v>
      </c>
      <c r="AM1437" t="str" cm="1">
        <f t="array" ref="AM1437">_xlfn.SWITCH(CleanEmployeeData[[#This Row],[JobSatisfaction]],1,"Low",2,"Medium",3,"High",4,"Very High","Unknown")</f>
        <v>Very High</v>
      </c>
      <c r="AN1437" t="str" cm="1">
        <f t="array" ref="AN1437">_xlfn.SWITCH(CleanEmployeeData[[#This Row],[PerformanceRating]],1,"Low",2,"Good",3,"Excellent",4,"Outstanding","Unknown")</f>
        <v>Excellent</v>
      </c>
      <c r="AO1437" t="str" cm="1">
        <f t="array" ref="AO1437">_xlfn.SWITCH(CleanEmployeeData[[#This Row],[WorkLifeBalance]],1,"Bad",2,"Good",3,"Better",4,"Best","Unknown")</f>
        <v>Better</v>
      </c>
      <c r="AP1437">
        <f>IF(CleanEmployeeData[[#This Row],[Attrition]]="Yes",1,IF(CleanEmployeeData[[#This Row],[Attrition]]="No",0,""))</f>
        <v>0</v>
      </c>
      <c r="AQ1437" t="str" cm="1">
        <f t="array" ref="AQ1437">_xlfn.IFS(CleanEmployeeData[[#This Row],[MonthlyIncome]]&lt;=3000,"0–3,000",CleanEmployeeData[[#This Row],[MonthlyIncome]]&lt;=6000,"3,001–6,000",CleanEmployeeData[[#This Row],[MonthlyIncome]]&lt;=10000,"6,001–10,000",TRUE,"10,001+")</f>
        <v>0–3,000</v>
      </c>
      <c r="AR1437" t="str" cm="1">
        <f t="array" ref="AR1437">_xlfn.IFS(CleanEmployeeData[[#This Row],[DistanceFromHome]]&lt;=5,"0–5 miles",CleanEmployeeData[[#This Row],[DistanceFromHome]]&lt;=10,"6–10 miles",CleanEmployeeData[[#This Row],[DistanceFromHome]]&lt;=15,"11–15 miles",TRUE,"16+ miles")</f>
        <v>0–5 miles</v>
      </c>
      <c r="AS1437" t="str" cm="1">
        <f t="array" ref="AS1437">_xlfn.IFS(CleanEmployeeData[[#This Row],[YearsAtCompany]]&lt;=1,"0–1 years",CleanEmployeeData[[#This Row],[YearsAtCompany]]&lt;=5,"2–5 years",CleanEmployeeData[[#This Row],[YearsAtCompany]]&lt;=10,"6–10 years",TRUE,"11+ years")</f>
        <v>2–5 years</v>
      </c>
    </row>
    <row r="1438" spans="1:4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cm="1">
        <f t="array" ref="AJ1438">_xlfn.SWITCH(CleanEmployeeData[[#This Row],[Education]],1,"Below College",2,"College",3,"Bachelor",4,"Master",5,"Doctor","Unknown")</f>
        <v>Below College</v>
      </c>
      <c r="AK1438" t="str" cm="1">
        <f t="array" ref="AK1438">_xlfn.SWITCH(CleanEmployeeData[[#This Row],[EnvironmentSatisfaction]],1,"Low",2,"Medium",3,"High",4,"Very High","Unknown")</f>
        <v>High</v>
      </c>
      <c r="AL1438" t="str" cm="1">
        <f t="array" ref="AL1438">_xlfn.SWITCH(CleanEmployeeData[[#This Row],[JobInvolvement]],1,"Low",2,"Medium",3,"High",4,"Very High","Unknown")</f>
        <v>High</v>
      </c>
      <c r="AM1438" t="str" cm="1">
        <f t="array" ref="AM1438">_xlfn.SWITCH(CleanEmployeeData[[#This Row],[JobSatisfaction]],1,"Low",2,"Medium",3,"High",4,"Very High","Unknown")</f>
        <v>Low</v>
      </c>
      <c r="AN1438" t="str" cm="1">
        <f t="array" ref="AN1438">_xlfn.SWITCH(CleanEmployeeData[[#This Row],[PerformanceRating]],1,"Low",2,"Good",3,"Excellent",4,"Outstanding","Unknown")</f>
        <v>Excellent</v>
      </c>
      <c r="AO1438" t="str" cm="1">
        <f t="array" ref="AO1438">_xlfn.SWITCH(CleanEmployeeData[[#This Row],[WorkLifeBalance]],1,"Bad",2,"Good",3,"Better",4,"Best","Unknown")</f>
        <v>Better</v>
      </c>
      <c r="AP1438">
        <f>IF(CleanEmployeeData[[#This Row],[Attrition]]="Yes",1,IF(CleanEmployeeData[[#This Row],[Attrition]]="No",0,""))</f>
        <v>0</v>
      </c>
      <c r="AQ1438" t="str" cm="1">
        <f t="array" ref="AQ1438">_xlfn.IFS(CleanEmployeeData[[#This Row],[MonthlyIncome]]&lt;=3000,"0–3,000",CleanEmployeeData[[#This Row],[MonthlyIncome]]&lt;=6000,"3,001–6,000",CleanEmployeeData[[#This Row],[MonthlyIncome]]&lt;=10000,"6,001–10,000",TRUE,"10,001+")</f>
        <v>0–3,000</v>
      </c>
      <c r="AR1438" t="str" cm="1">
        <f t="array" ref="AR1438">_xlfn.IFS(CleanEmployeeData[[#This Row],[DistanceFromHome]]&lt;=5,"0–5 miles",CleanEmployeeData[[#This Row],[DistanceFromHome]]&lt;=10,"6–10 miles",CleanEmployeeData[[#This Row],[DistanceFromHome]]&lt;=15,"11–15 miles",TRUE,"16+ miles")</f>
        <v>0–5 miles</v>
      </c>
      <c r="AS1438" t="str" cm="1">
        <f t="array" ref="AS1438">_xlfn.IFS(CleanEmployeeData[[#This Row],[YearsAtCompany]]&lt;=1,"0–1 years",CleanEmployeeData[[#This Row],[YearsAtCompany]]&lt;=5,"2–5 years",CleanEmployeeData[[#This Row],[YearsAtCompany]]&lt;=10,"6–10 years",TRUE,"11+ years")</f>
        <v>2–5 years</v>
      </c>
    </row>
    <row r="1439" spans="1:4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cm="1">
        <f t="array" ref="AJ1439">_xlfn.SWITCH(CleanEmployeeData[[#This Row],[Education]],1,"Below College",2,"College",3,"Bachelor",4,"Master",5,"Doctor","Unknown")</f>
        <v>Bachelor</v>
      </c>
      <c r="AK1439" t="str" cm="1">
        <f t="array" ref="AK1439">_xlfn.SWITCH(CleanEmployeeData[[#This Row],[EnvironmentSatisfaction]],1,"Low",2,"Medium",3,"High",4,"Very High","Unknown")</f>
        <v>Very High</v>
      </c>
      <c r="AL1439" t="str" cm="1">
        <f t="array" ref="AL1439">_xlfn.SWITCH(CleanEmployeeData[[#This Row],[JobInvolvement]],1,"Low",2,"Medium",3,"High",4,"Very High","Unknown")</f>
        <v>High</v>
      </c>
      <c r="AM1439" t="str" cm="1">
        <f t="array" ref="AM1439">_xlfn.SWITCH(CleanEmployeeData[[#This Row],[JobSatisfaction]],1,"Low",2,"Medium",3,"High",4,"Very High","Unknown")</f>
        <v>Very High</v>
      </c>
      <c r="AN1439" t="str" cm="1">
        <f t="array" ref="AN1439">_xlfn.SWITCH(CleanEmployeeData[[#This Row],[PerformanceRating]],1,"Low",2,"Good",3,"Excellent",4,"Outstanding","Unknown")</f>
        <v>Excellent</v>
      </c>
      <c r="AO1439" t="str" cm="1">
        <f t="array" ref="AO1439">_xlfn.SWITCH(CleanEmployeeData[[#This Row],[WorkLifeBalance]],1,"Bad",2,"Good",3,"Better",4,"Best","Unknown")</f>
        <v>Good</v>
      </c>
      <c r="AP1439">
        <f>IF(CleanEmployeeData[[#This Row],[Attrition]]="Yes",1,IF(CleanEmployeeData[[#This Row],[Attrition]]="No",0,""))</f>
        <v>0</v>
      </c>
      <c r="AQ1439" t="str" cm="1">
        <f t="array" ref="AQ1439">_xlfn.IFS(CleanEmployeeData[[#This Row],[MonthlyIncome]]&lt;=3000,"0–3,000",CleanEmployeeData[[#This Row],[MonthlyIncome]]&lt;=6000,"3,001–6,000",CleanEmployeeData[[#This Row],[MonthlyIncome]]&lt;=10000,"6,001–10,000",TRUE,"10,001+")</f>
        <v>10,001+</v>
      </c>
      <c r="AR1439" t="str" cm="1">
        <f t="array" ref="AR1439">_xlfn.IFS(CleanEmployeeData[[#This Row],[DistanceFromHome]]&lt;=5,"0–5 miles",CleanEmployeeData[[#This Row],[DistanceFromHome]]&lt;=10,"6–10 miles",CleanEmployeeData[[#This Row],[DistanceFromHome]]&lt;=15,"11–15 miles",TRUE,"16+ miles")</f>
        <v>6–10 miles</v>
      </c>
      <c r="AS1439" t="str" cm="1">
        <f t="array" ref="AS1439">_xlfn.IFS(CleanEmployeeData[[#This Row],[YearsAtCompany]]&lt;=1,"0–1 years",CleanEmployeeData[[#This Row],[YearsAtCompany]]&lt;=5,"2–5 years",CleanEmployeeData[[#This Row],[YearsAtCompany]]&lt;=10,"6–10 years",TRUE,"11+ years")</f>
        <v>6–10 years</v>
      </c>
    </row>
    <row r="1440" spans="1:4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cm="1">
        <f t="array" ref="AJ1440">_xlfn.SWITCH(CleanEmployeeData[[#This Row],[Education]],1,"Below College",2,"College",3,"Bachelor",4,"Master",5,"Doctor","Unknown")</f>
        <v>Bachelor</v>
      </c>
      <c r="AK1440" t="str" cm="1">
        <f t="array" ref="AK1440">_xlfn.SWITCH(CleanEmployeeData[[#This Row],[EnvironmentSatisfaction]],1,"Low",2,"Medium",3,"High",4,"Very High","Unknown")</f>
        <v>Very High</v>
      </c>
      <c r="AL1440" t="str" cm="1">
        <f t="array" ref="AL1440">_xlfn.SWITCH(CleanEmployeeData[[#This Row],[JobInvolvement]],1,"Low",2,"Medium",3,"High",4,"Very High","Unknown")</f>
        <v>High</v>
      </c>
      <c r="AM1440" t="str" cm="1">
        <f t="array" ref="AM1440">_xlfn.SWITCH(CleanEmployeeData[[#This Row],[JobSatisfaction]],1,"Low",2,"Medium",3,"High",4,"Very High","Unknown")</f>
        <v>Low</v>
      </c>
      <c r="AN1440" t="str" cm="1">
        <f t="array" ref="AN1440">_xlfn.SWITCH(CleanEmployeeData[[#This Row],[PerformanceRating]],1,"Low",2,"Good",3,"Excellent",4,"Outstanding","Unknown")</f>
        <v>Excellent</v>
      </c>
      <c r="AO1440" t="str" cm="1">
        <f t="array" ref="AO1440">_xlfn.SWITCH(CleanEmployeeData[[#This Row],[WorkLifeBalance]],1,"Bad",2,"Good",3,"Better",4,"Best","Unknown")</f>
        <v>Good</v>
      </c>
      <c r="AP1440">
        <f>IF(CleanEmployeeData[[#This Row],[Attrition]]="Yes",1,IF(CleanEmployeeData[[#This Row],[Attrition]]="No",0,""))</f>
        <v>1</v>
      </c>
      <c r="AQ1440" t="str" cm="1">
        <f t="array" ref="AQ1440">_xlfn.IFS(CleanEmployeeData[[#This Row],[MonthlyIncome]]&lt;=3000,"0–3,000",CleanEmployeeData[[#This Row],[MonthlyIncome]]&lt;=6000,"3,001–6,000",CleanEmployeeData[[#This Row],[MonthlyIncome]]&lt;=10000,"6,001–10,000",TRUE,"10,001+")</f>
        <v>0–3,000</v>
      </c>
      <c r="AR1440" t="str" cm="1">
        <f t="array" ref="AR1440">_xlfn.IFS(CleanEmployeeData[[#This Row],[DistanceFromHome]]&lt;=5,"0–5 miles",CleanEmployeeData[[#This Row],[DistanceFromHome]]&lt;=10,"6–10 miles",CleanEmployeeData[[#This Row],[DistanceFromHome]]&lt;=15,"11–15 miles",TRUE,"16+ miles")</f>
        <v>6–10 miles</v>
      </c>
      <c r="AS1440" t="str" cm="1">
        <f t="array" ref="AS1440">_xlfn.IFS(CleanEmployeeData[[#This Row],[YearsAtCompany]]&lt;=1,"0–1 years",CleanEmployeeData[[#This Row],[YearsAtCompany]]&lt;=5,"2–5 years",CleanEmployeeData[[#This Row],[YearsAtCompany]]&lt;=10,"6–10 years",TRUE,"11+ years")</f>
        <v>0–1 years</v>
      </c>
    </row>
    <row r="1441" spans="1:4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cm="1">
        <f t="array" ref="AJ1441">_xlfn.SWITCH(CleanEmployeeData[[#This Row],[Education]],1,"Below College",2,"College",3,"Bachelor",4,"Master",5,"Doctor","Unknown")</f>
        <v>Bachelor</v>
      </c>
      <c r="AK1441" t="str" cm="1">
        <f t="array" ref="AK1441">_xlfn.SWITCH(CleanEmployeeData[[#This Row],[EnvironmentSatisfaction]],1,"Low",2,"Medium",3,"High",4,"Very High","Unknown")</f>
        <v>Low</v>
      </c>
      <c r="AL1441" t="str" cm="1">
        <f t="array" ref="AL1441">_xlfn.SWITCH(CleanEmployeeData[[#This Row],[JobInvolvement]],1,"Low",2,"Medium",3,"High",4,"Very High","Unknown")</f>
        <v>Medium</v>
      </c>
      <c r="AM1441" t="str" cm="1">
        <f t="array" ref="AM1441">_xlfn.SWITCH(CleanEmployeeData[[#This Row],[JobSatisfaction]],1,"Low",2,"Medium",3,"High",4,"Very High","Unknown")</f>
        <v>Very High</v>
      </c>
      <c r="AN1441" t="str" cm="1">
        <f t="array" ref="AN1441">_xlfn.SWITCH(CleanEmployeeData[[#This Row],[PerformanceRating]],1,"Low",2,"Good",3,"Excellent",4,"Outstanding","Unknown")</f>
        <v>Excellent</v>
      </c>
      <c r="AO1441" t="str" cm="1">
        <f t="array" ref="AO1441">_xlfn.SWITCH(CleanEmployeeData[[#This Row],[WorkLifeBalance]],1,"Bad",2,"Good",3,"Better",4,"Best","Unknown")</f>
        <v>Better</v>
      </c>
      <c r="AP1441">
        <f>IF(CleanEmployeeData[[#This Row],[Attrition]]="Yes",1,IF(CleanEmployeeData[[#This Row],[Attrition]]="No",0,""))</f>
        <v>0</v>
      </c>
      <c r="AQ1441" t="str" cm="1">
        <f t="array" ref="AQ1441">_xlfn.IFS(CleanEmployeeData[[#This Row],[MonthlyIncome]]&lt;=3000,"0–3,000",CleanEmployeeData[[#This Row],[MonthlyIncome]]&lt;=6000,"3,001–6,000",CleanEmployeeData[[#This Row],[MonthlyIncome]]&lt;=10000,"6,001–10,000",TRUE,"10,001+")</f>
        <v>6,001–10,000</v>
      </c>
      <c r="AR1441" t="str" cm="1">
        <f t="array" ref="AR1441">_xlfn.IFS(CleanEmployeeData[[#This Row],[DistanceFromHome]]&lt;=5,"0–5 miles",CleanEmployeeData[[#This Row],[DistanceFromHome]]&lt;=10,"6–10 miles",CleanEmployeeData[[#This Row],[DistanceFromHome]]&lt;=15,"11–15 miles",TRUE,"16+ miles")</f>
        <v>0–5 miles</v>
      </c>
      <c r="AS1441" t="str" cm="1">
        <f t="array" ref="AS1441">_xlfn.IFS(CleanEmployeeData[[#This Row],[YearsAtCompany]]&lt;=1,"0–1 years",CleanEmployeeData[[#This Row],[YearsAtCompany]]&lt;=5,"2–5 years",CleanEmployeeData[[#This Row],[YearsAtCompany]]&lt;=10,"6–10 years",TRUE,"11+ years")</f>
        <v>6–10 years</v>
      </c>
    </row>
    <row r="1442" spans="1:4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cm="1">
        <f t="array" ref="AJ1442">_xlfn.SWITCH(CleanEmployeeData[[#This Row],[Education]],1,"Below College",2,"College",3,"Bachelor",4,"Master",5,"Doctor","Unknown")</f>
        <v>College</v>
      </c>
      <c r="AK1442" t="str" cm="1">
        <f t="array" ref="AK1442">_xlfn.SWITCH(CleanEmployeeData[[#This Row],[EnvironmentSatisfaction]],1,"Low",2,"Medium",3,"High",4,"Very High","Unknown")</f>
        <v>Very High</v>
      </c>
      <c r="AL1442" t="str" cm="1">
        <f t="array" ref="AL1442">_xlfn.SWITCH(CleanEmployeeData[[#This Row],[JobInvolvement]],1,"Low",2,"Medium",3,"High",4,"Very High","Unknown")</f>
        <v>High</v>
      </c>
      <c r="AM1442" t="str" cm="1">
        <f t="array" ref="AM1442">_xlfn.SWITCH(CleanEmployeeData[[#This Row],[JobSatisfaction]],1,"Low",2,"Medium",3,"High",4,"Very High","Unknown")</f>
        <v>Medium</v>
      </c>
      <c r="AN1442" t="str" cm="1">
        <f t="array" ref="AN1442">_xlfn.SWITCH(CleanEmployeeData[[#This Row],[PerformanceRating]],1,"Low",2,"Good",3,"Excellent",4,"Outstanding","Unknown")</f>
        <v>Excellent</v>
      </c>
      <c r="AO1442" t="str" cm="1">
        <f t="array" ref="AO1442">_xlfn.SWITCH(CleanEmployeeData[[#This Row],[WorkLifeBalance]],1,"Bad",2,"Good",3,"Better",4,"Best","Unknown")</f>
        <v>Better</v>
      </c>
      <c r="AP1442">
        <f>IF(CleanEmployeeData[[#This Row],[Attrition]]="Yes",1,IF(CleanEmployeeData[[#This Row],[Attrition]]="No",0,""))</f>
        <v>0</v>
      </c>
      <c r="AQ1442" t="str" cm="1">
        <f t="array" ref="AQ1442">_xlfn.IFS(CleanEmployeeData[[#This Row],[MonthlyIncome]]&lt;=3000,"0–3,000",CleanEmployeeData[[#This Row],[MonthlyIncome]]&lt;=6000,"3,001–6,000",CleanEmployeeData[[#This Row],[MonthlyIncome]]&lt;=10000,"6,001–10,000",TRUE,"10,001+")</f>
        <v>3,001–6,000</v>
      </c>
      <c r="AR1442" t="str" cm="1">
        <f t="array" ref="AR1442">_xlfn.IFS(CleanEmployeeData[[#This Row],[DistanceFromHome]]&lt;=5,"0–5 miles",CleanEmployeeData[[#This Row],[DistanceFromHome]]&lt;=10,"6–10 miles",CleanEmployeeData[[#This Row],[DistanceFromHome]]&lt;=15,"11–15 miles",TRUE,"16+ miles")</f>
        <v>0–5 miles</v>
      </c>
      <c r="AS1442" t="str" cm="1">
        <f t="array" ref="AS1442">_xlfn.IFS(CleanEmployeeData[[#This Row],[YearsAtCompany]]&lt;=1,"0–1 years",CleanEmployeeData[[#This Row],[YearsAtCompany]]&lt;=5,"2–5 years",CleanEmployeeData[[#This Row],[YearsAtCompany]]&lt;=10,"6–10 years",TRUE,"11+ years")</f>
        <v>2–5 years</v>
      </c>
    </row>
    <row r="1443" spans="1:4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cm="1">
        <f t="array" ref="AJ1443">_xlfn.SWITCH(CleanEmployeeData[[#This Row],[Education]],1,"Below College",2,"College",3,"Bachelor",4,"Master",5,"Doctor","Unknown")</f>
        <v>Master</v>
      </c>
      <c r="AK1443" t="str" cm="1">
        <f t="array" ref="AK1443">_xlfn.SWITCH(CleanEmployeeData[[#This Row],[EnvironmentSatisfaction]],1,"Low",2,"Medium",3,"High",4,"Very High","Unknown")</f>
        <v>High</v>
      </c>
      <c r="AL1443" t="str" cm="1">
        <f t="array" ref="AL1443">_xlfn.SWITCH(CleanEmployeeData[[#This Row],[JobInvolvement]],1,"Low",2,"Medium",3,"High",4,"Very High","Unknown")</f>
        <v>High</v>
      </c>
      <c r="AM1443" t="str" cm="1">
        <f t="array" ref="AM1443">_xlfn.SWITCH(CleanEmployeeData[[#This Row],[JobSatisfaction]],1,"Low",2,"Medium",3,"High",4,"Very High","Unknown")</f>
        <v>High</v>
      </c>
      <c r="AN1443" t="str" cm="1">
        <f t="array" ref="AN1443">_xlfn.SWITCH(CleanEmployeeData[[#This Row],[PerformanceRating]],1,"Low",2,"Good",3,"Excellent",4,"Outstanding","Unknown")</f>
        <v>Outstanding</v>
      </c>
      <c r="AO1443" t="str" cm="1">
        <f t="array" ref="AO1443">_xlfn.SWITCH(CleanEmployeeData[[#This Row],[WorkLifeBalance]],1,"Bad",2,"Good",3,"Better",4,"Best","Unknown")</f>
        <v>Good</v>
      </c>
      <c r="AP1443">
        <f>IF(CleanEmployeeData[[#This Row],[Attrition]]="Yes",1,IF(CleanEmployeeData[[#This Row],[Attrition]]="No",0,""))</f>
        <v>0</v>
      </c>
      <c r="AQ1443" t="str" cm="1">
        <f t="array" ref="AQ1443">_xlfn.IFS(CleanEmployeeData[[#This Row],[MonthlyIncome]]&lt;=3000,"0–3,000",CleanEmployeeData[[#This Row],[MonthlyIncome]]&lt;=6000,"3,001–6,000",CleanEmployeeData[[#This Row],[MonthlyIncome]]&lt;=10000,"6,001–10,000",TRUE,"10,001+")</f>
        <v>6,001–10,000</v>
      </c>
      <c r="AR1443" t="str" cm="1">
        <f t="array" ref="AR1443">_xlfn.IFS(CleanEmployeeData[[#This Row],[DistanceFromHome]]&lt;=5,"0–5 miles",CleanEmployeeData[[#This Row],[DistanceFromHome]]&lt;=10,"6–10 miles",CleanEmployeeData[[#This Row],[DistanceFromHome]]&lt;=15,"11–15 miles",TRUE,"16+ miles")</f>
        <v>0–5 miles</v>
      </c>
      <c r="AS1443" t="str" cm="1">
        <f t="array" ref="AS1443">_xlfn.IFS(CleanEmployeeData[[#This Row],[YearsAtCompany]]&lt;=1,"0–1 years",CleanEmployeeData[[#This Row],[YearsAtCompany]]&lt;=5,"2–5 years",CleanEmployeeData[[#This Row],[YearsAtCompany]]&lt;=10,"6–10 years",TRUE,"11+ years")</f>
        <v>11+ years</v>
      </c>
    </row>
    <row r="1444" spans="1:4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cm="1">
        <f t="array" ref="AJ1444">_xlfn.SWITCH(CleanEmployeeData[[#This Row],[Education]],1,"Below College",2,"College",3,"Bachelor",4,"Master",5,"Doctor","Unknown")</f>
        <v>Master</v>
      </c>
      <c r="AK1444" t="str" cm="1">
        <f t="array" ref="AK1444">_xlfn.SWITCH(CleanEmployeeData[[#This Row],[EnvironmentSatisfaction]],1,"Low",2,"Medium",3,"High",4,"Very High","Unknown")</f>
        <v>Low</v>
      </c>
      <c r="AL1444" t="str" cm="1">
        <f t="array" ref="AL1444">_xlfn.SWITCH(CleanEmployeeData[[#This Row],[JobInvolvement]],1,"Low",2,"Medium",3,"High",4,"Very High","Unknown")</f>
        <v>High</v>
      </c>
      <c r="AM1444" t="str" cm="1">
        <f t="array" ref="AM1444">_xlfn.SWITCH(CleanEmployeeData[[#This Row],[JobSatisfaction]],1,"Low",2,"Medium",3,"High",4,"Very High","Unknown")</f>
        <v>Very High</v>
      </c>
      <c r="AN1444" t="str" cm="1">
        <f t="array" ref="AN1444">_xlfn.SWITCH(CleanEmployeeData[[#This Row],[PerformanceRating]],1,"Low",2,"Good",3,"Excellent",4,"Outstanding","Unknown")</f>
        <v>Excellent</v>
      </c>
      <c r="AO1444" t="str" cm="1">
        <f t="array" ref="AO1444">_xlfn.SWITCH(CleanEmployeeData[[#This Row],[WorkLifeBalance]],1,"Bad",2,"Good",3,"Better",4,"Best","Unknown")</f>
        <v>Best</v>
      </c>
      <c r="AP1444">
        <f>IF(CleanEmployeeData[[#This Row],[Attrition]]="Yes",1,IF(CleanEmployeeData[[#This Row],[Attrition]]="No",0,""))</f>
        <v>1</v>
      </c>
      <c r="AQ1444" t="str" cm="1">
        <f t="array" ref="AQ1444">_xlfn.IFS(CleanEmployeeData[[#This Row],[MonthlyIncome]]&lt;=3000,"0–3,000",CleanEmployeeData[[#This Row],[MonthlyIncome]]&lt;=6000,"3,001–6,000",CleanEmployeeData[[#This Row],[MonthlyIncome]]&lt;=10000,"6,001–10,000",TRUE,"10,001+")</f>
        <v>3,001–6,000</v>
      </c>
      <c r="AR1444" t="str" cm="1">
        <f t="array" ref="AR1444">_xlfn.IFS(CleanEmployeeData[[#This Row],[DistanceFromHome]]&lt;=5,"0–5 miles",CleanEmployeeData[[#This Row],[DistanceFromHome]]&lt;=10,"6–10 miles",CleanEmployeeData[[#This Row],[DistanceFromHome]]&lt;=15,"11–15 miles",TRUE,"16+ miles")</f>
        <v>0–5 miles</v>
      </c>
      <c r="AS1444" t="str" cm="1">
        <f t="array" ref="AS1444">_xlfn.IFS(CleanEmployeeData[[#This Row],[YearsAtCompany]]&lt;=1,"0–1 years",CleanEmployeeData[[#This Row],[YearsAtCompany]]&lt;=5,"2–5 years",CleanEmployeeData[[#This Row],[YearsAtCompany]]&lt;=10,"6–10 years",TRUE,"11+ years")</f>
        <v>2–5 years</v>
      </c>
    </row>
    <row r="1445" spans="1:4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cm="1">
        <f t="array" ref="AJ1445">_xlfn.SWITCH(CleanEmployeeData[[#This Row],[Education]],1,"Below College",2,"College",3,"Bachelor",4,"Master",5,"Doctor","Unknown")</f>
        <v>Bachelor</v>
      </c>
      <c r="AK1445" t="str" cm="1">
        <f t="array" ref="AK1445">_xlfn.SWITCH(CleanEmployeeData[[#This Row],[EnvironmentSatisfaction]],1,"Low",2,"Medium",3,"High",4,"Very High","Unknown")</f>
        <v>Low</v>
      </c>
      <c r="AL1445" t="str" cm="1">
        <f t="array" ref="AL1445">_xlfn.SWITCH(CleanEmployeeData[[#This Row],[JobInvolvement]],1,"Low",2,"Medium",3,"High",4,"Very High","Unknown")</f>
        <v>High</v>
      </c>
      <c r="AM1445" t="str" cm="1">
        <f t="array" ref="AM1445">_xlfn.SWITCH(CleanEmployeeData[[#This Row],[JobSatisfaction]],1,"Low",2,"Medium",3,"High",4,"Very High","Unknown")</f>
        <v>High</v>
      </c>
      <c r="AN1445" t="str" cm="1">
        <f t="array" ref="AN1445">_xlfn.SWITCH(CleanEmployeeData[[#This Row],[PerformanceRating]],1,"Low",2,"Good",3,"Excellent",4,"Outstanding","Unknown")</f>
        <v>Excellent</v>
      </c>
      <c r="AO1445" t="str" cm="1">
        <f t="array" ref="AO1445">_xlfn.SWITCH(CleanEmployeeData[[#This Row],[WorkLifeBalance]],1,"Bad",2,"Good",3,"Better",4,"Best","Unknown")</f>
        <v>Good</v>
      </c>
      <c r="AP1445">
        <f>IF(CleanEmployeeData[[#This Row],[Attrition]]="Yes",1,IF(CleanEmployeeData[[#This Row],[Attrition]]="No",0,""))</f>
        <v>0</v>
      </c>
      <c r="AQ1445" t="str" cm="1">
        <f t="array" ref="AQ1445">_xlfn.IFS(CleanEmployeeData[[#This Row],[MonthlyIncome]]&lt;=3000,"0–3,000",CleanEmployeeData[[#This Row],[MonthlyIncome]]&lt;=6000,"3,001–6,000",CleanEmployeeData[[#This Row],[MonthlyIncome]]&lt;=10000,"6,001–10,000",TRUE,"10,001+")</f>
        <v>10,001+</v>
      </c>
      <c r="AR1445" t="str" cm="1">
        <f t="array" ref="AR1445">_xlfn.IFS(CleanEmployeeData[[#This Row],[DistanceFromHome]]&lt;=5,"0–5 miles",CleanEmployeeData[[#This Row],[DistanceFromHome]]&lt;=10,"6–10 miles",CleanEmployeeData[[#This Row],[DistanceFromHome]]&lt;=15,"11–15 miles",TRUE,"16+ miles")</f>
        <v>0–5 miles</v>
      </c>
      <c r="AS1445" t="str" cm="1">
        <f t="array" ref="AS1445">_xlfn.IFS(CleanEmployeeData[[#This Row],[YearsAtCompany]]&lt;=1,"0–1 years",CleanEmployeeData[[#This Row],[YearsAtCompany]]&lt;=5,"2–5 years",CleanEmployeeData[[#This Row],[YearsAtCompany]]&lt;=10,"6–10 years",TRUE,"11+ years")</f>
        <v>11+ years</v>
      </c>
    </row>
    <row r="1446" spans="1:4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cm="1">
        <f t="array" ref="AJ1446">_xlfn.SWITCH(CleanEmployeeData[[#This Row],[Education]],1,"Below College",2,"College",3,"Bachelor",4,"Master",5,"Doctor","Unknown")</f>
        <v>College</v>
      </c>
      <c r="AK1446" t="str" cm="1">
        <f t="array" ref="AK1446">_xlfn.SWITCH(CleanEmployeeData[[#This Row],[EnvironmentSatisfaction]],1,"Low",2,"Medium",3,"High",4,"Very High","Unknown")</f>
        <v>Very High</v>
      </c>
      <c r="AL1446" t="str" cm="1">
        <f t="array" ref="AL1446">_xlfn.SWITCH(CleanEmployeeData[[#This Row],[JobInvolvement]],1,"Low",2,"Medium",3,"High",4,"Very High","Unknown")</f>
        <v>High</v>
      </c>
      <c r="AM1446" t="str" cm="1">
        <f t="array" ref="AM1446">_xlfn.SWITCH(CleanEmployeeData[[#This Row],[JobSatisfaction]],1,"Low",2,"Medium",3,"High",4,"Very High","Unknown")</f>
        <v>High</v>
      </c>
      <c r="AN1446" t="str" cm="1">
        <f t="array" ref="AN1446">_xlfn.SWITCH(CleanEmployeeData[[#This Row],[PerformanceRating]],1,"Low",2,"Good",3,"Excellent",4,"Outstanding","Unknown")</f>
        <v>Excellent</v>
      </c>
      <c r="AO1446" t="str" cm="1">
        <f t="array" ref="AO1446">_xlfn.SWITCH(CleanEmployeeData[[#This Row],[WorkLifeBalance]],1,"Bad",2,"Good",3,"Better",4,"Best","Unknown")</f>
        <v>Bad</v>
      </c>
      <c r="AP1446">
        <f>IF(CleanEmployeeData[[#This Row],[Attrition]]="Yes",1,IF(CleanEmployeeData[[#This Row],[Attrition]]="No",0,""))</f>
        <v>1</v>
      </c>
      <c r="AQ1446" t="str" cm="1">
        <f t="array" ref="AQ1446">_xlfn.IFS(CleanEmployeeData[[#This Row],[MonthlyIncome]]&lt;=3000,"0–3,000",CleanEmployeeData[[#This Row],[MonthlyIncome]]&lt;=6000,"3,001–6,000",CleanEmployeeData[[#This Row],[MonthlyIncome]]&lt;=10000,"6,001–10,000",TRUE,"10,001+")</f>
        <v>0–3,000</v>
      </c>
      <c r="AR1446" t="str" cm="1">
        <f t="array" ref="AR1446">_xlfn.IFS(CleanEmployeeData[[#This Row],[DistanceFromHome]]&lt;=5,"0–5 miles",CleanEmployeeData[[#This Row],[DistanceFromHome]]&lt;=10,"6–10 miles",CleanEmployeeData[[#This Row],[DistanceFromHome]]&lt;=15,"11–15 miles",TRUE,"16+ miles")</f>
        <v>6–10 miles</v>
      </c>
      <c r="AS1446" t="str" cm="1">
        <f t="array" ref="AS1446">_xlfn.IFS(CleanEmployeeData[[#This Row],[YearsAtCompany]]&lt;=1,"0–1 years",CleanEmployeeData[[#This Row],[YearsAtCompany]]&lt;=5,"2–5 years",CleanEmployeeData[[#This Row],[YearsAtCompany]]&lt;=10,"6–10 years",TRUE,"11+ years")</f>
        <v>6–10 years</v>
      </c>
    </row>
    <row r="1447" spans="1:4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cm="1">
        <f t="array" ref="AJ1447">_xlfn.SWITCH(CleanEmployeeData[[#This Row],[Education]],1,"Below College",2,"College",3,"Bachelor",4,"Master",5,"Doctor","Unknown")</f>
        <v>Master</v>
      </c>
      <c r="AK1447" t="str" cm="1">
        <f t="array" ref="AK1447">_xlfn.SWITCH(CleanEmployeeData[[#This Row],[EnvironmentSatisfaction]],1,"Low",2,"Medium",3,"High",4,"Very High","Unknown")</f>
        <v>Low</v>
      </c>
      <c r="AL1447" t="str" cm="1">
        <f t="array" ref="AL1447">_xlfn.SWITCH(CleanEmployeeData[[#This Row],[JobInvolvement]],1,"Low",2,"Medium",3,"High",4,"Very High","Unknown")</f>
        <v>Medium</v>
      </c>
      <c r="AM1447" t="str" cm="1">
        <f t="array" ref="AM1447">_xlfn.SWITCH(CleanEmployeeData[[#This Row],[JobSatisfaction]],1,"Low",2,"Medium",3,"High",4,"Very High","Unknown")</f>
        <v>Medium</v>
      </c>
      <c r="AN1447" t="str" cm="1">
        <f t="array" ref="AN1447">_xlfn.SWITCH(CleanEmployeeData[[#This Row],[PerformanceRating]],1,"Low",2,"Good",3,"Excellent",4,"Outstanding","Unknown")</f>
        <v>Outstanding</v>
      </c>
      <c r="AO1447" t="str" cm="1">
        <f t="array" ref="AO1447">_xlfn.SWITCH(CleanEmployeeData[[#This Row],[WorkLifeBalance]],1,"Bad",2,"Good",3,"Better",4,"Best","Unknown")</f>
        <v>Better</v>
      </c>
      <c r="AP1447">
        <f>IF(CleanEmployeeData[[#This Row],[Attrition]]="Yes",1,IF(CleanEmployeeData[[#This Row],[Attrition]]="No",0,""))</f>
        <v>0</v>
      </c>
      <c r="AQ1447" t="str" cm="1">
        <f t="array" ref="AQ1447">_xlfn.IFS(CleanEmployeeData[[#This Row],[MonthlyIncome]]&lt;=3000,"0–3,000",CleanEmployeeData[[#This Row],[MonthlyIncome]]&lt;=6000,"3,001–6,000",CleanEmployeeData[[#This Row],[MonthlyIncome]]&lt;=10000,"6,001–10,000",TRUE,"10,001+")</f>
        <v>10,001+</v>
      </c>
      <c r="AR1447" t="str" cm="1">
        <f t="array" ref="AR1447">_xlfn.IFS(CleanEmployeeData[[#This Row],[DistanceFromHome]]&lt;=5,"0–5 miles",CleanEmployeeData[[#This Row],[DistanceFromHome]]&lt;=10,"6–10 miles",CleanEmployeeData[[#This Row],[DistanceFromHome]]&lt;=15,"11–15 miles",TRUE,"16+ miles")</f>
        <v>16+ miles</v>
      </c>
      <c r="AS1447" t="str" cm="1">
        <f t="array" ref="AS1447">_xlfn.IFS(CleanEmployeeData[[#This Row],[YearsAtCompany]]&lt;=1,"0–1 years",CleanEmployeeData[[#This Row],[YearsAtCompany]]&lt;=5,"2–5 years",CleanEmployeeData[[#This Row],[YearsAtCompany]]&lt;=10,"6–10 years",TRUE,"11+ years")</f>
        <v>11+ years</v>
      </c>
    </row>
    <row r="1448" spans="1:4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cm="1">
        <f t="array" ref="AJ1448">_xlfn.SWITCH(CleanEmployeeData[[#This Row],[Education]],1,"Below College",2,"College",3,"Bachelor",4,"Master",5,"Doctor","Unknown")</f>
        <v>Bachelor</v>
      </c>
      <c r="AK1448" t="str" cm="1">
        <f t="array" ref="AK1448">_xlfn.SWITCH(CleanEmployeeData[[#This Row],[EnvironmentSatisfaction]],1,"Low",2,"Medium",3,"High",4,"Very High","Unknown")</f>
        <v>Very High</v>
      </c>
      <c r="AL1448" t="str" cm="1">
        <f t="array" ref="AL1448">_xlfn.SWITCH(CleanEmployeeData[[#This Row],[JobInvolvement]],1,"Low",2,"Medium",3,"High",4,"Very High","Unknown")</f>
        <v>Medium</v>
      </c>
      <c r="AM1448" t="str" cm="1">
        <f t="array" ref="AM1448">_xlfn.SWITCH(CleanEmployeeData[[#This Row],[JobSatisfaction]],1,"Low",2,"Medium",3,"High",4,"Very High","Unknown")</f>
        <v>High</v>
      </c>
      <c r="AN1448" t="str" cm="1">
        <f t="array" ref="AN1448">_xlfn.SWITCH(CleanEmployeeData[[#This Row],[PerformanceRating]],1,"Low",2,"Good",3,"Excellent",4,"Outstanding","Unknown")</f>
        <v>Outstanding</v>
      </c>
      <c r="AO1448" t="str" cm="1">
        <f t="array" ref="AO1448">_xlfn.SWITCH(CleanEmployeeData[[#This Row],[WorkLifeBalance]],1,"Bad",2,"Good",3,"Better",4,"Best","Unknown")</f>
        <v>Better</v>
      </c>
      <c r="AP1448">
        <f>IF(CleanEmployeeData[[#This Row],[Attrition]]="Yes",1,IF(CleanEmployeeData[[#This Row],[Attrition]]="No",0,""))</f>
        <v>0</v>
      </c>
      <c r="AQ1448" t="str" cm="1">
        <f t="array" ref="AQ1448">_xlfn.IFS(CleanEmployeeData[[#This Row],[MonthlyIncome]]&lt;=3000,"0–3,000",CleanEmployeeData[[#This Row],[MonthlyIncome]]&lt;=6000,"3,001–6,000",CleanEmployeeData[[#This Row],[MonthlyIncome]]&lt;=10000,"6,001–10,000",TRUE,"10,001+")</f>
        <v>6,001–10,000</v>
      </c>
      <c r="AR1448" t="str" cm="1">
        <f t="array" ref="AR1448">_xlfn.IFS(CleanEmployeeData[[#This Row],[DistanceFromHome]]&lt;=5,"0–5 miles",CleanEmployeeData[[#This Row],[DistanceFromHome]]&lt;=10,"6–10 miles",CleanEmployeeData[[#This Row],[DistanceFromHome]]&lt;=15,"11–15 miles",TRUE,"16+ miles")</f>
        <v>16+ miles</v>
      </c>
      <c r="AS1448" t="str" cm="1">
        <f t="array" ref="AS1448">_xlfn.IFS(CleanEmployeeData[[#This Row],[YearsAtCompany]]&lt;=1,"0–1 years",CleanEmployeeData[[#This Row],[YearsAtCompany]]&lt;=5,"2–5 years",CleanEmployeeData[[#This Row],[YearsAtCompany]]&lt;=10,"6–10 years",TRUE,"11+ years")</f>
        <v>6–10 years</v>
      </c>
    </row>
    <row r="1449" spans="1:4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cm="1">
        <f t="array" ref="AJ1449">_xlfn.SWITCH(CleanEmployeeData[[#This Row],[Education]],1,"Below College",2,"College",3,"Bachelor",4,"Master",5,"Doctor","Unknown")</f>
        <v>Master</v>
      </c>
      <c r="AK1449" t="str" cm="1">
        <f t="array" ref="AK1449">_xlfn.SWITCH(CleanEmployeeData[[#This Row],[EnvironmentSatisfaction]],1,"Low",2,"Medium",3,"High",4,"Very High","Unknown")</f>
        <v>Very High</v>
      </c>
      <c r="AL1449" t="str" cm="1">
        <f t="array" ref="AL1449">_xlfn.SWITCH(CleanEmployeeData[[#This Row],[JobInvolvement]],1,"Low",2,"Medium",3,"High",4,"Very High","Unknown")</f>
        <v>Low</v>
      </c>
      <c r="AM1449" t="str" cm="1">
        <f t="array" ref="AM1449">_xlfn.SWITCH(CleanEmployeeData[[#This Row],[JobSatisfaction]],1,"Low",2,"Medium",3,"High",4,"Very High","Unknown")</f>
        <v>Very High</v>
      </c>
      <c r="AN1449" t="str" cm="1">
        <f t="array" ref="AN1449">_xlfn.SWITCH(CleanEmployeeData[[#This Row],[PerformanceRating]],1,"Low",2,"Good",3,"Excellent",4,"Outstanding","Unknown")</f>
        <v>Outstanding</v>
      </c>
      <c r="AO1449" t="str" cm="1">
        <f t="array" ref="AO1449">_xlfn.SWITCH(CleanEmployeeData[[#This Row],[WorkLifeBalance]],1,"Bad",2,"Good",3,"Better",4,"Best","Unknown")</f>
        <v>Good</v>
      </c>
      <c r="AP1449">
        <f>IF(CleanEmployeeData[[#This Row],[Attrition]]="Yes",1,IF(CleanEmployeeData[[#This Row],[Attrition]]="No",0,""))</f>
        <v>0</v>
      </c>
      <c r="AQ1449" t="str" cm="1">
        <f t="array" ref="AQ1449">_xlfn.IFS(CleanEmployeeData[[#This Row],[MonthlyIncome]]&lt;=3000,"0–3,000",CleanEmployeeData[[#This Row],[MonthlyIncome]]&lt;=6000,"3,001–6,000",CleanEmployeeData[[#This Row],[MonthlyIncome]]&lt;=10000,"6,001–10,000",TRUE,"10,001+")</f>
        <v>3,001–6,000</v>
      </c>
      <c r="AR1449" t="str" cm="1">
        <f t="array" ref="AR1449">_xlfn.IFS(CleanEmployeeData[[#This Row],[DistanceFromHome]]&lt;=5,"0–5 miles",CleanEmployeeData[[#This Row],[DistanceFromHome]]&lt;=10,"6–10 miles",CleanEmployeeData[[#This Row],[DistanceFromHome]]&lt;=15,"11–15 miles",TRUE,"16+ miles")</f>
        <v>11–15 miles</v>
      </c>
      <c r="AS1449" t="str" cm="1">
        <f t="array" ref="AS1449">_xlfn.IFS(CleanEmployeeData[[#This Row],[YearsAtCompany]]&lt;=1,"0–1 years",CleanEmployeeData[[#This Row],[YearsAtCompany]]&lt;=5,"2–5 years",CleanEmployeeData[[#This Row],[YearsAtCompany]]&lt;=10,"6–10 years",TRUE,"11+ years")</f>
        <v>11+ years</v>
      </c>
    </row>
    <row r="1450" spans="1:4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cm="1">
        <f t="array" ref="AJ1450">_xlfn.SWITCH(CleanEmployeeData[[#This Row],[Education]],1,"Below College",2,"College",3,"Bachelor",4,"Master",5,"Doctor","Unknown")</f>
        <v>Bachelor</v>
      </c>
      <c r="AK1450" t="str" cm="1">
        <f t="array" ref="AK1450">_xlfn.SWITCH(CleanEmployeeData[[#This Row],[EnvironmentSatisfaction]],1,"Low",2,"Medium",3,"High",4,"Very High","Unknown")</f>
        <v>High</v>
      </c>
      <c r="AL1450" t="str" cm="1">
        <f t="array" ref="AL1450">_xlfn.SWITCH(CleanEmployeeData[[#This Row],[JobInvolvement]],1,"Low",2,"Medium",3,"High",4,"Very High","Unknown")</f>
        <v>Medium</v>
      </c>
      <c r="AM1450" t="str" cm="1">
        <f t="array" ref="AM1450">_xlfn.SWITCH(CleanEmployeeData[[#This Row],[JobSatisfaction]],1,"Low",2,"Medium",3,"High",4,"Very High","Unknown")</f>
        <v>Medium</v>
      </c>
      <c r="AN1450" t="str" cm="1">
        <f t="array" ref="AN1450">_xlfn.SWITCH(CleanEmployeeData[[#This Row],[PerformanceRating]],1,"Low",2,"Good",3,"Excellent",4,"Outstanding","Unknown")</f>
        <v>Excellent</v>
      </c>
      <c r="AO1450" t="str" cm="1">
        <f t="array" ref="AO1450">_xlfn.SWITCH(CleanEmployeeData[[#This Row],[WorkLifeBalance]],1,"Bad",2,"Good",3,"Better",4,"Best","Unknown")</f>
        <v>Better</v>
      </c>
      <c r="AP1450">
        <f>IF(CleanEmployeeData[[#This Row],[Attrition]]="Yes",1,IF(CleanEmployeeData[[#This Row],[Attrition]]="No",0,""))</f>
        <v>0</v>
      </c>
      <c r="AQ1450" t="str" cm="1">
        <f t="array" ref="AQ1450">_xlfn.IFS(CleanEmployeeData[[#This Row],[MonthlyIncome]]&lt;=3000,"0–3,000",CleanEmployeeData[[#This Row],[MonthlyIncome]]&lt;=6000,"3,001–6,000",CleanEmployeeData[[#This Row],[MonthlyIncome]]&lt;=10000,"6,001–10,000",TRUE,"10,001+")</f>
        <v>6,001–10,000</v>
      </c>
      <c r="AR1450" t="str" cm="1">
        <f t="array" ref="AR1450">_xlfn.IFS(CleanEmployeeData[[#This Row],[DistanceFromHome]]&lt;=5,"0–5 miles",CleanEmployeeData[[#This Row],[DistanceFromHome]]&lt;=10,"6–10 miles",CleanEmployeeData[[#This Row],[DistanceFromHome]]&lt;=15,"11–15 miles",TRUE,"16+ miles")</f>
        <v>0–5 miles</v>
      </c>
      <c r="AS1450" t="str" cm="1">
        <f t="array" ref="AS1450">_xlfn.IFS(CleanEmployeeData[[#This Row],[YearsAtCompany]]&lt;=1,"0–1 years",CleanEmployeeData[[#This Row],[YearsAtCompany]]&lt;=5,"2–5 years",CleanEmployeeData[[#This Row],[YearsAtCompany]]&lt;=10,"6–10 years",TRUE,"11+ years")</f>
        <v>2–5 years</v>
      </c>
    </row>
    <row r="1451" spans="1:4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cm="1">
        <f t="array" ref="AJ1451">_xlfn.SWITCH(CleanEmployeeData[[#This Row],[Education]],1,"Below College",2,"College",3,"Bachelor",4,"Master",5,"Doctor","Unknown")</f>
        <v>Bachelor</v>
      </c>
      <c r="AK1451" t="str" cm="1">
        <f t="array" ref="AK1451">_xlfn.SWITCH(CleanEmployeeData[[#This Row],[EnvironmentSatisfaction]],1,"Low",2,"Medium",3,"High",4,"Very High","Unknown")</f>
        <v>Very High</v>
      </c>
      <c r="AL1451" t="str" cm="1">
        <f t="array" ref="AL1451">_xlfn.SWITCH(CleanEmployeeData[[#This Row],[JobInvolvement]],1,"Low",2,"Medium",3,"High",4,"Very High","Unknown")</f>
        <v>High</v>
      </c>
      <c r="AM1451" t="str" cm="1">
        <f t="array" ref="AM1451">_xlfn.SWITCH(CleanEmployeeData[[#This Row],[JobSatisfaction]],1,"Low",2,"Medium",3,"High",4,"Very High","Unknown")</f>
        <v>Low</v>
      </c>
      <c r="AN1451" t="str" cm="1">
        <f t="array" ref="AN1451">_xlfn.SWITCH(CleanEmployeeData[[#This Row],[PerformanceRating]],1,"Low",2,"Good",3,"Excellent",4,"Outstanding","Unknown")</f>
        <v>Excellent</v>
      </c>
      <c r="AO1451" t="str" cm="1">
        <f t="array" ref="AO1451">_xlfn.SWITCH(CleanEmployeeData[[#This Row],[WorkLifeBalance]],1,"Bad",2,"Good",3,"Better",4,"Best","Unknown")</f>
        <v>Better</v>
      </c>
      <c r="AP1451">
        <f>IF(CleanEmployeeData[[#This Row],[Attrition]]="Yes",1,IF(CleanEmployeeData[[#This Row],[Attrition]]="No",0,""))</f>
        <v>0</v>
      </c>
      <c r="AQ1451" t="str" cm="1">
        <f t="array" ref="AQ1451">_xlfn.IFS(CleanEmployeeData[[#This Row],[MonthlyIncome]]&lt;=3000,"0–3,000",CleanEmployeeData[[#This Row],[MonthlyIncome]]&lt;=6000,"3,001–6,000",CleanEmployeeData[[#This Row],[MonthlyIncome]]&lt;=10000,"6,001–10,000",TRUE,"10,001+")</f>
        <v>0–3,000</v>
      </c>
      <c r="AR1451" t="str" cm="1">
        <f t="array" ref="AR1451">_xlfn.IFS(CleanEmployeeData[[#This Row],[DistanceFromHome]]&lt;=5,"0–5 miles",CleanEmployeeData[[#This Row],[DistanceFromHome]]&lt;=10,"6–10 miles",CleanEmployeeData[[#This Row],[DistanceFromHome]]&lt;=15,"11–15 miles",TRUE,"16+ miles")</f>
        <v>0–5 miles</v>
      </c>
      <c r="AS1451" t="str" cm="1">
        <f t="array" ref="AS1451">_xlfn.IFS(CleanEmployeeData[[#This Row],[YearsAtCompany]]&lt;=1,"0–1 years",CleanEmployeeData[[#This Row],[YearsAtCompany]]&lt;=5,"2–5 years",CleanEmployeeData[[#This Row],[YearsAtCompany]]&lt;=10,"6–10 years",TRUE,"11+ years")</f>
        <v>2–5 years</v>
      </c>
    </row>
    <row r="1452" spans="1:4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cm="1">
        <f t="array" ref="AJ1452">_xlfn.SWITCH(CleanEmployeeData[[#This Row],[Education]],1,"Below College",2,"College",3,"Bachelor",4,"Master",5,"Doctor","Unknown")</f>
        <v>Master</v>
      </c>
      <c r="AK1452" t="str" cm="1">
        <f t="array" ref="AK1452">_xlfn.SWITCH(CleanEmployeeData[[#This Row],[EnvironmentSatisfaction]],1,"Low",2,"Medium",3,"High",4,"Very High","Unknown")</f>
        <v>High</v>
      </c>
      <c r="AL1452" t="str" cm="1">
        <f t="array" ref="AL1452">_xlfn.SWITCH(CleanEmployeeData[[#This Row],[JobInvolvement]],1,"Low",2,"Medium",3,"High",4,"Very High","Unknown")</f>
        <v>High</v>
      </c>
      <c r="AM1452" t="str" cm="1">
        <f t="array" ref="AM1452">_xlfn.SWITCH(CleanEmployeeData[[#This Row],[JobSatisfaction]],1,"Low",2,"Medium",3,"High",4,"Very High","Unknown")</f>
        <v>Very High</v>
      </c>
      <c r="AN1452" t="str" cm="1">
        <f t="array" ref="AN1452">_xlfn.SWITCH(CleanEmployeeData[[#This Row],[PerformanceRating]],1,"Low",2,"Good",3,"Excellent",4,"Outstanding","Unknown")</f>
        <v>Excellent</v>
      </c>
      <c r="AO1452" t="str" cm="1">
        <f t="array" ref="AO1452">_xlfn.SWITCH(CleanEmployeeData[[#This Row],[WorkLifeBalance]],1,"Bad",2,"Good",3,"Better",4,"Best","Unknown")</f>
        <v>Better</v>
      </c>
      <c r="AP1452">
        <f>IF(CleanEmployeeData[[#This Row],[Attrition]]="Yes",1,IF(CleanEmployeeData[[#This Row],[Attrition]]="No",0,""))</f>
        <v>0</v>
      </c>
      <c r="AQ1452" t="str" cm="1">
        <f t="array" ref="AQ1452">_xlfn.IFS(CleanEmployeeData[[#This Row],[MonthlyIncome]]&lt;=3000,"0–3,000",CleanEmployeeData[[#This Row],[MonthlyIncome]]&lt;=6000,"3,001–6,000",CleanEmployeeData[[#This Row],[MonthlyIncome]]&lt;=10000,"6,001–10,000",TRUE,"10,001+")</f>
        <v>6,001–10,000</v>
      </c>
      <c r="AR1452" t="str" cm="1">
        <f t="array" ref="AR1452">_xlfn.IFS(CleanEmployeeData[[#This Row],[DistanceFromHome]]&lt;=5,"0–5 miles",CleanEmployeeData[[#This Row],[DistanceFromHome]]&lt;=10,"6–10 miles",CleanEmployeeData[[#This Row],[DistanceFromHome]]&lt;=15,"11–15 miles",TRUE,"16+ miles")</f>
        <v>16+ miles</v>
      </c>
      <c r="AS1452" t="str" cm="1">
        <f t="array" ref="AS1452">_xlfn.IFS(CleanEmployeeData[[#This Row],[YearsAtCompany]]&lt;=1,"0–1 years",CleanEmployeeData[[#This Row],[YearsAtCompany]]&lt;=5,"2–5 years",CleanEmployeeData[[#This Row],[YearsAtCompany]]&lt;=10,"6–10 years",TRUE,"11+ years")</f>
        <v>6–10 years</v>
      </c>
    </row>
    <row r="1453" spans="1:4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cm="1">
        <f t="array" ref="AJ1453">_xlfn.SWITCH(CleanEmployeeData[[#This Row],[Education]],1,"Below College",2,"College",3,"Bachelor",4,"Master",5,"Doctor","Unknown")</f>
        <v>College</v>
      </c>
      <c r="AK1453" t="str" cm="1">
        <f t="array" ref="AK1453">_xlfn.SWITCH(CleanEmployeeData[[#This Row],[EnvironmentSatisfaction]],1,"Low",2,"Medium",3,"High",4,"Very High","Unknown")</f>
        <v>Low</v>
      </c>
      <c r="AL1453" t="str" cm="1">
        <f t="array" ref="AL1453">_xlfn.SWITCH(CleanEmployeeData[[#This Row],[JobInvolvement]],1,"Low",2,"Medium",3,"High",4,"Very High","Unknown")</f>
        <v>High</v>
      </c>
      <c r="AM1453" t="str" cm="1">
        <f t="array" ref="AM1453">_xlfn.SWITCH(CleanEmployeeData[[#This Row],[JobSatisfaction]],1,"Low",2,"Medium",3,"High",4,"Very High","Unknown")</f>
        <v>Very High</v>
      </c>
      <c r="AN1453" t="str" cm="1">
        <f t="array" ref="AN1453">_xlfn.SWITCH(CleanEmployeeData[[#This Row],[PerformanceRating]],1,"Low",2,"Good",3,"Excellent",4,"Outstanding","Unknown")</f>
        <v>Excellent</v>
      </c>
      <c r="AO1453" t="str" cm="1">
        <f t="array" ref="AO1453">_xlfn.SWITCH(CleanEmployeeData[[#This Row],[WorkLifeBalance]],1,"Bad",2,"Good",3,"Better",4,"Best","Unknown")</f>
        <v>Better</v>
      </c>
      <c r="AP1453">
        <f>IF(CleanEmployeeData[[#This Row],[Attrition]]="Yes",1,IF(CleanEmployeeData[[#This Row],[Attrition]]="No",0,""))</f>
        <v>0</v>
      </c>
      <c r="AQ1453" t="str" cm="1">
        <f t="array" ref="AQ1453">_xlfn.IFS(CleanEmployeeData[[#This Row],[MonthlyIncome]]&lt;=3000,"0–3,000",CleanEmployeeData[[#This Row],[MonthlyIncome]]&lt;=6000,"3,001–6,000",CleanEmployeeData[[#This Row],[MonthlyIncome]]&lt;=10000,"6,001–10,000",TRUE,"10,001+")</f>
        <v>3,001–6,000</v>
      </c>
      <c r="AR1453" t="str" cm="1">
        <f t="array" ref="AR1453">_xlfn.IFS(CleanEmployeeData[[#This Row],[DistanceFromHome]]&lt;=5,"0–5 miles",CleanEmployeeData[[#This Row],[DistanceFromHome]]&lt;=10,"6–10 miles",CleanEmployeeData[[#This Row],[DistanceFromHome]]&lt;=15,"11–15 miles",TRUE,"16+ miles")</f>
        <v>6–10 miles</v>
      </c>
      <c r="AS1453" t="str" cm="1">
        <f t="array" ref="AS1453">_xlfn.IFS(CleanEmployeeData[[#This Row],[YearsAtCompany]]&lt;=1,"0–1 years",CleanEmployeeData[[#This Row],[YearsAtCompany]]&lt;=5,"2–5 years",CleanEmployeeData[[#This Row],[YearsAtCompany]]&lt;=10,"6–10 years",TRUE,"11+ years")</f>
        <v>6–10 years</v>
      </c>
    </row>
    <row r="1454" spans="1:4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cm="1">
        <f t="array" ref="AJ1454">_xlfn.SWITCH(CleanEmployeeData[[#This Row],[Education]],1,"Below College",2,"College",3,"Bachelor",4,"Master",5,"Doctor","Unknown")</f>
        <v>Master</v>
      </c>
      <c r="AK1454" t="str" cm="1">
        <f t="array" ref="AK1454">_xlfn.SWITCH(CleanEmployeeData[[#This Row],[EnvironmentSatisfaction]],1,"Low",2,"Medium",3,"High",4,"Very High","Unknown")</f>
        <v>Medium</v>
      </c>
      <c r="AL1454" t="str" cm="1">
        <f t="array" ref="AL1454">_xlfn.SWITCH(CleanEmployeeData[[#This Row],[JobInvolvement]],1,"Low",2,"Medium",3,"High",4,"Very High","Unknown")</f>
        <v>High</v>
      </c>
      <c r="AM1454" t="str" cm="1">
        <f t="array" ref="AM1454">_xlfn.SWITCH(CleanEmployeeData[[#This Row],[JobSatisfaction]],1,"Low",2,"Medium",3,"High",4,"Very High","Unknown")</f>
        <v>High</v>
      </c>
      <c r="AN1454" t="str" cm="1">
        <f t="array" ref="AN1454">_xlfn.SWITCH(CleanEmployeeData[[#This Row],[PerformanceRating]],1,"Low",2,"Good",3,"Excellent",4,"Outstanding","Unknown")</f>
        <v>Excellent</v>
      </c>
      <c r="AO1454" t="str" cm="1">
        <f t="array" ref="AO1454">_xlfn.SWITCH(CleanEmployeeData[[#This Row],[WorkLifeBalance]],1,"Bad",2,"Good",3,"Better",4,"Best","Unknown")</f>
        <v>Better</v>
      </c>
      <c r="AP1454">
        <f>IF(CleanEmployeeData[[#This Row],[Attrition]]="Yes",1,IF(CleanEmployeeData[[#This Row],[Attrition]]="No",0,""))</f>
        <v>1</v>
      </c>
      <c r="AQ1454" t="str" cm="1">
        <f t="array" ref="AQ1454">_xlfn.IFS(CleanEmployeeData[[#This Row],[MonthlyIncome]]&lt;=3000,"0–3,000",CleanEmployeeData[[#This Row],[MonthlyIncome]]&lt;=6000,"3,001–6,000",CleanEmployeeData[[#This Row],[MonthlyIncome]]&lt;=10000,"6,001–10,000",TRUE,"10,001+")</f>
        <v>6,001–10,000</v>
      </c>
      <c r="AR1454" t="str" cm="1">
        <f t="array" ref="AR1454">_xlfn.IFS(CleanEmployeeData[[#This Row],[DistanceFromHome]]&lt;=5,"0–5 miles",CleanEmployeeData[[#This Row],[DistanceFromHome]]&lt;=10,"6–10 miles",CleanEmployeeData[[#This Row],[DistanceFromHome]]&lt;=15,"11–15 miles",TRUE,"16+ miles")</f>
        <v>0–5 miles</v>
      </c>
      <c r="AS1454" t="str" cm="1">
        <f t="array" ref="AS1454">_xlfn.IFS(CleanEmployeeData[[#This Row],[YearsAtCompany]]&lt;=1,"0–1 years",CleanEmployeeData[[#This Row],[YearsAtCompany]]&lt;=5,"2–5 years",CleanEmployeeData[[#This Row],[YearsAtCompany]]&lt;=10,"6–10 years",TRUE,"11+ years")</f>
        <v>6–10 years</v>
      </c>
    </row>
    <row r="1455" spans="1:4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cm="1">
        <f t="array" ref="AJ1455">_xlfn.SWITCH(CleanEmployeeData[[#This Row],[Education]],1,"Below College",2,"College",3,"Bachelor",4,"Master",5,"Doctor","Unknown")</f>
        <v>Master</v>
      </c>
      <c r="AK1455" t="str" cm="1">
        <f t="array" ref="AK1455">_xlfn.SWITCH(CleanEmployeeData[[#This Row],[EnvironmentSatisfaction]],1,"Low",2,"Medium",3,"High",4,"Very High","Unknown")</f>
        <v>Medium</v>
      </c>
      <c r="AL1455" t="str" cm="1">
        <f t="array" ref="AL1455">_xlfn.SWITCH(CleanEmployeeData[[#This Row],[JobInvolvement]],1,"Low",2,"Medium",3,"High",4,"Very High","Unknown")</f>
        <v>Medium</v>
      </c>
      <c r="AM1455" t="str" cm="1">
        <f t="array" ref="AM1455">_xlfn.SWITCH(CleanEmployeeData[[#This Row],[JobSatisfaction]],1,"Low",2,"Medium",3,"High",4,"Very High","Unknown")</f>
        <v>Very High</v>
      </c>
      <c r="AN1455" t="str" cm="1">
        <f t="array" ref="AN1455">_xlfn.SWITCH(CleanEmployeeData[[#This Row],[PerformanceRating]],1,"Low",2,"Good",3,"Excellent",4,"Outstanding","Unknown")</f>
        <v>Excellent</v>
      </c>
      <c r="AO1455" t="str" cm="1">
        <f t="array" ref="AO1455">_xlfn.SWITCH(CleanEmployeeData[[#This Row],[WorkLifeBalance]],1,"Bad",2,"Good",3,"Better",4,"Best","Unknown")</f>
        <v>Good</v>
      </c>
      <c r="AP1455">
        <f>IF(CleanEmployeeData[[#This Row],[Attrition]]="Yes",1,IF(CleanEmployeeData[[#This Row],[Attrition]]="No",0,""))</f>
        <v>0</v>
      </c>
      <c r="AQ1455" t="str" cm="1">
        <f t="array" ref="AQ1455">_xlfn.IFS(CleanEmployeeData[[#This Row],[MonthlyIncome]]&lt;=3000,"0–3,000",CleanEmployeeData[[#This Row],[MonthlyIncome]]&lt;=6000,"3,001–6,000",CleanEmployeeData[[#This Row],[MonthlyIncome]]&lt;=10000,"6,001–10,000",TRUE,"10,001+")</f>
        <v>6,001–10,000</v>
      </c>
      <c r="AR1455" t="str" cm="1">
        <f t="array" ref="AR1455">_xlfn.IFS(CleanEmployeeData[[#This Row],[DistanceFromHome]]&lt;=5,"0–5 miles",CleanEmployeeData[[#This Row],[DistanceFromHome]]&lt;=10,"6–10 miles",CleanEmployeeData[[#This Row],[DistanceFromHome]]&lt;=15,"11–15 miles",TRUE,"16+ miles")</f>
        <v>11–15 miles</v>
      </c>
      <c r="AS1455" t="str" cm="1">
        <f t="array" ref="AS1455">_xlfn.IFS(CleanEmployeeData[[#This Row],[YearsAtCompany]]&lt;=1,"0–1 years",CleanEmployeeData[[#This Row],[YearsAtCompany]]&lt;=5,"2–5 years",CleanEmployeeData[[#This Row],[YearsAtCompany]]&lt;=10,"6–10 years",TRUE,"11+ years")</f>
        <v>6–10 years</v>
      </c>
    </row>
    <row r="1456" spans="1:4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cm="1">
        <f t="array" ref="AJ1456">_xlfn.SWITCH(CleanEmployeeData[[#This Row],[Education]],1,"Below College",2,"College",3,"Bachelor",4,"Master",5,"Doctor","Unknown")</f>
        <v>Bachelor</v>
      </c>
      <c r="AK1456" t="str" cm="1">
        <f t="array" ref="AK1456">_xlfn.SWITCH(CleanEmployeeData[[#This Row],[EnvironmentSatisfaction]],1,"Low",2,"Medium",3,"High",4,"Very High","Unknown")</f>
        <v>Very High</v>
      </c>
      <c r="AL1456" t="str" cm="1">
        <f t="array" ref="AL1456">_xlfn.SWITCH(CleanEmployeeData[[#This Row],[JobInvolvement]],1,"Low",2,"Medium",3,"High",4,"Very High","Unknown")</f>
        <v>High</v>
      </c>
      <c r="AM1456" t="str" cm="1">
        <f t="array" ref="AM1456">_xlfn.SWITCH(CleanEmployeeData[[#This Row],[JobSatisfaction]],1,"Low",2,"Medium",3,"High",4,"Very High","Unknown")</f>
        <v>High</v>
      </c>
      <c r="AN1456" t="str" cm="1">
        <f t="array" ref="AN1456">_xlfn.SWITCH(CleanEmployeeData[[#This Row],[PerformanceRating]],1,"Low",2,"Good",3,"Excellent",4,"Outstanding","Unknown")</f>
        <v>Excellent</v>
      </c>
      <c r="AO1456" t="str" cm="1">
        <f t="array" ref="AO1456">_xlfn.SWITCH(CleanEmployeeData[[#This Row],[WorkLifeBalance]],1,"Bad",2,"Good",3,"Better",4,"Best","Unknown")</f>
        <v>Better</v>
      </c>
      <c r="AP1456">
        <f>IF(CleanEmployeeData[[#This Row],[Attrition]]="Yes",1,IF(CleanEmployeeData[[#This Row],[Attrition]]="No",0,""))</f>
        <v>0</v>
      </c>
      <c r="AQ1456" t="str" cm="1">
        <f t="array" ref="AQ1456">_xlfn.IFS(CleanEmployeeData[[#This Row],[MonthlyIncome]]&lt;=3000,"0–3,000",CleanEmployeeData[[#This Row],[MonthlyIncome]]&lt;=6000,"3,001–6,000",CleanEmployeeData[[#This Row],[MonthlyIncome]]&lt;=10000,"6,001–10,000",TRUE,"10,001+")</f>
        <v>3,001–6,000</v>
      </c>
      <c r="AR1456" t="str" cm="1">
        <f t="array" ref="AR1456">_xlfn.IFS(CleanEmployeeData[[#This Row],[DistanceFromHome]]&lt;=5,"0–5 miles",CleanEmployeeData[[#This Row],[DistanceFromHome]]&lt;=10,"6–10 miles",CleanEmployeeData[[#This Row],[DistanceFromHome]]&lt;=15,"11–15 miles",TRUE,"16+ miles")</f>
        <v>16+ miles</v>
      </c>
      <c r="AS1456" t="str" cm="1">
        <f t="array" ref="AS1456">_xlfn.IFS(CleanEmployeeData[[#This Row],[YearsAtCompany]]&lt;=1,"0–1 years",CleanEmployeeData[[#This Row],[YearsAtCompany]]&lt;=5,"2–5 years",CleanEmployeeData[[#This Row],[YearsAtCompany]]&lt;=10,"6–10 years",TRUE,"11+ years")</f>
        <v>2–5 years</v>
      </c>
    </row>
    <row r="1457" spans="1:4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cm="1">
        <f t="array" ref="AJ1457">_xlfn.SWITCH(CleanEmployeeData[[#This Row],[Education]],1,"Below College",2,"College",3,"Bachelor",4,"Master",5,"Doctor","Unknown")</f>
        <v>Master</v>
      </c>
      <c r="AK1457" t="str" cm="1">
        <f t="array" ref="AK1457">_xlfn.SWITCH(CleanEmployeeData[[#This Row],[EnvironmentSatisfaction]],1,"Low",2,"Medium",3,"High",4,"Very High","Unknown")</f>
        <v>High</v>
      </c>
      <c r="AL1457" t="str" cm="1">
        <f t="array" ref="AL1457">_xlfn.SWITCH(CleanEmployeeData[[#This Row],[JobInvolvement]],1,"Low",2,"Medium",3,"High",4,"Very High","Unknown")</f>
        <v>Medium</v>
      </c>
      <c r="AM1457" t="str" cm="1">
        <f t="array" ref="AM1457">_xlfn.SWITCH(CleanEmployeeData[[#This Row],[JobSatisfaction]],1,"Low",2,"Medium",3,"High",4,"Very High","Unknown")</f>
        <v>High</v>
      </c>
      <c r="AN1457" t="str" cm="1">
        <f t="array" ref="AN1457">_xlfn.SWITCH(CleanEmployeeData[[#This Row],[PerformanceRating]],1,"Low",2,"Good",3,"Excellent",4,"Outstanding","Unknown")</f>
        <v>Excellent</v>
      </c>
      <c r="AO1457" t="str" cm="1">
        <f t="array" ref="AO1457">_xlfn.SWITCH(CleanEmployeeData[[#This Row],[WorkLifeBalance]],1,"Bad",2,"Good",3,"Better",4,"Best","Unknown")</f>
        <v>Better</v>
      </c>
      <c r="AP1457">
        <f>IF(CleanEmployeeData[[#This Row],[Attrition]]="Yes",1,IF(CleanEmployeeData[[#This Row],[Attrition]]="No",0,""))</f>
        <v>0</v>
      </c>
      <c r="AQ1457" t="str" cm="1">
        <f t="array" ref="AQ1457">_xlfn.IFS(CleanEmployeeData[[#This Row],[MonthlyIncome]]&lt;=3000,"0–3,000",CleanEmployeeData[[#This Row],[MonthlyIncome]]&lt;=6000,"3,001–6,000",CleanEmployeeData[[#This Row],[MonthlyIncome]]&lt;=10000,"6,001–10,000",TRUE,"10,001+")</f>
        <v>0–3,000</v>
      </c>
      <c r="AR1457" t="str" cm="1">
        <f t="array" ref="AR1457">_xlfn.IFS(CleanEmployeeData[[#This Row],[DistanceFromHome]]&lt;=5,"0–5 miles",CleanEmployeeData[[#This Row],[DistanceFromHome]]&lt;=10,"6–10 miles",CleanEmployeeData[[#This Row],[DistanceFromHome]]&lt;=15,"11–15 miles",TRUE,"16+ miles")</f>
        <v>0–5 miles</v>
      </c>
      <c r="AS1457" t="str" cm="1">
        <f t="array" ref="AS1457">_xlfn.IFS(CleanEmployeeData[[#This Row],[YearsAtCompany]]&lt;=1,"0–1 years",CleanEmployeeData[[#This Row],[YearsAtCompany]]&lt;=5,"2–5 years",CleanEmployeeData[[#This Row],[YearsAtCompany]]&lt;=10,"6–10 years",TRUE,"11+ years")</f>
        <v>2–5 years</v>
      </c>
    </row>
    <row r="1458" spans="1:4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cm="1">
        <f t="array" ref="AJ1458">_xlfn.SWITCH(CleanEmployeeData[[#This Row],[Education]],1,"Below College",2,"College",3,"Bachelor",4,"Master",5,"Doctor","Unknown")</f>
        <v>Master</v>
      </c>
      <c r="AK1458" t="str" cm="1">
        <f t="array" ref="AK1458">_xlfn.SWITCH(CleanEmployeeData[[#This Row],[EnvironmentSatisfaction]],1,"Low",2,"Medium",3,"High",4,"Very High","Unknown")</f>
        <v>High</v>
      </c>
      <c r="AL1458" t="str" cm="1">
        <f t="array" ref="AL1458">_xlfn.SWITCH(CleanEmployeeData[[#This Row],[JobInvolvement]],1,"Low",2,"Medium",3,"High",4,"Very High","Unknown")</f>
        <v>High</v>
      </c>
      <c r="AM1458" t="str" cm="1">
        <f t="array" ref="AM1458">_xlfn.SWITCH(CleanEmployeeData[[#This Row],[JobSatisfaction]],1,"Low",2,"Medium",3,"High",4,"Very High","Unknown")</f>
        <v>High</v>
      </c>
      <c r="AN1458" t="str" cm="1">
        <f t="array" ref="AN1458">_xlfn.SWITCH(CleanEmployeeData[[#This Row],[PerformanceRating]],1,"Low",2,"Good",3,"Excellent",4,"Outstanding","Unknown")</f>
        <v>Excellent</v>
      </c>
      <c r="AO1458" t="str" cm="1">
        <f t="array" ref="AO1458">_xlfn.SWITCH(CleanEmployeeData[[#This Row],[WorkLifeBalance]],1,"Bad",2,"Good",3,"Better",4,"Best","Unknown")</f>
        <v>Best</v>
      </c>
      <c r="AP1458">
        <f>IF(CleanEmployeeData[[#This Row],[Attrition]]="Yes",1,IF(CleanEmployeeData[[#This Row],[Attrition]]="No",0,""))</f>
        <v>0</v>
      </c>
      <c r="AQ1458" t="str" cm="1">
        <f t="array" ref="AQ1458">_xlfn.IFS(CleanEmployeeData[[#This Row],[MonthlyIncome]]&lt;=3000,"0–3,000",CleanEmployeeData[[#This Row],[MonthlyIncome]]&lt;=6000,"3,001–6,000",CleanEmployeeData[[#This Row],[MonthlyIncome]]&lt;=10000,"6,001–10,000",TRUE,"10,001+")</f>
        <v>3,001–6,000</v>
      </c>
      <c r="AR1458" t="str" cm="1">
        <f t="array" ref="AR1458">_xlfn.IFS(CleanEmployeeData[[#This Row],[DistanceFromHome]]&lt;=5,"0–5 miles",CleanEmployeeData[[#This Row],[DistanceFromHome]]&lt;=10,"6–10 miles",CleanEmployeeData[[#This Row],[DistanceFromHome]]&lt;=15,"11–15 miles",TRUE,"16+ miles")</f>
        <v>16+ miles</v>
      </c>
      <c r="AS1458" t="str" cm="1">
        <f t="array" ref="AS1458">_xlfn.IFS(CleanEmployeeData[[#This Row],[YearsAtCompany]]&lt;=1,"0–1 years",CleanEmployeeData[[#This Row],[YearsAtCompany]]&lt;=5,"2–5 years",CleanEmployeeData[[#This Row],[YearsAtCompany]]&lt;=10,"6–10 years",TRUE,"11+ years")</f>
        <v>6–10 years</v>
      </c>
    </row>
    <row r="1459" spans="1:4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cm="1">
        <f t="array" ref="AJ1459">_xlfn.SWITCH(CleanEmployeeData[[#This Row],[Education]],1,"Below College",2,"College",3,"Bachelor",4,"Master",5,"Doctor","Unknown")</f>
        <v>Master</v>
      </c>
      <c r="AK1459" t="str" cm="1">
        <f t="array" ref="AK1459">_xlfn.SWITCH(CleanEmployeeData[[#This Row],[EnvironmentSatisfaction]],1,"Low",2,"Medium",3,"High",4,"Very High","Unknown")</f>
        <v>High</v>
      </c>
      <c r="AL1459" t="str" cm="1">
        <f t="array" ref="AL1459">_xlfn.SWITCH(CleanEmployeeData[[#This Row],[JobInvolvement]],1,"Low",2,"Medium",3,"High",4,"Very High","Unknown")</f>
        <v>High</v>
      </c>
      <c r="AM1459" t="str" cm="1">
        <f t="array" ref="AM1459">_xlfn.SWITCH(CleanEmployeeData[[#This Row],[JobSatisfaction]],1,"Low",2,"Medium",3,"High",4,"Very High","Unknown")</f>
        <v>High</v>
      </c>
      <c r="AN1459" t="str" cm="1">
        <f t="array" ref="AN1459">_xlfn.SWITCH(CleanEmployeeData[[#This Row],[PerformanceRating]],1,"Low",2,"Good",3,"Excellent",4,"Outstanding","Unknown")</f>
        <v>Excellent</v>
      </c>
      <c r="AO1459" t="str" cm="1">
        <f t="array" ref="AO1459">_xlfn.SWITCH(CleanEmployeeData[[#This Row],[WorkLifeBalance]],1,"Bad",2,"Good",3,"Better",4,"Best","Unknown")</f>
        <v>Better</v>
      </c>
      <c r="AP1459">
        <f>IF(CleanEmployeeData[[#This Row],[Attrition]]="Yes",1,IF(CleanEmployeeData[[#This Row],[Attrition]]="No",0,""))</f>
        <v>0</v>
      </c>
      <c r="AQ1459" t="str" cm="1">
        <f t="array" ref="AQ1459">_xlfn.IFS(CleanEmployeeData[[#This Row],[MonthlyIncome]]&lt;=3000,"0–3,000",CleanEmployeeData[[#This Row],[MonthlyIncome]]&lt;=6000,"3,001–6,000",CleanEmployeeData[[#This Row],[MonthlyIncome]]&lt;=10000,"6,001–10,000",TRUE,"10,001+")</f>
        <v>0–3,000</v>
      </c>
      <c r="AR1459" t="str" cm="1">
        <f t="array" ref="AR1459">_xlfn.IFS(CleanEmployeeData[[#This Row],[DistanceFromHome]]&lt;=5,"0–5 miles",CleanEmployeeData[[#This Row],[DistanceFromHome]]&lt;=10,"6–10 miles",CleanEmployeeData[[#This Row],[DistanceFromHome]]&lt;=15,"11–15 miles",TRUE,"16+ miles")</f>
        <v>0–5 miles</v>
      </c>
      <c r="AS1459" t="str" cm="1">
        <f t="array" ref="AS1459">_xlfn.IFS(CleanEmployeeData[[#This Row],[YearsAtCompany]]&lt;=1,"0–1 years",CleanEmployeeData[[#This Row],[YearsAtCompany]]&lt;=5,"2–5 years",CleanEmployeeData[[#This Row],[YearsAtCompany]]&lt;=10,"6–10 years",TRUE,"11+ years")</f>
        <v>2–5 years</v>
      </c>
    </row>
    <row r="1460" spans="1:4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cm="1">
        <f t="array" ref="AJ1460">_xlfn.SWITCH(CleanEmployeeData[[#This Row],[Education]],1,"Below College",2,"College",3,"Bachelor",4,"Master",5,"Doctor","Unknown")</f>
        <v>Master</v>
      </c>
      <c r="AK1460" t="str" cm="1">
        <f t="array" ref="AK1460">_xlfn.SWITCH(CleanEmployeeData[[#This Row],[EnvironmentSatisfaction]],1,"Low",2,"Medium",3,"High",4,"Very High","Unknown")</f>
        <v>High</v>
      </c>
      <c r="AL1460" t="str" cm="1">
        <f t="array" ref="AL1460">_xlfn.SWITCH(CleanEmployeeData[[#This Row],[JobInvolvement]],1,"Low",2,"Medium",3,"High",4,"Very High","Unknown")</f>
        <v>Low</v>
      </c>
      <c r="AM1460" t="str" cm="1">
        <f t="array" ref="AM1460">_xlfn.SWITCH(CleanEmployeeData[[#This Row],[JobSatisfaction]],1,"Low",2,"Medium",3,"High",4,"Very High","Unknown")</f>
        <v>Very High</v>
      </c>
      <c r="AN1460" t="str" cm="1">
        <f t="array" ref="AN1460">_xlfn.SWITCH(CleanEmployeeData[[#This Row],[PerformanceRating]],1,"Low",2,"Good",3,"Excellent",4,"Outstanding","Unknown")</f>
        <v>Excellent</v>
      </c>
      <c r="AO1460" t="str" cm="1">
        <f t="array" ref="AO1460">_xlfn.SWITCH(CleanEmployeeData[[#This Row],[WorkLifeBalance]],1,"Bad",2,"Good",3,"Better",4,"Best","Unknown")</f>
        <v>Better</v>
      </c>
      <c r="AP1460">
        <f>IF(CleanEmployeeData[[#This Row],[Attrition]]="Yes",1,IF(CleanEmployeeData[[#This Row],[Attrition]]="No",0,""))</f>
        <v>0</v>
      </c>
      <c r="AQ1460" t="str" cm="1">
        <f t="array" ref="AQ1460">_xlfn.IFS(CleanEmployeeData[[#This Row],[MonthlyIncome]]&lt;=3000,"0–3,000",CleanEmployeeData[[#This Row],[MonthlyIncome]]&lt;=6000,"3,001–6,000",CleanEmployeeData[[#This Row],[MonthlyIncome]]&lt;=10000,"6,001–10,000",TRUE,"10,001+")</f>
        <v>0–3,000</v>
      </c>
      <c r="AR1460" t="str" cm="1">
        <f t="array" ref="AR1460">_xlfn.IFS(CleanEmployeeData[[#This Row],[DistanceFromHome]]&lt;=5,"0–5 miles",CleanEmployeeData[[#This Row],[DistanceFromHome]]&lt;=10,"6–10 miles",CleanEmployeeData[[#This Row],[DistanceFromHome]]&lt;=15,"11–15 miles",TRUE,"16+ miles")</f>
        <v>0–5 miles</v>
      </c>
      <c r="AS1460" t="str" cm="1">
        <f t="array" ref="AS1460">_xlfn.IFS(CleanEmployeeData[[#This Row],[YearsAtCompany]]&lt;=1,"0–1 years",CleanEmployeeData[[#This Row],[YearsAtCompany]]&lt;=5,"2–5 years",CleanEmployeeData[[#This Row],[YearsAtCompany]]&lt;=10,"6–10 years",TRUE,"11+ years")</f>
        <v>2–5 years</v>
      </c>
    </row>
    <row r="1461" spans="1:4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cm="1">
        <f t="array" ref="AJ1461">_xlfn.SWITCH(CleanEmployeeData[[#This Row],[Education]],1,"Below College",2,"College",3,"Bachelor",4,"Master",5,"Doctor","Unknown")</f>
        <v>College</v>
      </c>
      <c r="AK1461" t="str" cm="1">
        <f t="array" ref="AK1461">_xlfn.SWITCH(CleanEmployeeData[[#This Row],[EnvironmentSatisfaction]],1,"Low",2,"Medium",3,"High",4,"Very High","Unknown")</f>
        <v>Very High</v>
      </c>
      <c r="AL1461" t="str" cm="1">
        <f t="array" ref="AL1461">_xlfn.SWITCH(CleanEmployeeData[[#This Row],[JobInvolvement]],1,"Low",2,"Medium",3,"High",4,"Very High","Unknown")</f>
        <v>Medium</v>
      </c>
      <c r="AM1461" t="str" cm="1">
        <f t="array" ref="AM1461">_xlfn.SWITCH(CleanEmployeeData[[#This Row],[JobSatisfaction]],1,"Low",2,"Medium",3,"High",4,"Very High","Unknown")</f>
        <v>Medium</v>
      </c>
      <c r="AN1461" t="str" cm="1">
        <f t="array" ref="AN1461">_xlfn.SWITCH(CleanEmployeeData[[#This Row],[PerformanceRating]],1,"Low",2,"Good",3,"Excellent",4,"Outstanding","Unknown")</f>
        <v>Excellent</v>
      </c>
      <c r="AO1461" t="str" cm="1">
        <f t="array" ref="AO1461">_xlfn.SWITCH(CleanEmployeeData[[#This Row],[WorkLifeBalance]],1,"Bad",2,"Good",3,"Better",4,"Best","Unknown")</f>
        <v>Better</v>
      </c>
      <c r="AP1461">
        <f>IF(CleanEmployeeData[[#This Row],[Attrition]]="Yes",1,IF(CleanEmployeeData[[#This Row],[Attrition]]="No",0,""))</f>
        <v>0</v>
      </c>
      <c r="AQ1461" t="str" cm="1">
        <f t="array" ref="AQ1461">_xlfn.IFS(CleanEmployeeData[[#This Row],[MonthlyIncome]]&lt;=3000,"0–3,000",CleanEmployeeData[[#This Row],[MonthlyIncome]]&lt;=6000,"3,001–6,000",CleanEmployeeData[[#This Row],[MonthlyIncome]]&lt;=10000,"6,001–10,000",TRUE,"10,001+")</f>
        <v>3,001–6,000</v>
      </c>
      <c r="AR1461" t="str" cm="1">
        <f t="array" ref="AR1461">_xlfn.IFS(CleanEmployeeData[[#This Row],[DistanceFromHome]]&lt;=5,"0–5 miles",CleanEmployeeData[[#This Row],[DistanceFromHome]]&lt;=10,"6–10 miles",CleanEmployeeData[[#This Row],[DistanceFromHome]]&lt;=15,"11–15 miles",TRUE,"16+ miles")</f>
        <v>11–15 miles</v>
      </c>
      <c r="AS1461" t="str" cm="1">
        <f t="array" ref="AS1461">_xlfn.IFS(CleanEmployeeData[[#This Row],[YearsAtCompany]]&lt;=1,"0–1 years",CleanEmployeeData[[#This Row],[YearsAtCompany]]&lt;=5,"2–5 years",CleanEmployeeData[[#This Row],[YearsAtCompany]]&lt;=10,"6–10 years",TRUE,"11+ years")</f>
        <v>2–5 years</v>
      </c>
    </row>
    <row r="1462" spans="1:4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cm="1">
        <f t="array" ref="AJ1462">_xlfn.SWITCH(CleanEmployeeData[[#This Row],[Education]],1,"Below College",2,"College",3,"Bachelor",4,"Master",5,"Doctor","Unknown")</f>
        <v>Master</v>
      </c>
      <c r="AK1462" t="str" cm="1">
        <f t="array" ref="AK1462">_xlfn.SWITCH(CleanEmployeeData[[#This Row],[EnvironmentSatisfaction]],1,"Low",2,"Medium",3,"High",4,"Very High","Unknown")</f>
        <v>Very High</v>
      </c>
      <c r="AL1462" t="str" cm="1">
        <f t="array" ref="AL1462">_xlfn.SWITCH(CleanEmployeeData[[#This Row],[JobInvolvement]],1,"Low",2,"Medium",3,"High",4,"Very High","Unknown")</f>
        <v>Medium</v>
      </c>
      <c r="AM1462" t="str" cm="1">
        <f t="array" ref="AM1462">_xlfn.SWITCH(CleanEmployeeData[[#This Row],[JobSatisfaction]],1,"Low",2,"Medium",3,"High",4,"Very High","Unknown")</f>
        <v>Low</v>
      </c>
      <c r="AN1462" t="str" cm="1">
        <f t="array" ref="AN1462">_xlfn.SWITCH(CleanEmployeeData[[#This Row],[PerformanceRating]],1,"Low",2,"Good",3,"Excellent",4,"Outstanding","Unknown")</f>
        <v>Excellent</v>
      </c>
      <c r="AO1462" t="str" cm="1">
        <f t="array" ref="AO1462">_xlfn.SWITCH(CleanEmployeeData[[#This Row],[WorkLifeBalance]],1,"Bad",2,"Good",3,"Better",4,"Best","Unknown")</f>
        <v>Bad</v>
      </c>
      <c r="AP1462">
        <f>IF(CleanEmployeeData[[#This Row],[Attrition]]="Yes",1,IF(CleanEmployeeData[[#This Row],[Attrition]]="No",0,""))</f>
        <v>0</v>
      </c>
      <c r="AQ1462" t="str" cm="1">
        <f t="array" ref="AQ1462">_xlfn.IFS(CleanEmployeeData[[#This Row],[MonthlyIncome]]&lt;=3000,"0–3,000",CleanEmployeeData[[#This Row],[MonthlyIncome]]&lt;=6000,"3,001–6,000",CleanEmployeeData[[#This Row],[MonthlyIncome]]&lt;=10000,"6,001–10,000",TRUE,"10,001+")</f>
        <v>3,001–6,000</v>
      </c>
      <c r="AR1462" t="str" cm="1">
        <f t="array" ref="AR1462">_xlfn.IFS(CleanEmployeeData[[#This Row],[DistanceFromHome]]&lt;=5,"0–5 miles",CleanEmployeeData[[#This Row],[DistanceFromHome]]&lt;=10,"6–10 miles",CleanEmployeeData[[#This Row],[DistanceFromHome]]&lt;=15,"11–15 miles",TRUE,"16+ miles")</f>
        <v>16+ miles</v>
      </c>
      <c r="AS1462" t="str" cm="1">
        <f t="array" ref="AS1462">_xlfn.IFS(CleanEmployeeData[[#This Row],[YearsAtCompany]]&lt;=1,"0–1 years",CleanEmployeeData[[#This Row],[YearsAtCompany]]&lt;=5,"2–5 years",CleanEmployeeData[[#This Row],[YearsAtCompany]]&lt;=10,"6–10 years",TRUE,"11+ years")</f>
        <v>2–5 years</v>
      </c>
    </row>
    <row r="1463" spans="1:4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cm="1">
        <f t="array" ref="AJ1463">_xlfn.SWITCH(CleanEmployeeData[[#This Row],[Education]],1,"Below College",2,"College",3,"Bachelor",4,"Master",5,"Doctor","Unknown")</f>
        <v>Bachelor</v>
      </c>
      <c r="AK1463" t="str" cm="1">
        <f t="array" ref="AK1463">_xlfn.SWITCH(CleanEmployeeData[[#This Row],[EnvironmentSatisfaction]],1,"Low",2,"Medium",3,"High",4,"Very High","Unknown")</f>
        <v>Very High</v>
      </c>
      <c r="AL1463" t="str" cm="1">
        <f t="array" ref="AL1463">_xlfn.SWITCH(CleanEmployeeData[[#This Row],[JobInvolvement]],1,"Low",2,"Medium",3,"High",4,"Very High","Unknown")</f>
        <v>Medium</v>
      </c>
      <c r="AM1463" t="str" cm="1">
        <f t="array" ref="AM1463">_xlfn.SWITCH(CleanEmployeeData[[#This Row],[JobSatisfaction]],1,"Low",2,"Medium",3,"High",4,"Very High","Unknown")</f>
        <v>Low</v>
      </c>
      <c r="AN1463" t="str" cm="1">
        <f t="array" ref="AN1463">_xlfn.SWITCH(CleanEmployeeData[[#This Row],[PerformanceRating]],1,"Low",2,"Good",3,"Excellent",4,"Outstanding","Unknown")</f>
        <v>Excellent</v>
      </c>
      <c r="AO1463" t="str" cm="1">
        <f t="array" ref="AO1463">_xlfn.SWITCH(CleanEmployeeData[[#This Row],[WorkLifeBalance]],1,"Bad",2,"Good",3,"Better",4,"Best","Unknown")</f>
        <v>Better</v>
      </c>
      <c r="AP1463">
        <f>IF(CleanEmployeeData[[#This Row],[Attrition]]="Yes",1,IF(CleanEmployeeData[[#This Row],[Attrition]]="No",0,""))</f>
        <v>1</v>
      </c>
      <c r="AQ1463" t="str" cm="1">
        <f t="array" ref="AQ1463">_xlfn.IFS(CleanEmployeeData[[#This Row],[MonthlyIncome]]&lt;=3000,"0–3,000",CleanEmployeeData[[#This Row],[MonthlyIncome]]&lt;=6000,"3,001–6,000",CleanEmployeeData[[#This Row],[MonthlyIncome]]&lt;=10000,"6,001–10,000",TRUE,"10,001+")</f>
        <v>10,001+</v>
      </c>
      <c r="AR1463" t="str" cm="1">
        <f t="array" ref="AR1463">_xlfn.IFS(CleanEmployeeData[[#This Row],[DistanceFromHome]]&lt;=5,"0–5 miles",CleanEmployeeData[[#This Row],[DistanceFromHome]]&lt;=10,"6–10 miles",CleanEmployeeData[[#This Row],[DistanceFromHome]]&lt;=15,"11–15 miles",TRUE,"16+ miles")</f>
        <v>16+ miles</v>
      </c>
      <c r="AS1463" t="str" cm="1">
        <f t="array" ref="AS1463">_xlfn.IFS(CleanEmployeeData[[#This Row],[YearsAtCompany]]&lt;=1,"0–1 years",CleanEmployeeData[[#This Row],[YearsAtCompany]]&lt;=5,"2–5 years",CleanEmployeeData[[#This Row],[YearsAtCompany]]&lt;=10,"6–10 years",TRUE,"11+ years")</f>
        <v>2–5 years</v>
      </c>
    </row>
    <row r="1464" spans="1:4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cm="1">
        <f t="array" ref="AJ1464">_xlfn.SWITCH(CleanEmployeeData[[#This Row],[Education]],1,"Below College",2,"College",3,"Bachelor",4,"Master",5,"Doctor","Unknown")</f>
        <v>Below College</v>
      </c>
      <c r="AK1464" t="str" cm="1">
        <f t="array" ref="AK1464">_xlfn.SWITCH(CleanEmployeeData[[#This Row],[EnvironmentSatisfaction]],1,"Low",2,"Medium",3,"High",4,"Very High","Unknown")</f>
        <v>Medium</v>
      </c>
      <c r="AL1464" t="str" cm="1">
        <f t="array" ref="AL1464">_xlfn.SWITCH(CleanEmployeeData[[#This Row],[JobInvolvement]],1,"Low",2,"Medium",3,"High",4,"Very High","Unknown")</f>
        <v>Medium</v>
      </c>
      <c r="AM1464" t="str" cm="1">
        <f t="array" ref="AM1464">_xlfn.SWITCH(CleanEmployeeData[[#This Row],[JobSatisfaction]],1,"Low",2,"Medium",3,"High",4,"Very High","Unknown")</f>
        <v>Very High</v>
      </c>
      <c r="AN1464" t="str" cm="1">
        <f t="array" ref="AN1464">_xlfn.SWITCH(CleanEmployeeData[[#This Row],[PerformanceRating]],1,"Low",2,"Good",3,"Excellent",4,"Outstanding","Unknown")</f>
        <v>Excellent</v>
      </c>
      <c r="AO1464" t="str" cm="1">
        <f t="array" ref="AO1464">_xlfn.SWITCH(CleanEmployeeData[[#This Row],[WorkLifeBalance]],1,"Bad",2,"Good",3,"Better",4,"Best","Unknown")</f>
        <v>Good</v>
      </c>
      <c r="AP1464">
        <f>IF(CleanEmployeeData[[#This Row],[Attrition]]="Yes",1,IF(CleanEmployeeData[[#This Row],[Attrition]]="No",0,""))</f>
        <v>0</v>
      </c>
      <c r="AQ1464" t="str" cm="1">
        <f t="array" ref="AQ1464">_xlfn.IFS(CleanEmployeeData[[#This Row],[MonthlyIncome]]&lt;=3000,"0–3,000",CleanEmployeeData[[#This Row],[MonthlyIncome]]&lt;=6000,"3,001–6,000",CleanEmployeeData[[#This Row],[MonthlyIncome]]&lt;=10000,"6,001–10,000",TRUE,"10,001+")</f>
        <v>10,001+</v>
      </c>
      <c r="AR1464" t="str" cm="1">
        <f t="array" ref="AR1464">_xlfn.IFS(CleanEmployeeData[[#This Row],[DistanceFromHome]]&lt;=5,"0–5 miles",CleanEmployeeData[[#This Row],[DistanceFromHome]]&lt;=10,"6–10 miles",CleanEmployeeData[[#This Row],[DistanceFromHome]]&lt;=15,"11–15 miles",TRUE,"16+ miles")</f>
        <v>16+ miles</v>
      </c>
      <c r="AS1464" t="str" cm="1">
        <f t="array" ref="AS1464">_xlfn.IFS(CleanEmployeeData[[#This Row],[YearsAtCompany]]&lt;=1,"0–1 years",CleanEmployeeData[[#This Row],[YearsAtCompany]]&lt;=5,"2–5 years",CleanEmployeeData[[#This Row],[YearsAtCompany]]&lt;=10,"6–10 years",TRUE,"11+ years")</f>
        <v>11+ years</v>
      </c>
    </row>
    <row r="1465" spans="1:4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cm="1">
        <f t="array" ref="AJ1465">_xlfn.SWITCH(CleanEmployeeData[[#This Row],[Education]],1,"Below College",2,"College",3,"Bachelor",4,"Master",5,"Doctor","Unknown")</f>
        <v>Bachelor</v>
      </c>
      <c r="AK1465" t="str" cm="1">
        <f t="array" ref="AK1465">_xlfn.SWITCH(CleanEmployeeData[[#This Row],[EnvironmentSatisfaction]],1,"Low",2,"Medium",3,"High",4,"Very High","Unknown")</f>
        <v>Medium</v>
      </c>
      <c r="AL1465" t="str" cm="1">
        <f t="array" ref="AL1465">_xlfn.SWITCH(CleanEmployeeData[[#This Row],[JobInvolvement]],1,"Low",2,"Medium",3,"High",4,"Very High","Unknown")</f>
        <v>High</v>
      </c>
      <c r="AM1465" t="str" cm="1">
        <f t="array" ref="AM1465">_xlfn.SWITCH(CleanEmployeeData[[#This Row],[JobSatisfaction]],1,"Low",2,"Medium",3,"High",4,"Very High","Unknown")</f>
        <v>Low</v>
      </c>
      <c r="AN1465" t="str" cm="1">
        <f t="array" ref="AN1465">_xlfn.SWITCH(CleanEmployeeData[[#This Row],[PerformanceRating]],1,"Low",2,"Good",3,"Excellent",4,"Outstanding","Unknown")</f>
        <v>Excellent</v>
      </c>
      <c r="AO1465" t="str" cm="1">
        <f t="array" ref="AO1465">_xlfn.SWITCH(CleanEmployeeData[[#This Row],[WorkLifeBalance]],1,"Bad",2,"Good",3,"Better",4,"Best","Unknown")</f>
        <v>Better</v>
      </c>
      <c r="AP1465">
        <f>IF(CleanEmployeeData[[#This Row],[Attrition]]="Yes",1,IF(CleanEmployeeData[[#This Row],[Attrition]]="No",0,""))</f>
        <v>0</v>
      </c>
      <c r="AQ1465" t="str" cm="1">
        <f t="array" ref="AQ1465">_xlfn.IFS(CleanEmployeeData[[#This Row],[MonthlyIncome]]&lt;=3000,"0–3,000",CleanEmployeeData[[#This Row],[MonthlyIncome]]&lt;=6000,"3,001–6,000",CleanEmployeeData[[#This Row],[MonthlyIncome]]&lt;=10000,"6,001–10,000",TRUE,"10,001+")</f>
        <v>6,001–10,000</v>
      </c>
      <c r="AR1465" t="str" cm="1">
        <f t="array" ref="AR1465">_xlfn.IFS(CleanEmployeeData[[#This Row],[DistanceFromHome]]&lt;=5,"0–5 miles",CleanEmployeeData[[#This Row],[DistanceFromHome]]&lt;=10,"6–10 miles",CleanEmployeeData[[#This Row],[DistanceFromHome]]&lt;=15,"11–15 miles",TRUE,"16+ miles")</f>
        <v>0–5 miles</v>
      </c>
      <c r="AS1465" t="str" cm="1">
        <f t="array" ref="AS1465">_xlfn.IFS(CleanEmployeeData[[#This Row],[YearsAtCompany]]&lt;=1,"0–1 years",CleanEmployeeData[[#This Row],[YearsAtCompany]]&lt;=5,"2–5 years",CleanEmployeeData[[#This Row],[YearsAtCompany]]&lt;=10,"6–10 years",TRUE,"11+ years")</f>
        <v>6–10 years</v>
      </c>
    </row>
    <row r="1466" spans="1:4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cm="1">
        <f t="array" ref="AJ1466">_xlfn.SWITCH(CleanEmployeeData[[#This Row],[Education]],1,"Below College",2,"College",3,"Bachelor",4,"Master",5,"Doctor","Unknown")</f>
        <v>Bachelor</v>
      </c>
      <c r="AK1466" t="str" cm="1">
        <f t="array" ref="AK1466">_xlfn.SWITCH(CleanEmployeeData[[#This Row],[EnvironmentSatisfaction]],1,"Low",2,"Medium",3,"High",4,"Very High","Unknown")</f>
        <v>Very High</v>
      </c>
      <c r="AL1466" t="str" cm="1">
        <f t="array" ref="AL1466">_xlfn.SWITCH(CleanEmployeeData[[#This Row],[JobInvolvement]],1,"Low",2,"Medium",3,"High",4,"Very High","Unknown")</f>
        <v>Medium</v>
      </c>
      <c r="AM1466" t="str" cm="1">
        <f t="array" ref="AM1466">_xlfn.SWITCH(CleanEmployeeData[[#This Row],[JobSatisfaction]],1,"Low",2,"Medium",3,"High",4,"Very High","Unknown")</f>
        <v>High</v>
      </c>
      <c r="AN1466" t="str" cm="1">
        <f t="array" ref="AN1466">_xlfn.SWITCH(CleanEmployeeData[[#This Row],[PerformanceRating]],1,"Low",2,"Good",3,"Excellent",4,"Outstanding","Unknown")</f>
        <v>Excellent</v>
      </c>
      <c r="AO1466" t="str" cm="1">
        <f t="array" ref="AO1466">_xlfn.SWITCH(CleanEmployeeData[[#This Row],[WorkLifeBalance]],1,"Bad",2,"Good",3,"Better",4,"Best","Unknown")</f>
        <v>Better</v>
      </c>
      <c r="AP1466">
        <f>IF(CleanEmployeeData[[#This Row],[Attrition]]="Yes",1,IF(CleanEmployeeData[[#This Row],[Attrition]]="No",0,""))</f>
        <v>0</v>
      </c>
      <c r="AQ1466" t="str" cm="1">
        <f t="array" ref="AQ1466">_xlfn.IFS(CleanEmployeeData[[#This Row],[MonthlyIncome]]&lt;=3000,"0–3,000",CleanEmployeeData[[#This Row],[MonthlyIncome]]&lt;=6000,"3,001–6,000",CleanEmployeeData[[#This Row],[MonthlyIncome]]&lt;=10000,"6,001–10,000",TRUE,"10,001+")</f>
        <v>0–3,000</v>
      </c>
      <c r="AR1466" t="str" cm="1">
        <f t="array" ref="AR1466">_xlfn.IFS(CleanEmployeeData[[#This Row],[DistanceFromHome]]&lt;=5,"0–5 miles",CleanEmployeeData[[#This Row],[DistanceFromHome]]&lt;=10,"6–10 miles",CleanEmployeeData[[#This Row],[DistanceFromHome]]&lt;=15,"11–15 miles",TRUE,"16+ miles")</f>
        <v>0–5 miles</v>
      </c>
      <c r="AS1466" t="str" cm="1">
        <f t="array" ref="AS1466">_xlfn.IFS(CleanEmployeeData[[#This Row],[YearsAtCompany]]&lt;=1,"0–1 years",CleanEmployeeData[[#This Row],[YearsAtCompany]]&lt;=5,"2–5 years",CleanEmployeeData[[#This Row],[YearsAtCompany]]&lt;=10,"6–10 years",TRUE,"11+ years")</f>
        <v>2–5 years</v>
      </c>
    </row>
    <row r="1467" spans="1:4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cm="1">
        <f t="array" ref="AJ1467">_xlfn.SWITCH(CleanEmployeeData[[#This Row],[Education]],1,"Below College",2,"College",3,"Bachelor",4,"Master",5,"Doctor","Unknown")</f>
        <v>College</v>
      </c>
      <c r="AK1467" t="str" cm="1">
        <f t="array" ref="AK1467">_xlfn.SWITCH(CleanEmployeeData[[#This Row],[EnvironmentSatisfaction]],1,"Low",2,"Medium",3,"High",4,"Very High","Unknown")</f>
        <v>High</v>
      </c>
      <c r="AL1467" t="str" cm="1">
        <f t="array" ref="AL1467">_xlfn.SWITCH(CleanEmployeeData[[#This Row],[JobInvolvement]],1,"Low",2,"Medium",3,"High",4,"Very High","Unknown")</f>
        <v>Very High</v>
      </c>
      <c r="AM1467" t="str" cm="1">
        <f t="array" ref="AM1467">_xlfn.SWITCH(CleanEmployeeData[[#This Row],[JobSatisfaction]],1,"Low",2,"Medium",3,"High",4,"Very High","Unknown")</f>
        <v>Very High</v>
      </c>
      <c r="AN1467" t="str" cm="1">
        <f t="array" ref="AN1467">_xlfn.SWITCH(CleanEmployeeData[[#This Row],[PerformanceRating]],1,"Low",2,"Good",3,"Excellent",4,"Outstanding","Unknown")</f>
        <v>Excellent</v>
      </c>
      <c r="AO1467" t="str" cm="1">
        <f t="array" ref="AO1467">_xlfn.SWITCH(CleanEmployeeData[[#This Row],[WorkLifeBalance]],1,"Bad",2,"Good",3,"Better",4,"Best","Unknown")</f>
        <v>Better</v>
      </c>
      <c r="AP1467">
        <f>IF(CleanEmployeeData[[#This Row],[Attrition]]="Yes",1,IF(CleanEmployeeData[[#This Row],[Attrition]]="No",0,""))</f>
        <v>0</v>
      </c>
      <c r="AQ1467" t="str" cm="1">
        <f t="array" ref="AQ1467">_xlfn.IFS(CleanEmployeeData[[#This Row],[MonthlyIncome]]&lt;=3000,"0–3,000",CleanEmployeeData[[#This Row],[MonthlyIncome]]&lt;=6000,"3,001–6,000",CleanEmployeeData[[#This Row],[MonthlyIncome]]&lt;=10000,"6,001–10,000",TRUE,"10,001+")</f>
        <v>0–3,000</v>
      </c>
      <c r="AR1467" t="str" cm="1">
        <f t="array" ref="AR1467">_xlfn.IFS(CleanEmployeeData[[#This Row],[DistanceFromHome]]&lt;=5,"0–5 miles",CleanEmployeeData[[#This Row],[DistanceFromHome]]&lt;=10,"6–10 miles",CleanEmployeeData[[#This Row],[DistanceFromHome]]&lt;=15,"11–15 miles",TRUE,"16+ miles")</f>
        <v>16+ miles</v>
      </c>
      <c r="AS1467" t="str" cm="1">
        <f t="array" ref="AS1467">_xlfn.IFS(CleanEmployeeData[[#This Row],[YearsAtCompany]]&lt;=1,"0–1 years",CleanEmployeeData[[#This Row],[YearsAtCompany]]&lt;=5,"2–5 years",CleanEmployeeData[[#This Row],[YearsAtCompany]]&lt;=10,"6–10 years",TRUE,"11+ years")</f>
        <v>2–5 years</v>
      </c>
    </row>
    <row r="1468" spans="1:4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cm="1">
        <f t="array" ref="AJ1468">_xlfn.SWITCH(CleanEmployeeData[[#This Row],[Education]],1,"Below College",2,"College",3,"Bachelor",4,"Master",5,"Doctor","Unknown")</f>
        <v>Below College</v>
      </c>
      <c r="AK1468" t="str" cm="1">
        <f t="array" ref="AK1468">_xlfn.SWITCH(CleanEmployeeData[[#This Row],[EnvironmentSatisfaction]],1,"Low",2,"Medium",3,"High",4,"Very High","Unknown")</f>
        <v>Very High</v>
      </c>
      <c r="AL1468" t="str" cm="1">
        <f t="array" ref="AL1468">_xlfn.SWITCH(CleanEmployeeData[[#This Row],[JobInvolvement]],1,"Low",2,"Medium",3,"High",4,"Very High","Unknown")</f>
        <v>Medium</v>
      </c>
      <c r="AM1468" t="str" cm="1">
        <f t="array" ref="AM1468">_xlfn.SWITCH(CleanEmployeeData[[#This Row],[JobSatisfaction]],1,"Low",2,"Medium",3,"High",4,"Very High","Unknown")</f>
        <v>Low</v>
      </c>
      <c r="AN1468" t="str" cm="1">
        <f t="array" ref="AN1468">_xlfn.SWITCH(CleanEmployeeData[[#This Row],[PerformanceRating]],1,"Low",2,"Good",3,"Excellent",4,"Outstanding","Unknown")</f>
        <v>Excellent</v>
      </c>
      <c r="AO1468" t="str" cm="1">
        <f t="array" ref="AO1468">_xlfn.SWITCH(CleanEmployeeData[[#This Row],[WorkLifeBalance]],1,"Bad",2,"Good",3,"Better",4,"Best","Unknown")</f>
        <v>Better</v>
      </c>
      <c r="AP1468">
        <f>IF(CleanEmployeeData[[#This Row],[Attrition]]="Yes",1,IF(CleanEmployeeData[[#This Row],[Attrition]]="No",0,""))</f>
        <v>0</v>
      </c>
      <c r="AQ1468" t="str" cm="1">
        <f t="array" ref="AQ1468">_xlfn.IFS(CleanEmployeeData[[#This Row],[MonthlyIncome]]&lt;=3000,"0–3,000",CleanEmployeeData[[#This Row],[MonthlyIncome]]&lt;=6000,"3,001–6,000",CleanEmployeeData[[#This Row],[MonthlyIncome]]&lt;=10000,"6,001–10,000",TRUE,"10,001+")</f>
        <v>6,001–10,000</v>
      </c>
      <c r="AR1468" t="str" cm="1">
        <f t="array" ref="AR1468">_xlfn.IFS(CleanEmployeeData[[#This Row],[DistanceFromHome]]&lt;=5,"0–5 miles",CleanEmployeeData[[#This Row],[DistanceFromHome]]&lt;=10,"6–10 miles",CleanEmployeeData[[#This Row],[DistanceFromHome]]&lt;=15,"11–15 miles",TRUE,"16+ miles")</f>
        <v>6–10 miles</v>
      </c>
      <c r="AS1468" t="str" cm="1">
        <f t="array" ref="AS1468">_xlfn.IFS(CleanEmployeeData[[#This Row],[YearsAtCompany]]&lt;=1,"0–1 years",CleanEmployeeData[[#This Row],[YearsAtCompany]]&lt;=5,"2–5 years",CleanEmployeeData[[#This Row],[YearsAtCompany]]&lt;=10,"6–10 years",TRUE,"11+ years")</f>
        <v>6–10 years</v>
      </c>
    </row>
    <row r="1469" spans="1:4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cm="1">
        <f t="array" ref="AJ1469">_xlfn.SWITCH(CleanEmployeeData[[#This Row],[Education]],1,"Below College",2,"College",3,"Bachelor",4,"Master",5,"Doctor","Unknown")</f>
        <v>Bachelor</v>
      </c>
      <c r="AK1469" t="str" cm="1">
        <f t="array" ref="AK1469">_xlfn.SWITCH(CleanEmployeeData[[#This Row],[EnvironmentSatisfaction]],1,"Low",2,"Medium",3,"High",4,"Very High","Unknown")</f>
        <v>Medium</v>
      </c>
      <c r="AL1469" t="str" cm="1">
        <f t="array" ref="AL1469">_xlfn.SWITCH(CleanEmployeeData[[#This Row],[JobInvolvement]],1,"Low",2,"Medium",3,"High",4,"Very High","Unknown")</f>
        <v>Very High</v>
      </c>
      <c r="AM1469" t="str" cm="1">
        <f t="array" ref="AM1469">_xlfn.SWITCH(CleanEmployeeData[[#This Row],[JobSatisfaction]],1,"Low",2,"Medium",3,"High",4,"Very High","Unknown")</f>
        <v>Medium</v>
      </c>
      <c r="AN1469" t="str" cm="1">
        <f t="array" ref="AN1469">_xlfn.SWITCH(CleanEmployeeData[[#This Row],[PerformanceRating]],1,"Low",2,"Good",3,"Excellent",4,"Outstanding","Unknown")</f>
        <v>Outstanding</v>
      </c>
      <c r="AO1469" t="str" cm="1">
        <f t="array" ref="AO1469">_xlfn.SWITCH(CleanEmployeeData[[#This Row],[WorkLifeBalance]],1,"Bad",2,"Good",3,"Better",4,"Best","Unknown")</f>
        <v>Better</v>
      </c>
      <c r="AP1469">
        <f>IF(CleanEmployeeData[[#This Row],[Attrition]]="Yes",1,IF(CleanEmployeeData[[#This Row],[Attrition]]="No",0,""))</f>
        <v>0</v>
      </c>
      <c r="AQ1469" t="str" cm="1">
        <f t="array" ref="AQ1469">_xlfn.IFS(CleanEmployeeData[[#This Row],[MonthlyIncome]]&lt;=3000,"0–3,000",CleanEmployeeData[[#This Row],[MonthlyIncome]]&lt;=6000,"3,001–6,000",CleanEmployeeData[[#This Row],[MonthlyIncome]]&lt;=10000,"6,001–10,000",TRUE,"10,001+")</f>
        <v>6,001–10,000</v>
      </c>
      <c r="AR1469" t="str" cm="1">
        <f t="array" ref="AR1469">_xlfn.IFS(CleanEmployeeData[[#This Row],[DistanceFromHome]]&lt;=5,"0–5 miles",CleanEmployeeData[[#This Row],[DistanceFromHome]]&lt;=10,"6–10 miles",CleanEmployeeData[[#This Row],[DistanceFromHome]]&lt;=15,"11–15 miles",TRUE,"16+ miles")</f>
        <v>0–5 miles</v>
      </c>
      <c r="AS1469" t="str" cm="1">
        <f t="array" ref="AS1469">_xlfn.IFS(CleanEmployeeData[[#This Row],[YearsAtCompany]]&lt;=1,"0–1 years",CleanEmployeeData[[#This Row],[YearsAtCompany]]&lt;=5,"2–5 years",CleanEmployeeData[[#This Row],[YearsAtCompany]]&lt;=10,"6–10 years",TRUE,"11+ years")</f>
        <v>6–10 years</v>
      </c>
    </row>
    <row r="1470" spans="1:4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cm="1">
        <f t="array" ref="AJ1470">_xlfn.SWITCH(CleanEmployeeData[[#This Row],[Education]],1,"Below College",2,"College",3,"Bachelor",4,"Master",5,"Doctor","Unknown")</f>
        <v>Bachelor</v>
      </c>
      <c r="AK1470" t="str" cm="1">
        <f t="array" ref="AK1470">_xlfn.SWITCH(CleanEmployeeData[[#This Row],[EnvironmentSatisfaction]],1,"Low",2,"Medium",3,"High",4,"Very High","Unknown")</f>
        <v>Very High</v>
      </c>
      <c r="AL1470" t="str" cm="1">
        <f t="array" ref="AL1470">_xlfn.SWITCH(CleanEmployeeData[[#This Row],[JobInvolvement]],1,"Low",2,"Medium",3,"High",4,"Very High","Unknown")</f>
        <v>Medium</v>
      </c>
      <c r="AM1470" t="str" cm="1">
        <f t="array" ref="AM1470">_xlfn.SWITCH(CleanEmployeeData[[#This Row],[JobSatisfaction]],1,"Low",2,"Medium",3,"High",4,"Very High","Unknown")</f>
        <v>Medium</v>
      </c>
      <c r="AN1470" t="str" cm="1">
        <f t="array" ref="AN1470">_xlfn.SWITCH(CleanEmployeeData[[#This Row],[PerformanceRating]],1,"Low",2,"Good",3,"Excellent",4,"Outstanding","Unknown")</f>
        <v>Excellent</v>
      </c>
      <c r="AO1470" t="str" cm="1">
        <f t="array" ref="AO1470">_xlfn.SWITCH(CleanEmployeeData[[#This Row],[WorkLifeBalance]],1,"Bad",2,"Good",3,"Better",4,"Best","Unknown")</f>
        <v>Good</v>
      </c>
      <c r="AP1470">
        <f>IF(CleanEmployeeData[[#This Row],[Attrition]]="Yes",1,IF(CleanEmployeeData[[#This Row],[Attrition]]="No",0,""))</f>
        <v>0</v>
      </c>
      <c r="AQ1470" t="str" cm="1">
        <f t="array" ref="AQ1470">_xlfn.IFS(CleanEmployeeData[[#This Row],[MonthlyIncome]]&lt;=3000,"0–3,000",CleanEmployeeData[[#This Row],[MonthlyIncome]]&lt;=6000,"3,001–6,000",CleanEmployeeData[[#This Row],[MonthlyIncome]]&lt;=10000,"6,001–10,000",TRUE,"10,001+")</f>
        <v>3,001–6,000</v>
      </c>
      <c r="AR1470" t="str" cm="1">
        <f t="array" ref="AR1470">_xlfn.IFS(CleanEmployeeData[[#This Row],[DistanceFromHome]]&lt;=5,"0–5 miles",CleanEmployeeData[[#This Row],[DistanceFromHome]]&lt;=10,"6–10 miles",CleanEmployeeData[[#This Row],[DistanceFromHome]]&lt;=15,"11–15 miles",TRUE,"16+ miles")</f>
        <v>0–5 miles</v>
      </c>
      <c r="AS1470" t="str" cm="1">
        <f t="array" ref="AS1470">_xlfn.IFS(CleanEmployeeData[[#This Row],[YearsAtCompany]]&lt;=1,"0–1 years",CleanEmployeeData[[#This Row],[YearsAtCompany]]&lt;=5,"2–5 years",CleanEmployeeData[[#This Row],[YearsAtCompany]]&lt;=10,"6–10 years",TRUE,"11+ years")</f>
        <v>6–10 years</v>
      </c>
    </row>
    <row r="1471" spans="1:4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cm="1">
        <f t="array" ref="AJ1471">_xlfn.SWITCH(CleanEmployeeData[[#This Row],[Education]],1,"Below College",2,"College",3,"Bachelor",4,"Master",5,"Doctor","Unknown")</f>
        <v>Bachelor</v>
      </c>
      <c r="AK1471" t="str" cm="1">
        <f t="array" ref="AK1471">_xlfn.SWITCH(CleanEmployeeData[[#This Row],[EnvironmentSatisfaction]],1,"Low",2,"Medium",3,"High",4,"Very High","Unknown")</f>
        <v>Medium</v>
      </c>
      <c r="AL1471" t="str" cm="1">
        <f t="array" ref="AL1471">_xlfn.SWITCH(CleanEmployeeData[[#This Row],[JobInvolvement]],1,"Low",2,"Medium",3,"High",4,"Very High","Unknown")</f>
        <v>Very High</v>
      </c>
      <c r="AM1471" t="str" cm="1">
        <f t="array" ref="AM1471">_xlfn.SWITCH(CleanEmployeeData[[#This Row],[JobSatisfaction]],1,"Low",2,"Medium",3,"High",4,"Very High","Unknown")</f>
        <v>High</v>
      </c>
      <c r="AN1471" t="str" cm="1">
        <f t="array" ref="AN1471">_xlfn.SWITCH(CleanEmployeeData[[#This Row],[PerformanceRating]],1,"Low",2,"Good",3,"Excellent",4,"Outstanding","Unknown")</f>
        <v>Excellent</v>
      </c>
      <c r="AO1471" t="str" cm="1">
        <f t="array" ref="AO1471">_xlfn.SWITCH(CleanEmployeeData[[#This Row],[WorkLifeBalance]],1,"Bad",2,"Good",3,"Better",4,"Best","Unknown")</f>
        <v>Best</v>
      </c>
      <c r="AP1471">
        <f>IF(CleanEmployeeData[[#This Row],[Attrition]]="Yes",1,IF(CleanEmployeeData[[#This Row],[Attrition]]="No",0,""))</f>
        <v>0</v>
      </c>
      <c r="AQ1471" t="str" cm="1">
        <f t="array" ref="AQ1471">_xlfn.IFS(CleanEmployeeData[[#This Row],[MonthlyIncome]]&lt;=3000,"0–3,000",CleanEmployeeData[[#This Row],[MonthlyIncome]]&lt;=6000,"3,001–6,000",CleanEmployeeData[[#This Row],[MonthlyIncome]]&lt;=10000,"6,001–10,000",TRUE,"10,001+")</f>
        <v>3,001–6,000</v>
      </c>
      <c r="AR1471" t="str" cm="1">
        <f t="array" ref="AR1471">_xlfn.IFS(CleanEmployeeData[[#This Row],[DistanceFromHome]]&lt;=5,"0–5 miles",CleanEmployeeData[[#This Row],[DistanceFromHome]]&lt;=10,"6–10 miles",CleanEmployeeData[[#This Row],[DistanceFromHome]]&lt;=15,"11–15 miles",TRUE,"16+ miles")</f>
        <v>6–10 miles</v>
      </c>
      <c r="AS1471" t="str" cm="1">
        <f t="array" ref="AS1471">_xlfn.IFS(CleanEmployeeData[[#This Row],[YearsAtCompany]]&lt;=1,"0–1 years",CleanEmployeeData[[#This Row],[YearsAtCompany]]&lt;=5,"2–5 years",CleanEmployeeData[[#This Row],[YearsAtCompany]]&lt;=10,"6–10 years",TRUE,"11+ years")</f>
        <v>2–5 years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DB7A-D129-44FF-899B-3DFDC82FADD1}">
  <dimension ref="A1:E49"/>
  <sheetViews>
    <sheetView topLeftCell="A40" workbookViewId="0">
      <selection sqref="A1:E49"/>
    </sheetView>
  </sheetViews>
  <sheetFormatPr defaultRowHeight="15" x14ac:dyDescent="0.25"/>
  <cols>
    <col min="1" max="1" width="25" style="1" customWidth="1"/>
    <col min="2" max="2" width="27.7109375" style="1" customWidth="1"/>
    <col min="3" max="3" width="35.42578125" style="1" customWidth="1"/>
    <col min="4" max="4" width="39" style="1" customWidth="1"/>
    <col min="5" max="5" width="34.7109375" style="1" customWidth="1"/>
    <col min="6" max="16384" width="9.140625" style="1"/>
  </cols>
  <sheetData>
    <row r="1" spans="1:5" s="55" customFormat="1" ht="24" x14ac:dyDescent="0.25">
      <c r="A1" s="77" t="s">
        <v>430</v>
      </c>
      <c r="B1" s="77"/>
      <c r="C1" s="77"/>
      <c r="D1" s="77"/>
      <c r="E1" s="77"/>
    </row>
    <row r="3" spans="1:5" x14ac:dyDescent="0.25">
      <c r="A3" s="58" t="s">
        <v>306</v>
      </c>
      <c r="B3" s="59" t="s">
        <v>307</v>
      </c>
      <c r="C3" s="59" t="s">
        <v>308</v>
      </c>
      <c r="D3" s="59" t="s">
        <v>309</v>
      </c>
      <c r="E3" s="60" t="s">
        <v>310</v>
      </c>
    </row>
    <row r="4" spans="1:5" ht="30" x14ac:dyDescent="0.25">
      <c r="A4" s="61" t="s">
        <v>0</v>
      </c>
      <c r="B4" s="62" t="s">
        <v>311</v>
      </c>
      <c r="C4" s="62" t="s">
        <v>312</v>
      </c>
      <c r="D4" s="62" t="s">
        <v>313</v>
      </c>
      <c r="E4" s="63" t="s">
        <v>314</v>
      </c>
    </row>
    <row r="5" spans="1:5" ht="30" x14ac:dyDescent="0.25">
      <c r="A5" s="61" t="s">
        <v>1</v>
      </c>
      <c r="B5" s="62" t="s">
        <v>315</v>
      </c>
      <c r="C5" s="62" t="s">
        <v>316</v>
      </c>
      <c r="D5" s="62" t="s">
        <v>317</v>
      </c>
      <c r="E5" s="63" t="s">
        <v>318</v>
      </c>
    </row>
    <row r="6" spans="1:5" ht="30" x14ac:dyDescent="0.25">
      <c r="A6" s="61" t="s">
        <v>2</v>
      </c>
      <c r="B6" s="62" t="s">
        <v>319</v>
      </c>
      <c r="C6" s="62" t="s">
        <v>320</v>
      </c>
      <c r="D6" s="62" t="s">
        <v>321</v>
      </c>
      <c r="E6" s="63" t="s">
        <v>322</v>
      </c>
    </row>
    <row r="7" spans="1:5" ht="30" x14ac:dyDescent="0.25">
      <c r="A7" s="61" t="s">
        <v>3</v>
      </c>
      <c r="B7" s="62" t="s">
        <v>323</v>
      </c>
      <c r="C7" s="62" t="s">
        <v>324</v>
      </c>
      <c r="D7" s="62" t="s">
        <v>313</v>
      </c>
      <c r="E7" s="63" t="s">
        <v>325</v>
      </c>
    </row>
    <row r="8" spans="1:5" ht="30" x14ac:dyDescent="0.25">
      <c r="A8" s="61" t="s">
        <v>4</v>
      </c>
      <c r="B8" s="62" t="s">
        <v>319</v>
      </c>
      <c r="C8" s="62" t="s">
        <v>326</v>
      </c>
      <c r="D8" s="62" t="s">
        <v>327</v>
      </c>
      <c r="E8" s="63" t="s">
        <v>328</v>
      </c>
    </row>
    <row r="9" spans="1:5" ht="30" x14ac:dyDescent="0.25">
      <c r="A9" s="61" t="s">
        <v>5</v>
      </c>
      <c r="B9" s="62" t="s">
        <v>311</v>
      </c>
      <c r="C9" s="62" t="s">
        <v>329</v>
      </c>
      <c r="D9" s="62" t="s">
        <v>313</v>
      </c>
      <c r="E9" s="63" t="s">
        <v>330</v>
      </c>
    </row>
    <row r="10" spans="1:5" ht="30" x14ac:dyDescent="0.25">
      <c r="A10" s="61" t="s">
        <v>6</v>
      </c>
      <c r="B10" s="62" t="s">
        <v>331</v>
      </c>
      <c r="C10" s="62" t="s">
        <v>332</v>
      </c>
      <c r="D10" s="62" t="s">
        <v>333</v>
      </c>
      <c r="E10" s="63" t="s">
        <v>431</v>
      </c>
    </row>
    <row r="11" spans="1:5" ht="45" x14ac:dyDescent="0.25">
      <c r="A11" s="61" t="s">
        <v>7</v>
      </c>
      <c r="B11" s="62" t="s">
        <v>334</v>
      </c>
      <c r="C11" s="62" t="s">
        <v>335</v>
      </c>
      <c r="D11" s="62" t="s">
        <v>336</v>
      </c>
      <c r="E11" s="63" t="s">
        <v>337</v>
      </c>
    </row>
    <row r="12" spans="1:5" ht="30" x14ac:dyDescent="0.25">
      <c r="A12" s="61" t="s">
        <v>8</v>
      </c>
      <c r="B12" s="62" t="s">
        <v>338</v>
      </c>
      <c r="C12" s="62" t="s">
        <v>339</v>
      </c>
      <c r="D12" s="62" t="s">
        <v>340</v>
      </c>
      <c r="E12" s="63" t="s">
        <v>341</v>
      </c>
    </row>
    <row r="13" spans="1:5" ht="30" x14ac:dyDescent="0.25">
      <c r="A13" s="61" t="s">
        <v>9</v>
      </c>
      <c r="B13" s="62" t="s">
        <v>342</v>
      </c>
      <c r="C13" s="62" t="s">
        <v>343</v>
      </c>
      <c r="D13" s="62" t="s">
        <v>344</v>
      </c>
      <c r="E13" s="63" t="s">
        <v>345</v>
      </c>
    </row>
    <row r="14" spans="1:5" ht="30" x14ac:dyDescent="0.25">
      <c r="A14" s="61" t="s">
        <v>10</v>
      </c>
      <c r="B14" s="62" t="s">
        <v>346</v>
      </c>
      <c r="C14" s="62" t="s">
        <v>347</v>
      </c>
      <c r="D14" s="62" t="s">
        <v>348</v>
      </c>
      <c r="E14" s="63" t="s">
        <v>432</v>
      </c>
    </row>
    <row r="15" spans="1:5" x14ac:dyDescent="0.25">
      <c r="A15" s="61" t="s">
        <v>11</v>
      </c>
      <c r="B15" s="62" t="s">
        <v>334</v>
      </c>
      <c r="C15" s="62" t="s">
        <v>349</v>
      </c>
      <c r="D15" s="62" t="s">
        <v>350</v>
      </c>
      <c r="E15" s="63" t="s">
        <v>351</v>
      </c>
    </row>
    <row r="16" spans="1:5" ht="30" x14ac:dyDescent="0.25">
      <c r="A16" s="61" t="s">
        <v>12</v>
      </c>
      <c r="B16" s="62" t="s">
        <v>323</v>
      </c>
      <c r="C16" s="62" t="s">
        <v>352</v>
      </c>
      <c r="D16" s="62" t="s">
        <v>313</v>
      </c>
      <c r="E16" s="63" t="s">
        <v>325</v>
      </c>
    </row>
    <row r="17" spans="1:5" ht="30" x14ac:dyDescent="0.25">
      <c r="A17" s="61" t="s">
        <v>13</v>
      </c>
      <c r="B17" s="62" t="s">
        <v>346</v>
      </c>
      <c r="C17" s="62" t="s">
        <v>353</v>
      </c>
      <c r="D17" s="62" t="s">
        <v>348</v>
      </c>
      <c r="E17" s="63" t="s">
        <v>433</v>
      </c>
    </row>
    <row r="18" spans="1:5" ht="30" x14ac:dyDescent="0.25">
      <c r="A18" s="61" t="s">
        <v>14</v>
      </c>
      <c r="B18" s="62" t="s">
        <v>354</v>
      </c>
      <c r="C18" s="62" t="s">
        <v>355</v>
      </c>
      <c r="D18" s="62" t="s">
        <v>333</v>
      </c>
      <c r="E18" s="63" t="s">
        <v>356</v>
      </c>
    </row>
    <row r="19" spans="1:5" x14ac:dyDescent="0.25">
      <c r="A19" s="61" t="s">
        <v>15</v>
      </c>
      <c r="B19" s="62" t="s">
        <v>319</v>
      </c>
      <c r="C19" s="62" t="s">
        <v>357</v>
      </c>
      <c r="D19" s="62" t="s">
        <v>358</v>
      </c>
      <c r="E19" s="63" t="s">
        <v>359</v>
      </c>
    </row>
    <row r="20" spans="1:5" ht="30" x14ac:dyDescent="0.25">
      <c r="A20" s="61" t="s">
        <v>16</v>
      </c>
      <c r="B20" s="62" t="s">
        <v>346</v>
      </c>
      <c r="C20" s="62" t="s">
        <v>360</v>
      </c>
      <c r="D20" s="62" t="s">
        <v>348</v>
      </c>
      <c r="E20" s="63" t="s">
        <v>434</v>
      </c>
    </row>
    <row r="21" spans="1:5" x14ac:dyDescent="0.25">
      <c r="A21" s="61" t="s">
        <v>17</v>
      </c>
      <c r="B21" s="62" t="s">
        <v>334</v>
      </c>
      <c r="C21" s="62" t="s">
        <v>361</v>
      </c>
      <c r="D21" s="62" t="s">
        <v>362</v>
      </c>
      <c r="E21" s="63" t="s">
        <v>351</v>
      </c>
    </row>
    <row r="22" spans="1:5" ht="30" x14ac:dyDescent="0.25">
      <c r="A22" s="61" t="s">
        <v>18</v>
      </c>
      <c r="B22" s="62" t="s">
        <v>323</v>
      </c>
      <c r="C22" s="62" t="s">
        <v>363</v>
      </c>
      <c r="D22" s="62" t="s">
        <v>313</v>
      </c>
      <c r="E22" s="63" t="s">
        <v>435</v>
      </c>
    </row>
    <row r="23" spans="1:5" ht="30" x14ac:dyDescent="0.25">
      <c r="A23" s="61" t="s">
        <v>19</v>
      </c>
      <c r="B23" s="62" t="s">
        <v>323</v>
      </c>
      <c r="C23" s="62" t="s">
        <v>364</v>
      </c>
      <c r="D23" s="62" t="s">
        <v>313</v>
      </c>
      <c r="E23" s="63" t="s">
        <v>325</v>
      </c>
    </row>
    <row r="24" spans="1:5" ht="30" x14ac:dyDescent="0.25">
      <c r="A24" s="61" t="s">
        <v>20</v>
      </c>
      <c r="B24" s="62" t="s">
        <v>365</v>
      </c>
      <c r="C24" s="62" t="s">
        <v>366</v>
      </c>
      <c r="D24" s="62" t="s">
        <v>313</v>
      </c>
      <c r="E24" s="63" t="s">
        <v>367</v>
      </c>
    </row>
    <row r="25" spans="1:5" ht="30" x14ac:dyDescent="0.25">
      <c r="A25" s="61" t="s">
        <v>21</v>
      </c>
      <c r="B25" s="62" t="s">
        <v>334</v>
      </c>
      <c r="C25" s="62" t="s">
        <v>368</v>
      </c>
      <c r="D25" s="62" t="s">
        <v>369</v>
      </c>
      <c r="E25" s="63" t="s">
        <v>370</v>
      </c>
    </row>
    <row r="26" spans="1:5" ht="45" x14ac:dyDescent="0.25">
      <c r="A26" s="61" t="s">
        <v>22</v>
      </c>
      <c r="B26" s="62" t="s">
        <v>319</v>
      </c>
      <c r="C26" s="62" t="s">
        <v>371</v>
      </c>
      <c r="D26" s="62" t="s">
        <v>317</v>
      </c>
      <c r="E26" s="63" t="s">
        <v>372</v>
      </c>
    </row>
    <row r="27" spans="1:5" ht="30" x14ac:dyDescent="0.25">
      <c r="A27" s="61" t="s">
        <v>23</v>
      </c>
      <c r="B27" s="62" t="s">
        <v>323</v>
      </c>
      <c r="C27" s="62" t="s">
        <v>373</v>
      </c>
      <c r="D27" s="62" t="s">
        <v>374</v>
      </c>
      <c r="E27" s="63" t="s">
        <v>325</v>
      </c>
    </row>
    <row r="28" spans="1:5" ht="30" x14ac:dyDescent="0.25">
      <c r="A28" s="61" t="s">
        <v>24</v>
      </c>
      <c r="B28" s="62" t="s">
        <v>375</v>
      </c>
      <c r="C28" s="62" t="s">
        <v>376</v>
      </c>
      <c r="D28" s="62" t="s">
        <v>348</v>
      </c>
      <c r="E28" s="63" t="s">
        <v>436</v>
      </c>
    </row>
    <row r="29" spans="1:5" ht="30" x14ac:dyDescent="0.25">
      <c r="A29" s="61" t="s">
        <v>25</v>
      </c>
      <c r="B29" s="62" t="s">
        <v>346</v>
      </c>
      <c r="C29" s="62" t="s">
        <v>377</v>
      </c>
      <c r="D29" s="62" t="s">
        <v>348</v>
      </c>
      <c r="E29" s="63" t="s">
        <v>437</v>
      </c>
    </row>
    <row r="30" spans="1:5" ht="30" x14ac:dyDescent="0.25">
      <c r="A30" s="61" t="s">
        <v>26</v>
      </c>
      <c r="B30" s="62" t="s">
        <v>338</v>
      </c>
      <c r="C30" s="62" t="s">
        <v>378</v>
      </c>
      <c r="D30" s="62" t="s">
        <v>379</v>
      </c>
      <c r="E30" s="63" t="s">
        <v>341</v>
      </c>
    </row>
    <row r="31" spans="1:5" ht="30" x14ac:dyDescent="0.25">
      <c r="A31" s="61" t="s">
        <v>27</v>
      </c>
      <c r="B31" s="62" t="s">
        <v>380</v>
      </c>
      <c r="C31" s="62" t="s">
        <v>381</v>
      </c>
      <c r="D31" s="62" t="s">
        <v>382</v>
      </c>
      <c r="E31" s="63" t="s">
        <v>325</v>
      </c>
    </row>
    <row r="32" spans="1:5" ht="30" x14ac:dyDescent="0.25">
      <c r="A32" s="61" t="s">
        <v>28</v>
      </c>
      <c r="B32" s="62" t="s">
        <v>365</v>
      </c>
      <c r="C32" s="62" t="s">
        <v>383</v>
      </c>
      <c r="D32" s="62" t="s">
        <v>313</v>
      </c>
      <c r="E32" s="63" t="s">
        <v>384</v>
      </c>
    </row>
    <row r="33" spans="1:5" ht="30" x14ac:dyDescent="0.25">
      <c r="A33" s="61" t="s">
        <v>29</v>
      </c>
      <c r="B33" s="62" t="s">
        <v>385</v>
      </c>
      <c r="C33" s="62" t="s">
        <v>386</v>
      </c>
      <c r="D33" s="62" t="s">
        <v>313</v>
      </c>
      <c r="E33" s="63" t="s">
        <v>387</v>
      </c>
    </row>
    <row r="34" spans="1:5" ht="30" x14ac:dyDescent="0.25">
      <c r="A34" s="61" t="s">
        <v>30</v>
      </c>
      <c r="B34" s="62" t="s">
        <v>346</v>
      </c>
      <c r="C34" s="62" t="s">
        <v>388</v>
      </c>
      <c r="D34" s="62" t="s">
        <v>348</v>
      </c>
      <c r="E34" s="63" t="s">
        <v>438</v>
      </c>
    </row>
    <row r="35" spans="1:5" ht="30" x14ac:dyDescent="0.25">
      <c r="A35" s="61" t="s">
        <v>31</v>
      </c>
      <c r="B35" s="62" t="s">
        <v>365</v>
      </c>
      <c r="C35" s="62" t="s">
        <v>389</v>
      </c>
      <c r="D35" s="62" t="s">
        <v>313</v>
      </c>
      <c r="E35" s="63" t="s">
        <v>390</v>
      </c>
    </row>
    <row r="36" spans="1:5" ht="30" x14ac:dyDescent="0.25">
      <c r="A36" s="61" t="s">
        <v>32</v>
      </c>
      <c r="B36" s="62" t="s">
        <v>365</v>
      </c>
      <c r="C36" s="62" t="s">
        <v>391</v>
      </c>
      <c r="D36" s="62" t="s">
        <v>313</v>
      </c>
      <c r="E36" s="63" t="s">
        <v>392</v>
      </c>
    </row>
    <row r="37" spans="1:5" ht="30" x14ac:dyDescent="0.25">
      <c r="A37" s="61" t="s">
        <v>33</v>
      </c>
      <c r="B37" s="62" t="s">
        <v>365</v>
      </c>
      <c r="C37" s="62" t="s">
        <v>393</v>
      </c>
      <c r="D37" s="62" t="s">
        <v>313</v>
      </c>
      <c r="E37" s="63" t="s">
        <v>394</v>
      </c>
    </row>
    <row r="38" spans="1:5" ht="30" x14ac:dyDescent="0.25">
      <c r="A38" s="61" t="s">
        <v>34</v>
      </c>
      <c r="B38" s="62" t="s">
        <v>365</v>
      </c>
      <c r="C38" s="62" t="s">
        <v>395</v>
      </c>
      <c r="D38" s="62" t="s">
        <v>313</v>
      </c>
      <c r="E38" s="63" t="s">
        <v>396</v>
      </c>
    </row>
    <row r="39" spans="1:5" ht="30" x14ac:dyDescent="0.25">
      <c r="A39" s="61" t="s">
        <v>62</v>
      </c>
      <c r="B39" s="62" t="s">
        <v>397</v>
      </c>
      <c r="C39" s="62" t="s">
        <v>398</v>
      </c>
      <c r="D39" s="62" t="s">
        <v>399</v>
      </c>
      <c r="E39" s="63" t="s">
        <v>400</v>
      </c>
    </row>
    <row r="40" spans="1:5" ht="30" x14ac:dyDescent="0.25">
      <c r="A40" s="61" t="s">
        <v>63</v>
      </c>
      <c r="B40" s="62" t="s">
        <v>397</v>
      </c>
      <c r="C40" s="62" t="s">
        <v>401</v>
      </c>
      <c r="D40" s="62" t="s">
        <v>402</v>
      </c>
      <c r="E40" s="63" t="s">
        <v>403</v>
      </c>
    </row>
    <row r="41" spans="1:5" ht="30" x14ac:dyDescent="0.25">
      <c r="A41" s="61" t="s">
        <v>64</v>
      </c>
      <c r="B41" s="62" t="s">
        <v>397</v>
      </c>
      <c r="C41" s="62" t="s">
        <v>404</v>
      </c>
      <c r="D41" s="62" t="s">
        <v>402</v>
      </c>
      <c r="E41" s="63" t="s">
        <v>405</v>
      </c>
    </row>
    <row r="42" spans="1:5" x14ac:dyDescent="0.25">
      <c r="A42" s="61" t="s">
        <v>65</v>
      </c>
      <c r="B42" s="62" t="s">
        <v>397</v>
      </c>
      <c r="C42" s="62" t="s">
        <v>406</v>
      </c>
      <c r="D42" s="62" t="s">
        <v>402</v>
      </c>
      <c r="E42" s="63" t="s">
        <v>407</v>
      </c>
    </row>
    <row r="43" spans="1:5" ht="30" x14ac:dyDescent="0.25">
      <c r="A43" s="61" t="s">
        <v>71</v>
      </c>
      <c r="B43" s="62" t="s">
        <v>397</v>
      </c>
      <c r="C43" s="62" t="s">
        <v>408</v>
      </c>
      <c r="D43" s="62" t="s">
        <v>409</v>
      </c>
      <c r="E43" s="63" t="s">
        <v>410</v>
      </c>
    </row>
    <row r="44" spans="1:5" ht="30" x14ac:dyDescent="0.25">
      <c r="A44" s="61" t="s">
        <v>411</v>
      </c>
      <c r="B44" s="62" t="s">
        <v>397</v>
      </c>
      <c r="C44" s="62" t="s">
        <v>412</v>
      </c>
      <c r="D44" s="62" t="s">
        <v>402</v>
      </c>
      <c r="E44" s="63" t="s">
        <v>403</v>
      </c>
    </row>
    <row r="45" spans="1:5" ht="30" x14ac:dyDescent="0.25">
      <c r="A45" s="61" t="s">
        <v>66</v>
      </c>
      <c r="B45" s="62" t="s">
        <v>397</v>
      </c>
      <c r="C45" s="62" t="s">
        <v>413</v>
      </c>
      <c r="D45" s="62" t="s">
        <v>414</v>
      </c>
      <c r="E45" s="63" t="s">
        <v>415</v>
      </c>
    </row>
    <row r="46" spans="1:5" ht="30" x14ac:dyDescent="0.25">
      <c r="A46" s="61" t="s">
        <v>67</v>
      </c>
      <c r="B46" s="62" t="s">
        <v>416</v>
      </c>
      <c r="C46" s="62" t="s">
        <v>417</v>
      </c>
      <c r="D46" s="62" t="s">
        <v>418</v>
      </c>
      <c r="E46" s="63" t="s">
        <v>419</v>
      </c>
    </row>
    <row r="47" spans="1:5" ht="30" x14ac:dyDescent="0.25">
      <c r="A47" s="61" t="s">
        <v>68</v>
      </c>
      <c r="B47" s="62" t="s">
        <v>397</v>
      </c>
      <c r="C47" s="62" t="s">
        <v>420</v>
      </c>
      <c r="D47" s="62" t="s">
        <v>421</v>
      </c>
      <c r="E47" s="63" t="s">
        <v>422</v>
      </c>
    </row>
    <row r="48" spans="1:5" ht="30" x14ac:dyDescent="0.25">
      <c r="A48" s="61" t="s">
        <v>69</v>
      </c>
      <c r="B48" s="62" t="s">
        <v>397</v>
      </c>
      <c r="C48" s="62" t="s">
        <v>423</v>
      </c>
      <c r="D48" s="62" t="s">
        <v>424</v>
      </c>
      <c r="E48" s="63" t="s">
        <v>425</v>
      </c>
    </row>
    <row r="49" spans="1:5" ht="30" x14ac:dyDescent="0.25">
      <c r="A49" s="64" t="s">
        <v>426</v>
      </c>
      <c r="B49" s="65" t="s">
        <v>397</v>
      </c>
      <c r="C49" s="65" t="s">
        <v>427</v>
      </c>
      <c r="D49" s="65" t="s">
        <v>428</v>
      </c>
      <c r="E49" s="66" t="s">
        <v>429</v>
      </c>
    </row>
  </sheetData>
  <mergeCells count="1">
    <mergeCell ref="A1:E1"/>
  </mergeCells>
  <pageMargins left="0.7" right="0.7" top="0.75" bottom="0.75" header="0.3" footer="0.3"/>
  <pageSetup orientation="portrait" horizontalDpi="4294967292"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5FEF-B8AE-48FF-A77C-4FADA5E201A8}">
  <dimension ref="A1:D9"/>
  <sheetViews>
    <sheetView workbookViewId="0">
      <selection activeCell="E5" sqref="E5"/>
    </sheetView>
  </sheetViews>
  <sheetFormatPr defaultRowHeight="15" x14ac:dyDescent="0.25"/>
  <cols>
    <col min="1" max="1" width="31.140625" customWidth="1"/>
    <col min="2" max="2" width="14.85546875" customWidth="1"/>
    <col min="3" max="3" width="17.140625" customWidth="1"/>
    <col min="4" max="4" width="15" customWidth="1"/>
  </cols>
  <sheetData>
    <row r="1" spans="1:4" ht="24" x14ac:dyDescent="0.4">
      <c r="A1" s="87" t="s">
        <v>72</v>
      </c>
      <c r="B1" s="87"/>
      <c r="C1" s="87"/>
      <c r="D1" s="87"/>
    </row>
    <row r="2" spans="1:4" x14ac:dyDescent="0.25">
      <c r="A2" s="1"/>
      <c r="B2" s="1"/>
      <c r="C2" s="1"/>
      <c r="D2" s="1"/>
    </row>
    <row r="3" spans="1:4" x14ac:dyDescent="0.25">
      <c r="A3" s="69" t="s">
        <v>73</v>
      </c>
      <c r="B3" s="70" t="s">
        <v>74</v>
      </c>
      <c r="C3" s="70" t="s">
        <v>75</v>
      </c>
      <c r="D3" s="71" t="s">
        <v>76</v>
      </c>
    </row>
    <row r="4" spans="1:4" x14ac:dyDescent="0.25">
      <c r="A4" s="72" t="s">
        <v>77</v>
      </c>
      <c r="B4" s="8">
        <f>COUNTA(CleanEmployeeData[EmployeeNumber])</f>
        <v>1470</v>
      </c>
      <c r="C4" s="8">
        <v>1470</v>
      </c>
      <c r="D4" s="73" t="str">
        <f>IF(B4=C4,"PASS","REVIEW")</f>
        <v>PASS</v>
      </c>
    </row>
    <row r="5" spans="1:4" x14ac:dyDescent="0.25">
      <c r="A5" s="72" t="s">
        <v>78</v>
      </c>
      <c r="B5" s="8">
        <f>COUNTA(_xlfn.UNIQUE(CleanEmployeeData[EmployeeNumber]))</f>
        <v>1470</v>
      </c>
      <c r="C5" s="8">
        <v>1470</v>
      </c>
      <c r="D5" s="73" t="str">
        <f>IF(B5=C5, "PASS", "REVIEW")</f>
        <v>PASS</v>
      </c>
    </row>
    <row r="6" spans="1:4" x14ac:dyDescent="0.25">
      <c r="A6" s="72" t="s">
        <v>79</v>
      </c>
      <c r="B6" s="8" cm="1">
        <f t="array" ref="B6">SUMPRODUCT(--(Raw_Data!A2:AI1471=""))</f>
        <v>0</v>
      </c>
      <c r="C6" s="8">
        <v>0</v>
      </c>
      <c r="D6" s="73" t="str">
        <f>IF(B6=C6, "PASS", "REVIEW")</f>
        <v>PASS</v>
      </c>
    </row>
    <row r="7" spans="1:4" x14ac:dyDescent="0.25">
      <c r="A7" s="72" t="s">
        <v>80</v>
      </c>
      <c r="B7" s="8">
        <f>COUNTA(CleanEmployeeData[EmployeeNumber]) - COUNTA(_xlfn.UNIQUE(CleanEmployeeData[EmployeeNumber]))</f>
        <v>0</v>
      </c>
      <c r="C7" s="8">
        <v>0</v>
      </c>
      <c r="D7" s="73" t="str">
        <f>IF(B7=C7, "PASS", "REVIEW")</f>
        <v>PASS</v>
      </c>
    </row>
    <row r="8" spans="1:4" x14ac:dyDescent="0.25">
      <c r="A8" s="72" t="s">
        <v>81</v>
      </c>
      <c r="B8" s="8">
        <f>COUNTA(_xlfn.UNIQUE(CleanEmployeeData[EmployeeCount]))</f>
        <v>1</v>
      </c>
      <c r="C8" s="8">
        <v>1</v>
      </c>
      <c r="D8" s="73" t="str">
        <f>IF(B8=C8, "PASS", "REVIEW")</f>
        <v>PASS</v>
      </c>
    </row>
    <row r="9" spans="1:4" x14ac:dyDescent="0.25">
      <c r="A9" s="74" t="s">
        <v>82</v>
      </c>
      <c r="B9" s="75">
        <f>COUNTA((_xlfn.UNIQUE(CleanEmployeeData[StandardHours])))</f>
        <v>1</v>
      </c>
      <c r="C9" s="75">
        <v>1</v>
      </c>
      <c r="D9" s="76" t="str">
        <f>IF(B9=C9, "PASS", "REVIEW")</f>
        <v>PASS</v>
      </c>
    </row>
  </sheetData>
  <mergeCells count="1">
    <mergeCell ref="A1:D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4BB5D-D996-430F-B210-A07842A23FEB}">
  <dimension ref="A1:J81"/>
  <sheetViews>
    <sheetView topLeftCell="A7" zoomScale="90" zoomScaleNormal="90" workbookViewId="0">
      <selection activeCell="I17" activeCellId="1" sqref="F17:F26 I17:I26"/>
    </sheetView>
  </sheetViews>
  <sheetFormatPr defaultRowHeight="15" x14ac:dyDescent="0.25"/>
  <cols>
    <col min="1" max="1" width="34.140625" style="1" customWidth="1"/>
    <col min="2" max="2" width="26" style="1" customWidth="1"/>
    <col min="3" max="3" width="25.42578125" style="1" customWidth="1"/>
    <col min="4" max="4" width="20.5703125" style="1" customWidth="1"/>
    <col min="5" max="5" width="12.5703125" style="1" customWidth="1"/>
    <col min="6" max="6" width="28.140625" style="1" customWidth="1"/>
    <col min="7" max="7" width="30.5703125" style="1" customWidth="1"/>
    <col min="8" max="8" width="27" style="1" customWidth="1"/>
    <col min="9" max="9" width="16.85546875" style="1" customWidth="1"/>
    <col min="10" max="16384" width="9.140625" style="1"/>
  </cols>
  <sheetData>
    <row r="1" spans="1:10" s="7" customFormat="1" ht="20.25" x14ac:dyDescent="0.3">
      <c r="A1" s="89" t="s">
        <v>83</v>
      </c>
      <c r="B1" s="89"/>
      <c r="C1" s="89"/>
      <c r="D1" s="89"/>
      <c r="E1" s="89"/>
      <c r="F1" s="89"/>
      <c r="G1" s="89"/>
      <c r="H1" s="89"/>
      <c r="I1" s="89"/>
      <c r="J1" s="89"/>
    </row>
    <row r="3" spans="1:10" ht="15.75" x14ac:dyDescent="0.25">
      <c r="A3" s="24" t="s">
        <v>84</v>
      </c>
      <c r="B3" s="25" t="s">
        <v>85</v>
      </c>
    </row>
    <row r="4" spans="1:10" ht="15.75" x14ac:dyDescent="0.25">
      <c r="A4" s="21" t="s">
        <v>86</v>
      </c>
      <c r="B4" s="20">
        <f>COUNTA(CleanEmployeeData[EmployeeNumber])</f>
        <v>1470</v>
      </c>
    </row>
    <row r="5" spans="1:10" ht="15.75" x14ac:dyDescent="0.25">
      <c r="A5" s="21" t="s">
        <v>88</v>
      </c>
      <c r="B5" s="20">
        <f>COUNTIF(CleanEmployeeData[Attrition],"Yes")</f>
        <v>237</v>
      </c>
    </row>
    <row r="6" spans="1:10" ht="15.75" x14ac:dyDescent="0.25">
      <c r="A6" s="21" t="s">
        <v>87</v>
      </c>
      <c r="B6" s="20">
        <f>COUNTIF(CleanEmployeeData[Attrition],"No")</f>
        <v>1233</v>
      </c>
    </row>
    <row r="7" spans="1:10" ht="15.75" x14ac:dyDescent="0.25">
      <c r="A7" s="21" t="s">
        <v>89</v>
      </c>
      <c r="B7" s="26">
        <f>IFERROR(B5/B4,0)</f>
        <v>0.16122448979591836</v>
      </c>
    </row>
    <row r="8" spans="1:10" ht="15.75" x14ac:dyDescent="0.25">
      <c r="A8" s="21" t="s">
        <v>90</v>
      </c>
      <c r="B8" s="27">
        <f>AVERAGE(CleanEmployeeData[MonthlyIncome])</f>
        <v>6502.931292517007</v>
      </c>
    </row>
    <row r="9" spans="1:10" ht="15.75" x14ac:dyDescent="0.25">
      <c r="A9" s="21" t="s">
        <v>91</v>
      </c>
      <c r="B9" s="26">
        <f>AVERAGE(CleanEmployeeData[Age])</f>
        <v>36.923809523809524</v>
      </c>
    </row>
    <row r="10" spans="1:10" ht="15.75" x14ac:dyDescent="0.25">
      <c r="A10" s="21" t="s">
        <v>92</v>
      </c>
      <c r="B10" s="26">
        <f>AVERAGE(CleanEmployeeData[YearsAtCompany])</f>
        <v>7.0081632653061225</v>
      </c>
    </row>
    <row r="11" spans="1:10" ht="15.75" x14ac:dyDescent="0.25">
      <c r="A11" s="21" t="s">
        <v>93</v>
      </c>
      <c r="B11" s="20">
        <f>COUNTIF(CleanEmployeeData[OverTime],"Yes")</f>
        <v>416</v>
      </c>
    </row>
    <row r="12" spans="1:10" ht="15.75" x14ac:dyDescent="0.25">
      <c r="A12" s="21" t="s">
        <v>94</v>
      </c>
      <c r="B12" s="28">
        <f>IFERROR(COUNTIFS(CleanEmployeeData[OverTime],"Yes",CleanEmployeeData[Attrition],"Yes")/COUNTIF(CleanEmployeeData[OverTime],"Yes"),0)</f>
        <v>0.30528846153846156</v>
      </c>
    </row>
    <row r="13" spans="1:10" ht="15.75" x14ac:dyDescent="0.25">
      <c r="A13" s="29" t="s">
        <v>95</v>
      </c>
      <c r="B13" s="30">
        <f>IFERROR(COUNTIFS(CleanEmployeeData[OverTime],"No",CleanEmployeeData[Attrition],"Yes")/COUNTIF(CleanEmployeeData[OverTime],"No"),0)</f>
        <v>0.10436432637571158</v>
      </c>
    </row>
    <row r="16" spans="1:10" ht="18.75" x14ac:dyDescent="0.3">
      <c r="A16" s="88" t="s">
        <v>96</v>
      </c>
      <c r="B16" s="88"/>
      <c r="C16" s="88"/>
      <c r="D16" s="88"/>
      <c r="F16" s="88" t="s">
        <v>100</v>
      </c>
      <c r="G16" s="88"/>
      <c r="H16" s="88"/>
      <c r="I16" s="88"/>
    </row>
    <row r="17" spans="1:9" ht="15.75" x14ac:dyDescent="0.25">
      <c r="A17" s="35" t="s">
        <v>4</v>
      </c>
      <c r="B17" s="35" t="s">
        <v>97</v>
      </c>
      <c r="C17" s="35" t="s">
        <v>98</v>
      </c>
      <c r="D17" s="35" t="s">
        <v>99</v>
      </c>
      <c r="E17" s="2"/>
      <c r="F17" s="35" t="s">
        <v>101</v>
      </c>
      <c r="G17" s="35" t="s">
        <v>97</v>
      </c>
      <c r="H17" s="35" t="s">
        <v>98</v>
      </c>
      <c r="I17" s="35" t="s">
        <v>99</v>
      </c>
    </row>
    <row r="18" spans="1:9" ht="15.75" x14ac:dyDescent="0.25">
      <c r="A18" s="11" t="s">
        <v>61</v>
      </c>
      <c r="B18" s="11">
        <f>COUNTIF(CleanEmployeeData[Department],A18)</f>
        <v>63</v>
      </c>
      <c r="C18" s="11">
        <f>COUNTIFS(CleanEmployeeData[Department],A18,CleanEmployeeData[Attrition],"Yes")</f>
        <v>12</v>
      </c>
      <c r="D18" s="36">
        <f>IFERROR(C18/B18,0)</f>
        <v>0.19047619047619047</v>
      </c>
      <c r="F18" s="11" t="s">
        <v>54</v>
      </c>
      <c r="G18" s="11">
        <f>COUNTIF(CleanEmployeeData[JobRole],F18)</f>
        <v>131</v>
      </c>
      <c r="H18" s="11">
        <f>COUNTIFS(CleanEmployeeData[JobRole],F18,CleanEmployeeData[Attrition],"Yes")</f>
        <v>9</v>
      </c>
      <c r="I18" s="36">
        <f>IFERROR(H18/G18,0)</f>
        <v>6.8702290076335881E-2</v>
      </c>
    </row>
    <row r="19" spans="1:9" ht="15.75" x14ac:dyDescent="0.25">
      <c r="A19" s="11" t="s">
        <v>45</v>
      </c>
      <c r="B19" s="11">
        <f>COUNTIF(CleanEmployeeData[Department],A19)</f>
        <v>961</v>
      </c>
      <c r="C19" s="11">
        <f>COUNTIFS(CleanEmployeeData[Department],A19,CleanEmployeeData[Attrition],"Yes")</f>
        <v>133</v>
      </c>
      <c r="D19" s="36">
        <f t="shared" ref="D19:D20" si="0">IFERROR(C19/B19,0)</f>
        <v>0.13839750260145681</v>
      </c>
      <c r="F19" s="11" t="s">
        <v>61</v>
      </c>
      <c r="G19" s="11">
        <f>COUNTIF(CleanEmployeeData[JobRole],F19)</f>
        <v>52</v>
      </c>
      <c r="H19" s="11">
        <f>COUNTIFS(CleanEmployeeData[JobRole],F19,CleanEmployeeData[Attrition],"Yes")</f>
        <v>12</v>
      </c>
      <c r="I19" s="36">
        <f t="shared" ref="I19:I26" si="1">IFERROR(H19/G19,0)</f>
        <v>0.23076923076923078</v>
      </c>
    </row>
    <row r="20" spans="1:9" ht="15.75" x14ac:dyDescent="0.25">
      <c r="A20" s="11" t="s">
        <v>37</v>
      </c>
      <c r="B20" s="11">
        <f>COUNTIF(CleanEmployeeData[Department],A20)</f>
        <v>446</v>
      </c>
      <c r="C20" s="11">
        <f>COUNTIFS(CleanEmployeeData[Department],A20,CleanEmployeeData[Attrition],"Yes")</f>
        <v>92</v>
      </c>
      <c r="D20" s="36">
        <f t="shared" si="0"/>
        <v>0.20627802690582961</v>
      </c>
      <c r="F20" s="11" t="s">
        <v>50</v>
      </c>
      <c r="G20" s="11">
        <f>COUNTIF(CleanEmployeeData[JobRole],F20)</f>
        <v>259</v>
      </c>
      <c r="H20" s="11">
        <f>COUNTIFS(CleanEmployeeData[JobRole],F20,CleanEmployeeData[Attrition],"Yes")</f>
        <v>62</v>
      </c>
      <c r="I20" s="36">
        <f t="shared" si="1"/>
        <v>0.23938223938223938</v>
      </c>
    </row>
    <row r="21" spans="1:9" ht="15.75" x14ac:dyDescent="0.25">
      <c r="F21" s="11" t="s">
        <v>56</v>
      </c>
      <c r="G21" s="11">
        <f>COUNTIF(CleanEmployeeData[JobRole],F21)</f>
        <v>102</v>
      </c>
      <c r="H21" s="11">
        <f>COUNTIFS(CleanEmployeeData[JobRole],F21,CleanEmployeeData[Attrition],"Yes")</f>
        <v>5</v>
      </c>
      <c r="I21" s="36">
        <f t="shared" si="1"/>
        <v>4.9019607843137254E-2</v>
      </c>
    </row>
    <row r="22" spans="1:9" ht="15.75" x14ac:dyDescent="0.25">
      <c r="F22" s="11" t="s">
        <v>53</v>
      </c>
      <c r="G22" s="11">
        <f>COUNTIF(CleanEmployeeData[JobRole],F22)</f>
        <v>145</v>
      </c>
      <c r="H22" s="11">
        <f>COUNTIFS(CleanEmployeeData[JobRole],F22,CleanEmployeeData[Attrition],"Yes")</f>
        <v>10</v>
      </c>
      <c r="I22" s="36">
        <f t="shared" si="1"/>
        <v>6.8965517241379309E-2</v>
      </c>
    </row>
    <row r="23" spans="1:9" ht="15.75" x14ac:dyDescent="0.25">
      <c r="F23" s="11" t="s">
        <v>58</v>
      </c>
      <c r="G23" s="11">
        <f>COUNTIF(CleanEmployeeData[JobRole],F23)</f>
        <v>80</v>
      </c>
      <c r="H23" s="11">
        <f>COUNTIFS(CleanEmployeeData[JobRole],F23,CleanEmployeeData[Attrition],"Yes")</f>
        <v>2</v>
      </c>
      <c r="I23" s="36">
        <f t="shared" si="1"/>
        <v>2.5000000000000001E-2</v>
      </c>
    </row>
    <row r="24" spans="1:9" ht="15.75" x14ac:dyDescent="0.25">
      <c r="F24" s="11" t="s">
        <v>47</v>
      </c>
      <c r="G24" s="11">
        <f>COUNTIF(CleanEmployeeData[JobRole],F24)</f>
        <v>292</v>
      </c>
      <c r="H24" s="11">
        <f>COUNTIFS(CleanEmployeeData[JobRole],F24,CleanEmployeeData[Attrition],"Yes")</f>
        <v>47</v>
      </c>
      <c r="I24" s="36">
        <f t="shared" si="1"/>
        <v>0.16095890410958905</v>
      </c>
    </row>
    <row r="25" spans="1:9" ht="18.75" x14ac:dyDescent="0.3">
      <c r="A25" s="88" t="s">
        <v>102</v>
      </c>
      <c r="B25" s="90"/>
      <c r="C25" s="90"/>
      <c r="D25" s="90"/>
      <c r="F25" s="11" t="s">
        <v>40</v>
      </c>
      <c r="G25" s="11">
        <f>COUNTIF(CleanEmployeeData[JobRole],F25)</f>
        <v>326</v>
      </c>
      <c r="H25" s="11">
        <f>COUNTIFS(CleanEmployeeData[JobRole],F25,CleanEmployeeData[Attrition],"Yes")</f>
        <v>57</v>
      </c>
      <c r="I25" s="36">
        <f t="shared" si="1"/>
        <v>0.17484662576687116</v>
      </c>
    </row>
    <row r="26" spans="1:9" ht="15.75" x14ac:dyDescent="0.25">
      <c r="A26" s="35" t="s">
        <v>103</v>
      </c>
      <c r="B26" s="35" t="s">
        <v>97</v>
      </c>
      <c r="C26" s="35" t="s">
        <v>98</v>
      </c>
      <c r="D26" s="35" t="s">
        <v>99</v>
      </c>
      <c r="F26" s="11" t="s">
        <v>57</v>
      </c>
      <c r="G26" s="11">
        <f>COUNTIF(CleanEmployeeData[JobRole],F26)</f>
        <v>83</v>
      </c>
      <c r="H26" s="11">
        <f>COUNTIFS(CleanEmployeeData[JobRole],F26,CleanEmployeeData[Attrition],"Yes")</f>
        <v>33</v>
      </c>
      <c r="I26" s="36">
        <f t="shared" si="1"/>
        <v>0.39759036144578314</v>
      </c>
    </row>
    <row r="27" spans="1:9" ht="15.75" x14ac:dyDescent="0.25">
      <c r="A27" s="11" t="s">
        <v>35</v>
      </c>
      <c r="B27" s="11">
        <f>COUNTIF(CleanEmployeeData[OverTime],A27)</f>
        <v>416</v>
      </c>
      <c r="C27" s="11">
        <f>COUNTIFS(CleanEmployeeData[OverTime],A27,CleanEmployeeData[Attrition],"Yes")</f>
        <v>127</v>
      </c>
      <c r="D27" s="36">
        <f>IFERROR(C27/B27,0)</f>
        <v>0.30528846153846156</v>
      </c>
    </row>
    <row r="28" spans="1:9" ht="15.75" x14ac:dyDescent="0.25">
      <c r="A28" s="11" t="s">
        <v>43</v>
      </c>
      <c r="B28" s="11">
        <f>COUNTIF(CleanEmployeeData[OverTime],A28)</f>
        <v>1054</v>
      </c>
      <c r="C28" s="11">
        <f>COUNTIFS(CleanEmployeeData[OverTime],A28,CleanEmployeeData[Attrition],"Yes")</f>
        <v>110</v>
      </c>
      <c r="D28" s="36">
        <f>IFERROR(C28/B28,0)</f>
        <v>0.10436432637571158</v>
      </c>
    </row>
    <row r="35" spans="1:8" ht="18.75" x14ac:dyDescent="0.3">
      <c r="A35" s="88" t="s">
        <v>104</v>
      </c>
      <c r="B35" s="88"/>
      <c r="C35" s="88"/>
      <c r="D35" s="88"/>
      <c r="F35" s="88" t="s">
        <v>111</v>
      </c>
      <c r="G35" s="88"/>
      <c r="H35" s="88"/>
    </row>
    <row r="36" spans="1:8" ht="21" customHeight="1" x14ac:dyDescent="0.25">
      <c r="A36" s="37" t="s">
        <v>6</v>
      </c>
      <c r="B36" s="37" t="s">
        <v>97</v>
      </c>
      <c r="C36" s="37" t="s">
        <v>98</v>
      </c>
      <c r="D36" s="37" t="s">
        <v>99</v>
      </c>
      <c r="F36" s="40" t="s">
        <v>6</v>
      </c>
      <c r="G36" s="41" t="s">
        <v>112</v>
      </c>
      <c r="H36" s="41" t="s">
        <v>113</v>
      </c>
    </row>
    <row r="37" spans="1:8" ht="30" customHeight="1" x14ac:dyDescent="0.25">
      <c r="A37" s="38" t="s">
        <v>105</v>
      </c>
      <c r="B37" s="38">
        <f>COUNTIF(CleanEmployeeData[Education_Label],A37)</f>
        <v>170</v>
      </c>
      <c r="C37" s="38">
        <f>COUNTIFS(CleanEmployeeData[Education_Label],A37,CleanEmployeeData[Attrition],"Yes")</f>
        <v>31</v>
      </c>
      <c r="D37" s="39">
        <f>IFERROR(C37/B37,0)</f>
        <v>0.18235294117647058</v>
      </c>
      <c r="F37" s="38" t="s">
        <v>105</v>
      </c>
      <c r="G37" s="42">
        <f>IFERROR(AVERAGEIFS(CleanEmployeeData[MonthlyIncome],CleanEmployeeData[Education_Label],F37,CleanEmployeeData[Attrition],"No"),0)</f>
        <v>5926.1294964028775</v>
      </c>
      <c r="H37" s="42">
        <f>IFERROR(AVERAGEIFS(CleanEmployeeData[MonthlyIncome],CleanEmployeeData[Education_Label],F37,CleanEmployeeData[Attrition],"Yes"),0)</f>
        <v>4360.1612903225805</v>
      </c>
    </row>
    <row r="38" spans="1:8" ht="16.5" customHeight="1" x14ac:dyDescent="0.25">
      <c r="A38" s="38" t="s">
        <v>106</v>
      </c>
      <c r="B38" s="38">
        <f>COUNTIF(CleanEmployeeData[Education_Label],A38)</f>
        <v>282</v>
      </c>
      <c r="C38" s="38">
        <f>COUNTIFS(CleanEmployeeData[Education_Label],A38,CleanEmployeeData[Attrition],"Yes")</f>
        <v>44</v>
      </c>
      <c r="D38" s="39">
        <f t="shared" ref="D38:D41" si="2">IFERROR(C38/B38,0)</f>
        <v>0.15602836879432624</v>
      </c>
      <c r="F38" s="38" t="s">
        <v>106</v>
      </c>
      <c r="G38" s="42">
        <f>IFERROR(AVERAGEIFS(CleanEmployeeData[MonthlyIncome],CleanEmployeeData[Education_Label],F38,CleanEmployeeData[Attrition],"No"),0)</f>
        <v>6586.0588235294117</v>
      </c>
      <c r="H38" s="42">
        <f>IFERROR(AVERAGEIFS(CleanEmployeeData[MonthlyIncome],CleanEmployeeData[Education_Label],F38,CleanEmployeeData[Attrition],"Yes"),0)</f>
        <v>4282.545454545455</v>
      </c>
    </row>
    <row r="39" spans="1:8" ht="16.5" customHeight="1" x14ac:dyDescent="0.25">
      <c r="A39" s="38" t="s">
        <v>107</v>
      </c>
      <c r="B39" s="38">
        <f>COUNTIF(CleanEmployeeData[Education_Label],A39)</f>
        <v>572</v>
      </c>
      <c r="C39" s="38">
        <f>COUNTIFS(CleanEmployeeData[Education_Label],A39,CleanEmployeeData[Attrition],"Yes")</f>
        <v>99</v>
      </c>
      <c r="D39" s="39">
        <f t="shared" si="2"/>
        <v>0.17307692307692307</v>
      </c>
      <c r="F39" s="38" t="s">
        <v>107</v>
      </c>
      <c r="G39" s="42">
        <f>IFERROR(AVERAGEIFS(CleanEmployeeData[MonthlyIncome],CleanEmployeeData[Education_Label],F39,CleanEmployeeData[Attrition],"No"),0)</f>
        <v>6882.9196617336156</v>
      </c>
      <c r="H39" s="42">
        <f>IFERROR(AVERAGEIFS(CleanEmployeeData[MonthlyIncome],CleanEmployeeData[Education_Label],F39,CleanEmployeeData[Attrition],"Yes"),0)</f>
        <v>4770.242424242424</v>
      </c>
    </row>
    <row r="40" spans="1:8" ht="16.5" customHeight="1" x14ac:dyDescent="0.25">
      <c r="A40" s="38" t="s">
        <v>108</v>
      </c>
      <c r="B40" s="38">
        <f>COUNTIF(CleanEmployeeData[Education_Label],A40)</f>
        <v>398</v>
      </c>
      <c r="C40" s="38">
        <f>COUNTIFS(CleanEmployeeData[Education_Label],A40,CleanEmployeeData[Attrition],"Yes")</f>
        <v>58</v>
      </c>
      <c r="D40" s="39">
        <f t="shared" si="2"/>
        <v>0.14572864321608039</v>
      </c>
      <c r="F40" s="38" t="s">
        <v>108</v>
      </c>
      <c r="G40" s="42">
        <f>IFERROR(AVERAGEIFS(CleanEmployeeData[MonthlyIncome],CleanEmployeeData[Education_Label],F40,CleanEmployeeData[Attrition],"No"),0)</f>
        <v>7087.8147058823533</v>
      </c>
      <c r="H40" s="42">
        <f>IFERROR(AVERAGEIFS(CleanEmployeeData[MonthlyIncome],CleanEmployeeData[Education_Label],F40,CleanEmployeeData[Attrition],"Yes"),0)</f>
        <v>5335.1551724137935</v>
      </c>
    </row>
    <row r="41" spans="1:8" ht="16.5" customHeight="1" x14ac:dyDescent="0.25">
      <c r="A41" s="38" t="s">
        <v>109</v>
      </c>
      <c r="B41" s="38">
        <f>COUNTIF(CleanEmployeeData[Education_Label],A41)</f>
        <v>48</v>
      </c>
      <c r="C41" s="38">
        <f>COUNTIFS(CleanEmployeeData[Education_Label],A41,CleanEmployeeData[Attrition],"Yes")</f>
        <v>5</v>
      </c>
      <c r="D41" s="39">
        <f t="shared" si="2"/>
        <v>0.10416666666666667</v>
      </c>
      <c r="F41" s="38" t="s">
        <v>109</v>
      </c>
      <c r="G41" s="42">
        <f>IFERROR(AVERAGEIFS(CleanEmployeeData[MonthlyIncome],CleanEmployeeData[Education_Label],F41,CleanEmployeeData[Attrition],"No"),0)</f>
        <v>8559.9069767441852</v>
      </c>
      <c r="H41" s="42">
        <f>IFERROR(AVERAGEIFS(CleanEmployeeData[MonthlyIncome],CleanEmployeeData[Education_Label],F41,CleanEmployeeData[Attrition],"Yes"),0)</f>
        <v>5850.2</v>
      </c>
    </row>
    <row r="44" spans="1:8" ht="18.75" x14ac:dyDescent="0.3">
      <c r="A44" s="88" t="s">
        <v>143</v>
      </c>
      <c r="B44" s="88"/>
      <c r="C44" s="88"/>
      <c r="D44" s="88"/>
    </row>
    <row r="45" spans="1:8" ht="15.75" x14ac:dyDescent="0.25">
      <c r="A45" s="37" t="s">
        <v>114</v>
      </c>
      <c r="B45" s="43" t="s">
        <v>97</v>
      </c>
      <c r="C45" s="43" t="s">
        <v>98</v>
      </c>
      <c r="D45" s="43" t="s">
        <v>99</v>
      </c>
    </row>
    <row r="46" spans="1:8" ht="15.75" x14ac:dyDescent="0.25">
      <c r="A46" s="38" t="s">
        <v>115</v>
      </c>
      <c r="B46" s="44">
        <f>COUNTIF(CleanEmployeeData[WorkLifeBalance_Label],A46)</f>
        <v>80</v>
      </c>
      <c r="C46" s="44">
        <f>COUNTIFS(CleanEmployeeData[WorkLifeBalance_Label],A46,CleanEmployeeData[Attrition],"Yes")</f>
        <v>25</v>
      </c>
      <c r="D46" s="45">
        <f>IFERROR(C46/B46,0)</f>
        <v>0.3125</v>
      </c>
    </row>
    <row r="47" spans="1:8" ht="15.75" x14ac:dyDescent="0.25">
      <c r="A47" s="38" t="s">
        <v>116</v>
      </c>
      <c r="B47" s="44">
        <f>COUNTIF(CleanEmployeeData[WorkLifeBalance_Label],A47)</f>
        <v>344</v>
      </c>
      <c r="C47" s="44">
        <f>COUNTIFS(CleanEmployeeData[WorkLifeBalance_Label],A47,CleanEmployeeData[Attrition],"Yes")</f>
        <v>58</v>
      </c>
      <c r="D47" s="45">
        <f t="shared" ref="D47:D49" si="3">IFERROR(C47/B47,0)</f>
        <v>0.16860465116279069</v>
      </c>
    </row>
    <row r="48" spans="1:8" ht="15.75" x14ac:dyDescent="0.25">
      <c r="A48" s="38" t="s">
        <v>117</v>
      </c>
      <c r="B48" s="44">
        <f>COUNTIF(CleanEmployeeData[WorkLifeBalance_Label],A48)</f>
        <v>893</v>
      </c>
      <c r="C48" s="44">
        <f>COUNTIFS(CleanEmployeeData[WorkLifeBalance_Label],A48,CleanEmployeeData[Attrition],"Yes")</f>
        <v>127</v>
      </c>
      <c r="D48" s="45">
        <f t="shared" si="3"/>
        <v>0.14221724524076149</v>
      </c>
    </row>
    <row r="49" spans="1:4" ht="15.75" x14ac:dyDescent="0.25">
      <c r="A49" s="38" t="s">
        <v>118</v>
      </c>
      <c r="B49" s="44">
        <f>COUNTIF(CleanEmployeeData[WorkLifeBalance_Label],A49)</f>
        <v>153</v>
      </c>
      <c r="C49" s="44">
        <f>COUNTIFS(CleanEmployeeData[WorkLifeBalance_Label],A49,CleanEmployeeData[Attrition],"Yes")</f>
        <v>27</v>
      </c>
      <c r="D49" s="45">
        <f t="shared" si="3"/>
        <v>0.17647058823529413</v>
      </c>
    </row>
    <row r="50" spans="1:4" x14ac:dyDescent="0.25">
      <c r="A50" s="3"/>
      <c r="B50" s="5"/>
      <c r="C50" s="5"/>
    </row>
    <row r="52" spans="1:4" ht="18.75" x14ac:dyDescent="0.25">
      <c r="A52" s="91" t="s">
        <v>119</v>
      </c>
      <c r="B52" s="91"/>
      <c r="C52" s="91"/>
      <c r="D52" s="91"/>
    </row>
    <row r="53" spans="1:4" ht="15.75" x14ac:dyDescent="0.25">
      <c r="A53" s="37" t="s">
        <v>120</v>
      </c>
      <c r="B53" s="35" t="s">
        <v>97</v>
      </c>
      <c r="C53" s="35" t="s">
        <v>98</v>
      </c>
      <c r="D53" s="35" t="s">
        <v>99</v>
      </c>
    </row>
    <row r="54" spans="1:4" ht="15.75" x14ac:dyDescent="0.25">
      <c r="A54" s="46" t="s">
        <v>121</v>
      </c>
      <c r="B54" s="11">
        <f>COUNTIF(CleanEmployeeData[Distance_Band],A54)</f>
        <v>632</v>
      </c>
      <c r="C54" s="11">
        <f>COUNTIFS(CleanEmployeeData[Distance_Band],A54,CleanEmployeeData[Attrition],"Yes")</f>
        <v>87</v>
      </c>
      <c r="D54" s="36">
        <f>IFERROR(C54/B54,0)</f>
        <v>0.13765822784810128</v>
      </c>
    </row>
    <row r="55" spans="1:4" ht="15.75" x14ac:dyDescent="0.25">
      <c r="A55" s="46" t="s">
        <v>122</v>
      </c>
      <c r="B55" s="11">
        <f>COUNTIF(CleanEmployeeData[Distance_Band],A55)</f>
        <v>394</v>
      </c>
      <c r="C55" s="11">
        <f>COUNTIFS(CleanEmployeeData[Distance_Band],A55,CleanEmployeeData[Attrition],"Yes")</f>
        <v>57</v>
      </c>
      <c r="D55" s="36">
        <f t="shared" ref="D55:D57" si="4">IFERROR(C55/B55,0)</f>
        <v>0.14467005076142131</v>
      </c>
    </row>
    <row r="56" spans="1:4" ht="15.75" x14ac:dyDescent="0.25">
      <c r="A56" s="46" t="s">
        <v>123</v>
      </c>
      <c r="B56" s="11">
        <f>COUNTIF(CleanEmployeeData[Distance_Band],A56)</f>
        <v>115</v>
      </c>
      <c r="C56" s="11">
        <f>COUNTIFS(CleanEmployeeData[Distance_Band],A56,CleanEmployeeData[Attrition],"Yes")</f>
        <v>25</v>
      </c>
      <c r="D56" s="36">
        <f t="shared" si="4"/>
        <v>0.21739130434782608</v>
      </c>
    </row>
    <row r="57" spans="1:4" ht="15.75" x14ac:dyDescent="0.25">
      <c r="A57" s="46" t="s">
        <v>124</v>
      </c>
      <c r="B57" s="11">
        <f>COUNTIF(CleanEmployeeData[Distance_Band],A57)</f>
        <v>329</v>
      </c>
      <c r="C57" s="11">
        <f>COUNTIFS(CleanEmployeeData[Distance_Band],A57,CleanEmployeeData[Attrition],"Yes")</f>
        <v>68</v>
      </c>
      <c r="D57" s="36">
        <f t="shared" si="4"/>
        <v>0.20668693009118541</v>
      </c>
    </row>
    <row r="60" spans="1:4" ht="18.75" x14ac:dyDescent="0.25">
      <c r="A60" s="92" t="s">
        <v>125</v>
      </c>
      <c r="B60" s="92"/>
      <c r="C60" s="92"/>
      <c r="D60" s="92"/>
    </row>
    <row r="61" spans="1:4" ht="15.75" x14ac:dyDescent="0.25">
      <c r="A61" s="47" t="s">
        <v>120</v>
      </c>
      <c r="B61" s="35" t="s">
        <v>97</v>
      </c>
      <c r="C61" s="35" t="s">
        <v>98</v>
      </c>
      <c r="D61" s="35" t="s">
        <v>99</v>
      </c>
    </row>
    <row r="62" spans="1:4" ht="15.75" x14ac:dyDescent="0.25">
      <c r="A62" s="46" t="s">
        <v>126</v>
      </c>
      <c r="B62" s="11">
        <f>COUNTIF(CleanEmployeeData[Income_Band],A62)</f>
        <v>395</v>
      </c>
      <c r="C62" s="11">
        <f>COUNTIFS(CleanEmployeeData[Income_Band],A62,CleanEmployeeData[Attrition],"Yes")</f>
        <v>113</v>
      </c>
      <c r="D62" s="36">
        <f>IFERROR(C62/B62,0)</f>
        <v>0.28607594936708863</v>
      </c>
    </row>
    <row r="63" spans="1:4" ht="15.75" x14ac:dyDescent="0.25">
      <c r="A63" s="46" t="s">
        <v>127</v>
      </c>
      <c r="B63" s="11">
        <f>COUNTIF(CleanEmployeeData[Income_Band],A63)</f>
        <v>519</v>
      </c>
      <c r="C63" s="11">
        <f>COUNTIFS(CleanEmployeeData[Income_Band],A63,CleanEmployeeData[Attrition],"Yes")</f>
        <v>66</v>
      </c>
      <c r="D63" s="36">
        <f t="shared" ref="D63:D65" si="5">IFERROR(C63/B63,0)</f>
        <v>0.12716763005780346</v>
      </c>
    </row>
    <row r="64" spans="1:4" ht="15.75" x14ac:dyDescent="0.25">
      <c r="A64" s="46" t="s">
        <v>128</v>
      </c>
      <c r="B64" s="11">
        <f>COUNTIF(CleanEmployeeData[Income_Band],A64)</f>
        <v>275</v>
      </c>
      <c r="C64" s="11">
        <f>COUNTIFS(CleanEmployeeData[Income_Band],A64,CleanEmployeeData[Attrition],"Yes")</f>
        <v>33</v>
      </c>
      <c r="D64" s="36">
        <f t="shared" si="5"/>
        <v>0.12</v>
      </c>
    </row>
    <row r="65" spans="1:9" ht="15.75" x14ac:dyDescent="0.25">
      <c r="A65" s="46" t="s">
        <v>129</v>
      </c>
      <c r="B65" s="11">
        <f>COUNTIF(CleanEmployeeData[Income_Band],A65)</f>
        <v>281</v>
      </c>
      <c r="C65" s="11">
        <f>COUNTIFS(CleanEmployeeData[Income_Band],A65,CleanEmployeeData[Attrition],"Yes")</f>
        <v>25</v>
      </c>
      <c r="D65" s="36">
        <f t="shared" si="5"/>
        <v>8.8967971530249115E-2</v>
      </c>
    </row>
    <row r="68" spans="1:9" ht="18.75" x14ac:dyDescent="0.3">
      <c r="A68" s="88" t="s">
        <v>130</v>
      </c>
      <c r="B68" s="88"/>
      <c r="C68" s="88"/>
      <c r="D68" s="88"/>
      <c r="F68" s="88" t="s">
        <v>136</v>
      </c>
      <c r="G68" s="88"/>
      <c r="H68" s="88"/>
      <c r="I68" s="88"/>
    </row>
    <row r="69" spans="1:9" ht="31.5" x14ac:dyDescent="0.25">
      <c r="A69" s="37" t="s">
        <v>131</v>
      </c>
      <c r="B69" s="43" t="s">
        <v>97</v>
      </c>
      <c r="C69" s="43" t="s">
        <v>88</v>
      </c>
      <c r="D69" s="43" t="s">
        <v>99</v>
      </c>
      <c r="F69" s="37" t="s">
        <v>137</v>
      </c>
      <c r="G69" s="43" t="s">
        <v>97</v>
      </c>
      <c r="H69" s="43" t="s">
        <v>88</v>
      </c>
      <c r="I69" s="43" t="s">
        <v>99</v>
      </c>
    </row>
    <row r="70" spans="1:9" ht="15.75" x14ac:dyDescent="0.25">
      <c r="A70" s="38" t="s">
        <v>132</v>
      </c>
      <c r="B70" s="44">
        <f>COUNTIF(CleanEmployeeData[JobSatisfaction_Label],A70)</f>
        <v>289</v>
      </c>
      <c r="C70" s="44">
        <f>COUNTIFS(CleanEmployeeData[JobSatisfaction_Label],A70,CleanEmployeeData[Attrition],"Yes")</f>
        <v>66</v>
      </c>
      <c r="D70" s="45">
        <f>IFERROR(C70/B70,0)</f>
        <v>0.22837370242214533</v>
      </c>
      <c r="F70" s="38" t="s">
        <v>132</v>
      </c>
      <c r="G70" s="44">
        <f>COUNTIF(CleanEmployeeData[EnvironmentSatisfaction_Label],F70)</f>
        <v>284</v>
      </c>
      <c r="H70" s="44">
        <f>COUNTIFS(CleanEmployeeData[EnvironmentSatisfaction_Label],F70,CleanEmployeeData[Attrition],"Yes")</f>
        <v>72</v>
      </c>
      <c r="I70" s="45">
        <f>IFERROR(H70/G70,0)</f>
        <v>0.25352112676056338</v>
      </c>
    </row>
    <row r="71" spans="1:9" ht="15.75" x14ac:dyDescent="0.25">
      <c r="A71" s="38" t="s">
        <v>133</v>
      </c>
      <c r="B71" s="44">
        <f>COUNTIF(CleanEmployeeData[JobSatisfaction_Label],A71)</f>
        <v>280</v>
      </c>
      <c r="C71" s="44">
        <f>COUNTIFS(CleanEmployeeData[JobSatisfaction_Label],A71,CleanEmployeeData[Attrition],"Yes")</f>
        <v>46</v>
      </c>
      <c r="D71" s="45">
        <f t="shared" ref="D71:D73" si="6">IFERROR(C71/B71,0)</f>
        <v>0.16428571428571428</v>
      </c>
      <c r="F71" s="38" t="s">
        <v>133</v>
      </c>
      <c r="G71" s="44">
        <f>COUNTIF(CleanEmployeeData[EnvironmentSatisfaction_Label],F71)</f>
        <v>287</v>
      </c>
      <c r="H71" s="44">
        <f>COUNTIFS(CleanEmployeeData[EnvironmentSatisfaction_Label],F71,CleanEmployeeData[Attrition],"Yes")</f>
        <v>43</v>
      </c>
      <c r="I71" s="45">
        <f t="shared" ref="I71:I73" si="7">IFERROR(H71/G71,0)</f>
        <v>0.14982578397212543</v>
      </c>
    </row>
    <row r="72" spans="1:9" ht="15.75" x14ac:dyDescent="0.25">
      <c r="A72" s="38" t="s">
        <v>134</v>
      </c>
      <c r="B72" s="44">
        <f>COUNTIF(CleanEmployeeData[JobSatisfaction_Label],A72)</f>
        <v>442</v>
      </c>
      <c r="C72" s="44">
        <f>COUNTIFS(CleanEmployeeData[JobSatisfaction_Label],A72,CleanEmployeeData[Attrition],"Yes")</f>
        <v>73</v>
      </c>
      <c r="D72" s="45">
        <f t="shared" si="6"/>
        <v>0.16515837104072398</v>
      </c>
      <c r="F72" s="38" t="s">
        <v>134</v>
      </c>
      <c r="G72" s="44">
        <f>COUNTIF(CleanEmployeeData[EnvironmentSatisfaction_Label],F72)</f>
        <v>453</v>
      </c>
      <c r="H72" s="44">
        <f>COUNTIFS(CleanEmployeeData[EnvironmentSatisfaction_Label],F72,CleanEmployeeData[Attrition],"Yes")</f>
        <v>62</v>
      </c>
      <c r="I72" s="45">
        <f t="shared" si="7"/>
        <v>0.13686534216335541</v>
      </c>
    </row>
    <row r="73" spans="1:9" ht="15.75" x14ac:dyDescent="0.25">
      <c r="A73" s="38" t="s">
        <v>135</v>
      </c>
      <c r="B73" s="44">
        <f>COUNTIF(CleanEmployeeData[JobSatisfaction_Label],A73)</f>
        <v>459</v>
      </c>
      <c r="C73" s="44">
        <f>COUNTIFS(CleanEmployeeData[JobSatisfaction_Label],A73,CleanEmployeeData[Attrition],"Yes")</f>
        <v>52</v>
      </c>
      <c r="D73" s="45">
        <f t="shared" si="6"/>
        <v>0.11328976034858387</v>
      </c>
      <c r="F73" s="38" t="s">
        <v>135</v>
      </c>
      <c r="G73" s="44">
        <f>COUNTIF(CleanEmployeeData[EnvironmentSatisfaction_Label],F73)</f>
        <v>446</v>
      </c>
      <c r="H73" s="44">
        <f>COUNTIFS(CleanEmployeeData[EnvironmentSatisfaction_Label],F73,CleanEmployeeData[Attrition],"Yes")</f>
        <v>60</v>
      </c>
      <c r="I73" s="45">
        <f t="shared" si="7"/>
        <v>0.13452914798206278</v>
      </c>
    </row>
    <row r="76" spans="1:9" ht="18.75" x14ac:dyDescent="0.3">
      <c r="A76" s="88" t="s">
        <v>138</v>
      </c>
      <c r="B76" s="88"/>
      <c r="C76" s="88"/>
    </row>
    <row r="77" spans="1:9" ht="31.5" x14ac:dyDescent="0.25">
      <c r="A77" s="37" t="s">
        <v>84</v>
      </c>
      <c r="B77" s="43" t="s">
        <v>87</v>
      </c>
      <c r="C77" s="43" t="s">
        <v>88</v>
      </c>
      <c r="D77" s="4"/>
    </row>
    <row r="78" spans="1:9" ht="15.75" x14ac:dyDescent="0.25">
      <c r="A78" s="38" t="s">
        <v>139</v>
      </c>
      <c r="B78" s="42">
        <f>AVERAGEIFS(CleanEmployeeData[YearsAtCompany],CleanEmployeeData[Attrition],"No")</f>
        <v>7.3690186536901869</v>
      </c>
      <c r="C78" s="42">
        <f>AVERAGEIFS(CleanEmployeeData[YearsAtCompany],CleanEmployeeData[Attrition],"Yes")</f>
        <v>5.1308016877637135</v>
      </c>
      <c r="D78" s="6"/>
    </row>
    <row r="79" spans="1:9" ht="15.75" x14ac:dyDescent="0.25">
      <c r="A79" s="38" t="s">
        <v>140</v>
      </c>
      <c r="B79" s="42">
        <f>AVERAGEIFS(CleanEmployeeData[YearsInCurrentRole],CleanEmployeeData[Attrition],"No")</f>
        <v>4.4841849148418493</v>
      </c>
      <c r="C79" s="42">
        <f>AVERAGEIFS(CleanEmployeeData[YearsInCurrentRole],CleanEmployeeData[Attrition],"Yes")</f>
        <v>2.9029535864978904</v>
      </c>
      <c r="D79" s="6"/>
    </row>
    <row r="80" spans="1:9" ht="31.5" x14ac:dyDescent="0.25">
      <c r="A80" s="38" t="s">
        <v>141</v>
      </c>
      <c r="B80" s="42">
        <f>AVERAGEIFS(CleanEmployeeData[YearsWithCurrManager],CleanEmployeeData[Attrition],"Yes")</f>
        <v>2.852320675105485</v>
      </c>
      <c r="C80" s="42">
        <f>AVERAGEIFS(CleanEmployeeData[YearsWithCurrManager],CleanEmployeeData[Attrition],"Yes")</f>
        <v>2.852320675105485</v>
      </c>
      <c r="D80" s="6"/>
    </row>
    <row r="81" spans="1:4" ht="31.5" x14ac:dyDescent="0.25">
      <c r="A81" s="38" t="s">
        <v>142</v>
      </c>
      <c r="B81" s="42">
        <f>AVERAGEIFS(CleanEmployeeData[YearsSinceLastPromotion],CleanEmployeeData[Attrition],"Yes")</f>
        <v>1.9451476793248945</v>
      </c>
      <c r="C81" s="42">
        <f>AVERAGEIFS(CleanEmployeeData[YearsSinceLastPromotion],CleanEmployeeData[Attrition],"Yes")</f>
        <v>1.9451476793248945</v>
      </c>
      <c r="D81" s="6"/>
    </row>
  </sheetData>
  <mergeCells count="12">
    <mergeCell ref="F68:I68"/>
    <mergeCell ref="A35:D35"/>
    <mergeCell ref="F35:H35"/>
    <mergeCell ref="A76:C76"/>
    <mergeCell ref="A1:J1"/>
    <mergeCell ref="A16:D16"/>
    <mergeCell ref="F16:I16"/>
    <mergeCell ref="A25:D25"/>
    <mergeCell ref="A44:D44"/>
    <mergeCell ref="A52:D52"/>
    <mergeCell ref="A60:D60"/>
    <mergeCell ref="A68:D68"/>
  </mergeCell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148D-793C-4081-B9D4-F3F1A6A8C25B}">
  <dimension ref="A13:AQ84"/>
  <sheetViews>
    <sheetView tabSelected="1" zoomScale="96" zoomScaleNormal="96" workbookViewId="0">
      <selection activeCell="H31" sqref="H31"/>
    </sheetView>
  </sheetViews>
  <sheetFormatPr defaultRowHeight="15" x14ac:dyDescent="0.25"/>
  <cols>
    <col min="1" max="1" width="31.140625" bestFit="1" customWidth="1"/>
    <col min="2" max="2" width="13" bestFit="1" customWidth="1"/>
    <col min="3" max="3" width="11.7109375" bestFit="1" customWidth="1"/>
    <col min="4" max="4" width="14.5703125" bestFit="1" customWidth="1"/>
    <col min="5" max="5" width="30.85546875" bestFit="1" customWidth="1"/>
    <col min="6" max="6" width="31.140625" bestFit="1" customWidth="1"/>
    <col min="7" max="7" width="35.85546875" bestFit="1" customWidth="1"/>
  </cols>
  <sheetData>
    <row r="13" spans="1:36" s="16" customFormat="1" ht="18.75" x14ac:dyDescent="0.3">
      <c r="A13" s="93" t="s">
        <v>157</v>
      </c>
      <c r="B13" s="93"/>
      <c r="C13" s="93"/>
      <c r="D13" s="93"/>
      <c r="E13" s="93"/>
      <c r="F13" s="93"/>
      <c r="G13" s="93"/>
      <c r="H13"/>
      <c r="I13"/>
      <c r="J13"/>
      <c r="K13"/>
      <c r="L13"/>
      <c r="M13"/>
      <c r="N13"/>
      <c r="O13"/>
      <c r="P13"/>
      <c r="Q13"/>
      <c r="R13"/>
      <c r="S13"/>
      <c r="T13"/>
      <c r="U13"/>
      <c r="V13"/>
      <c r="W13"/>
      <c r="X13"/>
      <c r="Y13"/>
      <c r="Z13"/>
      <c r="AA13"/>
      <c r="AB13"/>
      <c r="AC13"/>
      <c r="AD13"/>
      <c r="AE13"/>
      <c r="AF13"/>
      <c r="AG13"/>
      <c r="AH13"/>
      <c r="AI13"/>
      <c r="AJ13"/>
    </row>
    <row r="14" spans="1:36" s="11" customFormat="1" ht="15.75" x14ac:dyDescent="0.25">
      <c r="B14" s="12" t="s">
        <v>1</v>
      </c>
      <c r="G14" s="20"/>
      <c r="H14"/>
      <c r="I14"/>
      <c r="J14"/>
      <c r="K14"/>
      <c r="L14"/>
      <c r="M14"/>
      <c r="N14"/>
      <c r="O14"/>
      <c r="P14"/>
      <c r="Q14"/>
      <c r="R14"/>
      <c r="S14"/>
      <c r="T14"/>
      <c r="U14"/>
      <c r="V14"/>
      <c r="W14"/>
      <c r="X14"/>
      <c r="Y14"/>
      <c r="Z14"/>
      <c r="AA14"/>
      <c r="AB14"/>
      <c r="AC14"/>
      <c r="AD14"/>
      <c r="AE14"/>
      <c r="AF14"/>
      <c r="AG14"/>
      <c r="AH14"/>
      <c r="AI14"/>
      <c r="AJ14"/>
    </row>
    <row r="15" spans="1:36" s="11" customFormat="1" ht="15.75" x14ac:dyDescent="0.25">
      <c r="B15" s="11" t="s">
        <v>43</v>
      </c>
      <c r="D15" s="11" t="s">
        <v>35</v>
      </c>
      <c r="F15" s="11" t="s">
        <v>147</v>
      </c>
      <c r="G15" s="20" t="s">
        <v>149</v>
      </c>
      <c r="H15"/>
      <c r="I15"/>
      <c r="J15"/>
      <c r="K15"/>
      <c r="L15"/>
      <c r="M15"/>
      <c r="N15"/>
      <c r="O15"/>
      <c r="P15"/>
      <c r="Q15"/>
      <c r="R15"/>
      <c r="S15"/>
      <c r="T15"/>
      <c r="U15"/>
      <c r="V15"/>
      <c r="W15"/>
      <c r="X15"/>
      <c r="Y15"/>
      <c r="Z15"/>
      <c r="AA15"/>
      <c r="AB15"/>
      <c r="AC15"/>
      <c r="AD15"/>
      <c r="AE15"/>
      <c r="AF15"/>
      <c r="AG15"/>
      <c r="AH15"/>
      <c r="AI15"/>
      <c r="AJ15"/>
    </row>
    <row r="16" spans="1:36" s="11" customFormat="1" ht="15.75" x14ac:dyDescent="0.25">
      <c r="A16" s="12" t="s">
        <v>156</v>
      </c>
      <c r="B16" s="11" t="s">
        <v>148</v>
      </c>
      <c r="C16" s="11" t="s">
        <v>150</v>
      </c>
      <c r="D16" s="11" t="s">
        <v>148</v>
      </c>
      <c r="E16" s="11" t="s">
        <v>150</v>
      </c>
      <c r="G16" s="20"/>
      <c r="H16"/>
      <c r="I16"/>
      <c r="J16"/>
      <c r="K16"/>
      <c r="L16"/>
      <c r="M16"/>
      <c r="N16"/>
      <c r="O16"/>
      <c r="P16"/>
      <c r="Q16"/>
      <c r="R16"/>
      <c r="S16"/>
      <c r="T16"/>
      <c r="U16"/>
      <c r="V16"/>
      <c r="W16"/>
      <c r="X16"/>
      <c r="Y16"/>
      <c r="Z16"/>
      <c r="AA16"/>
      <c r="AB16"/>
      <c r="AC16"/>
      <c r="AD16"/>
      <c r="AE16"/>
      <c r="AF16"/>
      <c r="AG16"/>
      <c r="AH16"/>
      <c r="AI16"/>
      <c r="AJ16"/>
    </row>
    <row r="17" spans="1:36" s="11" customFormat="1" ht="15.75" x14ac:dyDescent="0.25">
      <c r="A17" s="13" t="s">
        <v>61</v>
      </c>
      <c r="B17" s="11">
        <v>51</v>
      </c>
      <c r="C17" s="14">
        <v>0.79756887741663596</v>
      </c>
      <c r="D17" s="11">
        <v>12</v>
      </c>
      <c r="E17" s="14">
        <v>0.20243112258336407</v>
      </c>
      <c r="F17" s="11">
        <v>63</v>
      </c>
      <c r="G17" s="50">
        <v>1</v>
      </c>
      <c r="H17"/>
      <c r="I17"/>
      <c r="J17"/>
      <c r="K17"/>
      <c r="L17"/>
      <c r="M17"/>
      <c r="N17"/>
      <c r="O17"/>
      <c r="P17"/>
      <c r="Q17"/>
      <c r="R17"/>
      <c r="S17"/>
      <c r="T17"/>
      <c r="U17"/>
      <c r="V17"/>
      <c r="W17"/>
      <c r="X17"/>
      <c r="Y17"/>
      <c r="Z17"/>
      <c r="AA17"/>
      <c r="AB17"/>
      <c r="AC17"/>
      <c r="AD17"/>
      <c r="AE17"/>
      <c r="AF17"/>
      <c r="AG17"/>
      <c r="AH17"/>
      <c r="AI17"/>
      <c r="AJ17"/>
    </row>
    <row r="18" spans="1:36" s="11" customFormat="1" ht="15.75" x14ac:dyDescent="0.25">
      <c r="A18" s="15" t="s">
        <v>61</v>
      </c>
      <c r="B18" s="11">
        <v>40</v>
      </c>
      <c r="C18" s="14">
        <v>0.76090777582479119</v>
      </c>
      <c r="D18" s="11">
        <v>12</v>
      </c>
      <c r="E18" s="14">
        <v>0.23909222417520881</v>
      </c>
      <c r="F18" s="11">
        <v>52</v>
      </c>
      <c r="G18" s="50">
        <v>1</v>
      </c>
      <c r="H18"/>
      <c r="I18"/>
      <c r="J18"/>
      <c r="K18"/>
      <c r="L18"/>
      <c r="M18"/>
      <c r="N18"/>
      <c r="O18"/>
      <c r="P18"/>
      <c r="Q18"/>
      <c r="R18"/>
      <c r="S18"/>
      <c r="T18"/>
      <c r="U18"/>
      <c r="V18"/>
      <c r="W18"/>
      <c r="X18"/>
      <c r="Y18"/>
      <c r="Z18"/>
      <c r="AA18"/>
      <c r="AB18"/>
      <c r="AC18"/>
      <c r="AD18"/>
      <c r="AE18"/>
      <c r="AF18"/>
      <c r="AG18"/>
      <c r="AH18"/>
      <c r="AI18"/>
      <c r="AJ18"/>
    </row>
    <row r="19" spans="1:36" s="11" customFormat="1" ht="15.75" x14ac:dyDescent="0.25">
      <c r="A19" s="15" t="s">
        <v>56</v>
      </c>
      <c r="B19" s="11">
        <v>11</v>
      </c>
      <c r="C19" s="14">
        <v>1</v>
      </c>
      <c r="E19" s="14">
        <v>0</v>
      </c>
      <c r="F19" s="11">
        <v>11</v>
      </c>
      <c r="G19" s="50">
        <v>1</v>
      </c>
      <c r="H19"/>
      <c r="I19"/>
      <c r="J19"/>
      <c r="K19"/>
      <c r="L19"/>
      <c r="M19"/>
      <c r="N19"/>
      <c r="O19"/>
      <c r="P19"/>
      <c r="Q19"/>
      <c r="R19"/>
      <c r="S19"/>
      <c r="T19"/>
      <c r="U19"/>
      <c r="V19"/>
      <c r="W19"/>
      <c r="X19"/>
      <c r="Y19"/>
      <c r="Z19"/>
      <c r="AA19"/>
      <c r="AB19"/>
      <c r="AC19"/>
      <c r="AD19"/>
      <c r="AE19"/>
      <c r="AF19"/>
      <c r="AG19"/>
      <c r="AH19"/>
      <c r="AI19"/>
      <c r="AJ19"/>
    </row>
    <row r="20" spans="1:36" s="11" customFormat="1" ht="15.75" x14ac:dyDescent="0.25">
      <c r="A20" s="13" t="s">
        <v>45</v>
      </c>
      <c r="B20" s="11">
        <v>828</v>
      </c>
      <c r="C20" s="14">
        <v>0.86940708193331606</v>
      </c>
      <c r="D20" s="11">
        <v>133</v>
      </c>
      <c r="E20" s="14">
        <v>0.13059291806668391</v>
      </c>
      <c r="F20" s="11">
        <v>961</v>
      </c>
      <c r="G20" s="50">
        <v>1</v>
      </c>
      <c r="H20"/>
      <c r="I20"/>
      <c r="J20"/>
      <c r="K20"/>
      <c r="L20"/>
      <c r="M20"/>
      <c r="N20"/>
      <c r="O20"/>
      <c r="P20"/>
      <c r="Q20"/>
      <c r="R20"/>
      <c r="S20"/>
      <c r="T20"/>
      <c r="U20"/>
      <c r="V20"/>
      <c r="W20"/>
      <c r="X20"/>
      <c r="Y20"/>
      <c r="Z20"/>
      <c r="AA20"/>
      <c r="AB20"/>
      <c r="AC20"/>
      <c r="AD20"/>
      <c r="AE20"/>
      <c r="AF20"/>
      <c r="AG20"/>
      <c r="AH20"/>
      <c r="AI20"/>
      <c r="AJ20"/>
    </row>
    <row r="21" spans="1:36" s="11" customFormat="1" ht="15.75" x14ac:dyDescent="0.25">
      <c r="A21" s="15" t="s">
        <v>54</v>
      </c>
      <c r="B21" s="11">
        <v>122</v>
      </c>
      <c r="C21" s="14">
        <v>0.93740633678274399</v>
      </c>
      <c r="D21" s="11">
        <v>9</v>
      </c>
      <c r="E21" s="14">
        <v>6.2593663217256054E-2</v>
      </c>
      <c r="F21" s="11">
        <v>131</v>
      </c>
      <c r="G21" s="50">
        <v>1</v>
      </c>
      <c r="H21"/>
      <c r="I21"/>
      <c r="J21"/>
      <c r="K21"/>
      <c r="L21"/>
      <c r="M21"/>
      <c r="N21"/>
      <c r="O21"/>
      <c r="P21"/>
      <c r="Q21"/>
      <c r="R21"/>
      <c r="S21"/>
      <c r="T21"/>
      <c r="U21"/>
      <c r="V21"/>
      <c r="W21"/>
      <c r="X21"/>
      <c r="Y21"/>
      <c r="Z21"/>
      <c r="AA21"/>
      <c r="AB21"/>
      <c r="AC21"/>
      <c r="AD21"/>
      <c r="AE21"/>
      <c r="AF21"/>
      <c r="AG21"/>
      <c r="AH21"/>
      <c r="AI21"/>
      <c r="AJ21"/>
    </row>
    <row r="22" spans="1:36" s="11" customFormat="1" ht="15.75" x14ac:dyDescent="0.25">
      <c r="A22" s="15" t="s">
        <v>50</v>
      </c>
      <c r="B22" s="11">
        <v>197</v>
      </c>
      <c r="C22" s="14">
        <v>0.7737728609351876</v>
      </c>
      <c r="D22" s="11">
        <v>62</v>
      </c>
      <c r="E22" s="14">
        <v>0.22622713906481243</v>
      </c>
      <c r="F22" s="11">
        <v>259</v>
      </c>
      <c r="G22" s="50">
        <v>1</v>
      </c>
      <c r="H22"/>
      <c r="I22"/>
      <c r="J22"/>
      <c r="K22"/>
      <c r="L22"/>
      <c r="M22"/>
      <c r="N22"/>
      <c r="O22"/>
      <c r="P22"/>
      <c r="Q22"/>
      <c r="R22"/>
      <c r="S22"/>
      <c r="T22"/>
      <c r="U22"/>
      <c r="V22"/>
      <c r="W22"/>
      <c r="X22"/>
      <c r="Y22"/>
      <c r="Z22"/>
      <c r="AA22"/>
      <c r="AB22"/>
      <c r="AC22"/>
      <c r="AD22"/>
      <c r="AE22"/>
      <c r="AF22"/>
      <c r="AG22"/>
      <c r="AH22"/>
      <c r="AI22"/>
      <c r="AJ22"/>
    </row>
    <row r="23" spans="1:36" s="11" customFormat="1" ht="15.75" x14ac:dyDescent="0.25">
      <c r="A23" s="15" t="s">
        <v>56</v>
      </c>
      <c r="B23" s="11">
        <v>51</v>
      </c>
      <c r="C23" s="14">
        <v>0.96554039376764944</v>
      </c>
      <c r="D23" s="11">
        <v>3</v>
      </c>
      <c r="E23" s="14">
        <v>3.4459606232350559E-2</v>
      </c>
      <c r="F23" s="11">
        <v>54</v>
      </c>
      <c r="G23" s="50">
        <v>1</v>
      </c>
      <c r="H23"/>
      <c r="I23"/>
      <c r="J23"/>
      <c r="K23"/>
      <c r="L23"/>
      <c r="M23"/>
      <c r="N23"/>
      <c r="O23"/>
      <c r="P23"/>
      <c r="Q23"/>
      <c r="R23"/>
      <c r="S23"/>
      <c r="T23"/>
      <c r="U23"/>
      <c r="V23"/>
      <c r="W23"/>
      <c r="X23"/>
      <c r="Y23"/>
      <c r="Z23"/>
      <c r="AA23"/>
      <c r="AB23"/>
      <c r="AC23"/>
      <c r="AD23"/>
      <c r="AE23"/>
      <c r="AF23"/>
      <c r="AG23"/>
      <c r="AH23"/>
      <c r="AI23"/>
      <c r="AJ23"/>
    </row>
    <row r="24" spans="1:36" s="11" customFormat="1" ht="15.75" x14ac:dyDescent="0.25">
      <c r="A24" s="15" t="s">
        <v>53</v>
      </c>
      <c r="B24" s="11">
        <v>135</v>
      </c>
      <c r="C24" s="14">
        <v>0.92494130644938544</v>
      </c>
      <c r="D24" s="11">
        <v>10</v>
      </c>
      <c r="E24" s="14">
        <v>7.505869355061455E-2</v>
      </c>
      <c r="F24" s="11">
        <v>145</v>
      </c>
      <c r="G24" s="50">
        <v>1</v>
      </c>
      <c r="H24"/>
      <c r="I24"/>
      <c r="J24"/>
      <c r="K24"/>
      <c r="L24"/>
      <c r="M24"/>
      <c r="N24"/>
      <c r="O24"/>
      <c r="P24"/>
      <c r="Q24"/>
      <c r="R24"/>
      <c r="S24"/>
      <c r="T24"/>
      <c r="U24"/>
      <c r="V24"/>
      <c r="W24"/>
      <c r="X24"/>
      <c r="Y24"/>
      <c r="Z24"/>
      <c r="AA24"/>
      <c r="AB24"/>
      <c r="AC24"/>
      <c r="AD24"/>
      <c r="AE24"/>
      <c r="AF24"/>
      <c r="AG24"/>
      <c r="AH24"/>
      <c r="AI24"/>
      <c r="AJ24"/>
    </row>
    <row r="25" spans="1:36" s="11" customFormat="1" ht="15.75" x14ac:dyDescent="0.25">
      <c r="A25" s="15" t="s">
        <v>58</v>
      </c>
      <c r="B25" s="11">
        <v>78</v>
      </c>
      <c r="C25" s="14">
        <v>0.988848616495965</v>
      </c>
      <c r="D25" s="11">
        <v>2</v>
      </c>
      <c r="E25" s="14">
        <v>1.1151383504034957E-2</v>
      </c>
      <c r="F25" s="11">
        <v>80</v>
      </c>
      <c r="G25" s="50">
        <v>1</v>
      </c>
      <c r="H25"/>
      <c r="I25"/>
      <c r="J25"/>
      <c r="K25"/>
      <c r="L25"/>
      <c r="M25"/>
      <c r="N25"/>
      <c r="O25"/>
      <c r="P25"/>
      <c r="Q25"/>
      <c r="R25"/>
      <c r="S25"/>
      <c r="T25"/>
      <c r="U25"/>
      <c r="V25"/>
      <c r="W25"/>
      <c r="X25"/>
      <c r="Y25"/>
      <c r="Z25"/>
      <c r="AA25"/>
      <c r="AB25"/>
      <c r="AC25"/>
      <c r="AD25"/>
      <c r="AE25"/>
      <c r="AF25"/>
      <c r="AG25"/>
      <c r="AH25"/>
      <c r="AI25"/>
      <c r="AJ25"/>
    </row>
    <row r="26" spans="1:36" s="11" customFormat="1" ht="15.75" x14ac:dyDescent="0.25">
      <c r="A26" s="15" t="s">
        <v>47</v>
      </c>
      <c r="B26" s="11">
        <v>245</v>
      </c>
      <c r="C26" s="14">
        <v>0.84485936017582541</v>
      </c>
      <c r="D26" s="11">
        <v>47</v>
      </c>
      <c r="E26" s="14">
        <v>0.15514063982417461</v>
      </c>
      <c r="F26" s="11">
        <v>292</v>
      </c>
      <c r="G26" s="50">
        <v>1</v>
      </c>
      <c r="H26"/>
      <c r="I26"/>
      <c r="J26"/>
      <c r="K26"/>
      <c r="L26"/>
      <c r="M26"/>
      <c r="N26"/>
      <c r="O26"/>
      <c r="P26"/>
      <c r="Q26"/>
      <c r="R26"/>
      <c r="S26"/>
      <c r="T26"/>
      <c r="U26"/>
      <c r="V26"/>
      <c r="W26"/>
      <c r="X26"/>
      <c r="Y26"/>
      <c r="Z26"/>
      <c r="AA26"/>
      <c r="AB26"/>
      <c r="AC26"/>
      <c r="AD26"/>
      <c r="AE26"/>
      <c r="AF26"/>
      <c r="AG26"/>
      <c r="AH26"/>
      <c r="AI26"/>
      <c r="AJ26"/>
    </row>
    <row r="27" spans="1:36" s="11" customFormat="1" ht="15.75" x14ac:dyDescent="0.25">
      <c r="A27" s="13" t="s">
        <v>37</v>
      </c>
      <c r="B27" s="11">
        <v>354</v>
      </c>
      <c r="C27" s="14">
        <v>0.7890130996827589</v>
      </c>
      <c r="D27" s="11">
        <v>92</v>
      </c>
      <c r="E27" s="14">
        <v>0.21098690031724107</v>
      </c>
      <c r="F27" s="11">
        <v>446</v>
      </c>
      <c r="G27" s="50">
        <v>1</v>
      </c>
      <c r="H27"/>
      <c r="I27"/>
      <c r="J27"/>
      <c r="K27"/>
      <c r="L27"/>
      <c r="M27"/>
      <c r="N27"/>
      <c r="O27"/>
      <c r="P27"/>
      <c r="Q27"/>
      <c r="R27"/>
      <c r="S27"/>
      <c r="T27"/>
      <c r="U27"/>
      <c r="V27"/>
      <c r="W27"/>
      <c r="X27"/>
      <c r="Y27"/>
      <c r="Z27"/>
      <c r="AA27"/>
      <c r="AB27"/>
      <c r="AC27"/>
      <c r="AD27"/>
      <c r="AE27"/>
      <c r="AF27"/>
      <c r="AG27"/>
      <c r="AH27"/>
      <c r="AI27"/>
      <c r="AJ27"/>
    </row>
    <row r="28" spans="1:36" s="11" customFormat="1" ht="15.75" x14ac:dyDescent="0.25">
      <c r="A28" s="15" t="s">
        <v>56</v>
      </c>
      <c r="B28" s="11">
        <v>35</v>
      </c>
      <c r="C28" s="14">
        <v>0.93265062694556777</v>
      </c>
      <c r="D28" s="11">
        <v>2</v>
      </c>
      <c r="E28" s="14">
        <v>6.7349373054432254E-2</v>
      </c>
      <c r="F28" s="11">
        <v>37</v>
      </c>
      <c r="G28" s="50">
        <v>1</v>
      </c>
      <c r="H28"/>
      <c r="I28"/>
      <c r="J28"/>
      <c r="K28"/>
      <c r="L28"/>
      <c r="M28"/>
      <c r="N28"/>
      <c r="O28"/>
      <c r="P28"/>
      <c r="Q28"/>
      <c r="R28"/>
      <c r="S28"/>
      <c r="T28"/>
      <c r="U28"/>
      <c r="V28"/>
      <c r="W28"/>
      <c r="X28"/>
      <c r="Y28"/>
      <c r="Z28"/>
      <c r="AA28"/>
      <c r="AB28"/>
      <c r="AC28"/>
      <c r="AD28"/>
      <c r="AE28"/>
      <c r="AF28"/>
      <c r="AG28"/>
      <c r="AH28"/>
      <c r="AI28"/>
      <c r="AJ28"/>
    </row>
    <row r="29" spans="1:36" s="11" customFormat="1" ht="15.75" x14ac:dyDescent="0.25">
      <c r="A29" s="15" t="s">
        <v>40</v>
      </c>
      <c r="B29" s="11">
        <v>269</v>
      </c>
      <c r="C29" s="14">
        <v>0.81709936496077695</v>
      </c>
      <c r="D29" s="11">
        <v>57</v>
      </c>
      <c r="E29" s="14">
        <v>0.18290063503922302</v>
      </c>
      <c r="F29" s="11">
        <v>326</v>
      </c>
      <c r="G29" s="50">
        <v>1</v>
      </c>
      <c r="H29"/>
      <c r="I29"/>
      <c r="J29"/>
      <c r="K29"/>
      <c r="L29"/>
      <c r="M29"/>
      <c r="N29"/>
      <c r="O29"/>
      <c r="P29"/>
      <c r="Q29"/>
      <c r="R29"/>
      <c r="S29"/>
      <c r="T29"/>
      <c r="U29"/>
      <c r="V29"/>
      <c r="W29"/>
      <c r="X29"/>
      <c r="Y29"/>
      <c r="Z29"/>
      <c r="AA29"/>
      <c r="AB29"/>
      <c r="AC29"/>
      <c r="AD29"/>
      <c r="AE29"/>
      <c r="AF29"/>
      <c r="AG29"/>
      <c r="AH29"/>
      <c r="AI29"/>
      <c r="AJ29"/>
    </row>
    <row r="30" spans="1:36" s="11" customFormat="1" ht="15.75" x14ac:dyDescent="0.25">
      <c r="A30" s="15" t="s">
        <v>57</v>
      </c>
      <c r="B30" s="11">
        <v>50</v>
      </c>
      <c r="C30" s="14">
        <v>0.62036575902526025</v>
      </c>
      <c r="D30" s="11">
        <v>33</v>
      </c>
      <c r="E30" s="14">
        <v>0.37963424097473969</v>
      </c>
      <c r="F30" s="11">
        <v>83</v>
      </c>
      <c r="G30" s="50">
        <v>1</v>
      </c>
      <c r="H30"/>
      <c r="I30"/>
      <c r="J30"/>
      <c r="K30"/>
      <c r="L30"/>
      <c r="M30"/>
      <c r="N30"/>
      <c r="O30"/>
      <c r="P30"/>
      <c r="Q30"/>
      <c r="R30"/>
      <c r="S30"/>
      <c r="T30"/>
      <c r="U30"/>
      <c r="V30"/>
      <c r="W30"/>
      <c r="X30"/>
      <c r="Y30"/>
      <c r="Z30"/>
      <c r="AA30"/>
      <c r="AB30"/>
      <c r="AC30"/>
      <c r="AD30"/>
      <c r="AE30"/>
      <c r="AF30"/>
      <c r="AG30"/>
      <c r="AH30"/>
      <c r="AI30"/>
      <c r="AJ30"/>
    </row>
    <row r="31" spans="1:36" s="11" customFormat="1" ht="15.75" x14ac:dyDescent="0.25">
      <c r="A31" s="13" t="s">
        <v>145</v>
      </c>
      <c r="B31" s="11">
        <v>1233</v>
      </c>
      <c r="C31" s="14">
        <v>0.84105958506576606</v>
      </c>
      <c r="D31" s="11">
        <v>237</v>
      </c>
      <c r="E31" s="14">
        <v>0.15894041493423394</v>
      </c>
      <c r="F31" s="11">
        <v>1470</v>
      </c>
      <c r="G31" s="50">
        <v>1</v>
      </c>
      <c r="H31"/>
      <c r="I31"/>
      <c r="J31"/>
      <c r="K31"/>
      <c r="L31"/>
      <c r="M31"/>
      <c r="N31"/>
      <c r="O31"/>
      <c r="P31"/>
      <c r="Q31"/>
      <c r="R31"/>
      <c r="S31"/>
      <c r="T31"/>
      <c r="U31"/>
      <c r="V31"/>
      <c r="W31"/>
      <c r="X31"/>
      <c r="Y31"/>
      <c r="Z31"/>
      <c r="AA31"/>
      <c r="AB31"/>
      <c r="AC31"/>
      <c r="AD31"/>
      <c r="AE31"/>
      <c r="AF31"/>
      <c r="AG31"/>
      <c r="AH31"/>
      <c r="AI31"/>
      <c r="AJ31"/>
    </row>
    <row r="36" spans="1:43" s="16" customFormat="1" ht="18.75" x14ac:dyDescent="0.3">
      <c r="A36" s="94" t="s">
        <v>158</v>
      </c>
      <c r="B36" s="94"/>
      <c r="C36" s="94"/>
      <c r="D36" s="94"/>
      <c r="E36" s="94"/>
      <c r="F36" s="94"/>
      <c r="G36" s="94"/>
      <c r="H36"/>
      <c r="I36"/>
      <c r="J36"/>
      <c r="K36"/>
      <c r="L36"/>
      <c r="M36"/>
      <c r="N36"/>
      <c r="O36"/>
      <c r="P36"/>
      <c r="Q36"/>
      <c r="R36"/>
      <c r="S36"/>
      <c r="T36"/>
      <c r="U36"/>
      <c r="V36"/>
      <c r="W36"/>
      <c r="X36"/>
      <c r="Y36"/>
      <c r="Z36"/>
      <c r="AA36"/>
      <c r="AB36"/>
      <c r="AC36"/>
      <c r="AD36"/>
      <c r="AE36"/>
      <c r="AF36"/>
      <c r="AG36"/>
      <c r="AH36"/>
      <c r="AI36"/>
      <c r="AJ36"/>
      <c r="AK36"/>
      <c r="AL36"/>
      <c r="AM36"/>
      <c r="AN36"/>
      <c r="AO36"/>
      <c r="AP36"/>
      <c r="AQ36"/>
    </row>
    <row r="37" spans="1:43" s="8" customFormat="1" x14ac:dyDescent="0.25">
      <c r="B37" s="9" t="s">
        <v>1</v>
      </c>
      <c r="H37"/>
      <c r="I37"/>
      <c r="J37"/>
      <c r="K37"/>
      <c r="L37"/>
      <c r="M37"/>
      <c r="N37"/>
      <c r="O37"/>
      <c r="P37"/>
      <c r="Q37"/>
      <c r="R37"/>
      <c r="S37"/>
      <c r="T37"/>
      <c r="U37"/>
      <c r="V37"/>
      <c r="W37"/>
      <c r="X37"/>
      <c r="Y37"/>
      <c r="Z37"/>
      <c r="AA37"/>
      <c r="AB37"/>
      <c r="AC37"/>
      <c r="AD37"/>
      <c r="AE37"/>
      <c r="AF37"/>
      <c r="AG37"/>
      <c r="AH37"/>
      <c r="AI37"/>
      <c r="AJ37"/>
      <c r="AK37"/>
      <c r="AL37"/>
      <c r="AM37"/>
      <c r="AN37"/>
      <c r="AO37"/>
      <c r="AP37"/>
      <c r="AQ37"/>
    </row>
    <row r="38" spans="1:43" s="8" customFormat="1" x14ac:dyDescent="0.25">
      <c r="B38" s="8" t="s">
        <v>43</v>
      </c>
      <c r="D38" s="8" t="s">
        <v>35</v>
      </c>
      <c r="F38" s="8" t="s">
        <v>152</v>
      </c>
      <c r="G38" s="8" t="s">
        <v>147</v>
      </c>
      <c r="H38"/>
      <c r="I38"/>
      <c r="J38"/>
      <c r="K38"/>
      <c r="L38"/>
      <c r="M38"/>
      <c r="N38"/>
      <c r="O38"/>
      <c r="P38"/>
      <c r="Q38"/>
      <c r="R38"/>
      <c r="S38"/>
      <c r="T38"/>
      <c r="U38"/>
      <c r="V38"/>
      <c r="W38"/>
      <c r="X38"/>
      <c r="Y38"/>
      <c r="Z38"/>
      <c r="AA38"/>
      <c r="AB38"/>
      <c r="AC38"/>
      <c r="AD38"/>
      <c r="AE38"/>
      <c r="AF38"/>
      <c r="AG38"/>
      <c r="AH38"/>
      <c r="AI38"/>
      <c r="AJ38"/>
      <c r="AK38"/>
      <c r="AL38"/>
      <c r="AM38"/>
      <c r="AN38"/>
      <c r="AO38"/>
      <c r="AP38"/>
      <c r="AQ38"/>
    </row>
    <row r="39" spans="1:43" s="8" customFormat="1" x14ac:dyDescent="0.25">
      <c r="A39" s="9" t="s">
        <v>101</v>
      </c>
      <c r="B39" s="8" t="s">
        <v>151</v>
      </c>
      <c r="C39" s="8" t="s">
        <v>148</v>
      </c>
      <c r="D39" s="8" t="s">
        <v>151</v>
      </c>
      <c r="E39" s="8" t="s">
        <v>148</v>
      </c>
      <c r="H39"/>
      <c r="I39"/>
      <c r="J39"/>
      <c r="K39"/>
      <c r="L39"/>
      <c r="M39"/>
      <c r="N39"/>
      <c r="O39"/>
      <c r="P39"/>
      <c r="Q39"/>
      <c r="R39"/>
      <c r="S39"/>
      <c r="T39"/>
      <c r="U39"/>
      <c r="V39"/>
      <c r="W39"/>
      <c r="X39"/>
      <c r="Y39"/>
      <c r="Z39"/>
      <c r="AA39"/>
      <c r="AB39"/>
      <c r="AC39"/>
      <c r="AD39"/>
      <c r="AE39"/>
      <c r="AF39"/>
      <c r="AG39"/>
      <c r="AH39"/>
      <c r="AI39"/>
      <c r="AJ39"/>
      <c r="AK39"/>
      <c r="AL39"/>
      <c r="AM39"/>
      <c r="AN39"/>
      <c r="AO39"/>
      <c r="AP39"/>
      <c r="AQ39"/>
    </row>
    <row r="40" spans="1:43" s="8" customFormat="1" x14ac:dyDescent="0.25">
      <c r="A40" s="10" t="s">
        <v>54</v>
      </c>
      <c r="B40" s="17">
        <v>9.2049180327868854</v>
      </c>
      <c r="C40" s="17">
        <v>122</v>
      </c>
      <c r="D40" s="17">
        <v>17.666666666666668</v>
      </c>
      <c r="E40" s="17">
        <v>9</v>
      </c>
      <c r="F40" s="17">
        <v>9.786259541984732</v>
      </c>
      <c r="G40" s="17">
        <v>131</v>
      </c>
      <c r="H40"/>
      <c r="I40"/>
      <c r="J40"/>
      <c r="K40"/>
      <c r="L40"/>
      <c r="M40"/>
      <c r="N40"/>
      <c r="O40"/>
      <c r="P40"/>
      <c r="Q40"/>
      <c r="R40"/>
      <c r="S40"/>
      <c r="T40"/>
      <c r="U40"/>
      <c r="V40"/>
      <c r="W40"/>
      <c r="X40"/>
      <c r="Y40"/>
      <c r="Z40"/>
      <c r="AA40"/>
      <c r="AB40"/>
      <c r="AC40"/>
      <c r="AD40"/>
      <c r="AE40"/>
      <c r="AF40"/>
      <c r="AG40"/>
      <c r="AH40"/>
      <c r="AI40"/>
      <c r="AJ40"/>
      <c r="AK40"/>
      <c r="AL40"/>
      <c r="AM40"/>
      <c r="AN40"/>
      <c r="AO40"/>
      <c r="AP40"/>
      <c r="AQ40"/>
    </row>
    <row r="41" spans="1:43" s="8" customFormat="1" x14ac:dyDescent="0.25">
      <c r="A41" s="10" t="s">
        <v>61</v>
      </c>
      <c r="B41" s="17">
        <v>6.6</v>
      </c>
      <c r="C41" s="17">
        <v>40</v>
      </c>
      <c r="D41" s="17">
        <v>13.416666666666666</v>
      </c>
      <c r="E41" s="17">
        <v>12</v>
      </c>
      <c r="F41" s="17">
        <v>8.1730769230769234</v>
      </c>
      <c r="G41" s="17">
        <v>52</v>
      </c>
      <c r="H41"/>
      <c r="I41"/>
      <c r="J41"/>
      <c r="K41"/>
      <c r="L41"/>
      <c r="M41"/>
      <c r="N41"/>
      <c r="O41"/>
      <c r="P41"/>
      <c r="Q41"/>
      <c r="R41"/>
      <c r="S41"/>
      <c r="T41"/>
      <c r="U41"/>
      <c r="V41"/>
      <c r="W41"/>
      <c r="X41"/>
      <c r="Y41"/>
      <c r="Z41"/>
      <c r="AA41"/>
      <c r="AB41"/>
      <c r="AC41"/>
      <c r="AD41"/>
      <c r="AE41"/>
      <c r="AF41"/>
      <c r="AG41"/>
      <c r="AH41"/>
      <c r="AI41"/>
      <c r="AJ41"/>
      <c r="AK41"/>
      <c r="AL41"/>
      <c r="AM41"/>
      <c r="AN41"/>
      <c r="AO41"/>
      <c r="AP41"/>
      <c r="AQ41"/>
    </row>
    <row r="42" spans="1:43" s="8" customFormat="1" x14ac:dyDescent="0.25">
      <c r="A42" s="10" t="s">
        <v>50</v>
      </c>
      <c r="B42" s="17">
        <v>9.3299492385786795</v>
      </c>
      <c r="C42" s="17">
        <v>197</v>
      </c>
      <c r="D42" s="17">
        <v>9.6612903225806459</v>
      </c>
      <c r="E42" s="17">
        <v>62</v>
      </c>
      <c r="F42" s="17">
        <v>9.4092664092664098</v>
      </c>
      <c r="G42" s="17">
        <v>259</v>
      </c>
      <c r="H42"/>
      <c r="I42"/>
      <c r="J42"/>
      <c r="K42"/>
      <c r="L42"/>
      <c r="M42"/>
      <c r="N42"/>
      <c r="O42"/>
      <c r="P42"/>
      <c r="Q42"/>
      <c r="R42"/>
      <c r="S42"/>
      <c r="T42"/>
      <c r="U42"/>
      <c r="V42"/>
      <c r="W42"/>
      <c r="X42"/>
      <c r="Y42"/>
      <c r="Z42"/>
      <c r="AA42"/>
      <c r="AB42"/>
      <c r="AC42"/>
      <c r="AD42"/>
      <c r="AE42"/>
      <c r="AF42"/>
      <c r="AG42"/>
      <c r="AH42"/>
      <c r="AI42"/>
      <c r="AJ42"/>
      <c r="AK42"/>
      <c r="AL42"/>
      <c r="AM42"/>
      <c r="AN42"/>
      <c r="AO42"/>
      <c r="AP42"/>
      <c r="AQ42"/>
    </row>
    <row r="43" spans="1:43" s="8" customFormat="1" x14ac:dyDescent="0.25">
      <c r="A43" s="10" t="s">
        <v>56</v>
      </c>
      <c r="B43" s="17">
        <v>7.927835051546392</v>
      </c>
      <c r="C43" s="17">
        <v>97</v>
      </c>
      <c r="D43" s="17">
        <v>10</v>
      </c>
      <c r="E43" s="17">
        <v>5</v>
      </c>
      <c r="F43" s="17">
        <v>8.0294117647058822</v>
      </c>
      <c r="G43" s="17">
        <v>102</v>
      </c>
      <c r="H43"/>
      <c r="I43"/>
      <c r="J43"/>
      <c r="K43"/>
      <c r="L43"/>
      <c r="M43"/>
      <c r="N43"/>
      <c r="O43"/>
      <c r="P43"/>
      <c r="Q43"/>
      <c r="R43"/>
      <c r="S43"/>
      <c r="T43"/>
      <c r="U43"/>
      <c r="V43"/>
      <c r="W43"/>
      <c r="X43"/>
      <c r="Y43"/>
      <c r="Z43"/>
      <c r="AA43"/>
      <c r="AB43"/>
      <c r="AC43"/>
      <c r="AD43"/>
      <c r="AE43"/>
      <c r="AF43"/>
      <c r="AG43"/>
      <c r="AH43"/>
      <c r="AI43"/>
      <c r="AJ43"/>
      <c r="AK43"/>
      <c r="AL43"/>
      <c r="AM43"/>
      <c r="AN43"/>
      <c r="AO43"/>
      <c r="AP43"/>
      <c r="AQ43"/>
    </row>
    <row r="44" spans="1:43" s="8" customFormat="1" x14ac:dyDescent="0.25">
      <c r="A44" s="10" t="s">
        <v>53</v>
      </c>
      <c r="B44" s="17">
        <v>9.5333333333333332</v>
      </c>
      <c r="C44" s="17">
        <v>135</v>
      </c>
      <c r="D44" s="17">
        <v>8.8000000000000007</v>
      </c>
      <c r="E44" s="17">
        <v>10</v>
      </c>
      <c r="F44" s="17">
        <v>9.4827586206896548</v>
      </c>
      <c r="G44" s="17">
        <v>145</v>
      </c>
      <c r="H44"/>
      <c r="I44"/>
      <c r="J44"/>
      <c r="K44"/>
      <c r="L44"/>
      <c r="M44"/>
      <c r="N44"/>
      <c r="O44"/>
      <c r="P44"/>
      <c r="Q44"/>
      <c r="R44"/>
      <c r="S44"/>
      <c r="T44"/>
      <c r="U44"/>
      <c r="V44"/>
      <c r="W44"/>
      <c r="X44"/>
      <c r="Y44"/>
      <c r="Z44"/>
      <c r="AA44"/>
      <c r="AB44"/>
      <c r="AC44"/>
      <c r="AD44"/>
      <c r="AE44"/>
      <c r="AF44"/>
      <c r="AG44"/>
      <c r="AH44"/>
      <c r="AI44"/>
      <c r="AJ44"/>
      <c r="AK44"/>
      <c r="AL44"/>
      <c r="AM44"/>
      <c r="AN44"/>
      <c r="AO44"/>
      <c r="AP44"/>
      <c r="AQ44"/>
    </row>
    <row r="45" spans="1:43" s="8" customFormat="1" x14ac:dyDescent="0.25">
      <c r="A45" s="10" t="s">
        <v>58</v>
      </c>
      <c r="B45" s="17">
        <v>8.4743589743589745</v>
      </c>
      <c r="C45" s="17">
        <v>78</v>
      </c>
      <c r="D45" s="17">
        <v>7</v>
      </c>
      <c r="E45" s="17">
        <v>2</v>
      </c>
      <c r="F45" s="17">
        <v>8.4375</v>
      </c>
      <c r="G45" s="17">
        <v>80</v>
      </c>
      <c r="H45"/>
      <c r="I45"/>
      <c r="J45"/>
      <c r="K45"/>
      <c r="L45"/>
      <c r="M45"/>
      <c r="N45"/>
      <c r="O45"/>
      <c r="P45"/>
      <c r="Q45"/>
      <c r="R45"/>
      <c r="S45"/>
      <c r="T45"/>
      <c r="U45"/>
      <c r="V45"/>
      <c r="W45"/>
      <c r="X45"/>
      <c r="Y45"/>
      <c r="Z45"/>
      <c r="AA45"/>
      <c r="AB45"/>
      <c r="AC45"/>
      <c r="AD45"/>
      <c r="AE45"/>
      <c r="AF45"/>
      <c r="AG45"/>
      <c r="AH45"/>
      <c r="AI45"/>
      <c r="AJ45"/>
      <c r="AK45"/>
      <c r="AL45"/>
      <c r="AM45"/>
      <c r="AN45"/>
      <c r="AO45"/>
      <c r="AP45"/>
      <c r="AQ45"/>
    </row>
    <row r="46" spans="1:43" s="8" customFormat="1" x14ac:dyDescent="0.25">
      <c r="A46" s="10" t="s">
        <v>47</v>
      </c>
      <c r="B46" s="17">
        <v>8.869387755102041</v>
      </c>
      <c r="C46" s="17">
        <v>245</v>
      </c>
      <c r="D46" s="17">
        <v>9.7659574468085104</v>
      </c>
      <c r="E46" s="17">
        <v>47</v>
      </c>
      <c r="F46" s="17">
        <v>9.0136986301369859</v>
      </c>
      <c r="G46" s="17">
        <v>292</v>
      </c>
      <c r="H46"/>
      <c r="I46"/>
      <c r="J46"/>
      <c r="K46"/>
      <c r="L46"/>
      <c r="M46"/>
      <c r="N46"/>
      <c r="O46"/>
      <c r="P46"/>
      <c r="Q46"/>
      <c r="R46"/>
      <c r="S46"/>
      <c r="T46"/>
      <c r="U46"/>
      <c r="V46"/>
      <c r="W46"/>
      <c r="X46"/>
      <c r="Y46"/>
      <c r="Z46"/>
      <c r="AA46"/>
      <c r="AB46"/>
      <c r="AC46"/>
      <c r="AD46"/>
      <c r="AE46"/>
      <c r="AF46"/>
      <c r="AG46"/>
      <c r="AH46"/>
      <c r="AI46"/>
      <c r="AJ46"/>
      <c r="AK46"/>
      <c r="AL46"/>
      <c r="AM46"/>
      <c r="AN46"/>
      <c r="AO46"/>
      <c r="AP46"/>
      <c r="AQ46"/>
    </row>
    <row r="47" spans="1:43" s="8" customFormat="1" ht="15.75" x14ac:dyDescent="0.25">
      <c r="A47" s="10" t="s">
        <v>40</v>
      </c>
      <c r="B47" s="18">
        <v>9.0260223048327131</v>
      </c>
      <c r="C47" s="17">
        <v>269</v>
      </c>
      <c r="D47" s="17">
        <v>12.649122807017545</v>
      </c>
      <c r="E47" s="17">
        <v>57</v>
      </c>
      <c r="F47" s="17">
        <v>9.6595092024539877</v>
      </c>
      <c r="G47" s="17">
        <v>326</v>
      </c>
      <c r="H47"/>
      <c r="I47"/>
      <c r="J47"/>
      <c r="K47"/>
      <c r="L47"/>
      <c r="M47"/>
      <c r="N47"/>
      <c r="O47"/>
      <c r="P47"/>
      <c r="Q47"/>
      <c r="R47"/>
      <c r="S47"/>
      <c r="T47"/>
      <c r="U47"/>
      <c r="V47"/>
      <c r="W47"/>
      <c r="X47"/>
      <c r="Y47"/>
      <c r="Z47"/>
      <c r="AA47"/>
      <c r="AB47"/>
      <c r="AC47"/>
      <c r="AD47"/>
      <c r="AE47"/>
      <c r="AF47"/>
      <c r="AG47"/>
      <c r="AH47"/>
      <c r="AI47"/>
      <c r="AJ47"/>
      <c r="AK47"/>
      <c r="AL47"/>
      <c r="AM47"/>
      <c r="AN47"/>
      <c r="AO47"/>
      <c r="AP47"/>
      <c r="AQ47"/>
    </row>
    <row r="48" spans="1:43" s="8" customFormat="1" x14ac:dyDescent="0.25">
      <c r="A48" s="10" t="s">
        <v>57</v>
      </c>
      <c r="B48" s="17">
        <v>9</v>
      </c>
      <c r="C48" s="17">
        <v>50</v>
      </c>
      <c r="D48" s="17">
        <v>8.1515151515151523</v>
      </c>
      <c r="E48" s="17">
        <v>33</v>
      </c>
      <c r="F48" s="17">
        <v>8.6626506024096379</v>
      </c>
      <c r="G48" s="17">
        <v>83</v>
      </c>
      <c r="H48"/>
      <c r="I48"/>
      <c r="J48"/>
      <c r="K48"/>
      <c r="L48"/>
      <c r="M48"/>
      <c r="N48"/>
      <c r="O48"/>
      <c r="P48"/>
      <c r="Q48"/>
      <c r="R48"/>
      <c r="S48"/>
      <c r="T48"/>
      <c r="U48"/>
      <c r="V48"/>
      <c r="W48"/>
      <c r="X48"/>
      <c r="Y48"/>
      <c r="Z48"/>
      <c r="AA48"/>
      <c r="AB48"/>
      <c r="AC48"/>
      <c r="AD48"/>
      <c r="AE48"/>
      <c r="AF48"/>
      <c r="AG48"/>
      <c r="AH48"/>
      <c r="AI48"/>
      <c r="AJ48"/>
      <c r="AK48"/>
      <c r="AL48"/>
      <c r="AM48"/>
      <c r="AN48"/>
      <c r="AO48"/>
      <c r="AP48"/>
      <c r="AQ48"/>
    </row>
    <row r="49" spans="1:43" s="8" customFormat="1" x14ac:dyDescent="0.25">
      <c r="A49" s="10" t="s">
        <v>145</v>
      </c>
      <c r="B49" s="17">
        <v>8.9156528791565286</v>
      </c>
      <c r="C49" s="17">
        <v>1233</v>
      </c>
      <c r="D49" s="17">
        <v>10.632911392405063</v>
      </c>
      <c r="E49" s="17">
        <v>237</v>
      </c>
      <c r="F49" s="17">
        <v>9.1925170068027207</v>
      </c>
      <c r="G49" s="17">
        <v>1470</v>
      </c>
      <c r="H49"/>
      <c r="I49"/>
      <c r="J49"/>
      <c r="K49"/>
      <c r="L49"/>
      <c r="M49"/>
      <c r="N49"/>
      <c r="O49"/>
      <c r="P49"/>
      <c r="Q49"/>
      <c r="R49"/>
      <c r="S49"/>
      <c r="T49"/>
      <c r="U49"/>
      <c r="V49"/>
      <c r="W49"/>
      <c r="X49"/>
      <c r="Y49"/>
      <c r="Z49"/>
      <c r="AA49"/>
      <c r="AB49"/>
      <c r="AC49"/>
      <c r="AD49"/>
      <c r="AE49"/>
      <c r="AF49"/>
      <c r="AG49"/>
      <c r="AH49"/>
      <c r="AI49"/>
      <c r="AJ49"/>
      <c r="AK49"/>
      <c r="AL49"/>
      <c r="AM49"/>
      <c r="AN49"/>
      <c r="AO49"/>
      <c r="AP49"/>
      <c r="AQ49"/>
    </row>
    <row r="56" spans="1:43" ht="18.75" x14ac:dyDescent="0.3">
      <c r="A56" s="93" t="s">
        <v>159</v>
      </c>
      <c r="B56" s="93"/>
      <c r="C56" s="93"/>
      <c r="D56" s="93"/>
    </row>
    <row r="57" spans="1:43" s="11" customFormat="1" ht="15.75" x14ac:dyDescent="0.25">
      <c r="A57" s="12" t="s">
        <v>153</v>
      </c>
      <c r="B57" s="12" t="s">
        <v>1</v>
      </c>
      <c r="E57" s="22"/>
      <c r="F57" s="22"/>
      <c r="G57" s="22"/>
      <c r="H57" s="21"/>
    </row>
    <row r="58" spans="1:43" s="11" customFormat="1" ht="15.75" x14ac:dyDescent="0.25">
      <c r="A58" s="12" t="s">
        <v>155</v>
      </c>
      <c r="B58" s="11" t="s">
        <v>43</v>
      </c>
      <c r="C58" s="11" t="s">
        <v>35</v>
      </c>
      <c r="D58" s="11" t="s">
        <v>145</v>
      </c>
      <c r="E58" s="22"/>
      <c r="F58" s="22"/>
      <c r="G58" s="22"/>
      <c r="H58" s="21"/>
    </row>
    <row r="59" spans="1:43" s="11" customFormat="1" ht="15.75" x14ac:dyDescent="0.25">
      <c r="A59" s="13" t="s">
        <v>107</v>
      </c>
      <c r="B59" s="19">
        <v>6882.9196617336156</v>
      </c>
      <c r="C59" s="19">
        <v>4770.242424242424</v>
      </c>
      <c r="D59" s="19">
        <v>6517.2639860139861</v>
      </c>
      <c r="E59" s="22"/>
      <c r="F59" s="22"/>
      <c r="G59" s="22"/>
      <c r="H59" s="21"/>
    </row>
    <row r="60" spans="1:43" s="11" customFormat="1" ht="15.75" x14ac:dyDescent="0.25">
      <c r="A60" s="13" t="s">
        <v>105</v>
      </c>
      <c r="B60" s="19">
        <v>5926.1294964028775</v>
      </c>
      <c r="C60" s="19">
        <v>4360.1612903225805</v>
      </c>
      <c r="D60" s="19">
        <v>5640.5705882352941</v>
      </c>
      <c r="E60" s="22"/>
      <c r="F60" s="22"/>
      <c r="G60" s="22"/>
      <c r="H60" s="21"/>
    </row>
    <row r="61" spans="1:43" s="11" customFormat="1" ht="15.75" x14ac:dyDescent="0.25">
      <c r="A61" s="13" t="s">
        <v>106</v>
      </c>
      <c r="B61" s="19">
        <v>6586.0588235294117</v>
      </c>
      <c r="C61" s="19">
        <v>4282.545454545455</v>
      </c>
      <c r="D61" s="19">
        <v>6226.6453900709221</v>
      </c>
      <c r="E61" s="22"/>
      <c r="F61" s="22"/>
      <c r="G61" s="22"/>
      <c r="H61" s="21"/>
    </row>
    <row r="62" spans="1:43" s="11" customFormat="1" ht="15.75" x14ac:dyDescent="0.25">
      <c r="A62" s="13" t="s">
        <v>109</v>
      </c>
      <c r="B62" s="19">
        <v>8559.9069767441852</v>
      </c>
      <c r="C62" s="19">
        <v>5850.2</v>
      </c>
      <c r="D62" s="19">
        <v>8277.6458333333339</v>
      </c>
      <c r="E62" s="22"/>
      <c r="F62" s="22"/>
      <c r="G62" s="22"/>
      <c r="H62" s="21"/>
    </row>
    <row r="63" spans="1:43" s="11" customFormat="1" ht="15.75" x14ac:dyDescent="0.25">
      <c r="A63" s="13" t="s">
        <v>108</v>
      </c>
      <c r="B63" s="19">
        <v>7087.8147058823533</v>
      </c>
      <c r="C63" s="19">
        <v>5335.1551724137935</v>
      </c>
      <c r="D63" s="19">
        <v>6832.4020100502512</v>
      </c>
      <c r="E63" s="22"/>
      <c r="F63" s="22"/>
      <c r="G63" s="22"/>
      <c r="H63" s="21"/>
    </row>
    <row r="64" spans="1:43" s="11" customFormat="1" ht="15.75" x14ac:dyDescent="0.25">
      <c r="A64" s="13" t="s">
        <v>145</v>
      </c>
      <c r="B64" s="19">
        <v>6832.7396593673966</v>
      </c>
      <c r="C64" s="19">
        <v>4787.0928270042195</v>
      </c>
      <c r="D64" s="19">
        <v>6502.931292517007</v>
      </c>
      <c r="E64" s="22"/>
      <c r="F64" s="22"/>
      <c r="G64" s="22"/>
      <c r="H64" s="21"/>
    </row>
    <row r="68" spans="1:4" ht="18.75" x14ac:dyDescent="0.3">
      <c r="A68" s="93" t="s">
        <v>160</v>
      </c>
      <c r="B68" s="93"/>
      <c r="C68" s="93"/>
      <c r="D68" s="93"/>
    </row>
    <row r="69" spans="1:4" ht="15.75" x14ac:dyDescent="0.25">
      <c r="A69" s="12" t="s">
        <v>148</v>
      </c>
      <c r="B69" s="12" t="s">
        <v>146</v>
      </c>
      <c r="C69" s="11"/>
      <c r="D69" s="11"/>
    </row>
    <row r="70" spans="1:4" ht="15.75" x14ac:dyDescent="0.25">
      <c r="A70" s="12" t="s">
        <v>144</v>
      </c>
      <c r="B70" s="11" t="s">
        <v>43</v>
      </c>
      <c r="C70" s="11" t="s">
        <v>35</v>
      </c>
      <c r="D70" s="11" t="s">
        <v>145</v>
      </c>
    </row>
    <row r="71" spans="1:4" ht="15.75" x14ac:dyDescent="0.25">
      <c r="A71" s="13" t="s">
        <v>43</v>
      </c>
      <c r="B71" s="14">
        <v>0.89563567362428842</v>
      </c>
      <c r="C71" s="14">
        <v>0.10436432637571158</v>
      </c>
      <c r="D71" s="23">
        <v>1</v>
      </c>
    </row>
    <row r="72" spans="1:4" ht="15.75" x14ac:dyDescent="0.25">
      <c r="A72" s="13" t="s">
        <v>35</v>
      </c>
      <c r="B72" s="14">
        <v>0.69471153846153844</v>
      </c>
      <c r="C72" s="14">
        <v>0.30528846153846156</v>
      </c>
      <c r="D72" s="23">
        <v>1</v>
      </c>
    </row>
    <row r="73" spans="1:4" ht="15.75" x14ac:dyDescent="0.25">
      <c r="A73" s="13" t="s">
        <v>145</v>
      </c>
      <c r="B73" s="14">
        <v>0.83877551020408159</v>
      </c>
      <c r="C73" s="14">
        <v>0.16122448979591836</v>
      </c>
      <c r="D73" s="23">
        <v>1</v>
      </c>
    </row>
    <row r="77" spans="1:4" ht="18.75" x14ac:dyDescent="0.3">
      <c r="A77" s="93" t="s">
        <v>161</v>
      </c>
      <c r="B77" s="93"/>
      <c r="C77" s="93"/>
      <c r="D77" s="93"/>
    </row>
    <row r="78" spans="1:4" ht="15.75" x14ac:dyDescent="0.25">
      <c r="A78" s="12" t="s">
        <v>148</v>
      </c>
      <c r="B78" s="12" t="s">
        <v>1</v>
      </c>
      <c r="C78" s="11"/>
      <c r="D78" s="11"/>
    </row>
    <row r="79" spans="1:4" ht="15.75" x14ac:dyDescent="0.25">
      <c r="A79" s="12" t="s">
        <v>154</v>
      </c>
      <c r="B79" s="11" t="s">
        <v>43</v>
      </c>
      <c r="C79" s="11" t="s">
        <v>35</v>
      </c>
      <c r="D79" s="11" t="s">
        <v>145</v>
      </c>
    </row>
    <row r="80" spans="1:4" ht="15.75" x14ac:dyDescent="0.25">
      <c r="A80" s="13" t="s">
        <v>134</v>
      </c>
      <c r="B80" s="14">
        <v>0.83484162895927605</v>
      </c>
      <c r="C80" s="14">
        <v>0.16515837104072398</v>
      </c>
      <c r="D80" s="23">
        <v>1</v>
      </c>
    </row>
    <row r="81" spans="1:4" ht="15.75" x14ac:dyDescent="0.25">
      <c r="A81" s="13" t="s">
        <v>132</v>
      </c>
      <c r="B81" s="14">
        <v>0.77162629757785473</v>
      </c>
      <c r="C81" s="14">
        <v>0.22837370242214533</v>
      </c>
      <c r="D81" s="23">
        <v>1</v>
      </c>
    </row>
    <row r="82" spans="1:4" ht="15.75" x14ac:dyDescent="0.25">
      <c r="A82" s="13" t="s">
        <v>133</v>
      </c>
      <c r="B82" s="14">
        <v>0.83571428571428574</v>
      </c>
      <c r="C82" s="14">
        <v>0.16428571428571428</v>
      </c>
      <c r="D82" s="23">
        <v>1</v>
      </c>
    </row>
    <row r="83" spans="1:4" ht="15.75" x14ac:dyDescent="0.25">
      <c r="A83" s="13" t="s">
        <v>135</v>
      </c>
      <c r="B83" s="14">
        <v>0.88671023965141615</v>
      </c>
      <c r="C83" s="14">
        <v>0.11328976034858387</v>
      </c>
      <c r="D83" s="23">
        <v>1</v>
      </c>
    </row>
    <row r="84" spans="1:4" ht="15.75" x14ac:dyDescent="0.25">
      <c r="A84" s="13" t="s">
        <v>145</v>
      </c>
      <c r="B84" s="14">
        <v>0.83877551020408159</v>
      </c>
      <c r="C84" s="14">
        <v>0.16122448979591836</v>
      </c>
      <c r="D84" s="23">
        <v>1</v>
      </c>
    </row>
  </sheetData>
  <mergeCells count="5">
    <mergeCell ref="A13:G13"/>
    <mergeCell ref="A36:G36"/>
    <mergeCell ref="A56:D56"/>
    <mergeCell ref="A68:D68"/>
    <mergeCell ref="A77:D77"/>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A120-C422-468A-BE41-F9B893F1841D}">
  <dimension ref="A1:H21"/>
  <sheetViews>
    <sheetView zoomScale="90" zoomScaleNormal="90" workbookViewId="0">
      <selection activeCell="A3" sqref="A3:H21"/>
    </sheetView>
  </sheetViews>
  <sheetFormatPr defaultRowHeight="15" x14ac:dyDescent="0.25"/>
  <cols>
    <col min="1" max="1" width="30" style="1" customWidth="1"/>
    <col min="2" max="2" width="22.85546875" style="1" customWidth="1"/>
    <col min="3" max="3" width="25.5703125" style="1" customWidth="1"/>
    <col min="4" max="4" width="20.5703125" style="1" customWidth="1"/>
    <col min="5" max="5" width="14" style="1" customWidth="1"/>
    <col min="6" max="6" width="23.42578125" style="1" customWidth="1"/>
    <col min="7" max="7" width="30.7109375" style="1" customWidth="1"/>
    <col min="8" max="8" width="28.28515625" style="1" customWidth="1"/>
    <col min="9" max="16384" width="9.140625" style="1"/>
  </cols>
  <sheetData>
    <row r="1" spans="1:8" ht="24" x14ac:dyDescent="0.25">
      <c r="A1" s="77" t="s">
        <v>439</v>
      </c>
      <c r="B1" s="77"/>
      <c r="C1" s="77"/>
      <c r="D1" s="77"/>
      <c r="E1" s="77"/>
      <c r="F1" s="77"/>
      <c r="G1" s="77"/>
      <c r="H1" s="77"/>
    </row>
    <row r="3" spans="1:8" ht="30" x14ac:dyDescent="0.25">
      <c r="A3" s="58" t="s">
        <v>440</v>
      </c>
      <c r="B3" s="59" t="s">
        <v>441</v>
      </c>
      <c r="C3" s="59" t="s">
        <v>442</v>
      </c>
      <c r="D3" s="59" t="s">
        <v>443</v>
      </c>
      <c r="E3" s="59" t="s">
        <v>444</v>
      </c>
      <c r="F3" s="59" t="s">
        <v>445</v>
      </c>
      <c r="G3" s="59" t="s">
        <v>446</v>
      </c>
      <c r="H3" s="60" t="s">
        <v>447</v>
      </c>
    </row>
    <row r="4" spans="1:8" ht="45" x14ac:dyDescent="0.25">
      <c r="A4" s="61" t="s">
        <v>448</v>
      </c>
      <c r="B4" s="62" t="s">
        <v>449</v>
      </c>
      <c r="C4" s="62" t="s">
        <v>450</v>
      </c>
      <c r="D4" s="62" t="s">
        <v>451</v>
      </c>
      <c r="E4" s="62" t="s">
        <v>452</v>
      </c>
      <c r="F4" s="62" t="s">
        <v>530</v>
      </c>
      <c r="G4" s="62" t="s">
        <v>453</v>
      </c>
      <c r="H4" s="63" t="s">
        <v>454</v>
      </c>
    </row>
    <row r="5" spans="1:8" ht="30" x14ac:dyDescent="0.25">
      <c r="A5" s="61" t="s">
        <v>455</v>
      </c>
      <c r="B5" s="62" t="s">
        <v>456</v>
      </c>
      <c r="C5" s="62" t="s">
        <v>457</v>
      </c>
      <c r="D5" s="62" t="s">
        <v>451</v>
      </c>
      <c r="E5" s="62" t="s">
        <v>452</v>
      </c>
      <c r="F5" s="62" t="s">
        <v>531</v>
      </c>
      <c r="G5" s="62" t="s">
        <v>453</v>
      </c>
      <c r="H5" s="63" t="s">
        <v>458</v>
      </c>
    </row>
    <row r="6" spans="1:8" ht="45" x14ac:dyDescent="0.25">
      <c r="A6" s="61" t="s">
        <v>459</v>
      </c>
      <c r="B6" s="62" t="s">
        <v>460</v>
      </c>
      <c r="C6" s="62" t="s">
        <v>461</v>
      </c>
      <c r="D6" s="62" t="s">
        <v>451</v>
      </c>
      <c r="E6" s="62" t="s">
        <v>452</v>
      </c>
      <c r="F6" s="62" t="s">
        <v>532</v>
      </c>
      <c r="G6" s="62" t="s">
        <v>462</v>
      </c>
      <c r="H6" s="63" t="s">
        <v>463</v>
      </c>
    </row>
    <row r="7" spans="1:8" ht="45" x14ac:dyDescent="0.25">
      <c r="A7" s="61" t="s">
        <v>464</v>
      </c>
      <c r="B7" s="62" t="s">
        <v>465</v>
      </c>
      <c r="C7" s="62" t="s">
        <v>466</v>
      </c>
      <c r="D7" s="67" t="s">
        <v>4</v>
      </c>
      <c r="E7" s="67" t="s">
        <v>1</v>
      </c>
      <c r="F7" s="62" t="s">
        <v>533</v>
      </c>
      <c r="G7" s="62" t="s">
        <v>467</v>
      </c>
      <c r="H7" s="63" t="s">
        <v>468</v>
      </c>
    </row>
    <row r="8" spans="1:8" ht="60" x14ac:dyDescent="0.25">
      <c r="A8" s="61" t="s">
        <v>469</v>
      </c>
      <c r="B8" s="62" t="s">
        <v>470</v>
      </c>
      <c r="C8" s="62" t="s">
        <v>471</v>
      </c>
      <c r="D8" s="67" t="s">
        <v>15</v>
      </c>
      <c r="E8" s="67" t="s">
        <v>1</v>
      </c>
      <c r="F8" s="62" t="s">
        <v>534</v>
      </c>
      <c r="G8" s="62" t="s">
        <v>472</v>
      </c>
      <c r="H8" s="63" t="s">
        <v>473</v>
      </c>
    </row>
    <row r="9" spans="1:8" ht="60" x14ac:dyDescent="0.25">
      <c r="A9" s="61" t="s">
        <v>474</v>
      </c>
      <c r="B9" s="62" t="s">
        <v>475</v>
      </c>
      <c r="C9" s="62" t="s">
        <v>476</v>
      </c>
      <c r="D9" s="67" t="s">
        <v>22</v>
      </c>
      <c r="E9" s="67" t="s">
        <v>1</v>
      </c>
      <c r="F9" s="62" t="s">
        <v>535</v>
      </c>
      <c r="G9" s="62" t="s">
        <v>477</v>
      </c>
      <c r="H9" s="63" t="s">
        <v>478</v>
      </c>
    </row>
    <row r="10" spans="1:8" ht="60" x14ac:dyDescent="0.25">
      <c r="A10" s="61" t="s">
        <v>479</v>
      </c>
      <c r="B10" s="62" t="s">
        <v>480</v>
      </c>
      <c r="C10" s="62" t="s">
        <v>481</v>
      </c>
      <c r="D10" s="67" t="s">
        <v>69</v>
      </c>
      <c r="E10" s="67" t="s">
        <v>1</v>
      </c>
      <c r="F10" s="62" t="s">
        <v>482</v>
      </c>
      <c r="G10" s="62" t="s">
        <v>483</v>
      </c>
      <c r="H10" s="63" t="s">
        <v>484</v>
      </c>
    </row>
    <row r="11" spans="1:8" ht="45" x14ac:dyDescent="0.25">
      <c r="A11" s="61" t="s">
        <v>485</v>
      </c>
      <c r="B11" s="62" t="s">
        <v>486</v>
      </c>
      <c r="C11" s="62" t="s">
        <v>487</v>
      </c>
      <c r="D11" s="62" t="s">
        <v>536</v>
      </c>
      <c r="E11" s="67" t="s">
        <v>1</v>
      </c>
      <c r="F11" s="62" t="s">
        <v>537</v>
      </c>
      <c r="G11" s="62" t="s">
        <v>488</v>
      </c>
      <c r="H11" s="63" t="s">
        <v>489</v>
      </c>
    </row>
    <row r="12" spans="1:8" ht="45" x14ac:dyDescent="0.25">
      <c r="A12" s="61" t="s">
        <v>490</v>
      </c>
      <c r="B12" s="62" t="s">
        <v>491</v>
      </c>
      <c r="C12" s="62" t="s">
        <v>487</v>
      </c>
      <c r="D12" s="67" t="s">
        <v>62</v>
      </c>
      <c r="E12" s="67" t="s">
        <v>1</v>
      </c>
      <c r="F12" s="62" t="s">
        <v>482</v>
      </c>
      <c r="G12" s="62" t="s">
        <v>483</v>
      </c>
      <c r="H12" s="63" t="s">
        <v>492</v>
      </c>
    </row>
    <row r="13" spans="1:8" ht="60" x14ac:dyDescent="0.25">
      <c r="A13" s="61" t="s">
        <v>493</v>
      </c>
      <c r="B13" s="62" t="s">
        <v>494</v>
      </c>
      <c r="C13" s="62" t="s">
        <v>487</v>
      </c>
      <c r="D13" s="67" t="s">
        <v>65</v>
      </c>
      <c r="E13" s="67" t="s">
        <v>1</v>
      </c>
      <c r="F13" s="62" t="s">
        <v>495</v>
      </c>
      <c r="G13" s="62" t="s">
        <v>496</v>
      </c>
      <c r="H13" s="63" t="s">
        <v>497</v>
      </c>
    </row>
    <row r="14" spans="1:8" ht="45" x14ac:dyDescent="0.25">
      <c r="A14" s="61" t="s">
        <v>498</v>
      </c>
      <c r="B14" s="62" t="s">
        <v>499</v>
      </c>
      <c r="C14" s="62" t="s">
        <v>487</v>
      </c>
      <c r="D14" s="67" t="s">
        <v>66</v>
      </c>
      <c r="E14" s="67" t="s">
        <v>1</v>
      </c>
      <c r="F14" s="62" t="s">
        <v>482</v>
      </c>
      <c r="G14" s="62" t="s">
        <v>483</v>
      </c>
      <c r="H14" s="63" t="s">
        <v>500</v>
      </c>
    </row>
    <row r="15" spans="1:8" ht="60" x14ac:dyDescent="0.25">
      <c r="A15" s="61" t="s">
        <v>501</v>
      </c>
      <c r="B15" s="62" t="s">
        <v>502</v>
      </c>
      <c r="C15" s="62" t="s">
        <v>487</v>
      </c>
      <c r="D15" s="67" t="s">
        <v>426</v>
      </c>
      <c r="E15" s="67" t="s">
        <v>1</v>
      </c>
      <c r="F15" s="62" t="s">
        <v>482</v>
      </c>
      <c r="G15" s="62" t="s">
        <v>483</v>
      </c>
      <c r="H15" s="63" t="s">
        <v>503</v>
      </c>
    </row>
    <row r="16" spans="1:8" ht="60" x14ac:dyDescent="0.25">
      <c r="A16" s="61" t="s">
        <v>504</v>
      </c>
      <c r="B16" s="62" t="s">
        <v>505</v>
      </c>
      <c r="C16" s="62" t="s">
        <v>506</v>
      </c>
      <c r="D16" s="67" t="s">
        <v>1</v>
      </c>
      <c r="E16" s="62" t="s">
        <v>452</v>
      </c>
      <c r="F16" s="62" t="s">
        <v>538</v>
      </c>
      <c r="G16" s="62" t="s">
        <v>467</v>
      </c>
      <c r="H16" s="63" t="s">
        <v>507</v>
      </c>
    </row>
    <row r="17" spans="1:8" ht="45" x14ac:dyDescent="0.25">
      <c r="A17" s="61" t="s">
        <v>508</v>
      </c>
      <c r="B17" s="62" t="s">
        <v>509</v>
      </c>
      <c r="C17" s="62" t="s">
        <v>506</v>
      </c>
      <c r="D17" s="67" t="s">
        <v>1</v>
      </c>
      <c r="E17" s="62" t="s">
        <v>452</v>
      </c>
      <c r="F17" s="62" t="s">
        <v>539</v>
      </c>
      <c r="G17" s="62" t="s">
        <v>467</v>
      </c>
      <c r="H17" s="63" t="s">
        <v>510</v>
      </c>
    </row>
    <row r="18" spans="1:8" ht="60" x14ac:dyDescent="0.25">
      <c r="A18" s="61" t="s">
        <v>511</v>
      </c>
      <c r="B18" s="62" t="s">
        <v>512</v>
      </c>
      <c r="C18" s="62" t="s">
        <v>506</v>
      </c>
      <c r="D18" s="67" t="s">
        <v>1</v>
      </c>
      <c r="E18" s="62" t="s">
        <v>452</v>
      </c>
      <c r="F18" s="62" t="s">
        <v>540</v>
      </c>
      <c r="G18" s="62" t="s">
        <v>467</v>
      </c>
      <c r="H18" s="63" t="s">
        <v>513</v>
      </c>
    </row>
    <row r="19" spans="1:8" ht="45" x14ac:dyDescent="0.25">
      <c r="A19" s="61" t="s">
        <v>514</v>
      </c>
      <c r="B19" s="62" t="s">
        <v>515</v>
      </c>
      <c r="C19" s="62" t="s">
        <v>506</v>
      </c>
      <c r="D19" s="67" t="s">
        <v>1</v>
      </c>
      <c r="E19" s="62" t="s">
        <v>452</v>
      </c>
      <c r="F19" s="62" t="s">
        <v>541</v>
      </c>
      <c r="G19" s="62" t="s">
        <v>467</v>
      </c>
      <c r="H19" s="63" t="s">
        <v>516</v>
      </c>
    </row>
    <row r="20" spans="1:8" ht="45" x14ac:dyDescent="0.25">
      <c r="A20" s="61" t="s">
        <v>517</v>
      </c>
      <c r="B20" s="62" t="s">
        <v>518</v>
      </c>
      <c r="C20" s="62" t="s">
        <v>519</v>
      </c>
      <c r="D20" s="62" t="s">
        <v>520</v>
      </c>
      <c r="E20" s="62" t="s">
        <v>452</v>
      </c>
      <c r="F20" s="62" t="s">
        <v>521</v>
      </c>
      <c r="G20" s="62" t="s">
        <v>522</v>
      </c>
      <c r="H20" s="63" t="s">
        <v>523</v>
      </c>
    </row>
    <row r="21" spans="1:8" ht="75" x14ac:dyDescent="0.25">
      <c r="A21" s="64" t="s">
        <v>524</v>
      </c>
      <c r="B21" s="65" t="s">
        <v>525</v>
      </c>
      <c r="C21" s="65" t="s">
        <v>526</v>
      </c>
      <c r="D21" s="65" t="s">
        <v>542</v>
      </c>
      <c r="E21" s="68" t="s">
        <v>543</v>
      </c>
      <c r="F21" s="65" t="s">
        <v>527</v>
      </c>
      <c r="G21" s="65" t="s">
        <v>528</v>
      </c>
      <c r="H21" s="66" t="s">
        <v>529</v>
      </c>
    </row>
  </sheetData>
  <mergeCells count="1">
    <mergeCell ref="A1:H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02705-5E0A-45A4-88AA-8850E7795C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Read_Me</vt:lpstr>
      <vt:lpstr>Dashboard</vt:lpstr>
      <vt:lpstr>Raw_Data</vt:lpstr>
      <vt:lpstr>Cleaned_Data</vt:lpstr>
      <vt:lpstr>Data_Dictionary</vt:lpstr>
      <vt:lpstr>Data_Quality</vt:lpstr>
      <vt:lpstr>KPI_Summary</vt:lpstr>
      <vt:lpstr>PivotTables</vt:lpstr>
      <vt:lpstr>Analysis_Plan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Raphiel Collins</dc:creator>
  <cp:lastModifiedBy>Raphiel Collins</cp:lastModifiedBy>
  <dcterms:created xsi:type="dcterms:W3CDTF">2026-10-18T19:56:48Z</dcterms:created>
  <dcterms:modified xsi:type="dcterms:W3CDTF">2026-10-22T00:34:32Z</dcterms:modified>
</cp:coreProperties>
</file>